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d4702e12b3001d/Documents/Mambakkadans/Mambakkadans/Data Analysis/Customer Relations/"/>
    </mc:Choice>
  </mc:AlternateContent>
  <xr:revisionPtr revIDLastSave="190" documentId="8_{EBAC097C-314E-440A-8154-F170B8118064}" xr6:coauthVersionLast="47" xr6:coauthVersionMax="47" xr10:uidLastSave="{AF20D6B4-EFEA-4728-8CD6-5F6F4A5DF5D7}"/>
  <bookViews>
    <workbookView xWindow="-110" yWindow="-110" windowWidth="19420" windowHeight="10300" xr2:uid="{1CA1837A-6914-4F69-96AD-3D50FEA42BFD}"/>
  </bookViews>
  <sheets>
    <sheet name="Dasboard" sheetId="5" r:id="rId1"/>
    <sheet name="B2BvsB2C" sheetId="6" state="hidden" r:id="rId2"/>
    <sheet name="Sales Register" sheetId="1" r:id="rId3"/>
    <sheet name="MaxDate" sheetId="4" state="hidden" r:id="rId4"/>
    <sheet name="Top Customers" sheetId="3" state="hidden" r:id="rId5"/>
    <sheet name="Tier vs Sale" sheetId="7" state="hidden" r:id="rId6"/>
    <sheet name="Tier vs Customer_Count" sheetId="8" state="hidden" r:id="rId7"/>
    <sheet name="Customer_Tiers" sheetId="2" r:id="rId8"/>
  </sheets>
  <calcPr calcId="191028"/>
  <pivotCaches>
    <pivotCache cacheId="2387" r:id="rId9"/>
    <pivotCache cacheId="240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5" l="1"/>
  <c r="B44" i="5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F12" i="2"/>
  <c r="Q1" i="2"/>
  <c r="A1427" i="2" l="1"/>
  <c r="B1427" i="2" s="1"/>
  <c r="C1427" i="2" s="1"/>
  <c r="D1427" i="2" s="1"/>
  <c r="A1428" i="2"/>
  <c r="B1428" i="2" s="1"/>
  <c r="C1428" i="2" s="1"/>
  <c r="D1428" i="2" s="1"/>
  <c r="A1429" i="2"/>
  <c r="B1429" i="2" s="1"/>
  <c r="C1429" i="2" s="1"/>
  <c r="D1429" i="2" s="1"/>
  <c r="A1430" i="2"/>
  <c r="B1430" i="2" s="1"/>
  <c r="C1430" i="2" s="1"/>
  <c r="D1430" i="2" s="1"/>
  <c r="A1431" i="2"/>
  <c r="B1431" i="2" s="1"/>
  <c r="C1431" i="2" s="1"/>
  <c r="D1431" i="2" s="1"/>
  <c r="A1432" i="2"/>
  <c r="B1432" i="2" s="1"/>
  <c r="C1432" i="2" s="1"/>
  <c r="D1432" i="2" s="1"/>
  <c r="A1433" i="2"/>
  <c r="B1433" i="2" s="1"/>
  <c r="C1433" i="2" s="1"/>
  <c r="D1433" i="2" s="1"/>
  <c r="A1434" i="2"/>
  <c r="B1434" i="2" s="1"/>
  <c r="C1434" i="2" s="1"/>
  <c r="D1434" i="2" s="1"/>
  <c r="A1435" i="2"/>
  <c r="B1435" i="2" s="1"/>
  <c r="C1435" i="2" s="1"/>
  <c r="D1435" i="2" s="1"/>
  <c r="A1436" i="2"/>
  <c r="B1436" i="2" s="1"/>
  <c r="C1436" i="2" s="1"/>
  <c r="D1436" i="2" s="1"/>
  <c r="A1437" i="2"/>
  <c r="B1437" i="2" s="1"/>
  <c r="C1437" i="2" s="1"/>
  <c r="D1437" i="2" s="1"/>
  <c r="A1438" i="2"/>
  <c r="B1438" i="2" s="1"/>
  <c r="C1438" i="2" s="1"/>
  <c r="D1438" i="2" s="1"/>
  <c r="A1439" i="2"/>
  <c r="B1439" i="2" s="1"/>
  <c r="C1439" i="2" s="1"/>
  <c r="D1439" i="2" s="1"/>
  <c r="A1440" i="2"/>
  <c r="B1440" i="2" s="1"/>
  <c r="C1440" i="2" s="1"/>
  <c r="D1440" i="2" s="1"/>
  <c r="A1441" i="2"/>
  <c r="B1441" i="2" s="1"/>
  <c r="C1441" i="2" s="1"/>
  <c r="D1441" i="2" s="1"/>
  <c r="A1442" i="2"/>
  <c r="B1442" i="2" s="1"/>
  <c r="C1442" i="2" s="1"/>
  <c r="D1442" i="2" s="1"/>
  <c r="A1443" i="2"/>
  <c r="B1443" i="2" s="1"/>
  <c r="C1443" i="2" s="1"/>
  <c r="D1443" i="2" s="1"/>
  <c r="A1444" i="2"/>
  <c r="B1444" i="2" s="1"/>
  <c r="C1444" i="2" s="1"/>
  <c r="D1444" i="2" s="1"/>
  <c r="A1445" i="2"/>
  <c r="B1445" i="2" s="1"/>
  <c r="C1445" i="2" s="1"/>
  <c r="D1445" i="2" s="1"/>
  <c r="A1446" i="2"/>
  <c r="B1446" i="2" s="1"/>
  <c r="C1446" i="2" s="1"/>
  <c r="D1446" i="2" s="1"/>
  <c r="A1447" i="2"/>
  <c r="B1447" i="2" s="1"/>
  <c r="C1447" i="2" s="1"/>
  <c r="D1447" i="2" s="1"/>
  <c r="A1448" i="2"/>
  <c r="B1448" i="2" s="1"/>
  <c r="C1448" i="2" s="1"/>
  <c r="D1448" i="2" s="1"/>
  <c r="A1449" i="2"/>
  <c r="B1449" i="2" s="1"/>
  <c r="C1449" i="2" s="1"/>
  <c r="D1449" i="2" s="1"/>
  <c r="A1450" i="2"/>
  <c r="B1450" i="2" s="1"/>
  <c r="C1450" i="2" s="1"/>
  <c r="D1450" i="2" s="1"/>
  <c r="A1451" i="2"/>
  <c r="B1451" i="2" s="1"/>
  <c r="C1451" i="2" s="1"/>
  <c r="D1451" i="2" s="1"/>
  <c r="A1452" i="2"/>
  <c r="B1452" i="2" s="1"/>
  <c r="C1452" i="2" s="1"/>
  <c r="D1452" i="2" s="1"/>
  <c r="A1453" i="2"/>
  <c r="B1453" i="2" s="1"/>
  <c r="C1453" i="2" s="1"/>
  <c r="D1453" i="2" s="1"/>
  <c r="A1454" i="2"/>
  <c r="B1454" i="2" s="1"/>
  <c r="C1454" i="2" s="1"/>
  <c r="D1454" i="2" s="1"/>
  <c r="A1455" i="2"/>
  <c r="B1455" i="2" s="1"/>
  <c r="C1455" i="2" s="1"/>
  <c r="D1455" i="2" s="1"/>
  <c r="A1456" i="2"/>
  <c r="B1456" i="2" s="1"/>
  <c r="C1456" i="2" s="1"/>
  <c r="D1456" i="2" s="1"/>
  <c r="A1457" i="2"/>
  <c r="B1457" i="2" s="1"/>
  <c r="C1457" i="2" s="1"/>
  <c r="D1457" i="2" s="1"/>
  <c r="A1458" i="2"/>
  <c r="B1458" i="2" s="1"/>
  <c r="C1458" i="2" s="1"/>
  <c r="D1458" i="2" s="1"/>
  <c r="A1459" i="2"/>
  <c r="B1459" i="2" s="1"/>
  <c r="C1459" i="2" s="1"/>
  <c r="D1459" i="2" s="1"/>
  <c r="A1460" i="2"/>
  <c r="B1460" i="2" s="1"/>
  <c r="C1460" i="2" s="1"/>
  <c r="D1460" i="2" s="1"/>
  <c r="A1461" i="2"/>
  <c r="B1461" i="2" s="1"/>
  <c r="C1461" i="2" s="1"/>
  <c r="D1461" i="2" s="1"/>
  <c r="A1462" i="2"/>
  <c r="B1462" i="2" s="1"/>
  <c r="C1462" i="2" s="1"/>
  <c r="D1462" i="2" s="1"/>
  <c r="A1463" i="2"/>
  <c r="B1463" i="2" s="1"/>
  <c r="C1463" i="2" s="1"/>
  <c r="D1463" i="2" s="1"/>
  <c r="A1464" i="2"/>
  <c r="B1464" i="2" s="1"/>
  <c r="C1464" i="2" s="1"/>
  <c r="D1464" i="2" s="1"/>
  <c r="A1465" i="2"/>
  <c r="B1465" i="2" s="1"/>
  <c r="C1465" i="2" s="1"/>
  <c r="D1465" i="2" s="1"/>
  <c r="A1466" i="2"/>
  <c r="B1466" i="2" s="1"/>
  <c r="C1466" i="2" s="1"/>
  <c r="D1466" i="2" s="1"/>
  <c r="A1467" i="2"/>
  <c r="B1467" i="2" s="1"/>
  <c r="C1467" i="2" s="1"/>
  <c r="D1467" i="2" s="1"/>
  <c r="A1468" i="2"/>
  <c r="B1468" i="2" s="1"/>
  <c r="C1468" i="2" s="1"/>
  <c r="D1468" i="2" s="1"/>
  <c r="A1469" i="2"/>
  <c r="B1469" i="2" s="1"/>
  <c r="C1469" i="2" s="1"/>
  <c r="D1469" i="2" s="1"/>
  <c r="A1470" i="2"/>
  <c r="B1470" i="2" s="1"/>
  <c r="C1470" i="2" s="1"/>
  <c r="D1470" i="2" s="1"/>
  <c r="A1471" i="2"/>
  <c r="B1471" i="2" s="1"/>
  <c r="C1471" i="2" s="1"/>
  <c r="D1471" i="2" s="1"/>
  <c r="A1472" i="2"/>
  <c r="B1472" i="2" s="1"/>
  <c r="C1472" i="2" s="1"/>
  <c r="D1472" i="2" s="1"/>
  <c r="A1473" i="2"/>
  <c r="B1473" i="2" s="1"/>
  <c r="C1473" i="2" s="1"/>
  <c r="D1473" i="2" s="1"/>
  <c r="A1474" i="2"/>
  <c r="B1474" i="2" s="1"/>
  <c r="C1474" i="2" s="1"/>
  <c r="D1474" i="2" s="1"/>
  <c r="A1475" i="2"/>
  <c r="B1475" i="2" s="1"/>
  <c r="C1475" i="2" s="1"/>
  <c r="D1475" i="2" s="1"/>
  <c r="A1476" i="2"/>
  <c r="B1476" i="2" s="1"/>
  <c r="C1476" i="2" s="1"/>
  <c r="D1476" i="2" s="1"/>
  <c r="A1477" i="2"/>
  <c r="B1477" i="2" s="1"/>
  <c r="C1477" i="2" s="1"/>
  <c r="D1477" i="2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2" i="2"/>
  <c r="B16" i="5" s="1"/>
  <c r="B10" i="2"/>
  <c r="B18" i="2"/>
  <c r="B26" i="2"/>
  <c r="B34" i="2"/>
  <c r="B42" i="2"/>
  <c r="B50" i="2"/>
  <c r="B58" i="2"/>
  <c r="B66" i="2"/>
  <c r="B74" i="2"/>
  <c r="B82" i="2"/>
  <c r="B90" i="2"/>
  <c r="B98" i="2"/>
  <c r="B106" i="2"/>
  <c r="B114" i="2"/>
  <c r="B122" i="2"/>
  <c r="B130" i="2"/>
  <c r="B138" i="2"/>
  <c r="B146" i="2"/>
  <c r="B5" i="2"/>
  <c r="B13" i="2"/>
  <c r="B21" i="2"/>
  <c r="B29" i="2"/>
  <c r="B37" i="2"/>
  <c r="B45" i="2"/>
  <c r="B53" i="2"/>
  <c r="B61" i="2"/>
  <c r="B69" i="2"/>
  <c r="B77" i="2"/>
  <c r="B85" i="2"/>
  <c r="B93" i="2"/>
  <c r="B101" i="2"/>
  <c r="B109" i="2"/>
  <c r="B117" i="2"/>
  <c r="B125" i="2"/>
  <c r="B133" i="2"/>
  <c r="B141" i="2"/>
  <c r="B154" i="2"/>
  <c r="B162" i="2"/>
  <c r="B170" i="2"/>
  <c r="B178" i="2"/>
  <c r="B186" i="2"/>
  <c r="B194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314" i="2"/>
  <c r="B322" i="2"/>
  <c r="B330" i="2"/>
  <c r="B338" i="2"/>
  <c r="B346" i="2"/>
  <c r="B354" i="2"/>
  <c r="B362" i="2"/>
  <c r="B370" i="2"/>
  <c r="B378" i="2"/>
  <c r="B386" i="2"/>
  <c r="B394" i="2"/>
  <c r="B402" i="2"/>
  <c r="B410" i="2"/>
  <c r="B418" i="2"/>
  <c r="B426" i="2"/>
  <c r="B434" i="2"/>
  <c r="B442" i="2"/>
  <c r="B450" i="2"/>
  <c r="B458" i="2"/>
  <c r="B466" i="2"/>
  <c r="B474" i="2"/>
  <c r="B482" i="2"/>
  <c r="B490" i="2"/>
  <c r="B498" i="2"/>
  <c r="B506" i="2"/>
  <c r="B514" i="2"/>
  <c r="B522" i="2"/>
  <c r="B530" i="2"/>
  <c r="B538" i="2"/>
  <c r="B546" i="2"/>
  <c r="B554" i="2"/>
  <c r="B562" i="2"/>
  <c r="B570" i="2"/>
  <c r="B578" i="2"/>
  <c r="B586" i="2"/>
  <c r="B594" i="2"/>
  <c r="B602" i="2"/>
  <c r="B610" i="2"/>
  <c r="B618" i="2"/>
  <c r="B626" i="2"/>
  <c r="B634" i="2"/>
  <c r="B642" i="2"/>
  <c r="B650" i="2"/>
  <c r="B658" i="2"/>
  <c r="B666" i="2"/>
  <c r="B674" i="2"/>
  <c r="B682" i="2"/>
  <c r="B690" i="2"/>
  <c r="B698" i="2"/>
  <c r="B706" i="2"/>
  <c r="B714" i="2"/>
  <c r="B722" i="2"/>
  <c r="B730" i="2"/>
  <c r="B738" i="2"/>
  <c r="B746" i="2"/>
  <c r="B754" i="2"/>
  <c r="B762" i="2"/>
  <c r="B770" i="2"/>
  <c r="B778" i="2"/>
  <c r="B786" i="2"/>
  <c r="B794" i="2"/>
  <c r="B3" i="2"/>
  <c r="B11" i="2"/>
  <c r="B19" i="2"/>
  <c r="B27" i="2"/>
  <c r="B35" i="2"/>
  <c r="B43" i="2"/>
  <c r="B51" i="2"/>
  <c r="B59" i="2"/>
  <c r="B67" i="2"/>
  <c r="B75" i="2"/>
  <c r="B83" i="2"/>
  <c r="B91" i="2"/>
  <c r="B99" i="2"/>
  <c r="B107" i="2"/>
  <c r="B115" i="2"/>
  <c r="B123" i="2"/>
  <c r="B131" i="2"/>
  <c r="B139" i="2"/>
  <c r="B147" i="2"/>
  <c r="B155" i="2"/>
  <c r="B163" i="2"/>
  <c r="B171" i="2"/>
  <c r="B179" i="2"/>
  <c r="B187" i="2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9" i="2"/>
  <c r="B157" i="2"/>
  <c r="B165" i="2"/>
  <c r="B173" i="2"/>
  <c r="B181" i="2"/>
  <c r="B189" i="2"/>
  <c r="B197" i="2"/>
  <c r="B205" i="2"/>
  <c r="B213" i="2"/>
  <c r="B221" i="2"/>
  <c r="B229" i="2"/>
  <c r="B237" i="2"/>
  <c r="B245" i="2"/>
  <c r="B253" i="2"/>
  <c r="B261" i="2"/>
  <c r="B269" i="2"/>
  <c r="B277" i="2"/>
  <c r="B285" i="2"/>
  <c r="B293" i="2"/>
  <c r="B301" i="2"/>
  <c r="B309" i="2"/>
  <c r="B317" i="2"/>
  <c r="B325" i="2"/>
  <c r="B333" i="2"/>
  <c r="B341" i="2"/>
  <c r="B349" i="2"/>
  <c r="B357" i="2"/>
  <c r="B365" i="2"/>
  <c r="B6" i="2"/>
  <c r="B14" i="2"/>
  <c r="B22" i="2"/>
  <c r="B30" i="2"/>
  <c r="B38" i="2"/>
  <c r="B46" i="2"/>
  <c r="B54" i="2"/>
  <c r="B62" i="2"/>
  <c r="B70" i="2"/>
  <c r="B78" i="2"/>
  <c r="B86" i="2"/>
  <c r="B94" i="2"/>
  <c r="B102" i="2"/>
  <c r="B110" i="2"/>
  <c r="B118" i="2"/>
  <c r="B126" i="2"/>
  <c r="B134" i="2"/>
  <c r="B142" i="2"/>
  <c r="B150" i="2"/>
  <c r="B158" i="2"/>
  <c r="B166" i="2"/>
  <c r="B174" i="2"/>
  <c r="B182" i="2"/>
  <c r="B190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318" i="2"/>
  <c r="B326" i="2"/>
  <c r="B334" i="2"/>
  <c r="B342" i="2"/>
  <c r="B350" i="2"/>
  <c r="B358" i="2"/>
  <c r="B366" i="2"/>
  <c r="B374" i="2"/>
  <c r="B382" i="2"/>
  <c r="B390" i="2"/>
  <c r="B398" i="2"/>
  <c r="B406" i="2"/>
  <c r="B414" i="2"/>
  <c r="B422" i="2"/>
  <c r="B430" i="2"/>
  <c r="B438" i="2"/>
  <c r="B446" i="2"/>
  <c r="B454" i="2"/>
  <c r="B462" i="2"/>
  <c r="B470" i="2"/>
  <c r="B478" i="2"/>
  <c r="B486" i="2"/>
  <c r="B494" i="2"/>
  <c r="B502" i="2"/>
  <c r="B510" i="2"/>
  <c r="B518" i="2"/>
  <c r="B526" i="2"/>
  <c r="B534" i="2"/>
  <c r="B542" i="2"/>
  <c r="B550" i="2"/>
  <c r="B558" i="2"/>
  <c r="B566" i="2"/>
  <c r="B574" i="2"/>
  <c r="B582" i="2"/>
  <c r="B590" i="2"/>
  <c r="B598" i="2"/>
  <c r="B606" i="2"/>
  <c r="B614" i="2"/>
  <c r="B622" i="2"/>
  <c r="B630" i="2"/>
  <c r="B638" i="2"/>
  <c r="B646" i="2"/>
  <c r="B654" i="2"/>
  <c r="B662" i="2"/>
  <c r="B670" i="2"/>
  <c r="B678" i="2"/>
  <c r="B686" i="2"/>
  <c r="B694" i="2"/>
  <c r="B702" i="2"/>
  <c r="B710" i="2"/>
  <c r="B718" i="2"/>
  <c r="B726" i="2"/>
  <c r="B734" i="2"/>
  <c r="B742" i="2"/>
  <c r="B750" i="2"/>
  <c r="B758" i="2"/>
  <c r="B766" i="2"/>
  <c r="B774" i="2"/>
  <c r="B782" i="2"/>
  <c r="B790" i="2"/>
  <c r="B798" i="2"/>
  <c r="B806" i="2"/>
  <c r="B814" i="2"/>
  <c r="B822" i="2"/>
  <c r="B830" i="2"/>
  <c r="B838" i="2"/>
  <c r="B846" i="2"/>
  <c r="B854" i="2"/>
  <c r="B862" i="2"/>
  <c r="B870" i="2"/>
  <c r="B878" i="2"/>
  <c r="B886" i="2"/>
  <c r="B7" i="2"/>
  <c r="B15" i="2"/>
  <c r="B23" i="2"/>
  <c r="B31" i="2"/>
  <c r="B39" i="2"/>
  <c r="B47" i="2"/>
  <c r="B55" i="2"/>
  <c r="B63" i="2"/>
  <c r="B71" i="2"/>
  <c r="B79" i="2"/>
  <c r="B87" i="2"/>
  <c r="B95" i="2"/>
  <c r="B103" i="2"/>
  <c r="B111" i="2"/>
  <c r="B119" i="2"/>
  <c r="B127" i="2"/>
  <c r="B135" i="2"/>
  <c r="B143" i="2"/>
  <c r="B151" i="2"/>
  <c r="B159" i="2"/>
  <c r="B167" i="2"/>
  <c r="B175" i="2"/>
  <c r="B183" i="2"/>
  <c r="B191" i="2"/>
  <c r="B199" i="2"/>
  <c r="B207" i="2"/>
  <c r="B215" i="2"/>
  <c r="B223" i="2"/>
  <c r="B231" i="2"/>
  <c r="B239" i="2"/>
  <c r="B247" i="2"/>
  <c r="B255" i="2"/>
  <c r="B263" i="2"/>
  <c r="B271" i="2"/>
  <c r="B279" i="2"/>
  <c r="B287" i="2"/>
  <c r="B295" i="2"/>
  <c r="B303" i="2"/>
  <c r="B311" i="2"/>
  <c r="B319" i="2"/>
  <c r="B327" i="2"/>
  <c r="B335" i="2"/>
  <c r="B343" i="2"/>
  <c r="B351" i="2"/>
  <c r="B359" i="2"/>
  <c r="B367" i="2"/>
  <c r="B375" i="2"/>
  <c r="B383" i="2"/>
  <c r="B391" i="2"/>
  <c r="B399" i="2"/>
  <c r="B407" i="2"/>
  <c r="B415" i="2"/>
  <c r="B423" i="2"/>
  <c r="B431" i="2"/>
  <c r="B439" i="2"/>
  <c r="B447" i="2"/>
  <c r="B455" i="2"/>
  <c r="B463" i="2"/>
  <c r="B471" i="2"/>
  <c r="B479" i="2"/>
  <c r="B487" i="2"/>
  <c r="B495" i="2"/>
  <c r="B503" i="2"/>
  <c r="B511" i="2"/>
  <c r="B519" i="2"/>
  <c r="B527" i="2"/>
  <c r="B535" i="2"/>
  <c r="B543" i="2"/>
  <c r="B551" i="2"/>
  <c r="B8" i="2"/>
  <c r="B16" i="2"/>
  <c r="B24" i="2"/>
  <c r="B32" i="2"/>
  <c r="B40" i="2"/>
  <c r="B48" i="2"/>
  <c r="B56" i="2"/>
  <c r="B64" i="2"/>
  <c r="B72" i="2"/>
  <c r="B80" i="2"/>
  <c r="B88" i="2"/>
  <c r="B96" i="2"/>
  <c r="B104" i="2"/>
  <c r="B112" i="2"/>
  <c r="B120" i="2"/>
  <c r="B128" i="2"/>
  <c r="B136" i="2"/>
  <c r="B144" i="2"/>
  <c r="B152" i="2"/>
  <c r="B160" i="2"/>
  <c r="B168" i="2"/>
  <c r="B176" i="2"/>
  <c r="B9" i="2"/>
  <c r="B17" i="2"/>
  <c r="B25" i="2"/>
  <c r="B33" i="2"/>
  <c r="B41" i="2"/>
  <c r="B49" i="2"/>
  <c r="B57" i="2"/>
  <c r="B65" i="2"/>
  <c r="B73" i="2"/>
  <c r="B81" i="2"/>
  <c r="B89" i="2"/>
  <c r="B97" i="2"/>
  <c r="B105" i="2"/>
  <c r="B113" i="2"/>
  <c r="B121" i="2"/>
  <c r="B129" i="2"/>
  <c r="B137" i="2"/>
  <c r="B145" i="2"/>
  <c r="B153" i="2"/>
  <c r="B161" i="2"/>
  <c r="B169" i="2"/>
  <c r="B177" i="2"/>
  <c r="B185" i="2"/>
  <c r="B193" i="2"/>
  <c r="B201" i="2"/>
  <c r="B209" i="2"/>
  <c r="B217" i="2"/>
  <c r="B225" i="2"/>
  <c r="B233" i="2"/>
  <c r="B241" i="2"/>
  <c r="B249" i="2"/>
  <c r="B257" i="2"/>
  <c r="B265" i="2"/>
  <c r="B273" i="2"/>
  <c r="B281" i="2"/>
  <c r="B289" i="2"/>
  <c r="B297" i="2"/>
  <c r="B305" i="2"/>
  <c r="B313" i="2"/>
  <c r="B321" i="2"/>
  <c r="B329" i="2"/>
  <c r="B337" i="2"/>
  <c r="B345" i="2"/>
  <c r="B353" i="2"/>
  <c r="B361" i="2"/>
  <c r="B369" i="2"/>
  <c r="B377" i="2"/>
  <c r="B385" i="2"/>
  <c r="B393" i="2"/>
  <c r="B401" i="2"/>
  <c r="B409" i="2"/>
  <c r="B417" i="2"/>
  <c r="B425" i="2"/>
  <c r="B433" i="2"/>
  <c r="B441" i="2"/>
  <c r="B449" i="2"/>
  <c r="B457" i="2"/>
  <c r="B465" i="2"/>
  <c r="B473" i="2"/>
  <c r="B481" i="2"/>
  <c r="B489" i="2"/>
  <c r="B497" i="2"/>
  <c r="B505" i="2"/>
  <c r="B513" i="2"/>
  <c r="B521" i="2"/>
  <c r="B529" i="2"/>
  <c r="B537" i="2"/>
  <c r="B545" i="2"/>
  <c r="B553" i="2"/>
  <c r="B561" i="2"/>
  <c r="B569" i="2"/>
  <c r="B577" i="2"/>
  <c r="B585" i="2"/>
  <c r="B593" i="2"/>
  <c r="B601" i="2"/>
  <c r="B609" i="2"/>
  <c r="B617" i="2"/>
  <c r="B625" i="2"/>
  <c r="B633" i="2"/>
  <c r="B641" i="2"/>
  <c r="B649" i="2"/>
  <c r="B657" i="2"/>
  <c r="B665" i="2"/>
  <c r="B673" i="2"/>
  <c r="B681" i="2"/>
  <c r="B689" i="2"/>
  <c r="B697" i="2"/>
  <c r="B705" i="2"/>
  <c r="B713" i="2"/>
  <c r="B721" i="2"/>
  <c r="B729" i="2"/>
  <c r="B737" i="2"/>
  <c r="B745" i="2"/>
  <c r="B753" i="2"/>
  <c r="B761" i="2"/>
  <c r="B769" i="2"/>
  <c r="B777" i="2"/>
  <c r="B785" i="2"/>
  <c r="B793" i="2"/>
  <c r="B801" i="2"/>
  <c r="B809" i="2"/>
  <c r="B817" i="2"/>
  <c r="B825" i="2"/>
  <c r="B833" i="2"/>
  <c r="B841" i="2"/>
  <c r="B849" i="2"/>
  <c r="B857" i="2"/>
  <c r="B865" i="2"/>
  <c r="B873" i="2"/>
  <c r="B881" i="2"/>
  <c r="B373" i="2"/>
  <c r="B381" i="2"/>
  <c r="B389" i="2"/>
  <c r="B397" i="2"/>
  <c r="B405" i="2"/>
  <c r="B413" i="2"/>
  <c r="B421" i="2"/>
  <c r="B429" i="2"/>
  <c r="B437" i="2"/>
  <c r="B445" i="2"/>
  <c r="B453" i="2"/>
  <c r="B461" i="2"/>
  <c r="B469" i="2"/>
  <c r="B477" i="2"/>
  <c r="B485" i="2"/>
  <c r="B493" i="2"/>
  <c r="B501" i="2"/>
  <c r="B509" i="2"/>
  <c r="B517" i="2"/>
  <c r="B525" i="2"/>
  <c r="B533" i="2"/>
  <c r="B541" i="2"/>
  <c r="B549" i="2"/>
  <c r="B557" i="2"/>
  <c r="B565" i="2"/>
  <c r="B573" i="2"/>
  <c r="B581" i="2"/>
  <c r="B589" i="2"/>
  <c r="B597" i="2"/>
  <c r="B605" i="2"/>
  <c r="B613" i="2"/>
  <c r="B621" i="2"/>
  <c r="B629" i="2"/>
  <c r="B637" i="2"/>
  <c r="B645" i="2"/>
  <c r="B653" i="2"/>
  <c r="B661" i="2"/>
  <c r="B669" i="2"/>
  <c r="B677" i="2"/>
  <c r="B685" i="2"/>
  <c r="B693" i="2"/>
  <c r="B701" i="2"/>
  <c r="B709" i="2"/>
  <c r="B717" i="2"/>
  <c r="B725" i="2"/>
  <c r="B733" i="2"/>
  <c r="B741" i="2"/>
  <c r="B749" i="2"/>
  <c r="B757" i="2"/>
  <c r="B765" i="2"/>
  <c r="B773" i="2"/>
  <c r="B781" i="2"/>
  <c r="B789" i="2"/>
  <c r="B797" i="2"/>
  <c r="B805" i="2"/>
  <c r="B813" i="2"/>
  <c r="B821" i="2"/>
  <c r="B829" i="2"/>
  <c r="B837" i="2"/>
  <c r="B845" i="2"/>
  <c r="B853" i="2"/>
  <c r="B861" i="2"/>
  <c r="B869" i="2"/>
  <c r="B877" i="2"/>
  <c r="B885" i="2"/>
  <c r="B893" i="2"/>
  <c r="B909" i="2"/>
  <c r="B917" i="2"/>
  <c r="B925" i="2"/>
  <c r="B933" i="2"/>
  <c r="B941" i="2"/>
  <c r="B949" i="2"/>
  <c r="B957" i="2"/>
  <c r="B965" i="2"/>
  <c r="B973" i="2"/>
  <c r="B981" i="2"/>
  <c r="B997" i="2"/>
  <c r="B1013" i="2"/>
  <c r="B1021" i="2"/>
  <c r="B1045" i="2"/>
  <c r="B1061" i="2"/>
  <c r="B1085" i="2"/>
  <c r="B1109" i="2"/>
  <c r="B1125" i="2"/>
  <c r="B1141" i="2"/>
  <c r="B1165" i="2"/>
  <c r="B1189" i="2"/>
  <c r="B1205" i="2"/>
  <c r="B1221" i="2"/>
  <c r="B1245" i="2"/>
  <c r="B1261" i="2"/>
  <c r="B1285" i="2"/>
  <c r="B1301" i="2"/>
  <c r="B1317" i="2"/>
  <c r="B1333" i="2"/>
  <c r="B1357" i="2"/>
  <c r="B1373" i="2"/>
  <c r="B1389" i="2"/>
  <c r="B1405" i="2"/>
  <c r="B1421" i="2"/>
  <c r="B1248" i="2"/>
  <c r="B894" i="2"/>
  <c r="B902" i="2"/>
  <c r="B910" i="2"/>
  <c r="B918" i="2"/>
  <c r="B926" i="2"/>
  <c r="B934" i="2"/>
  <c r="B942" i="2"/>
  <c r="B950" i="2"/>
  <c r="B958" i="2"/>
  <c r="B966" i="2"/>
  <c r="B974" i="2"/>
  <c r="B982" i="2"/>
  <c r="B990" i="2"/>
  <c r="B998" i="2"/>
  <c r="B1006" i="2"/>
  <c r="B1014" i="2"/>
  <c r="B1022" i="2"/>
  <c r="B1030" i="2"/>
  <c r="B1038" i="2"/>
  <c r="B1046" i="2"/>
  <c r="B1054" i="2"/>
  <c r="B1062" i="2"/>
  <c r="B1070" i="2"/>
  <c r="B1078" i="2"/>
  <c r="B1086" i="2"/>
  <c r="B1094" i="2"/>
  <c r="B1102" i="2"/>
  <c r="B1110" i="2"/>
  <c r="B1118" i="2"/>
  <c r="B1126" i="2"/>
  <c r="B1134" i="2"/>
  <c r="B1142" i="2"/>
  <c r="B1150" i="2"/>
  <c r="B1158" i="2"/>
  <c r="B1166" i="2"/>
  <c r="B1174" i="2"/>
  <c r="B1182" i="2"/>
  <c r="B1190" i="2"/>
  <c r="B1198" i="2"/>
  <c r="B1206" i="2"/>
  <c r="B1214" i="2"/>
  <c r="B1222" i="2"/>
  <c r="B1230" i="2"/>
  <c r="B1238" i="2"/>
  <c r="B1246" i="2"/>
  <c r="B1254" i="2"/>
  <c r="B1262" i="2"/>
  <c r="B1270" i="2"/>
  <c r="B1278" i="2"/>
  <c r="B1286" i="2"/>
  <c r="B1294" i="2"/>
  <c r="B1302" i="2"/>
  <c r="B1310" i="2"/>
  <c r="B1318" i="2"/>
  <c r="B1326" i="2"/>
  <c r="B1334" i="2"/>
  <c r="B1342" i="2"/>
  <c r="B1350" i="2"/>
  <c r="B1358" i="2"/>
  <c r="B1366" i="2"/>
  <c r="B1374" i="2"/>
  <c r="B1382" i="2"/>
  <c r="B1390" i="2"/>
  <c r="B1398" i="2"/>
  <c r="B1406" i="2"/>
  <c r="B1414" i="2"/>
  <c r="B1422" i="2"/>
  <c r="B1271" i="2"/>
  <c r="B1343" i="2"/>
  <c r="B1367" i="2"/>
  <c r="B1383" i="2"/>
  <c r="B1407" i="2"/>
  <c r="B1423" i="2"/>
  <c r="B1136" i="2"/>
  <c r="B1272" i="2"/>
  <c r="B1312" i="2"/>
  <c r="B1336" i="2"/>
  <c r="B1360" i="2"/>
  <c r="B1384" i="2"/>
  <c r="B559" i="2"/>
  <c r="B567" i="2"/>
  <c r="B575" i="2"/>
  <c r="B583" i="2"/>
  <c r="B591" i="2"/>
  <c r="B599" i="2"/>
  <c r="B607" i="2"/>
  <c r="B615" i="2"/>
  <c r="B623" i="2"/>
  <c r="B631" i="2"/>
  <c r="B639" i="2"/>
  <c r="B647" i="2"/>
  <c r="B655" i="2"/>
  <c r="B663" i="2"/>
  <c r="B671" i="2"/>
  <c r="B679" i="2"/>
  <c r="B687" i="2"/>
  <c r="B695" i="2"/>
  <c r="B703" i="2"/>
  <c r="B711" i="2"/>
  <c r="B719" i="2"/>
  <c r="B727" i="2"/>
  <c r="B735" i="2"/>
  <c r="B743" i="2"/>
  <c r="B751" i="2"/>
  <c r="B759" i="2"/>
  <c r="B767" i="2"/>
  <c r="B775" i="2"/>
  <c r="B783" i="2"/>
  <c r="B791" i="2"/>
  <c r="B799" i="2"/>
  <c r="B807" i="2"/>
  <c r="B815" i="2"/>
  <c r="B823" i="2"/>
  <c r="B831" i="2"/>
  <c r="B839" i="2"/>
  <c r="B847" i="2"/>
  <c r="B855" i="2"/>
  <c r="B863" i="2"/>
  <c r="B871" i="2"/>
  <c r="B879" i="2"/>
  <c r="B887" i="2"/>
  <c r="B895" i="2"/>
  <c r="B903" i="2"/>
  <c r="B911" i="2"/>
  <c r="B919" i="2"/>
  <c r="B927" i="2"/>
  <c r="B935" i="2"/>
  <c r="B943" i="2"/>
  <c r="B951" i="2"/>
  <c r="B959" i="2"/>
  <c r="B967" i="2"/>
  <c r="B975" i="2"/>
  <c r="B983" i="2"/>
  <c r="B991" i="2"/>
  <c r="B999" i="2"/>
  <c r="B1007" i="2"/>
  <c r="B1015" i="2"/>
  <c r="B1023" i="2"/>
  <c r="B1031" i="2"/>
  <c r="B1039" i="2"/>
  <c r="B1047" i="2"/>
  <c r="B1055" i="2"/>
  <c r="B1063" i="2"/>
  <c r="B1071" i="2"/>
  <c r="B1079" i="2"/>
  <c r="B1087" i="2"/>
  <c r="B1095" i="2"/>
  <c r="B1103" i="2"/>
  <c r="B1111" i="2"/>
  <c r="B1119" i="2"/>
  <c r="B1127" i="2"/>
  <c r="B1135" i="2"/>
  <c r="B1143" i="2"/>
  <c r="B1151" i="2"/>
  <c r="B1159" i="2"/>
  <c r="B1167" i="2"/>
  <c r="B1175" i="2"/>
  <c r="B1183" i="2"/>
  <c r="B1191" i="2"/>
  <c r="B1199" i="2"/>
  <c r="B1207" i="2"/>
  <c r="B1215" i="2"/>
  <c r="B1223" i="2"/>
  <c r="B1231" i="2"/>
  <c r="B1239" i="2"/>
  <c r="B1247" i="2"/>
  <c r="B1255" i="2"/>
  <c r="B1263" i="2"/>
  <c r="B1279" i="2"/>
  <c r="B1287" i="2"/>
  <c r="B1295" i="2"/>
  <c r="B1303" i="2"/>
  <c r="B1311" i="2"/>
  <c r="B1319" i="2"/>
  <c r="B1327" i="2"/>
  <c r="B1335" i="2"/>
  <c r="B1351" i="2"/>
  <c r="B1359" i="2"/>
  <c r="B1375" i="2"/>
  <c r="B1391" i="2"/>
  <c r="B1399" i="2"/>
  <c r="B1415" i="2"/>
  <c r="B1160" i="2"/>
  <c r="B1296" i="2"/>
  <c r="B1328" i="2"/>
  <c r="B1344" i="2"/>
  <c r="B1368" i="2"/>
  <c r="B1400" i="2"/>
  <c r="B184" i="2"/>
  <c r="B192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312" i="2"/>
  <c r="B320" i="2"/>
  <c r="B328" i="2"/>
  <c r="B336" i="2"/>
  <c r="B344" i="2"/>
  <c r="B352" i="2"/>
  <c r="B360" i="2"/>
  <c r="B368" i="2"/>
  <c r="B376" i="2"/>
  <c r="B384" i="2"/>
  <c r="B392" i="2"/>
  <c r="B400" i="2"/>
  <c r="B408" i="2"/>
  <c r="B416" i="2"/>
  <c r="B424" i="2"/>
  <c r="B432" i="2"/>
  <c r="B440" i="2"/>
  <c r="B448" i="2"/>
  <c r="B456" i="2"/>
  <c r="B464" i="2"/>
  <c r="B472" i="2"/>
  <c r="B480" i="2"/>
  <c r="B488" i="2"/>
  <c r="B496" i="2"/>
  <c r="B504" i="2"/>
  <c r="B512" i="2"/>
  <c r="B520" i="2"/>
  <c r="B528" i="2"/>
  <c r="B536" i="2"/>
  <c r="B544" i="2"/>
  <c r="B552" i="2"/>
  <c r="B560" i="2"/>
  <c r="B568" i="2"/>
  <c r="B576" i="2"/>
  <c r="B584" i="2"/>
  <c r="B592" i="2"/>
  <c r="B600" i="2"/>
  <c r="B608" i="2"/>
  <c r="B616" i="2"/>
  <c r="B624" i="2"/>
  <c r="B632" i="2"/>
  <c r="B640" i="2"/>
  <c r="B648" i="2"/>
  <c r="B656" i="2"/>
  <c r="B664" i="2"/>
  <c r="B672" i="2"/>
  <c r="B680" i="2"/>
  <c r="B688" i="2"/>
  <c r="B696" i="2"/>
  <c r="B704" i="2"/>
  <c r="B712" i="2"/>
  <c r="B720" i="2"/>
  <c r="B728" i="2"/>
  <c r="B736" i="2"/>
  <c r="B744" i="2"/>
  <c r="B752" i="2"/>
  <c r="B760" i="2"/>
  <c r="B768" i="2"/>
  <c r="B776" i="2"/>
  <c r="B784" i="2"/>
  <c r="B792" i="2"/>
  <c r="B800" i="2"/>
  <c r="B808" i="2"/>
  <c r="B816" i="2"/>
  <c r="B824" i="2"/>
  <c r="B832" i="2"/>
  <c r="B840" i="2"/>
  <c r="B848" i="2"/>
  <c r="B856" i="2"/>
  <c r="B864" i="2"/>
  <c r="B872" i="2"/>
  <c r="B880" i="2"/>
  <c r="B888" i="2"/>
  <c r="B896" i="2"/>
  <c r="B904" i="2"/>
  <c r="B912" i="2"/>
  <c r="B920" i="2"/>
  <c r="B928" i="2"/>
  <c r="B936" i="2"/>
  <c r="B944" i="2"/>
  <c r="B952" i="2"/>
  <c r="B960" i="2"/>
  <c r="B968" i="2"/>
  <c r="B976" i="2"/>
  <c r="B984" i="2"/>
  <c r="B992" i="2"/>
  <c r="B1000" i="2"/>
  <c r="B1008" i="2"/>
  <c r="B1016" i="2"/>
  <c r="B1024" i="2"/>
  <c r="B1032" i="2"/>
  <c r="B1040" i="2"/>
  <c r="B1048" i="2"/>
  <c r="B1056" i="2"/>
  <c r="B1064" i="2"/>
  <c r="B1072" i="2"/>
  <c r="B1080" i="2"/>
  <c r="B1088" i="2"/>
  <c r="B1096" i="2"/>
  <c r="B1104" i="2"/>
  <c r="B1112" i="2"/>
  <c r="B1120" i="2"/>
  <c r="B1128" i="2"/>
  <c r="B1144" i="2"/>
  <c r="B1152" i="2"/>
  <c r="B1168" i="2"/>
  <c r="B1176" i="2"/>
  <c r="B1184" i="2"/>
  <c r="B1192" i="2"/>
  <c r="B1200" i="2"/>
  <c r="B1208" i="2"/>
  <c r="B1216" i="2"/>
  <c r="B1224" i="2"/>
  <c r="B1240" i="2"/>
  <c r="B1288" i="2"/>
  <c r="B1304" i="2"/>
  <c r="B1320" i="2"/>
  <c r="B1352" i="2"/>
  <c r="B1376" i="2"/>
  <c r="B1392" i="2"/>
  <c r="B889" i="2"/>
  <c r="B897" i="2"/>
  <c r="B905" i="2"/>
  <c r="B913" i="2"/>
  <c r="B921" i="2"/>
  <c r="B929" i="2"/>
  <c r="B937" i="2"/>
  <c r="B945" i="2"/>
  <c r="B953" i="2"/>
  <c r="B961" i="2"/>
  <c r="B969" i="2"/>
  <c r="B977" i="2"/>
  <c r="B985" i="2"/>
  <c r="B993" i="2"/>
  <c r="B1001" i="2"/>
  <c r="B1009" i="2"/>
  <c r="B1017" i="2"/>
  <c r="B1025" i="2"/>
  <c r="B1033" i="2"/>
  <c r="B1041" i="2"/>
  <c r="B1049" i="2"/>
  <c r="B1057" i="2"/>
  <c r="B1065" i="2"/>
  <c r="B1073" i="2"/>
  <c r="B1081" i="2"/>
  <c r="B1089" i="2"/>
  <c r="B1097" i="2"/>
  <c r="B1105" i="2"/>
  <c r="B1113" i="2"/>
  <c r="B1121" i="2"/>
  <c r="B1129" i="2"/>
  <c r="B1137" i="2"/>
  <c r="B1145" i="2"/>
  <c r="B1153" i="2"/>
  <c r="B1161" i="2"/>
  <c r="B1169" i="2"/>
  <c r="B1177" i="2"/>
  <c r="B1185" i="2"/>
  <c r="B1193" i="2"/>
  <c r="B1201" i="2"/>
  <c r="B1209" i="2"/>
  <c r="B1217" i="2"/>
  <c r="B1225" i="2"/>
  <c r="B1233" i="2"/>
  <c r="B1241" i="2"/>
  <c r="B1249" i="2"/>
  <c r="B1257" i="2"/>
  <c r="B1265" i="2"/>
  <c r="B1273" i="2"/>
  <c r="B1281" i="2"/>
  <c r="B1289" i="2"/>
  <c r="B1297" i="2"/>
  <c r="B1305" i="2"/>
  <c r="B1313" i="2"/>
  <c r="B1321" i="2"/>
  <c r="B1329" i="2"/>
  <c r="B1337" i="2"/>
  <c r="B1345" i="2"/>
  <c r="B1353" i="2"/>
  <c r="B1361" i="2"/>
  <c r="B1369" i="2"/>
  <c r="B1377" i="2"/>
  <c r="B1385" i="2"/>
  <c r="B1393" i="2"/>
  <c r="B1401" i="2"/>
  <c r="B1409" i="2"/>
  <c r="B1417" i="2"/>
  <c r="B1425" i="2"/>
  <c r="B850" i="2"/>
  <c r="B938" i="2"/>
  <c r="B954" i="2"/>
  <c r="B970" i="2"/>
  <c r="B986" i="2"/>
  <c r="B1002" i="2"/>
  <c r="B1018" i="2"/>
  <c r="B1034" i="2"/>
  <c r="B1050" i="2"/>
  <c r="B1066" i="2"/>
  <c r="B1074" i="2"/>
  <c r="B1090" i="2"/>
  <c r="B1106" i="2"/>
  <c r="B1122" i="2"/>
  <c r="B1130" i="2"/>
  <c r="B1146" i="2"/>
  <c r="B1162" i="2"/>
  <c r="B1178" i="2"/>
  <c r="B1194" i="2"/>
  <c r="B1210" i="2"/>
  <c r="B1226" i="2"/>
  <c r="B1242" i="2"/>
  <c r="B1258" i="2"/>
  <c r="B1266" i="2"/>
  <c r="B1282" i="2"/>
  <c r="B1290" i="2"/>
  <c r="B1306" i="2"/>
  <c r="B1314" i="2"/>
  <c r="B1330" i="2"/>
  <c r="B1346" i="2"/>
  <c r="B1354" i="2"/>
  <c r="B1370" i="2"/>
  <c r="B1386" i="2"/>
  <c r="B1402" i="2"/>
  <c r="B1418" i="2"/>
  <c r="B1426" i="2"/>
  <c r="B747" i="2"/>
  <c r="B875" i="2"/>
  <c r="B899" i="2"/>
  <c r="B915" i="2"/>
  <c r="B931" i="2"/>
  <c r="B947" i="2"/>
  <c r="B955" i="2"/>
  <c r="B979" i="2"/>
  <c r="B995" i="2"/>
  <c r="B1019" i="2"/>
  <c r="B1043" i="2"/>
  <c r="B1067" i="2"/>
  <c r="B1083" i="2"/>
  <c r="B1107" i="2"/>
  <c r="B1131" i="2"/>
  <c r="B1147" i="2"/>
  <c r="B1163" i="2"/>
  <c r="B1187" i="2"/>
  <c r="B1211" i="2"/>
  <c r="B1235" i="2"/>
  <c r="B1259" i="2"/>
  <c r="B1275" i="2"/>
  <c r="B1299" i="2"/>
  <c r="B1323" i="2"/>
  <c r="B1347" i="2"/>
  <c r="B1371" i="2"/>
  <c r="B1387" i="2"/>
  <c r="B1411" i="2"/>
  <c r="B2" i="2"/>
  <c r="B1256" i="2"/>
  <c r="B1408" i="2"/>
  <c r="B802" i="2"/>
  <c r="B810" i="2"/>
  <c r="B818" i="2"/>
  <c r="B826" i="2"/>
  <c r="B834" i="2"/>
  <c r="B842" i="2"/>
  <c r="B858" i="2"/>
  <c r="B866" i="2"/>
  <c r="B874" i="2"/>
  <c r="B882" i="2"/>
  <c r="B890" i="2"/>
  <c r="B898" i="2"/>
  <c r="B906" i="2"/>
  <c r="B914" i="2"/>
  <c r="B922" i="2"/>
  <c r="B930" i="2"/>
  <c r="B946" i="2"/>
  <c r="B962" i="2"/>
  <c r="B978" i="2"/>
  <c r="B994" i="2"/>
  <c r="B1010" i="2"/>
  <c r="B1026" i="2"/>
  <c r="B1042" i="2"/>
  <c r="B1058" i="2"/>
  <c r="B1082" i="2"/>
  <c r="B1098" i="2"/>
  <c r="B1114" i="2"/>
  <c r="B1138" i="2"/>
  <c r="B1154" i="2"/>
  <c r="B1170" i="2"/>
  <c r="B1186" i="2"/>
  <c r="B1202" i="2"/>
  <c r="B1218" i="2"/>
  <c r="B1234" i="2"/>
  <c r="B1250" i="2"/>
  <c r="B1274" i="2"/>
  <c r="B1298" i="2"/>
  <c r="B1322" i="2"/>
  <c r="B1338" i="2"/>
  <c r="B1362" i="2"/>
  <c r="B1378" i="2"/>
  <c r="B1394" i="2"/>
  <c r="B1410" i="2"/>
  <c r="B819" i="2"/>
  <c r="B971" i="2"/>
  <c r="B1003" i="2"/>
  <c r="B1027" i="2"/>
  <c r="B1051" i="2"/>
  <c r="B1075" i="2"/>
  <c r="B1099" i="2"/>
  <c r="B1123" i="2"/>
  <c r="B1139" i="2"/>
  <c r="B1171" i="2"/>
  <c r="B1195" i="2"/>
  <c r="B1219" i="2"/>
  <c r="B1243" i="2"/>
  <c r="B1267" i="2"/>
  <c r="B1291" i="2"/>
  <c r="B1315" i="2"/>
  <c r="B1339" i="2"/>
  <c r="B1355" i="2"/>
  <c r="B1379" i="2"/>
  <c r="B1403" i="2"/>
  <c r="B1419" i="2"/>
  <c r="B1264" i="2"/>
  <c r="B1424" i="2"/>
  <c r="B195" i="2"/>
  <c r="B203" i="2"/>
  <c r="B211" i="2"/>
  <c r="B219" i="2"/>
  <c r="B227" i="2"/>
  <c r="B235" i="2"/>
  <c r="B243" i="2"/>
  <c r="B251" i="2"/>
  <c r="B259" i="2"/>
  <c r="B267" i="2"/>
  <c r="B275" i="2"/>
  <c r="B283" i="2"/>
  <c r="B291" i="2"/>
  <c r="B299" i="2"/>
  <c r="B307" i="2"/>
  <c r="B315" i="2"/>
  <c r="B323" i="2"/>
  <c r="B331" i="2"/>
  <c r="B339" i="2"/>
  <c r="B347" i="2"/>
  <c r="B355" i="2"/>
  <c r="B363" i="2"/>
  <c r="B371" i="2"/>
  <c r="B379" i="2"/>
  <c r="B387" i="2"/>
  <c r="B395" i="2"/>
  <c r="B403" i="2"/>
  <c r="B411" i="2"/>
  <c r="B419" i="2"/>
  <c r="B427" i="2"/>
  <c r="B435" i="2"/>
  <c r="B443" i="2"/>
  <c r="B451" i="2"/>
  <c r="B459" i="2"/>
  <c r="B467" i="2"/>
  <c r="B475" i="2"/>
  <c r="B483" i="2"/>
  <c r="B491" i="2"/>
  <c r="B499" i="2"/>
  <c r="B507" i="2"/>
  <c r="B515" i="2"/>
  <c r="B523" i="2"/>
  <c r="B531" i="2"/>
  <c r="B539" i="2"/>
  <c r="B547" i="2"/>
  <c r="B555" i="2"/>
  <c r="B563" i="2"/>
  <c r="B571" i="2"/>
  <c r="B579" i="2"/>
  <c r="B587" i="2"/>
  <c r="B595" i="2"/>
  <c r="B603" i="2"/>
  <c r="B611" i="2"/>
  <c r="B619" i="2"/>
  <c r="B627" i="2"/>
  <c r="B635" i="2"/>
  <c r="B643" i="2"/>
  <c r="B651" i="2"/>
  <c r="B659" i="2"/>
  <c r="B667" i="2"/>
  <c r="B675" i="2"/>
  <c r="B683" i="2"/>
  <c r="B691" i="2"/>
  <c r="B699" i="2"/>
  <c r="B707" i="2"/>
  <c r="B715" i="2"/>
  <c r="B723" i="2"/>
  <c r="B731" i="2"/>
  <c r="B739" i="2"/>
  <c r="B755" i="2"/>
  <c r="B763" i="2"/>
  <c r="B771" i="2"/>
  <c r="B779" i="2"/>
  <c r="B787" i="2"/>
  <c r="B795" i="2"/>
  <c r="B803" i="2"/>
  <c r="B811" i="2"/>
  <c r="B827" i="2"/>
  <c r="B835" i="2"/>
  <c r="B843" i="2"/>
  <c r="B851" i="2"/>
  <c r="B859" i="2"/>
  <c r="B867" i="2"/>
  <c r="B883" i="2"/>
  <c r="B891" i="2"/>
  <c r="B907" i="2"/>
  <c r="B923" i="2"/>
  <c r="B939" i="2"/>
  <c r="B963" i="2"/>
  <c r="B987" i="2"/>
  <c r="B1011" i="2"/>
  <c r="B1035" i="2"/>
  <c r="B1059" i="2"/>
  <c r="B1091" i="2"/>
  <c r="B1115" i="2"/>
  <c r="B1155" i="2"/>
  <c r="B1179" i="2"/>
  <c r="B1203" i="2"/>
  <c r="B1227" i="2"/>
  <c r="B1251" i="2"/>
  <c r="B1283" i="2"/>
  <c r="B1307" i="2"/>
  <c r="B1331" i="2"/>
  <c r="B1363" i="2"/>
  <c r="B1395" i="2"/>
  <c r="B1280" i="2"/>
  <c r="B140" i="2"/>
  <c r="B148" i="2"/>
  <c r="B156" i="2"/>
  <c r="B164" i="2"/>
  <c r="B172" i="2"/>
  <c r="B180" i="2"/>
  <c r="B188" i="2"/>
  <c r="B196" i="2"/>
  <c r="B204" i="2"/>
  <c r="B212" i="2"/>
  <c r="B220" i="2"/>
  <c r="B228" i="2"/>
  <c r="B236" i="2"/>
  <c r="B244" i="2"/>
  <c r="B252" i="2"/>
  <c r="B260" i="2"/>
  <c r="B268" i="2"/>
  <c r="B276" i="2"/>
  <c r="B284" i="2"/>
  <c r="B292" i="2"/>
  <c r="B300" i="2"/>
  <c r="B308" i="2"/>
  <c r="B316" i="2"/>
  <c r="B324" i="2"/>
  <c r="B332" i="2"/>
  <c r="B340" i="2"/>
  <c r="B348" i="2"/>
  <c r="B356" i="2"/>
  <c r="B364" i="2"/>
  <c r="B372" i="2"/>
  <c r="B380" i="2"/>
  <c r="B388" i="2"/>
  <c r="B396" i="2"/>
  <c r="B404" i="2"/>
  <c r="B412" i="2"/>
  <c r="B420" i="2"/>
  <c r="B428" i="2"/>
  <c r="B436" i="2"/>
  <c r="B444" i="2"/>
  <c r="B452" i="2"/>
  <c r="B460" i="2"/>
  <c r="B468" i="2"/>
  <c r="B476" i="2"/>
  <c r="B484" i="2"/>
  <c r="B492" i="2"/>
  <c r="B500" i="2"/>
  <c r="B508" i="2"/>
  <c r="B516" i="2"/>
  <c r="B524" i="2"/>
  <c r="B532" i="2"/>
  <c r="B540" i="2"/>
  <c r="B548" i="2"/>
  <c r="B556" i="2"/>
  <c r="B564" i="2"/>
  <c r="B572" i="2"/>
  <c r="B580" i="2"/>
  <c r="B588" i="2"/>
  <c r="B596" i="2"/>
  <c r="B604" i="2"/>
  <c r="B612" i="2"/>
  <c r="B620" i="2"/>
  <c r="B628" i="2"/>
  <c r="B636" i="2"/>
  <c r="B644" i="2"/>
  <c r="B652" i="2"/>
  <c r="B660" i="2"/>
  <c r="B668" i="2"/>
  <c r="B676" i="2"/>
  <c r="B684" i="2"/>
  <c r="B692" i="2"/>
  <c r="B700" i="2"/>
  <c r="B708" i="2"/>
  <c r="B716" i="2"/>
  <c r="B724" i="2"/>
  <c r="B732" i="2"/>
  <c r="B740" i="2"/>
  <c r="B748" i="2"/>
  <c r="B756" i="2"/>
  <c r="B764" i="2"/>
  <c r="B772" i="2"/>
  <c r="B780" i="2"/>
  <c r="B788" i="2"/>
  <c r="B796" i="2"/>
  <c r="B804" i="2"/>
  <c r="B812" i="2"/>
  <c r="B820" i="2"/>
  <c r="B828" i="2"/>
  <c r="B836" i="2"/>
  <c r="B844" i="2"/>
  <c r="B852" i="2"/>
  <c r="B860" i="2"/>
  <c r="B868" i="2"/>
  <c r="B876" i="2"/>
  <c r="B884" i="2"/>
  <c r="B892" i="2"/>
  <c r="B900" i="2"/>
  <c r="B908" i="2"/>
  <c r="B916" i="2"/>
  <c r="B924" i="2"/>
  <c r="B932" i="2"/>
  <c r="B940" i="2"/>
  <c r="B948" i="2"/>
  <c r="B956" i="2"/>
  <c r="B964" i="2"/>
  <c r="B972" i="2"/>
  <c r="B980" i="2"/>
  <c r="B988" i="2"/>
  <c r="B996" i="2"/>
  <c r="B1004" i="2"/>
  <c r="B1012" i="2"/>
  <c r="B1020" i="2"/>
  <c r="B1028" i="2"/>
  <c r="B1036" i="2"/>
  <c r="B1044" i="2"/>
  <c r="B1052" i="2"/>
  <c r="B1060" i="2"/>
  <c r="B1068" i="2"/>
  <c r="B1076" i="2"/>
  <c r="B1084" i="2"/>
  <c r="B1092" i="2"/>
  <c r="B1100" i="2"/>
  <c r="B1108" i="2"/>
  <c r="B1116" i="2"/>
  <c r="B1124" i="2"/>
  <c r="B1132" i="2"/>
  <c r="B1140" i="2"/>
  <c r="B1148" i="2"/>
  <c r="B1156" i="2"/>
  <c r="B1164" i="2"/>
  <c r="B1172" i="2"/>
  <c r="B1180" i="2"/>
  <c r="B1188" i="2"/>
  <c r="B1196" i="2"/>
  <c r="B1204" i="2"/>
  <c r="B1212" i="2"/>
  <c r="B1220" i="2"/>
  <c r="B1228" i="2"/>
  <c r="B1236" i="2"/>
  <c r="B1244" i="2"/>
  <c r="B1252" i="2"/>
  <c r="B1260" i="2"/>
  <c r="B1268" i="2"/>
  <c r="B1276" i="2"/>
  <c r="B1284" i="2"/>
  <c r="B1292" i="2"/>
  <c r="B1300" i="2"/>
  <c r="B1308" i="2"/>
  <c r="B1316" i="2"/>
  <c r="B1324" i="2"/>
  <c r="B1332" i="2"/>
  <c r="B1340" i="2"/>
  <c r="B1348" i="2"/>
  <c r="B1356" i="2"/>
  <c r="B1364" i="2"/>
  <c r="B1372" i="2"/>
  <c r="B1380" i="2"/>
  <c r="B1388" i="2"/>
  <c r="B1396" i="2"/>
  <c r="B1404" i="2"/>
  <c r="B1412" i="2"/>
  <c r="B1420" i="2"/>
  <c r="B901" i="2"/>
  <c r="B989" i="2"/>
  <c r="B1005" i="2"/>
  <c r="B1029" i="2"/>
  <c r="B1037" i="2"/>
  <c r="B1053" i="2"/>
  <c r="B1069" i="2"/>
  <c r="B1077" i="2"/>
  <c r="B1093" i="2"/>
  <c r="B1101" i="2"/>
  <c r="B1117" i="2"/>
  <c r="B1133" i="2"/>
  <c r="B1149" i="2"/>
  <c r="B1157" i="2"/>
  <c r="B1173" i="2"/>
  <c r="B1181" i="2"/>
  <c r="B1197" i="2"/>
  <c r="B1213" i="2"/>
  <c r="B1229" i="2"/>
  <c r="B1237" i="2"/>
  <c r="B1253" i="2"/>
  <c r="B1269" i="2"/>
  <c r="B1277" i="2"/>
  <c r="B1293" i="2"/>
  <c r="B1309" i="2"/>
  <c r="B1325" i="2"/>
  <c r="B1341" i="2"/>
  <c r="B1349" i="2"/>
  <c r="B1365" i="2"/>
  <c r="B1381" i="2"/>
  <c r="B1397" i="2"/>
  <c r="B1413" i="2"/>
  <c r="B1232" i="2"/>
  <c r="B1416" i="2"/>
  <c r="F450" i="2"/>
  <c r="F962" i="2"/>
  <c r="F459" i="2"/>
  <c r="F971" i="2"/>
  <c r="F468" i="2"/>
  <c r="F980" i="2"/>
  <c r="F477" i="2"/>
  <c r="F135" i="2"/>
  <c r="F647" i="2"/>
  <c r="F518" i="2"/>
  <c r="F1314" i="2"/>
  <c r="F877" i="2"/>
  <c r="F1451" i="2"/>
  <c r="F694" i="2"/>
  <c r="F1086" i="2"/>
  <c r="F10" i="2"/>
  <c r="F522" i="2"/>
  <c r="F19" i="2"/>
  <c r="F531" i="2"/>
  <c r="F28" i="2"/>
  <c r="F540" i="2"/>
  <c r="F37" i="2"/>
  <c r="F549" i="2"/>
  <c r="F207" i="2"/>
  <c r="F18" i="2"/>
  <c r="F530" i="2"/>
  <c r="F27" i="2"/>
  <c r="F539" i="2"/>
  <c r="F36" i="2"/>
  <c r="F548" i="2"/>
  <c r="F45" i="2"/>
  <c r="F557" i="2"/>
  <c r="F215" i="2"/>
  <c r="F727" i="2"/>
  <c r="F729" i="2"/>
  <c r="F1394" i="2"/>
  <c r="F1019" i="2"/>
  <c r="F1364" i="2"/>
  <c r="F894" i="2"/>
  <c r="F1422" i="2"/>
  <c r="F90" i="2"/>
  <c r="F602" i="2"/>
  <c r="F99" i="2"/>
  <c r="F611" i="2"/>
  <c r="F108" i="2"/>
  <c r="F620" i="2"/>
  <c r="F117" i="2"/>
  <c r="F629" i="2"/>
  <c r="F287" i="2"/>
  <c r="F799" i="2"/>
  <c r="F905" i="2"/>
  <c r="F1466" i="2"/>
  <c r="F162" i="2"/>
  <c r="F674" i="2"/>
  <c r="F171" i="2"/>
  <c r="F683" i="2"/>
  <c r="F180" i="2"/>
  <c r="F692" i="2"/>
  <c r="F189" i="2"/>
  <c r="F701" i="2"/>
  <c r="F359" i="2"/>
  <c r="F871" i="2"/>
  <c r="F1026" i="2"/>
  <c r="F113" i="2"/>
  <c r="F1163" i="2"/>
  <c r="F1334" i="2"/>
  <c r="F1092" i="2"/>
  <c r="F353" i="2"/>
  <c r="F250" i="2"/>
  <c r="F762" i="2"/>
  <c r="F259" i="2"/>
  <c r="F771" i="2"/>
  <c r="F268" i="2"/>
  <c r="F780" i="2"/>
  <c r="F277" i="2"/>
  <c r="F789" i="2"/>
  <c r="F447" i="2"/>
  <c r="F959" i="2"/>
  <c r="F1114" i="2"/>
  <c r="F350" i="2"/>
  <c r="F1251" i="2"/>
  <c r="F160" i="2"/>
  <c r="F1180" i="2"/>
  <c r="F590" i="2"/>
  <c r="F51" i="2"/>
  <c r="F69" i="2"/>
  <c r="F281" i="2"/>
  <c r="F1115" i="2"/>
  <c r="F1044" i="2"/>
  <c r="F1117" i="2"/>
  <c r="F16" i="2"/>
  <c r="F81" i="2"/>
  <c r="F1151" i="2"/>
  <c r="F558" i="2"/>
  <c r="F1232" i="2"/>
  <c r="F686" i="2"/>
  <c r="F1456" i="2"/>
  <c r="F1280" i="2"/>
  <c r="F1157" i="2"/>
  <c r="F562" i="2"/>
  <c r="F580" i="2"/>
  <c r="F751" i="2"/>
  <c r="F670" i="2"/>
  <c r="F544" i="2"/>
  <c r="F944" i="2"/>
  <c r="F1022" i="2"/>
  <c r="F1070" i="2"/>
  <c r="F1031" i="2"/>
  <c r="F192" i="2"/>
  <c r="F904" i="2"/>
  <c r="F1417" i="2"/>
  <c r="F1225" i="2"/>
  <c r="F1093" i="2"/>
  <c r="F362" i="2"/>
  <c r="F380" i="2"/>
  <c r="F559" i="2"/>
  <c r="F305" i="2"/>
  <c r="F246" i="2"/>
  <c r="F673" i="2"/>
  <c r="F1453" i="2"/>
  <c r="F913" i="2"/>
  <c r="F949" i="2"/>
  <c r="F41" i="2"/>
  <c r="F1304" i="2"/>
  <c r="F1260" i="2"/>
  <c r="F635" i="2"/>
  <c r="F653" i="2"/>
  <c r="F2" i="2"/>
  <c r="F514" i="2"/>
  <c r="F11" i="2"/>
  <c r="F523" i="2"/>
  <c r="F20" i="2"/>
  <c r="F532" i="2"/>
  <c r="F29" i="2"/>
  <c r="F541" i="2"/>
  <c r="F199" i="2"/>
  <c r="F711" i="2"/>
  <c r="F688" i="2"/>
  <c r="F1378" i="2"/>
  <c r="F997" i="2"/>
  <c r="F1340" i="2"/>
  <c r="F862" i="2"/>
  <c r="F1358" i="2"/>
  <c r="F74" i="2"/>
  <c r="F586" i="2"/>
  <c r="F83" i="2"/>
  <c r="F595" i="2"/>
  <c r="F92" i="2"/>
  <c r="F604" i="2"/>
  <c r="F101" i="2"/>
  <c r="F613" i="2"/>
  <c r="F271" i="2"/>
  <c r="F82" i="2"/>
  <c r="F594" i="2"/>
  <c r="F91" i="2"/>
  <c r="F603" i="2"/>
  <c r="F100" i="2"/>
  <c r="F612" i="2"/>
  <c r="F109" i="2"/>
  <c r="F621" i="2"/>
  <c r="F279" i="2"/>
  <c r="F791" i="2"/>
  <c r="F889" i="2"/>
  <c r="F1458" i="2"/>
  <c r="F1083" i="2"/>
  <c r="F1014" i="2"/>
  <c r="F1009" i="2"/>
  <c r="F142" i="2"/>
  <c r="F154" i="2"/>
  <c r="F666" i="2"/>
  <c r="F163" i="2"/>
  <c r="F675" i="2"/>
  <c r="F172" i="2"/>
  <c r="F684" i="2"/>
  <c r="F181" i="2"/>
  <c r="F693" i="2"/>
  <c r="F351" i="2"/>
  <c r="F863" i="2"/>
  <c r="F1018" i="2"/>
  <c r="F94" i="2"/>
  <c r="F226" i="2"/>
  <c r="F738" i="2"/>
  <c r="F235" i="2"/>
  <c r="F747" i="2"/>
  <c r="F244" i="2"/>
  <c r="F756" i="2"/>
  <c r="F253" i="2"/>
  <c r="F765" i="2"/>
  <c r="F423" i="2"/>
  <c r="F935" i="2"/>
  <c r="F1090" i="2"/>
  <c r="F286" i="2"/>
  <c r="F1227" i="2"/>
  <c r="F96" i="2"/>
  <c r="F1156" i="2"/>
  <c r="F526" i="2"/>
  <c r="F314" i="2"/>
  <c r="F826" i="2"/>
  <c r="F323" i="2"/>
  <c r="F835" i="2"/>
  <c r="F332" i="2"/>
  <c r="F844" i="2"/>
  <c r="F341" i="2"/>
  <c r="F853" i="2"/>
  <c r="F511" i="2"/>
  <c r="F153" i="2"/>
  <c r="F1178" i="2"/>
  <c r="F520" i="2"/>
  <c r="F1315" i="2"/>
  <c r="F329" i="2"/>
  <c r="F1244" i="2"/>
  <c r="F760" i="2"/>
  <c r="F307" i="2"/>
  <c r="F325" i="2"/>
  <c r="F710" i="2"/>
  <c r="F1243" i="2"/>
  <c r="F1172" i="2"/>
  <c r="F1181" i="2"/>
  <c r="F185" i="2"/>
  <c r="F254" i="2"/>
  <c r="F1215" i="2"/>
  <c r="F1073" i="2"/>
  <c r="F833" i="2"/>
  <c r="F1121" i="2"/>
  <c r="F1033" i="2"/>
  <c r="F1328" i="2"/>
  <c r="F1413" i="2"/>
  <c r="F818" i="2"/>
  <c r="F836" i="2"/>
  <c r="F911" i="2"/>
  <c r="F1008" i="2"/>
  <c r="F878" i="2"/>
  <c r="F1061" i="2"/>
  <c r="F1254" i="2"/>
  <c r="F1342" i="2"/>
  <c r="F1095" i="2"/>
  <c r="F361" i="2"/>
  <c r="F1433" i="2"/>
  <c r="F1064" i="2"/>
  <c r="F708" i="2"/>
  <c r="F1349" i="2"/>
  <c r="F618" i="2"/>
  <c r="F636" i="2"/>
  <c r="F759" i="2"/>
  <c r="F734" i="2"/>
  <c r="F585" i="2"/>
  <c r="F974" i="2"/>
  <c r="F1046" i="2"/>
  <c r="F1102" i="2"/>
  <c r="F1039" i="2"/>
  <c r="F214" i="2"/>
  <c r="F1017" i="2"/>
  <c r="F529" i="2"/>
  <c r="F891" i="2"/>
  <c r="F66" i="2"/>
  <c r="F578" i="2"/>
  <c r="F75" i="2"/>
  <c r="F587" i="2"/>
  <c r="F84" i="2"/>
  <c r="F596" i="2"/>
  <c r="F93" i="2"/>
  <c r="F605" i="2"/>
  <c r="F263" i="2"/>
  <c r="F775" i="2"/>
  <c r="F857" i="2"/>
  <c r="F1442" i="2"/>
  <c r="F1067" i="2"/>
  <c r="F1452" i="2"/>
  <c r="F984" i="2"/>
  <c r="F97" i="2"/>
  <c r="F138" i="2"/>
  <c r="F650" i="2"/>
  <c r="F147" i="2"/>
  <c r="F659" i="2"/>
  <c r="F156" i="2"/>
  <c r="F668" i="2"/>
  <c r="F165" i="2"/>
  <c r="F677" i="2"/>
  <c r="F335" i="2"/>
  <c r="F146" i="2"/>
  <c r="F658" i="2"/>
  <c r="F155" i="2"/>
  <c r="F667" i="2"/>
  <c r="F164" i="2"/>
  <c r="F676" i="2"/>
  <c r="F173" i="2"/>
  <c r="F685" i="2"/>
  <c r="F343" i="2"/>
  <c r="F855" i="2"/>
  <c r="F1007" i="2"/>
  <c r="F72" i="2"/>
  <c r="F1147" i="2"/>
  <c r="F1270" i="2"/>
  <c r="F1076" i="2"/>
  <c r="F312" i="2"/>
  <c r="F218" i="2"/>
  <c r="F730" i="2"/>
  <c r="F227" i="2"/>
  <c r="F739" i="2"/>
  <c r="F236" i="2"/>
  <c r="F748" i="2"/>
  <c r="F245" i="2"/>
  <c r="F757" i="2"/>
  <c r="F415" i="2"/>
  <c r="F927" i="2"/>
  <c r="F1082" i="2"/>
  <c r="F264" i="2"/>
  <c r="F290" i="2"/>
  <c r="F802" i="2"/>
  <c r="F299" i="2"/>
  <c r="F811" i="2"/>
  <c r="F308" i="2"/>
  <c r="F820" i="2"/>
  <c r="F317" i="2"/>
  <c r="F829" i="2"/>
  <c r="F487" i="2"/>
  <c r="F89" i="2"/>
  <c r="F1154" i="2"/>
  <c r="F456" i="2"/>
  <c r="F1291" i="2"/>
  <c r="F265" i="2"/>
  <c r="F1220" i="2"/>
  <c r="F696" i="2"/>
  <c r="F378" i="2"/>
  <c r="F890" i="2"/>
  <c r="F387" i="2"/>
  <c r="F899" i="2"/>
  <c r="F396" i="2"/>
  <c r="F908" i="2"/>
  <c r="F405" i="2"/>
  <c r="F63" i="2"/>
  <c r="F575" i="2"/>
  <c r="F326" i="2"/>
  <c r="F1242" i="2"/>
  <c r="F689" i="2"/>
  <c r="F1379" i="2"/>
  <c r="F502" i="2"/>
  <c r="F1348" i="2"/>
  <c r="F912" i="2"/>
  <c r="F563" i="2"/>
  <c r="F581" i="2"/>
  <c r="F1042" i="2"/>
  <c r="F1371" i="2"/>
  <c r="F1332" i="2"/>
  <c r="F1245" i="2"/>
  <c r="F358" i="2"/>
  <c r="F424" i="2"/>
  <c r="F1279" i="2"/>
  <c r="F1329" i="2"/>
  <c r="F1465" i="2"/>
  <c r="F1377" i="2"/>
  <c r="F977" i="2"/>
  <c r="F1185" i="2"/>
  <c r="F294" i="2"/>
  <c r="F59" i="2"/>
  <c r="F77" i="2"/>
  <c r="F304" i="2"/>
  <c r="F1139" i="2"/>
  <c r="F1068" i="2"/>
  <c r="F1125" i="2"/>
  <c r="F38" i="2"/>
  <c r="F104" i="2"/>
  <c r="F1159" i="2"/>
  <c r="F641" i="2"/>
  <c r="F1392" i="2"/>
  <c r="F1065" i="2"/>
  <c r="F1162" i="2"/>
  <c r="F1382" i="2"/>
  <c r="F130" i="2"/>
  <c r="F642" i="2"/>
  <c r="F139" i="2"/>
  <c r="F651" i="2"/>
  <c r="F148" i="2"/>
  <c r="F660" i="2"/>
  <c r="F157" i="2"/>
  <c r="F669" i="2"/>
  <c r="F327" i="2"/>
  <c r="F839" i="2"/>
  <c r="F982" i="2"/>
  <c r="F30" i="2"/>
  <c r="F1131" i="2"/>
  <c r="F1214" i="2"/>
  <c r="F1060" i="2"/>
  <c r="F270" i="2"/>
  <c r="F202" i="2"/>
  <c r="F714" i="2"/>
  <c r="F211" i="2"/>
  <c r="F723" i="2"/>
  <c r="F220" i="2"/>
  <c r="F732" i="2"/>
  <c r="F229" i="2"/>
  <c r="F741" i="2"/>
  <c r="F399" i="2"/>
  <c r="F210" i="2"/>
  <c r="F722" i="2"/>
  <c r="F219" i="2"/>
  <c r="F731" i="2"/>
  <c r="F228" i="2"/>
  <c r="F740" i="2"/>
  <c r="F237" i="2"/>
  <c r="F749" i="2"/>
  <c r="F407" i="2"/>
  <c r="F919" i="2"/>
  <c r="F1074" i="2"/>
  <c r="F241" i="2"/>
  <c r="F1211" i="2"/>
  <c r="F54" i="2"/>
  <c r="F1140" i="2"/>
  <c r="F481" i="2"/>
  <c r="F282" i="2"/>
  <c r="F794" i="2"/>
  <c r="F291" i="2"/>
  <c r="F803" i="2"/>
  <c r="F300" i="2"/>
  <c r="F812" i="2"/>
  <c r="F309" i="2"/>
  <c r="F821" i="2"/>
  <c r="F479" i="2"/>
  <c r="F70" i="2"/>
  <c r="F1146" i="2"/>
  <c r="F433" i="2"/>
  <c r="F354" i="2"/>
  <c r="F866" i="2"/>
  <c r="F363" i="2"/>
  <c r="F875" i="2"/>
  <c r="F372" i="2"/>
  <c r="F884" i="2"/>
  <c r="F381" i="2"/>
  <c r="F39" i="2"/>
  <c r="F551" i="2"/>
  <c r="F262" i="2"/>
  <c r="F1218" i="2"/>
  <c r="F625" i="2"/>
  <c r="F1355" i="2"/>
  <c r="F438" i="2"/>
  <c r="F1292" i="2"/>
  <c r="F864" i="2"/>
  <c r="F442" i="2"/>
  <c r="F954" i="2"/>
  <c r="F451" i="2"/>
  <c r="F963" i="2"/>
  <c r="F460" i="2"/>
  <c r="F972" i="2"/>
  <c r="F469" i="2"/>
  <c r="F127" i="2"/>
  <c r="F639" i="2"/>
  <c r="F496" i="2"/>
  <c r="F1306" i="2"/>
  <c r="F861" i="2"/>
  <c r="F1443" i="2"/>
  <c r="F672" i="2"/>
  <c r="F1038" i="2"/>
  <c r="F1021" i="2"/>
  <c r="F819" i="2"/>
  <c r="F837" i="2"/>
  <c r="F1226" i="2"/>
  <c r="F1308" i="2"/>
  <c r="F1294" i="2"/>
  <c r="F1309" i="2"/>
  <c r="F528" i="2"/>
  <c r="F593" i="2"/>
  <c r="F1343" i="2"/>
  <c r="F216" i="2"/>
  <c r="F88" i="2"/>
  <c r="F1257" i="2"/>
  <c r="F321" i="2"/>
  <c r="F640" i="2"/>
  <c r="F975" i="2"/>
  <c r="F315" i="2"/>
  <c r="F333" i="2"/>
  <c r="F793" i="2"/>
  <c r="F1267" i="2"/>
  <c r="F1196" i="2"/>
  <c r="F1189" i="2"/>
  <c r="F208" i="2"/>
  <c r="F273" i="2"/>
  <c r="F1223" i="2"/>
  <c r="F1105" i="2"/>
  <c r="F967" i="2"/>
  <c r="F705" i="2"/>
  <c r="F478" i="2"/>
  <c r="F464" i="2"/>
  <c r="F115" i="2"/>
  <c r="F133" i="2"/>
  <c r="F368" i="2"/>
  <c r="F1155" i="2"/>
  <c r="F1084" i="2"/>
  <c r="F1133" i="2"/>
  <c r="F57" i="2"/>
  <c r="F126" i="2"/>
  <c r="F1167" i="2"/>
  <c r="F728" i="2"/>
  <c r="F65" i="2"/>
  <c r="F370" i="2"/>
  <c r="F388" i="2"/>
  <c r="F194" i="2"/>
  <c r="F706" i="2"/>
  <c r="F203" i="2"/>
  <c r="F715" i="2"/>
  <c r="F212" i="2"/>
  <c r="F724" i="2"/>
  <c r="F221" i="2"/>
  <c r="F733" i="2"/>
  <c r="F391" i="2"/>
  <c r="F903" i="2"/>
  <c r="F1058" i="2"/>
  <c r="F200" i="2"/>
  <c r="F1195" i="2"/>
  <c r="F9" i="2"/>
  <c r="F1124" i="2"/>
  <c r="F440" i="2"/>
  <c r="F266" i="2"/>
  <c r="F778" i="2"/>
  <c r="F275" i="2"/>
  <c r="F787" i="2"/>
  <c r="F284" i="2"/>
  <c r="F796" i="2"/>
  <c r="F293" i="2"/>
  <c r="F805" i="2"/>
  <c r="F463" i="2"/>
  <c r="F274" i="2"/>
  <c r="F786" i="2"/>
  <c r="F283" i="2"/>
  <c r="F795" i="2"/>
  <c r="F292" i="2"/>
  <c r="F804" i="2"/>
  <c r="F301" i="2"/>
  <c r="F813" i="2"/>
  <c r="F471" i="2"/>
  <c r="F48" i="2"/>
  <c r="F1138" i="2"/>
  <c r="F414" i="2"/>
  <c r="F1275" i="2"/>
  <c r="F224" i="2"/>
  <c r="F1204" i="2"/>
  <c r="F654" i="2"/>
  <c r="F346" i="2"/>
  <c r="F858" i="2"/>
  <c r="F355" i="2"/>
  <c r="F867" i="2"/>
  <c r="F364" i="2"/>
  <c r="F876" i="2"/>
  <c r="F373" i="2"/>
  <c r="F31" i="2"/>
  <c r="F543" i="2"/>
  <c r="F240" i="2"/>
  <c r="F1210" i="2"/>
  <c r="F606" i="2"/>
  <c r="F418" i="2"/>
  <c r="F930" i="2"/>
  <c r="F427" i="2"/>
  <c r="F939" i="2"/>
  <c r="F436" i="2"/>
  <c r="F948" i="2"/>
  <c r="F445" i="2"/>
  <c r="F103" i="2"/>
  <c r="F615" i="2"/>
  <c r="F432" i="2"/>
  <c r="F1282" i="2"/>
  <c r="F798" i="2"/>
  <c r="F1419" i="2"/>
  <c r="F608" i="2"/>
  <c r="F1444" i="2"/>
  <c r="F985" i="2"/>
  <c r="F506" i="2"/>
  <c r="F3" i="2"/>
  <c r="F515" i="2"/>
  <c r="F524" i="2"/>
  <c r="F21" i="2"/>
  <c r="F533" i="2"/>
  <c r="F191" i="2"/>
  <c r="F703" i="2"/>
  <c r="F665" i="2"/>
  <c r="F1370" i="2"/>
  <c r="F983" i="2"/>
  <c r="F1324" i="2"/>
  <c r="F841" i="2"/>
  <c r="F1318" i="2"/>
  <c r="F42" i="2"/>
  <c r="F60" i="2"/>
  <c r="F239" i="2"/>
  <c r="F1386" i="2"/>
  <c r="F1158" i="2"/>
  <c r="F225" i="2"/>
  <c r="F1373" i="2"/>
  <c r="F697" i="2"/>
  <c r="F766" i="2"/>
  <c r="F1407" i="2"/>
  <c r="F966" i="2"/>
  <c r="F918" i="2"/>
  <c r="F448" i="2"/>
  <c r="F769" i="2"/>
  <c r="F1096" i="2"/>
  <c r="F360" i="2"/>
  <c r="F571" i="2"/>
  <c r="F589" i="2"/>
  <c r="F1066" i="2"/>
  <c r="F1395" i="2"/>
  <c r="F1388" i="2"/>
  <c r="F1253" i="2"/>
  <c r="F377" i="2"/>
  <c r="F446" i="2"/>
  <c r="F1287" i="2"/>
  <c r="F1361" i="2"/>
  <c r="F257" i="2"/>
  <c r="F856" i="2"/>
  <c r="F1203" i="2"/>
  <c r="F17" i="2"/>
  <c r="F371" i="2"/>
  <c r="F389" i="2"/>
  <c r="F816" i="2"/>
  <c r="F1283" i="2"/>
  <c r="F1212" i="2"/>
  <c r="F1197" i="2"/>
  <c r="F230" i="2"/>
  <c r="F296" i="2"/>
  <c r="F1231" i="2"/>
  <c r="F1137" i="2"/>
  <c r="F1049" i="2"/>
  <c r="F626" i="2"/>
  <c r="F644" i="2"/>
  <c r="F258" i="2"/>
  <c r="F770" i="2"/>
  <c r="F267" i="2"/>
  <c r="F779" i="2"/>
  <c r="F276" i="2"/>
  <c r="F788" i="2"/>
  <c r="F285" i="2"/>
  <c r="F797" i="2"/>
  <c r="F455" i="2"/>
  <c r="F6" i="2"/>
  <c r="F1122" i="2"/>
  <c r="F369" i="2"/>
  <c r="F1259" i="2"/>
  <c r="F182" i="2"/>
  <c r="F1188" i="2"/>
  <c r="F609" i="2"/>
  <c r="F330" i="2"/>
  <c r="F842" i="2"/>
  <c r="F339" i="2"/>
  <c r="F851" i="2"/>
  <c r="F348" i="2"/>
  <c r="F860" i="2"/>
  <c r="F357" i="2"/>
  <c r="F15" i="2"/>
  <c r="F527" i="2"/>
  <c r="F338" i="2"/>
  <c r="F850" i="2"/>
  <c r="F347" i="2"/>
  <c r="F859" i="2"/>
  <c r="F356" i="2"/>
  <c r="F868" i="2"/>
  <c r="F365" i="2"/>
  <c r="F23" i="2"/>
  <c r="F535" i="2"/>
  <c r="F217" i="2"/>
  <c r="F1202" i="2"/>
  <c r="F584" i="2"/>
  <c r="F1339" i="2"/>
  <c r="F393" i="2"/>
  <c r="F1268" i="2"/>
  <c r="F824" i="2"/>
  <c r="F410" i="2"/>
  <c r="F922" i="2"/>
  <c r="F419" i="2"/>
  <c r="F931" i="2"/>
  <c r="F428" i="2"/>
  <c r="F940" i="2"/>
  <c r="F437" i="2"/>
  <c r="F95" i="2"/>
  <c r="F607" i="2"/>
  <c r="F409" i="2"/>
  <c r="F1274" i="2"/>
  <c r="F776" i="2"/>
  <c r="F482" i="2"/>
  <c r="F994" i="2"/>
  <c r="F491" i="2"/>
  <c r="F1003" i="2"/>
  <c r="F500" i="2"/>
  <c r="F1012" i="2"/>
  <c r="F509" i="2"/>
  <c r="F167" i="2"/>
  <c r="F679" i="2"/>
  <c r="F601" i="2"/>
  <c r="F1346" i="2"/>
  <c r="F941" i="2"/>
  <c r="F1276" i="2"/>
  <c r="F777" i="2"/>
  <c r="F1230" i="2"/>
  <c r="F58" i="2"/>
  <c r="F570" i="2"/>
  <c r="F67" i="2"/>
  <c r="F579" i="2"/>
  <c r="F76" i="2"/>
  <c r="F588" i="2"/>
  <c r="F85" i="2"/>
  <c r="F597" i="2"/>
  <c r="F255" i="2"/>
  <c r="F767" i="2"/>
  <c r="F838" i="2"/>
  <c r="F1434" i="2"/>
  <c r="F1059" i="2"/>
  <c r="F1436" i="2"/>
  <c r="F973" i="2"/>
  <c r="F78" i="2"/>
  <c r="F298" i="2"/>
  <c r="F316" i="2"/>
  <c r="F495" i="2"/>
  <c r="F158" i="2"/>
  <c r="F137" i="2"/>
  <c r="F568" i="2"/>
  <c r="F1437" i="2"/>
  <c r="F865" i="2"/>
  <c r="F917" i="2"/>
  <c r="F1471" i="2"/>
  <c r="F1240" i="2"/>
  <c r="F1216" i="2"/>
  <c r="F1032" i="2"/>
  <c r="F1409" i="2"/>
  <c r="F452" i="2"/>
  <c r="F990" i="2"/>
  <c r="F827" i="2"/>
  <c r="F845" i="2"/>
  <c r="F1234" i="2"/>
  <c r="F1356" i="2"/>
  <c r="F1390" i="2"/>
  <c r="F1317" i="2"/>
  <c r="F550" i="2"/>
  <c r="F616" i="2"/>
  <c r="F1351" i="2"/>
  <c r="F385" i="2"/>
  <c r="F1248" i="2"/>
  <c r="F1441" i="2"/>
  <c r="F1468" i="2"/>
  <c r="F869" i="2"/>
  <c r="F627" i="2"/>
  <c r="F645" i="2"/>
  <c r="F1098" i="2"/>
  <c r="F1411" i="2"/>
  <c r="F1428" i="2"/>
  <c r="F1261" i="2"/>
  <c r="F400" i="2"/>
  <c r="F465" i="2"/>
  <c r="F1295" i="2"/>
  <c r="F1393" i="2"/>
  <c r="F1161" i="2"/>
  <c r="F882" i="2"/>
  <c r="F900" i="2"/>
  <c r="F322" i="2"/>
  <c r="F340" i="2"/>
  <c r="F519" i="2"/>
  <c r="F1323" i="2"/>
  <c r="F394" i="2"/>
  <c r="F412" i="2"/>
  <c r="F591" i="2"/>
  <c r="F923" i="2"/>
  <c r="F87" i="2"/>
  <c r="F753" i="2"/>
  <c r="F960" i="2"/>
  <c r="F995" i="2"/>
  <c r="F159" i="2"/>
  <c r="F34" i="2"/>
  <c r="F52" i="2"/>
  <c r="F231" i="2"/>
  <c r="F1035" i="2"/>
  <c r="F122" i="2"/>
  <c r="F140" i="2"/>
  <c r="F319" i="2"/>
  <c r="F1123" i="2"/>
  <c r="F554" i="2"/>
  <c r="F480" i="2"/>
  <c r="F1023" i="2"/>
  <c r="F1288" i="2"/>
  <c r="F68" i="2"/>
  <c r="F289" i="2"/>
  <c r="F1415" i="2"/>
  <c r="F998" i="2"/>
  <c r="F47" i="2"/>
  <c r="F910" i="2"/>
  <c r="F742" i="2"/>
  <c r="F489" i="2"/>
  <c r="F132" i="2"/>
  <c r="F454" i="2"/>
  <c r="F1171" i="2"/>
  <c r="F1100" i="2"/>
  <c r="F1141" i="2"/>
  <c r="F80" i="2"/>
  <c r="F145" i="2"/>
  <c r="F1175" i="2"/>
  <c r="F814" i="2"/>
  <c r="F238" i="2"/>
  <c r="F920" i="2"/>
  <c r="F1416" i="2"/>
  <c r="F196" i="2"/>
  <c r="F893" i="2"/>
  <c r="F633" i="2"/>
  <c r="F435" i="2"/>
  <c r="F453" i="2"/>
  <c r="F937" i="2"/>
  <c r="F1307" i="2"/>
  <c r="F1236" i="2"/>
  <c r="F1213" i="2"/>
  <c r="F272" i="2"/>
  <c r="F337" i="2"/>
  <c r="F1247" i="2"/>
  <c r="F1201" i="2"/>
  <c r="F1177" i="2"/>
  <c r="F1249" i="2"/>
  <c r="F717" i="2"/>
  <c r="F1118" i="2"/>
  <c r="F498" i="2"/>
  <c r="F516" i="2"/>
  <c r="F695" i="2"/>
  <c r="F252" i="2"/>
  <c r="F1421" i="2"/>
  <c r="F952" i="2"/>
  <c r="F1224" i="2"/>
  <c r="F755" i="2"/>
  <c r="F472" i="2"/>
  <c r="F1164" i="2"/>
  <c r="F1199" i="2"/>
  <c r="F1440" i="2"/>
  <c r="F1079" i="2"/>
  <c r="F1354" i="2"/>
  <c r="F497" i="2"/>
  <c r="F1000" i="2"/>
  <c r="F1209" i="2"/>
  <c r="F1271" i="2"/>
  <c r="F513" i="2"/>
  <c r="F5" i="2"/>
  <c r="F961" i="2"/>
  <c r="F1233" i="2"/>
  <c r="F449" i="2"/>
  <c r="F1170" i="2"/>
  <c r="F744" i="2"/>
  <c r="F758" i="2"/>
  <c r="F1071" i="2"/>
  <c r="F553" i="2"/>
  <c r="F366" i="2"/>
  <c r="F1289" i="2"/>
  <c r="F545" i="2"/>
  <c r="F1057" i="2"/>
  <c r="F470" i="2"/>
  <c r="F1109" i="2"/>
  <c r="F1347" i="2"/>
  <c r="F664" i="2"/>
  <c r="F1176" i="2"/>
  <c r="F134" i="2"/>
  <c r="F336" i="2"/>
  <c r="F902" i="2"/>
  <c r="F1020" i="2"/>
  <c r="F1360" i="2"/>
  <c r="F1263" i="2"/>
  <c r="F1300" i="2"/>
  <c r="F461" i="2"/>
  <c r="F111" i="2"/>
  <c r="F1420" i="2"/>
  <c r="F614" i="2"/>
  <c r="F662" i="2"/>
  <c r="F823" i="2"/>
  <c r="F13" i="2"/>
  <c r="F825" i="2"/>
  <c r="F1448" i="2"/>
  <c r="F490" i="2"/>
  <c r="F1424" i="2"/>
  <c r="F416" i="2"/>
  <c r="F1345" i="2"/>
  <c r="F1030" i="2"/>
  <c r="F600" i="2"/>
  <c r="F1198" i="2"/>
  <c r="F484" i="2"/>
  <c r="F1467" i="2"/>
  <c r="F538" i="2"/>
  <c r="F610" i="2"/>
  <c r="F807" i="2"/>
  <c r="F716" i="2"/>
  <c r="F828" i="2"/>
  <c r="F1320" i="2"/>
  <c r="F1272" i="2"/>
  <c r="F1069" i="2"/>
  <c r="F1290" i="2"/>
  <c r="F1333" i="2"/>
  <c r="F1367" i="2"/>
  <c r="F1005" i="2"/>
  <c r="F1132" i="2"/>
  <c r="F367" i="2"/>
  <c r="F1405" i="2"/>
  <c r="F1439" i="2"/>
  <c r="F790" i="2"/>
  <c r="F251" i="2"/>
  <c r="F1219" i="2"/>
  <c r="F499" i="2"/>
  <c r="F1429" i="2"/>
  <c r="F1091" i="2"/>
  <c r="F1284" i="2"/>
  <c r="F773" i="2"/>
  <c r="F401" i="2"/>
  <c r="F1463" i="2"/>
  <c r="F320" i="2"/>
  <c r="F1305" i="2"/>
  <c r="F907" i="2"/>
  <c r="F493" i="2"/>
  <c r="F565" i="2"/>
  <c r="F1474" i="2"/>
  <c r="F417" i="2"/>
  <c r="F201" i="2"/>
  <c r="F892" i="2"/>
  <c r="F951" i="2"/>
  <c r="F1077" i="2"/>
  <c r="F1193" i="2"/>
  <c r="F1470" i="2"/>
  <c r="F1108" i="2"/>
  <c r="F168" i="2"/>
  <c r="F205" i="2"/>
  <c r="F234" i="2"/>
  <c r="F901" i="2"/>
  <c r="F847" i="2"/>
  <c r="F1208" i="2"/>
  <c r="F430" i="2"/>
  <c r="F40" i="2"/>
  <c r="F386" i="2"/>
  <c r="F404" i="2"/>
  <c r="F583" i="2"/>
  <c r="F1387" i="2"/>
  <c r="F458" i="2"/>
  <c r="F476" i="2"/>
  <c r="F655" i="2"/>
  <c r="F987" i="2"/>
  <c r="F151" i="2"/>
  <c r="F909" i="2"/>
  <c r="F26" i="2"/>
  <c r="F44" i="2"/>
  <c r="F223" i="2"/>
  <c r="F98" i="2"/>
  <c r="F116" i="2"/>
  <c r="F295" i="2"/>
  <c r="F1099" i="2"/>
  <c r="F186" i="2"/>
  <c r="F204" i="2"/>
  <c r="F383" i="2"/>
  <c r="F1187" i="2"/>
  <c r="F810" i="2"/>
  <c r="F822" i="2"/>
  <c r="F1087" i="2"/>
  <c r="F792" i="2"/>
  <c r="F324" i="2"/>
  <c r="F632" i="2"/>
  <c r="F22" i="2"/>
  <c r="F462" i="2"/>
  <c r="F303" i="2"/>
  <c r="F1462" i="2"/>
  <c r="F1374" i="2"/>
  <c r="F1048" i="2"/>
  <c r="F141" i="2"/>
  <c r="F873" i="2"/>
  <c r="F1299" i="2"/>
  <c r="F1228" i="2"/>
  <c r="F1205" i="2"/>
  <c r="F249" i="2"/>
  <c r="F318" i="2"/>
  <c r="F1239" i="2"/>
  <c r="F1169" i="2"/>
  <c r="F1113" i="2"/>
  <c r="F1217" i="2"/>
  <c r="F178" i="2"/>
  <c r="F964" i="2"/>
  <c r="F1331" i="2"/>
  <c r="F1206" i="2"/>
  <c r="F691" i="2"/>
  <c r="F709" i="2"/>
  <c r="F1130" i="2"/>
  <c r="F1435" i="2"/>
  <c r="F1476" i="2"/>
  <c r="F1277" i="2"/>
  <c r="F441" i="2"/>
  <c r="F510" i="2"/>
  <c r="F1311" i="2"/>
  <c r="F1457" i="2"/>
  <c r="F174" i="2"/>
  <c r="F152" i="2"/>
  <c r="F375" i="2"/>
  <c r="F1029" i="2"/>
  <c r="F754" i="2"/>
  <c r="F772" i="2"/>
  <c r="F879" i="2"/>
  <c r="F431" i="2"/>
  <c r="F144" i="2"/>
  <c r="F46" i="2"/>
  <c r="F1101" i="2"/>
  <c r="F1376" i="2"/>
  <c r="F1383" i="2"/>
  <c r="F382" i="2"/>
  <c r="F175" i="2"/>
  <c r="F1120" i="2"/>
  <c r="F1190" i="2"/>
  <c r="F622" i="2"/>
  <c r="F702" i="2"/>
  <c r="F1341" i="2"/>
  <c r="F1375" i="2"/>
  <c r="F1200" i="2"/>
  <c r="F1285" i="2"/>
  <c r="F198" i="2"/>
  <c r="F1432" i="2"/>
  <c r="F1173" i="2"/>
  <c r="F934" i="2"/>
  <c r="F1001" i="2"/>
  <c r="F206" i="2"/>
  <c r="F1241" i="2"/>
  <c r="F656" i="2"/>
  <c r="F1037" i="2"/>
  <c r="F1107" i="2"/>
  <c r="F663" i="2"/>
  <c r="F556" i="2"/>
  <c r="F628" i="2"/>
  <c r="F698" i="2"/>
  <c r="F1430" i="2"/>
  <c r="F342" i="2"/>
  <c r="F1445" i="2"/>
  <c r="F1258" i="2"/>
  <c r="F425" i="2"/>
  <c r="F1412" i="2"/>
  <c r="F592" i="2"/>
  <c r="F576" i="2"/>
  <c r="F946" i="2"/>
  <c r="F170" i="2"/>
  <c r="F1446" i="2"/>
  <c r="F398" i="2"/>
  <c r="F849" i="2"/>
  <c r="F1088" i="2"/>
  <c r="F1126" i="2"/>
  <c r="F646" i="2"/>
  <c r="F494" i="2"/>
  <c r="F1168" i="2"/>
  <c r="F1006" i="2"/>
  <c r="F1400" i="2"/>
  <c r="F129" i="2"/>
  <c r="F1273" i="2"/>
  <c r="F243" i="2"/>
  <c r="F1455" i="2"/>
  <c r="F1078" i="2"/>
  <c r="F712" i="2"/>
  <c r="F1330" i="2"/>
  <c r="F1402" i="2"/>
  <c r="F637" i="2"/>
  <c r="F177" i="2"/>
  <c r="F306" i="2"/>
  <c r="F1302" i="2"/>
  <c r="F1043" i="2"/>
  <c r="F1406" i="2"/>
  <c r="F110" i="2"/>
  <c r="F121" i="2"/>
  <c r="F1149" i="2"/>
  <c r="F408" i="2"/>
  <c r="F260" i="2"/>
  <c r="F1152" i="2"/>
  <c r="F1301" i="2"/>
  <c r="F832" i="2"/>
  <c r="F302" i="2"/>
  <c r="F1337" i="2"/>
  <c r="F834" i="2"/>
  <c r="F852" i="2"/>
  <c r="F176" i="2"/>
  <c r="F352" i="2"/>
  <c r="F906" i="2"/>
  <c r="F924" i="2"/>
  <c r="F402" i="2"/>
  <c r="F420" i="2"/>
  <c r="F599" i="2"/>
  <c r="F1403" i="2"/>
  <c r="F474" i="2"/>
  <c r="F492" i="2"/>
  <c r="F671" i="2"/>
  <c r="F546" i="2"/>
  <c r="F564" i="2"/>
  <c r="F743" i="2"/>
  <c r="F1396" i="2"/>
  <c r="F634" i="2"/>
  <c r="F652" i="2"/>
  <c r="F831" i="2"/>
  <c r="F1182" i="2"/>
  <c r="F572" i="2"/>
  <c r="F896" i="2"/>
  <c r="F169" i="2"/>
  <c r="F534" i="2"/>
  <c r="F247" i="2"/>
  <c r="F1381" i="2"/>
  <c r="F1016" i="2"/>
  <c r="F1191" i="2"/>
  <c r="F943" i="2"/>
  <c r="F334" i="2"/>
  <c r="F638" i="2"/>
  <c r="F992" i="2"/>
  <c r="F397" i="2"/>
  <c r="F1106" i="2"/>
  <c r="F1427" i="2"/>
  <c r="F1460" i="2"/>
  <c r="F1269" i="2"/>
  <c r="F422" i="2"/>
  <c r="F488" i="2"/>
  <c r="F1303" i="2"/>
  <c r="F1425" i="2"/>
  <c r="F1321" i="2"/>
  <c r="F1473" i="2"/>
  <c r="F690" i="2"/>
  <c r="F374" i="2"/>
  <c r="F947" i="2"/>
  <c r="F1298" i="2"/>
  <c r="F56" i="2"/>
  <c r="F680" i="2"/>
  <c r="F598" i="2"/>
  <c r="F1010" i="2"/>
  <c r="F49" i="2"/>
  <c r="F721" i="2"/>
  <c r="F150" i="2"/>
  <c r="F1135" i="2"/>
  <c r="F768" i="2"/>
  <c r="F561" i="2"/>
  <c r="F870" i="2"/>
  <c r="F1447" i="2"/>
  <c r="F466" i="2"/>
  <c r="F735" i="2"/>
  <c r="F1110" i="2"/>
  <c r="F895" i="2"/>
  <c r="F1053" i="2"/>
  <c r="F503" i="2"/>
  <c r="F106" i="2"/>
  <c r="F808" i="2"/>
  <c r="F55" i="2"/>
  <c r="F33" i="2"/>
  <c r="F657" i="2"/>
  <c r="F512" i="2"/>
  <c r="F119" i="2"/>
  <c r="F188" i="2"/>
  <c r="F1398" i="2"/>
  <c r="F784" i="2"/>
  <c r="F1112" i="2"/>
  <c r="F537" i="2"/>
  <c r="F269" i="2"/>
  <c r="F209" i="2"/>
  <c r="F508" i="2"/>
  <c r="F1256" i="2"/>
  <c r="F1207" i="2"/>
  <c r="F678" i="2"/>
  <c r="F957" i="2"/>
  <c r="F1293" i="2"/>
  <c r="F1454" i="2"/>
  <c r="F1264" i="2"/>
  <c r="F928" i="2"/>
  <c r="F143" i="2"/>
  <c r="F1150" i="2"/>
  <c r="F619" i="2"/>
  <c r="F725" i="2"/>
  <c r="F950" i="2"/>
  <c r="F1352" i="2"/>
  <c r="F379" i="2"/>
  <c r="F1326" i="2"/>
  <c r="F1385" i="2"/>
  <c r="F473" i="2"/>
  <c r="F102" i="2"/>
  <c r="F981" i="2"/>
  <c r="F439" i="2"/>
  <c r="F1097" i="2"/>
  <c r="F681" i="2"/>
  <c r="F313" i="2"/>
  <c r="F297" i="2"/>
  <c r="F552" i="2"/>
  <c r="F898" i="2"/>
  <c r="F916" i="2"/>
  <c r="F345" i="2"/>
  <c r="F521" i="2"/>
  <c r="F970" i="2"/>
  <c r="F988" i="2"/>
  <c r="F1363" i="2"/>
  <c r="F707" i="2"/>
  <c r="F197" i="2"/>
  <c r="F242" i="2"/>
  <c r="F118" i="2"/>
  <c r="F505" i="2"/>
  <c r="F1475" i="2"/>
  <c r="F331" i="2"/>
  <c r="F349" i="2"/>
  <c r="F1186" i="2"/>
  <c r="F1252" i="2"/>
  <c r="F403" i="2"/>
  <c r="F421" i="2"/>
  <c r="F914" i="2"/>
  <c r="F932" i="2"/>
  <c r="F390" i="2"/>
  <c r="F566" i="2"/>
  <c r="F986" i="2"/>
  <c r="F1004" i="2"/>
  <c r="F582" i="2"/>
  <c r="F43" i="2"/>
  <c r="F61" i="2"/>
  <c r="F774" i="2"/>
  <c r="F926" i="2"/>
  <c r="F131" i="2"/>
  <c r="F149" i="2"/>
  <c r="F968" i="2"/>
  <c r="F1052" i="2"/>
  <c r="F719" i="2"/>
  <c r="F989" i="2"/>
  <c r="F750" i="2"/>
  <c r="F32" i="2"/>
  <c r="F1418" i="2"/>
  <c r="F720" i="2"/>
  <c r="F1136" i="2"/>
  <c r="F874" i="2"/>
  <c r="F1426" i="2"/>
  <c r="F1325" i="2"/>
  <c r="F1103" i="2"/>
  <c r="F1024" i="2"/>
  <c r="F311" i="2"/>
  <c r="F1450" i="2"/>
  <c r="F1366" i="2"/>
  <c r="F376" i="2"/>
  <c r="F1397" i="2"/>
  <c r="F761" i="2"/>
  <c r="F830" i="2"/>
  <c r="F1431" i="2"/>
  <c r="F1080" i="2"/>
  <c r="F1056" i="2"/>
  <c r="F704" i="2"/>
  <c r="F187" i="2"/>
  <c r="F631" i="2"/>
  <c r="F801" i="2"/>
  <c r="F426" i="2"/>
  <c r="F444" i="2"/>
  <c r="F623" i="2"/>
  <c r="F392" i="2"/>
  <c r="F310" i="2"/>
  <c r="F737" i="2"/>
  <c r="F1469" i="2"/>
  <c r="F945" i="2"/>
  <c r="F976" i="2"/>
  <c r="F86" i="2"/>
  <c r="F1368" i="2"/>
  <c r="F1344" i="2"/>
  <c r="F1160" i="2"/>
  <c r="F1322" i="2"/>
  <c r="F806" i="2"/>
  <c r="F507" i="2"/>
  <c r="F525" i="2"/>
  <c r="F1034" i="2"/>
  <c r="F73" i="2"/>
  <c r="F885" i="2"/>
  <c r="F1296" i="2"/>
  <c r="F1262" i="2"/>
  <c r="F1184" i="2"/>
  <c r="F687" i="2"/>
  <c r="F166" i="2"/>
  <c r="F745" i="2"/>
  <c r="F1089" i="2"/>
  <c r="F1357" i="2"/>
  <c r="F1192" i="2"/>
  <c r="F846" i="2"/>
  <c r="F1391" i="2"/>
  <c r="F536" i="2"/>
  <c r="F161" i="2"/>
  <c r="F105" i="2"/>
  <c r="F457" i="2"/>
  <c r="F1015" i="2"/>
  <c r="F854" i="2"/>
  <c r="F1045" i="2"/>
  <c r="F886" i="2"/>
  <c r="F261" i="2"/>
  <c r="F1166" i="2"/>
  <c r="F1265" i="2"/>
  <c r="F1401" i="2"/>
  <c r="F1327" i="2"/>
  <c r="F661" i="2"/>
  <c r="F124" i="2"/>
  <c r="F1286" i="2"/>
  <c r="F783" i="2"/>
  <c r="F630" i="2"/>
  <c r="F1142" i="2"/>
  <c r="F233" i="2"/>
  <c r="F1384" i="2"/>
  <c r="F953" i="2"/>
  <c r="F956" i="2"/>
  <c r="F1051" i="2"/>
  <c r="F1350" i="2"/>
  <c r="F1119" i="2"/>
  <c r="F280" i="2"/>
  <c r="F504" i="2"/>
  <c r="F1297" i="2"/>
  <c r="F232" i="2"/>
  <c r="F517" i="2"/>
  <c r="F897" i="2"/>
  <c r="F800" i="2"/>
  <c r="F872" i="2"/>
  <c r="F1281" i="2"/>
  <c r="F925" i="2"/>
  <c r="F979" i="2"/>
  <c r="F1310" i="2"/>
  <c r="F384" i="2"/>
  <c r="F406" i="2"/>
  <c r="F179" i="2"/>
  <c r="F888" i="2"/>
  <c r="F128" i="2"/>
  <c r="F1002" i="2"/>
  <c r="F395" i="2"/>
  <c r="F413" i="2"/>
  <c r="F1250" i="2"/>
  <c r="F1372" i="2"/>
  <c r="F467" i="2"/>
  <c r="F485" i="2"/>
  <c r="F978" i="2"/>
  <c r="F996" i="2"/>
  <c r="F560" i="2"/>
  <c r="F736" i="2"/>
  <c r="F35" i="2"/>
  <c r="F53" i="2"/>
  <c r="F752" i="2"/>
  <c r="F107" i="2"/>
  <c r="F125" i="2"/>
  <c r="F921" i="2"/>
  <c r="F1028" i="2"/>
  <c r="F195" i="2"/>
  <c r="F213" i="2"/>
  <c r="F1050" i="2"/>
  <c r="F1116" i="2"/>
  <c r="F887" i="2"/>
  <c r="F1222" i="2"/>
  <c r="F1369" i="2"/>
  <c r="F120" i="2"/>
  <c r="F222" i="2"/>
  <c r="F881" i="2"/>
  <c r="F1153" i="2"/>
  <c r="F883" i="2"/>
  <c r="F1027" i="2"/>
  <c r="F1389" i="2"/>
  <c r="F1359" i="2"/>
  <c r="F114" i="2"/>
  <c r="F567" i="2"/>
  <c r="F328" i="2"/>
  <c r="F288" i="2"/>
  <c r="F718" i="2"/>
  <c r="F1461" i="2"/>
  <c r="F929" i="2"/>
  <c r="F965" i="2"/>
  <c r="F64" i="2"/>
  <c r="F1336" i="2"/>
  <c r="F1312" i="2"/>
  <c r="F1128" i="2"/>
  <c r="F443" i="2"/>
  <c r="F112" i="2"/>
  <c r="F1221" i="2"/>
  <c r="F682" i="2"/>
  <c r="F700" i="2"/>
  <c r="F815" i="2"/>
  <c r="F840" i="2"/>
  <c r="F649" i="2"/>
  <c r="F1013" i="2"/>
  <c r="F1094" i="2"/>
  <c r="F1174" i="2"/>
  <c r="F1055" i="2"/>
  <c r="F256" i="2"/>
  <c r="F1145" i="2"/>
  <c r="F1129" i="2"/>
  <c r="F344" i="2"/>
  <c r="F1075" i="2"/>
  <c r="F190" i="2"/>
  <c r="F763" i="2"/>
  <c r="F781" i="2"/>
  <c r="F1194" i="2"/>
  <c r="F1148" i="2"/>
  <c r="F1143" i="2"/>
  <c r="F1408" i="2"/>
  <c r="F574" i="2"/>
  <c r="F1011" i="2"/>
  <c r="F136" i="2"/>
  <c r="F848" i="2"/>
  <c r="F1464" i="2"/>
  <c r="F1313" i="2"/>
  <c r="F1127" i="2"/>
  <c r="F746" i="2"/>
  <c r="F1229" i="2"/>
  <c r="F278" i="2"/>
  <c r="F993" i="2"/>
  <c r="F1414" i="2"/>
  <c r="F1104" i="2"/>
  <c r="F1316" i="2"/>
  <c r="F1255" i="2"/>
  <c r="F1449" i="2"/>
  <c r="F1278" i="2"/>
  <c r="F1072" i="2"/>
  <c r="F624" i="2"/>
  <c r="F486" i="2"/>
  <c r="F1144" i="2"/>
  <c r="F809" i="2"/>
  <c r="F1040" i="2"/>
  <c r="F843" i="2"/>
  <c r="F7" i="2"/>
  <c r="F542" i="2"/>
  <c r="F782" i="2"/>
  <c r="F915" i="2"/>
  <c r="F79" i="2"/>
  <c r="F411" i="2"/>
  <c r="F429" i="2"/>
  <c r="F1266" i="2"/>
  <c r="F1404" i="2"/>
  <c r="F483" i="2"/>
  <c r="F501" i="2"/>
  <c r="F1338" i="2"/>
  <c r="F555" i="2"/>
  <c r="F573" i="2"/>
  <c r="F1410" i="2"/>
  <c r="F14" i="2"/>
  <c r="F643" i="2"/>
  <c r="F8" i="2"/>
  <c r="F248" i="2"/>
  <c r="F648" i="2"/>
  <c r="F1054" i="2"/>
  <c r="F1472" i="2"/>
  <c r="F50" i="2"/>
  <c r="F1246" i="2"/>
  <c r="F785" i="2"/>
  <c r="F617" i="2"/>
  <c r="F1380" i="2"/>
  <c r="F1423" i="2"/>
  <c r="F123" i="2"/>
  <c r="F817" i="2"/>
  <c r="F999" i="2"/>
  <c r="F1062" i="2"/>
  <c r="F1047" i="2"/>
  <c r="F1081" i="2"/>
  <c r="F936" i="2"/>
  <c r="F699" i="2"/>
  <c r="F1477" i="2"/>
  <c r="F938" i="2"/>
  <c r="F25" i="2"/>
  <c r="F958" i="2"/>
  <c r="F1085" i="2"/>
  <c r="F1438" i="2"/>
  <c r="F24" i="2"/>
  <c r="F1353" i="2"/>
  <c r="F434" i="2"/>
  <c r="F1459" i="2"/>
  <c r="F1063" i="2"/>
  <c r="F4" i="2"/>
  <c r="F183" i="2"/>
  <c r="F1362" i="2"/>
  <c r="F1335" i="2"/>
  <c r="F1025" i="2"/>
  <c r="F1036" i="2"/>
  <c r="F1235" i="2"/>
  <c r="F577" i="2"/>
  <c r="F726" i="2"/>
  <c r="F764" i="2"/>
  <c r="F1041" i="2"/>
  <c r="F1319" i="2"/>
  <c r="F880" i="2"/>
  <c r="F1399" i="2"/>
  <c r="F193" i="2"/>
  <c r="F1134" i="2"/>
  <c r="F1238" i="2"/>
  <c r="F71" i="2"/>
  <c r="F475" i="2"/>
  <c r="F547" i="2"/>
  <c r="F184" i="2"/>
  <c r="F969" i="2"/>
  <c r="F933" i="2"/>
  <c r="F569" i="2"/>
  <c r="F942" i="2"/>
  <c r="F1111" i="2"/>
  <c r="F955" i="2"/>
  <c r="F1179" i="2"/>
  <c r="F1183" i="2"/>
  <c r="F713" i="2"/>
  <c r="F1165" i="2"/>
  <c r="F62" i="2"/>
  <c r="F991" i="2"/>
  <c r="F1237" i="2"/>
  <c r="F1365" i="2"/>
  <c r="B26" i="5" l="1"/>
  <c r="C26" i="5" s="1"/>
  <c r="B25" i="5"/>
  <c r="C25" i="5" s="1"/>
  <c r="B15" i="5"/>
  <c r="G1365" i="2"/>
  <c r="G1237" i="2"/>
  <c r="G991" i="2"/>
  <c r="G62" i="2"/>
  <c r="G1165" i="2"/>
  <c r="G713" i="2"/>
  <c r="G1183" i="2"/>
  <c r="G1179" i="2"/>
  <c r="G955" i="2"/>
  <c r="G1111" i="2"/>
  <c r="G942" i="2"/>
  <c r="G569" i="2"/>
  <c r="G933" i="2"/>
  <c r="G969" i="2"/>
  <c r="G184" i="2"/>
  <c r="G547" i="2"/>
  <c r="G475" i="2"/>
  <c r="G71" i="2"/>
  <c r="G1238" i="2"/>
  <c r="G1134" i="2"/>
  <c r="G193" i="2"/>
  <c r="G1399" i="2"/>
  <c r="G880" i="2"/>
  <c r="G1319" i="2"/>
  <c r="G1041" i="2"/>
  <c r="G764" i="2"/>
  <c r="G726" i="2"/>
  <c r="G577" i="2"/>
  <c r="G1235" i="2"/>
  <c r="G1036" i="2"/>
  <c r="G1025" i="2"/>
  <c r="G1335" i="2"/>
  <c r="G1362" i="2"/>
  <c r="G183" i="2"/>
  <c r="G4" i="2"/>
  <c r="G1063" i="2"/>
  <c r="G1459" i="2"/>
  <c r="G434" i="2"/>
  <c r="G1353" i="2"/>
  <c r="G24" i="2"/>
  <c r="G1438" i="2"/>
  <c r="G1085" i="2"/>
  <c r="G958" i="2"/>
  <c r="G25" i="2"/>
  <c r="G938" i="2"/>
  <c r="G1477" i="2"/>
  <c r="G699" i="2"/>
  <c r="G936" i="2"/>
  <c r="G1081" i="2"/>
  <c r="G1047" i="2"/>
  <c r="G1062" i="2"/>
  <c r="G999" i="2"/>
  <c r="G817" i="2"/>
  <c r="G123" i="2"/>
  <c r="G1423" i="2"/>
  <c r="G1380" i="2"/>
  <c r="G617" i="2"/>
  <c r="G785" i="2"/>
  <c r="G1246" i="2"/>
  <c r="G50" i="2"/>
  <c r="G1472" i="2"/>
  <c r="G1054" i="2"/>
  <c r="G648" i="2"/>
  <c r="G248" i="2"/>
  <c r="G8" i="2"/>
  <c r="G643" i="2"/>
  <c r="G14" i="2"/>
  <c r="G1410" i="2"/>
  <c r="G573" i="2"/>
  <c r="G555" i="2"/>
  <c r="G1338" i="2"/>
  <c r="G501" i="2"/>
  <c r="G483" i="2"/>
  <c r="G1404" i="2"/>
  <c r="G1266" i="2"/>
  <c r="G429" i="2"/>
  <c r="G411" i="2"/>
  <c r="G79" i="2"/>
  <c r="G915" i="2"/>
  <c r="G782" i="2"/>
  <c r="G542" i="2"/>
  <c r="G7" i="2"/>
  <c r="G843" i="2"/>
  <c r="G1040" i="2"/>
  <c r="G809" i="2"/>
  <c r="G1144" i="2"/>
  <c r="G486" i="2"/>
  <c r="G624" i="2"/>
  <c r="G1072" i="2"/>
  <c r="G1278" i="2"/>
  <c r="G1449" i="2"/>
  <c r="G1255" i="2"/>
  <c r="G1316" i="2"/>
  <c r="G1104" i="2"/>
  <c r="G1414" i="2"/>
  <c r="G993" i="2"/>
  <c r="G278" i="2"/>
  <c r="G1229" i="2"/>
  <c r="G746" i="2"/>
  <c r="G1127" i="2"/>
  <c r="G1313" i="2"/>
  <c r="G1464" i="2"/>
  <c r="G848" i="2"/>
  <c r="G136" i="2"/>
  <c r="G1011" i="2"/>
  <c r="G574" i="2"/>
  <c r="G1408" i="2"/>
  <c r="G1143" i="2"/>
  <c r="G1148" i="2"/>
  <c r="G1194" i="2"/>
  <c r="G781" i="2"/>
  <c r="G763" i="2"/>
  <c r="G190" i="2"/>
  <c r="G1075" i="2"/>
  <c r="G344" i="2"/>
  <c r="G1129" i="2"/>
  <c r="G1145" i="2"/>
  <c r="G256" i="2"/>
  <c r="G1055" i="2"/>
  <c r="G1174" i="2"/>
  <c r="G1094" i="2"/>
  <c r="G1013" i="2"/>
  <c r="G649" i="2"/>
  <c r="G840" i="2"/>
  <c r="G815" i="2"/>
  <c r="G700" i="2"/>
  <c r="G682" i="2"/>
  <c r="G1221" i="2"/>
  <c r="G112" i="2"/>
  <c r="G443" i="2"/>
  <c r="G1128" i="2"/>
  <c r="G1312" i="2"/>
  <c r="G1336" i="2"/>
  <c r="G64" i="2"/>
  <c r="G965" i="2"/>
  <c r="G929" i="2"/>
  <c r="G1461" i="2"/>
  <c r="G718" i="2"/>
  <c r="G288" i="2"/>
  <c r="G328" i="2"/>
  <c r="G567" i="2"/>
  <c r="G114" i="2"/>
  <c r="G1359" i="2"/>
  <c r="G1389" i="2"/>
  <c r="G1027" i="2"/>
  <c r="G883" i="2"/>
  <c r="G1153" i="2"/>
  <c r="G881" i="2"/>
  <c r="G222" i="2"/>
  <c r="G120" i="2"/>
  <c r="G1369" i="2"/>
  <c r="G1222" i="2"/>
  <c r="G887" i="2"/>
  <c r="G1116" i="2"/>
  <c r="G1050" i="2"/>
  <c r="G213" i="2"/>
  <c r="G195" i="2"/>
  <c r="G1028" i="2"/>
  <c r="G921" i="2"/>
  <c r="G125" i="2"/>
  <c r="G107" i="2"/>
  <c r="G752" i="2"/>
  <c r="G53" i="2"/>
  <c r="G35" i="2"/>
  <c r="G736" i="2"/>
  <c r="G560" i="2"/>
  <c r="G996" i="2"/>
  <c r="G978" i="2"/>
  <c r="G485" i="2"/>
  <c r="G467" i="2"/>
  <c r="G1372" i="2"/>
  <c r="G1250" i="2"/>
  <c r="G413" i="2"/>
  <c r="G395" i="2"/>
  <c r="G1002" i="2"/>
  <c r="G128" i="2"/>
  <c r="G888" i="2"/>
  <c r="G179" i="2"/>
  <c r="G406" i="2"/>
  <c r="G384" i="2"/>
  <c r="G1310" i="2"/>
  <c r="G979" i="2"/>
  <c r="G925" i="2"/>
  <c r="G1281" i="2"/>
  <c r="G872" i="2"/>
  <c r="G800" i="2"/>
  <c r="G897" i="2"/>
  <c r="G517" i="2"/>
  <c r="G232" i="2"/>
  <c r="G1297" i="2"/>
  <c r="G504" i="2"/>
  <c r="G280" i="2"/>
  <c r="G1119" i="2"/>
  <c r="G1350" i="2"/>
  <c r="G1051" i="2"/>
  <c r="G956" i="2"/>
  <c r="G953" i="2"/>
  <c r="G1384" i="2"/>
  <c r="G233" i="2"/>
  <c r="G1142" i="2"/>
  <c r="G630" i="2"/>
  <c r="G783" i="2"/>
  <c r="G1286" i="2"/>
  <c r="G124" i="2"/>
  <c r="G661" i="2"/>
  <c r="G1327" i="2"/>
  <c r="G1401" i="2"/>
  <c r="G1265" i="2"/>
  <c r="G1166" i="2"/>
  <c r="G261" i="2"/>
  <c r="G886" i="2"/>
  <c r="G1045" i="2"/>
  <c r="G854" i="2"/>
  <c r="G1015" i="2"/>
  <c r="G457" i="2"/>
  <c r="G105" i="2"/>
  <c r="G161" i="2"/>
  <c r="G536" i="2"/>
  <c r="G1391" i="2"/>
  <c r="G846" i="2"/>
  <c r="G1192" i="2"/>
  <c r="G1357" i="2"/>
  <c r="G1089" i="2"/>
  <c r="G745" i="2"/>
  <c r="G166" i="2"/>
  <c r="G687" i="2"/>
  <c r="G1184" i="2"/>
  <c r="G1262" i="2"/>
  <c r="G1296" i="2"/>
  <c r="G885" i="2"/>
  <c r="G73" i="2"/>
  <c r="G1034" i="2"/>
  <c r="G525" i="2"/>
  <c r="G507" i="2"/>
  <c r="G806" i="2"/>
  <c r="G1322" i="2"/>
  <c r="G1160" i="2"/>
  <c r="G1344" i="2"/>
  <c r="G1368" i="2"/>
  <c r="G86" i="2"/>
  <c r="G976" i="2"/>
  <c r="G945" i="2"/>
  <c r="G1469" i="2"/>
  <c r="G737" i="2"/>
  <c r="G310" i="2"/>
  <c r="G392" i="2"/>
  <c r="G623" i="2"/>
  <c r="G444" i="2"/>
  <c r="G426" i="2"/>
  <c r="G801" i="2"/>
  <c r="G631" i="2"/>
  <c r="G187" i="2"/>
  <c r="G704" i="2"/>
  <c r="G1056" i="2"/>
  <c r="G1080" i="2"/>
  <c r="G1431" i="2"/>
  <c r="G830" i="2"/>
  <c r="G761" i="2"/>
  <c r="G1397" i="2"/>
  <c r="G376" i="2"/>
  <c r="G1366" i="2"/>
  <c r="G1450" i="2"/>
  <c r="G311" i="2"/>
  <c r="G1024" i="2"/>
  <c r="G1103" i="2"/>
  <c r="G1325" i="2"/>
  <c r="G1426" i="2"/>
  <c r="G874" i="2"/>
  <c r="G1136" i="2"/>
  <c r="G720" i="2"/>
  <c r="G1418" i="2"/>
  <c r="G32" i="2"/>
  <c r="G750" i="2"/>
  <c r="G989" i="2"/>
  <c r="G719" i="2"/>
  <c r="G1052" i="2"/>
  <c r="G968" i="2"/>
  <c r="G149" i="2"/>
  <c r="G131" i="2"/>
  <c r="G926" i="2"/>
  <c r="G774" i="2"/>
  <c r="G61" i="2"/>
  <c r="G43" i="2"/>
  <c r="G582" i="2"/>
  <c r="G1004" i="2"/>
  <c r="G986" i="2"/>
  <c r="G566" i="2"/>
  <c r="G390" i="2"/>
  <c r="G932" i="2"/>
  <c r="G914" i="2"/>
  <c r="G421" i="2"/>
  <c r="G403" i="2"/>
  <c r="G1252" i="2"/>
  <c r="G1186" i="2"/>
  <c r="G349" i="2"/>
  <c r="G331" i="2"/>
  <c r="G1475" i="2"/>
  <c r="G505" i="2"/>
  <c r="G118" i="2"/>
  <c r="G242" i="2"/>
  <c r="G197" i="2"/>
  <c r="G707" i="2"/>
  <c r="G1363" i="2"/>
  <c r="G988" i="2"/>
  <c r="G970" i="2"/>
  <c r="G521" i="2"/>
  <c r="G345" i="2"/>
  <c r="G916" i="2"/>
  <c r="G898" i="2"/>
  <c r="G552" i="2"/>
  <c r="G297" i="2"/>
  <c r="G313" i="2"/>
  <c r="G681" i="2"/>
  <c r="G1097" i="2"/>
  <c r="G439" i="2"/>
  <c r="G981" i="2"/>
  <c r="G102" i="2"/>
  <c r="G473" i="2"/>
  <c r="G1385" i="2"/>
  <c r="G1326" i="2"/>
  <c r="G379" i="2"/>
  <c r="G1352" i="2"/>
  <c r="G950" i="2"/>
  <c r="G725" i="2"/>
  <c r="G619" i="2"/>
  <c r="G1150" i="2"/>
  <c r="G143" i="2"/>
  <c r="G928" i="2"/>
  <c r="G1264" i="2"/>
  <c r="G1454" i="2"/>
  <c r="G1293" i="2"/>
  <c r="G957" i="2"/>
  <c r="G678" i="2"/>
  <c r="G1207" i="2"/>
  <c r="G1256" i="2"/>
  <c r="G508" i="2"/>
  <c r="G209" i="2"/>
  <c r="G269" i="2"/>
  <c r="G537" i="2"/>
  <c r="G1112" i="2"/>
  <c r="G784" i="2"/>
  <c r="G1398" i="2"/>
  <c r="G188" i="2"/>
  <c r="G119" i="2"/>
  <c r="G512" i="2"/>
  <c r="G657" i="2"/>
  <c r="G33" i="2"/>
  <c r="G55" i="2"/>
  <c r="G808" i="2"/>
  <c r="G106" i="2"/>
  <c r="G503" i="2"/>
  <c r="G1053" i="2"/>
  <c r="G895" i="2"/>
  <c r="G1110" i="2"/>
  <c r="G735" i="2"/>
  <c r="G466" i="2"/>
  <c r="G1447" i="2"/>
  <c r="G870" i="2"/>
  <c r="G561" i="2"/>
  <c r="G768" i="2"/>
  <c r="G1135" i="2"/>
  <c r="G150" i="2"/>
  <c r="G721" i="2"/>
  <c r="G49" i="2"/>
  <c r="G1010" i="2"/>
  <c r="G598" i="2"/>
  <c r="G680" i="2"/>
  <c r="G56" i="2"/>
  <c r="G1298" i="2"/>
  <c r="G947" i="2"/>
  <c r="G374" i="2"/>
  <c r="G690" i="2"/>
  <c r="G1473" i="2"/>
  <c r="G1321" i="2"/>
  <c r="G1425" i="2"/>
  <c r="G1303" i="2"/>
  <c r="G488" i="2"/>
  <c r="G422" i="2"/>
  <c r="G1269" i="2"/>
  <c r="G1460" i="2"/>
  <c r="G1427" i="2"/>
  <c r="G1106" i="2"/>
  <c r="G397" i="2"/>
  <c r="G992" i="2"/>
  <c r="G638" i="2"/>
  <c r="G334" i="2"/>
  <c r="G943" i="2"/>
  <c r="G1191" i="2"/>
  <c r="G1016" i="2"/>
  <c r="G1381" i="2"/>
  <c r="G247" i="2"/>
  <c r="G534" i="2"/>
  <c r="G169" i="2"/>
  <c r="G896" i="2"/>
  <c r="G572" i="2"/>
  <c r="G1182" i="2"/>
  <c r="G831" i="2"/>
  <c r="G652" i="2"/>
  <c r="G634" i="2"/>
  <c r="G1396" i="2"/>
  <c r="G743" i="2"/>
  <c r="G564" i="2"/>
  <c r="G546" i="2"/>
  <c r="G671" i="2"/>
  <c r="G492" i="2"/>
  <c r="G474" i="2"/>
  <c r="G1403" i="2"/>
  <c r="G599" i="2"/>
  <c r="G420" i="2"/>
  <c r="G402" i="2"/>
  <c r="G924" i="2"/>
  <c r="G906" i="2"/>
  <c r="G352" i="2"/>
  <c r="G176" i="2"/>
  <c r="G852" i="2"/>
  <c r="G834" i="2"/>
  <c r="G1337" i="2"/>
  <c r="G302" i="2"/>
  <c r="G832" i="2"/>
  <c r="G1301" i="2"/>
  <c r="G1152" i="2"/>
  <c r="G260" i="2"/>
  <c r="G408" i="2"/>
  <c r="G1149" i="2"/>
  <c r="G121" i="2"/>
  <c r="G110" i="2"/>
  <c r="G1406" i="2"/>
  <c r="G1043" i="2"/>
  <c r="G1302" i="2"/>
  <c r="G306" i="2"/>
  <c r="G177" i="2"/>
  <c r="G637" i="2"/>
  <c r="G1402" i="2"/>
  <c r="G1330" i="2"/>
  <c r="G712" i="2"/>
  <c r="G1078" i="2"/>
  <c r="G1455" i="2"/>
  <c r="G243" i="2"/>
  <c r="G1273" i="2"/>
  <c r="G129" i="2"/>
  <c r="G1400" i="2"/>
  <c r="G1006" i="2"/>
  <c r="G1168" i="2"/>
  <c r="G494" i="2"/>
  <c r="G646" i="2"/>
  <c r="G1126" i="2"/>
  <c r="G1088" i="2"/>
  <c r="G849" i="2"/>
  <c r="G398" i="2"/>
  <c r="G1446" i="2"/>
  <c r="G170" i="2"/>
  <c r="G946" i="2"/>
  <c r="G576" i="2"/>
  <c r="G592" i="2"/>
  <c r="G1412" i="2"/>
  <c r="G425" i="2"/>
  <c r="G1258" i="2"/>
  <c r="G1445" i="2"/>
  <c r="G342" i="2"/>
  <c r="G1430" i="2"/>
  <c r="G698" i="2"/>
  <c r="G628" i="2"/>
  <c r="G556" i="2"/>
  <c r="G663" i="2"/>
  <c r="G1107" i="2"/>
  <c r="G1037" i="2"/>
  <c r="G656" i="2"/>
  <c r="G1241" i="2"/>
  <c r="G206" i="2"/>
  <c r="G1001" i="2"/>
  <c r="G934" i="2"/>
  <c r="G1173" i="2"/>
  <c r="G1432" i="2"/>
  <c r="G198" i="2"/>
  <c r="G1285" i="2"/>
  <c r="G1200" i="2"/>
  <c r="G1375" i="2"/>
  <c r="G1341" i="2"/>
  <c r="G702" i="2"/>
  <c r="G622" i="2"/>
  <c r="G1190" i="2"/>
  <c r="G1120" i="2"/>
  <c r="G175" i="2"/>
  <c r="G382" i="2"/>
  <c r="G1383" i="2"/>
  <c r="G1376" i="2"/>
  <c r="G1101" i="2"/>
  <c r="G46" i="2"/>
  <c r="G144" i="2"/>
  <c r="G431" i="2"/>
  <c r="G879" i="2"/>
  <c r="G772" i="2"/>
  <c r="G754" i="2"/>
  <c r="G1029" i="2"/>
  <c r="G375" i="2"/>
  <c r="G152" i="2"/>
  <c r="G174" i="2"/>
  <c r="G1457" i="2"/>
  <c r="G1311" i="2"/>
  <c r="G510" i="2"/>
  <c r="G441" i="2"/>
  <c r="G1277" i="2"/>
  <c r="G1476" i="2"/>
  <c r="G1435" i="2"/>
  <c r="G1130" i="2"/>
  <c r="G709" i="2"/>
  <c r="G691" i="2"/>
  <c r="G1206" i="2"/>
  <c r="G1331" i="2"/>
  <c r="G964" i="2"/>
  <c r="G178" i="2"/>
  <c r="G1217" i="2"/>
  <c r="G1113" i="2"/>
  <c r="G1169" i="2"/>
  <c r="G1239" i="2"/>
  <c r="G318" i="2"/>
  <c r="G249" i="2"/>
  <c r="G1205" i="2"/>
  <c r="G1228" i="2"/>
  <c r="G1299" i="2"/>
  <c r="G873" i="2"/>
  <c r="G141" i="2"/>
  <c r="G1048" i="2"/>
  <c r="G1374" i="2"/>
  <c r="G1462" i="2"/>
  <c r="G303" i="2"/>
  <c r="G462" i="2"/>
  <c r="G22" i="2"/>
  <c r="G632" i="2"/>
  <c r="G324" i="2"/>
  <c r="G792" i="2"/>
  <c r="G1087" i="2"/>
  <c r="G822" i="2"/>
  <c r="G810" i="2"/>
  <c r="G1187" i="2"/>
  <c r="G383" i="2"/>
  <c r="G204" i="2"/>
  <c r="G186" i="2"/>
  <c r="G1099" i="2"/>
  <c r="G295" i="2"/>
  <c r="G116" i="2"/>
  <c r="G98" i="2"/>
  <c r="G223" i="2"/>
  <c r="G44" i="2"/>
  <c r="G26" i="2"/>
  <c r="G909" i="2"/>
  <c r="G151" i="2"/>
  <c r="G987" i="2"/>
  <c r="G655" i="2"/>
  <c r="G476" i="2"/>
  <c r="G458" i="2"/>
  <c r="G1387" i="2"/>
  <c r="G583" i="2"/>
  <c r="G404" i="2"/>
  <c r="G386" i="2"/>
  <c r="G40" i="2"/>
  <c r="G430" i="2"/>
  <c r="G1208" i="2"/>
  <c r="G847" i="2"/>
  <c r="G901" i="2"/>
  <c r="G234" i="2"/>
  <c r="G205" i="2"/>
  <c r="G168" i="2"/>
  <c r="G1108" i="2"/>
  <c r="G1470" i="2"/>
  <c r="G1193" i="2"/>
  <c r="G1077" i="2"/>
  <c r="G951" i="2"/>
  <c r="G892" i="2"/>
  <c r="G201" i="2"/>
  <c r="G417" i="2"/>
  <c r="G1474" i="2"/>
  <c r="G565" i="2"/>
  <c r="G493" i="2"/>
  <c r="G907" i="2"/>
  <c r="G1305" i="2"/>
  <c r="G320" i="2"/>
  <c r="G1463" i="2"/>
  <c r="G401" i="2"/>
  <c r="G773" i="2"/>
  <c r="G1284" i="2"/>
  <c r="G1091" i="2"/>
  <c r="G1429" i="2"/>
  <c r="G499" i="2"/>
  <c r="G1219" i="2"/>
  <c r="G251" i="2"/>
  <c r="G790" i="2"/>
  <c r="G1439" i="2"/>
  <c r="G1405" i="2"/>
  <c r="G367" i="2"/>
  <c r="G1132" i="2"/>
  <c r="G1005" i="2"/>
  <c r="G1367" i="2"/>
  <c r="G1333" i="2"/>
  <c r="G1290" i="2"/>
  <c r="G1069" i="2"/>
  <c r="G1272" i="2"/>
  <c r="G1320" i="2"/>
  <c r="G828" i="2"/>
  <c r="G716" i="2"/>
  <c r="G807" i="2"/>
  <c r="G610" i="2"/>
  <c r="G538" i="2"/>
  <c r="G1467" i="2"/>
  <c r="G484" i="2"/>
  <c r="G1198" i="2"/>
  <c r="G600" i="2"/>
  <c r="G1030" i="2"/>
  <c r="G1345" i="2"/>
  <c r="G416" i="2"/>
  <c r="G1424" i="2"/>
  <c r="G490" i="2"/>
  <c r="G1448" i="2"/>
  <c r="G825" i="2"/>
  <c r="G13" i="2"/>
  <c r="G823" i="2"/>
  <c r="G662" i="2"/>
  <c r="G614" i="2"/>
  <c r="G1420" i="2"/>
  <c r="G111" i="2"/>
  <c r="G461" i="2"/>
  <c r="G1300" i="2"/>
  <c r="G1263" i="2"/>
  <c r="G1360" i="2"/>
  <c r="G1020" i="2"/>
  <c r="G902" i="2"/>
  <c r="G336" i="2"/>
  <c r="G134" i="2"/>
  <c r="G1176" i="2"/>
  <c r="G664" i="2"/>
  <c r="G1347" i="2"/>
  <c r="G1109" i="2"/>
  <c r="G470" i="2"/>
  <c r="G1057" i="2"/>
  <c r="G545" i="2"/>
  <c r="G1289" i="2"/>
  <c r="G366" i="2"/>
  <c r="G553" i="2"/>
  <c r="G1071" i="2"/>
  <c r="G758" i="2"/>
  <c r="G744" i="2"/>
  <c r="G1170" i="2"/>
  <c r="G449" i="2"/>
  <c r="G1233" i="2"/>
  <c r="G961" i="2"/>
  <c r="G5" i="2"/>
  <c r="G513" i="2"/>
  <c r="G1271" i="2"/>
  <c r="G1209" i="2"/>
  <c r="G1000" i="2"/>
  <c r="G497" i="2"/>
  <c r="G1354" i="2"/>
  <c r="G1079" i="2"/>
  <c r="G1440" i="2"/>
  <c r="G1199" i="2"/>
  <c r="G1164" i="2"/>
  <c r="G472" i="2"/>
  <c r="G755" i="2"/>
  <c r="G1224" i="2"/>
  <c r="G952" i="2"/>
  <c r="G1421" i="2"/>
  <c r="G252" i="2"/>
  <c r="G695" i="2"/>
  <c r="G516" i="2"/>
  <c r="G498" i="2"/>
  <c r="G1118" i="2"/>
  <c r="G717" i="2"/>
  <c r="G1249" i="2"/>
  <c r="G1177" i="2"/>
  <c r="G1201" i="2"/>
  <c r="G1247" i="2"/>
  <c r="G337" i="2"/>
  <c r="G272" i="2"/>
  <c r="G1213" i="2"/>
  <c r="G1236" i="2"/>
  <c r="G1307" i="2"/>
  <c r="G937" i="2"/>
  <c r="G453" i="2"/>
  <c r="G435" i="2"/>
  <c r="G633" i="2"/>
  <c r="G893" i="2"/>
  <c r="G196" i="2"/>
  <c r="G1416" i="2"/>
  <c r="G920" i="2"/>
  <c r="G238" i="2"/>
  <c r="G814" i="2"/>
  <c r="G1175" i="2"/>
  <c r="G145" i="2"/>
  <c r="G80" i="2"/>
  <c r="G1141" i="2"/>
  <c r="G1100" i="2"/>
  <c r="G1171" i="2"/>
  <c r="G454" i="2"/>
  <c r="G132" i="2"/>
  <c r="G489" i="2"/>
  <c r="G742" i="2"/>
  <c r="G910" i="2"/>
  <c r="G47" i="2"/>
  <c r="G998" i="2"/>
  <c r="G1415" i="2"/>
  <c r="G289" i="2"/>
  <c r="G68" i="2"/>
  <c r="G1288" i="2"/>
  <c r="G1023" i="2"/>
  <c r="G480" i="2"/>
  <c r="G554" i="2"/>
  <c r="G1123" i="2"/>
  <c r="G319" i="2"/>
  <c r="G140" i="2"/>
  <c r="G122" i="2"/>
  <c r="G1035" i="2"/>
  <c r="G231" i="2"/>
  <c r="G52" i="2"/>
  <c r="G34" i="2"/>
  <c r="G159" i="2"/>
  <c r="G995" i="2"/>
  <c r="G960" i="2"/>
  <c r="G753" i="2"/>
  <c r="G87" i="2"/>
  <c r="G923" i="2"/>
  <c r="G591" i="2"/>
  <c r="G412" i="2"/>
  <c r="G394" i="2"/>
  <c r="G1323" i="2"/>
  <c r="G519" i="2"/>
  <c r="G340" i="2"/>
  <c r="G322" i="2"/>
  <c r="G900" i="2"/>
  <c r="G882" i="2"/>
  <c r="G1161" i="2"/>
  <c r="G1393" i="2"/>
  <c r="G1295" i="2"/>
  <c r="G465" i="2"/>
  <c r="G400" i="2"/>
  <c r="G1261" i="2"/>
  <c r="G1428" i="2"/>
  <c r="G1411" i="2"/>
  <c r="G1098" i="2"/>
  <c r="G645" i="2"/>
  <c r="G627" i="2"/>
  <c r="G869" i="2"/>
  <c r="G1468" i="2"/>
  <c r="G1441" i="2"/>
  <c r="G1248" i="2"/>
  <c r="G385" i="2"/>
  <c r="G1351" i="2"/>
  <c r="G616" i="2"/>
  <c r="G550" i="2"/>
  <c r="G1317" i="2"/>
  <c r="G1390" i="2"/>
  <c r="G1356" i="2"/>
  <c r="G1234" i="2"/>
  <c r="G845" i="2"/>
  <c r="G827" i="2"/>
  <c r="G990" i="2"/>
  <c r="G452" i="2"/>
  <c r="G1409" i="2"/>
  <c r="G1032" i="2"/>
  <c r="G1216" i="2"/>
  <c r="G1240" i="2"/>
  <c r="G1471" i="2"/>
  <c r="G917" i="2"/>
  <c r="G865" i="2"/>
  <c r="G1437" i="2"/>
  <c r="G568" i="2"/>
  <c r="G137" i="2"/>
  <c r="G158" i="2"/>
  <c r="G495" i="2"/>
  <c r="G316" i="2"/>
  <c r="G298" i="2"/>
  <c r="G78" i="2"/>
  <c r="G973" i="2"/>
  <c r="G1436" i="2"/>
  <c r="G1059" i="2"/>
  <c r="G1434" i="2"/>
  <c r="G838" i="2"/>
  <c r="G767" i="2"/>
  <c r="G255" i="2"/>
  <c r="G597" i="2"/>
  <c r="G85" i="2"/>
  <c r="G588" i="2"/>
  <c r="G76" i="2"/>
  <c r="G579" i="2"/>
  <c r="G67" i="2"/>
  <c r="G570" i="2"/>
  <c r="G58" i="2"/>
  <c r="G1230" i="2"/>
  <c r="G777" i="2"/>
  <c r="G1276" i="2"/>
  <c r="G941" i="2"/>
  <c r="G1346" i="2"/>
  <c r="G601" i="2"/>
  <c r="G679" i="2"/>
  <c r="G167" i="2"/>
  <c r="G509" i="2"/>
  <c r="G1012" i="2"/>
  <c r="G500" i="2"/>
  <c r="G1003" i="2"/>
  <c r="G491" i="2"/>
  <c r="G994" i="2"/>
  <c r="G482" i="2"/>
  <c r="G776" i="2"/>
  <c r="G1274" i="2"/>
  <c r="G409" i="2"/>
  <c r="G607" i="2"/>
  <c r="G95" i="2"/>
  <c r="G437" i="2"/>
  <c r="G940" i="2"/>
  <c r="G428" i="2"/>
  <c r="G931" i="2"/>
  <c r="G419" i="2"/>
  <c r="G922" i="2"/>
  <c r="G410" i="2"/>
  <c r="G824" i="2"/>
  <c r="G1268" i="2"/>
  <c r="G393" i="2"/>
  <c r="G1339" i="2"/>
  <c r="G584" i="2"/>
  <c r="G1202" i="2"/>
  <c r="G217" i="2"/>
  <c r="G535" i="2"/>
  <c r="G23" i="2"/>
  <c r="G365" i="2"/>
  <c r="G868" i="2"/>
  <c r="G356" i="2"/>
  <c r="G859" i="2"/>
  <c r="G347" i="2"/>
  <c r="G850" i="2"/>
  <c r="G338" i="2"/>
  <c r="G527" i="2"/>
  <c r="G15" i="2"/>
  <c r="G357" i="2"/>
  <c r="G860" i="2"/>
  <c r="G348" i="2"/>
  <c r="G851" i="2"/>
  <c r="G339" i="2"/>
  <c r="G842" i="2"/>
  <c r="G330" i="2"/>
  <c r="G609" i="2"/>
  <c r="G1188" i="2"/>
  <c r="G182" i="2"/>
  <c r="G1259" i="2"/>
  <c r="G369" i="2"/>
  <c r="G1122" i="2"/>
  <c r="G6" i="2"/>
  <c r="G455" i="2"/>
  <c r="G797" i="2"/>
  <c r="G285" i="2"/>
  <c r="G788" i="2"/>
  <c r="G276" i="2"/>
  <c r="G779" i="2"/>
  <c r="G267" i="2"/>
  <c r="G770" i="2"/>
  <c r="G258" i="2"/>
  <c r="G644" i="2"/>
  <c r="G626" i="2"/>
  <c r="G1049" i="2"/>
  <c r="G1137" i="2"/>
  <c r="G1231" i="2"/>
  <c r="G296" i="2"/>
  <c r="G230" i="2"/>
  <c r="G1197" i="2"/>
  <c r="G1212" i="2"/>
  <c r="G1283" i="2"/>
  <c r="G816" i="2"/>
  <c r="G389" i="2"/>
  <c r="G371" i="2"/>
  <c r="G17" i="2"/>
  <c r="G1203" i="2"/>
  <c r="G856" i="2"/>
  <c r="G257" i="2"/>
  <c r="G1361" i="2"/>
  <c r="G1287" i="2"/>
  <c r="G446" i="2"/>
  <c r="G377" i="2"/>
  <c r="G1253" i="2"/>
  <c r="G1388" i="2"/>
  <c r="G1395" i="2"/>
  <c r="G1066" i="2"/>
  <c r="G589" i="2"/>
  <c r="G571" i="2"/>
  <c r="G360" i="2"/>
  <c r="G1096" i="2"/>
  <c r="G769" i="2"/>
  <c r="G448" i="2"/>
  <c r="G918" i="2"/>
  <c r="G966" i="2"/>
  <c r="G1407" i="2"/>
  <c r="G766" i="2"/>
  <c r="G697" i="2"/>
  <c r="G1373" i="2"/>
  <c r="G225" i="2"/>
  <c r="G1158" i="2"/>
  <c r="G1386" i="2"/>
  <c r="G239" i="2"/>
  <c r="G60" i="2"/>
  <c r="G42" i="2"/>
  <c r="G1318" i="2"/>
  <c r="G841" i="2"/>
  <c r="G1324" i="2"/>
  <c r="G983" i="2"/>
  <c r="G1370" i="2"/>
  <c r="G665" i="2"/>
  <c r="G703" i="2"/>
  <c r="G191" i="2"/>
  <c r="G533" i="2"/>
  <c r="G21" i="2"/>
  <c r="G524" i="2"/>
  <c r="G12" i="2"/>
  <c r="G515" i="2"/>
  <c r="G3" i="2"/>
  <c r="G506" i="2"/>
  <c r="G985" i="2"/>
  <c r="G1444" i="2"/>
  <c r="G608" i="2"/>
  <c r="G1419" i="2"/>
  <c r="G798" i="2"/>
  <c r="G1282" i="2"/>
  <c r="G432" i="2"/>
  <c r="G615" i="2"/>
  <c r="G103" i="2"/>
  <c r="G445" i="2"/>
  <c r="G948" i="2"/>
  <c r="G436" i="2"/>
  <c r="G939" i="2"/>
  <c r="G427" i="2"/>
  <c r="G930" i="2"/>
  <c r="G418" i="2"/>
  <c r="G606" i="2"/>
  <c r="G1210" i="2"/>
  <c r="G240" i="2"/>
  <c r="G543" i="2"/>
  <c r="G31" i="2"/>
  <c r="G373" i="2"/>
  <c r="G876" i="2"/>
  <c r="G364" i="2"/>
  <c r="G867" i="2"/>
  <c r="G355" i="2"/>
  <c r="G858" i="2"/>
  <c r="G346" i="2"/>
  <c r="G654" i="2"/>
  <c r="G1204" i="2"/>
  <c r="G224" i="2"/>
  <c r="G1275" i="2"/>
  <c r="G414" i="2"/>
  <c r="G1138" i="2"/>
  <c r="G48" i="2"/>
  <c r="G471" i="2"/>
  <c r="G813" i="2"/>
  <c r="G301" i="2"/>
  <c r="G804" i="2"/>
  <c r="G292" i="2"/>
  <c r="G795" i="2"/>
  <c r="G283" i="2"/>
  <c r="G786" i="2"/>
  <c r="G274" i="2"/>
  <c r="G463" i="2"/>
  <c r="G805" i="2"/>
  <c r="G293" i="2"/>
  <c r="G796" i="2"/>
  <c r="G284" i="2"/>
  <c r="G787" i="2"/>
  <c r="G275" i="2"/>
  <c r="G778" i="2"/>
  <c r="G266" i="2"/>
  <c r="G440" i="2"/>
  <c r="G1124" i="2"/>
  <c r="G9" i="2"/>
  <c r="G1195" i="2"/>
  <c r="G200" i="2"/>
  <c r="G1058" i="2"/>
  <c r="G903" i="2"/>
  <c r="G391" i="2"/>
  <c r="G733" i="2"/>
  <c r="G221" i="2"/>
  <c r="G724" i="2"/>
  <c r="G212" i="2"/>
  <c r="G715" i="2"/>
  <c r="G203" i="2"/>
  <c r="G706" i="2"/>
  <c r="G194" i="2"/>
  <c r="G388" i="2"/>
  <c r="G370" i="2"/>
  <c r="G65" i="2"/>
  <c r="G728" i="2"/>
  <c r="G1167" i="2"/>
  <c r="G126" i="2"/>
  <c r="G57" i="2"/>
  <c r="G1133" i="2"/>
  <c r="G1084" i="2"/>
  <c r="G1155" i="2"/>
  <c r="G368" i="2"/>
  <c r="G133" i="2"/>
  <c r="G115" i="2"/>
  <c r="G464" i="2"/>
  <c r="G478" i="2"/>
  <c r="G705" i="2"/>
  <c r="G967" i="2"/>
  <c r="G1105" i="2"/>
  <c r="G1223" i="2"/>
  <c r="G273" i="2"/>
  <c r="G208" i="2"/>
  <c r="G1189" i="2"/>
  <c r="G1196" i="2"/>
  <c r="G1267" i="2"/>
  <c r="G793" i="2"/>
  <c r="G333" i="2"/>
  <c r="G315" i="2"/>
  <c r="G975" i="2"/>
  <c r="G640" i="2"/>
  <c r="G321" i="2"/>
  <c r="G1257" i="2"/>
  <c r="G88" i="2"/>
  <c r="G216" i="2"/>
  <c r="G1343" i="2"/>
  <c r="G593" i="2"/>
  <c r="G528" i="2"/>
  <c r="G1309" i="2"/>
  <c r="G1294" i="2"/>
  <c r="G1308" i="2"/>
  <c r="G1226" i="2"/>
  <c r="G837" i="2"/>
  <c r="G819" i="2"/>
  <c r="G1021" i="2"/>
  <c r="G1038" i="2"/>
  <c r="G672" i="2"/>
  <c r="G1443" i="2"/>
  <c r="G861" i="2"/>
  <c r="G1306" i="2"/>
  <c r="G496" i="2"/>
  <c r="G639" i="2"/>
  <c r="G127" i="2"/>
  <c r="G469" i="2"/>
  <c r="G972" i="2"/>
  <c r="G460" i="2"/>
  <c r="G963" i="2"/>
  <c r="G451" i="2"/>
  <c r="G954" i="2"/>
  <c r="G442" i="2"/>
  <c r="G864" i="2"/>
  <c r="G1292" i="2"/>
  <c r="G438" i="2"/>
  <c r="G1355" i="2"/>
  <c r="G625" i="2"/>
  <c r="G1218" i="2"/>
  <c r="G262" i="2"/>
  <c r="G551" i="2"/>
  <c r="G39" i="2"/>
  <c r="G381" i="2"/>
  <c r="G884" i="2"/>
  <c r="G372" i="2"/>
  <c r="G875" i="2"/>
  <c r="G363" i="2"/>
  <c r="G866" i="2"/>
  <c r="G354" i="2"/>
  <c r="G433" i="2"/>
  <c r="G1146" i="2"/>
  <c r="G70" i="2"/>
  <c r="G479" i="2"/>
  <c r="G821" i="2"/>
  <c r="G309" i="2"/>
  <c r="G812" i="2"/>
  <c r="G300" i="2"/>
  <c r="G803" i="2"/>
  <c r="G291" i="2"/>
  <c r="G794" i="2"/>
  <c r="G282" i="2"/>
  <c r="G481" i="2"/>
  <c r="G1140" i="2"/>
  <c r="G54" i="2"/>
  <c r="G1211" i="2"/>
  <c r="G241" i="2"/>
  <c r="G1074" i="2"/>
  <c r="G919" i="2"/>
  <c r="G407" i="2"/>
  <c r="G749" i="2"/>
  <c r="G237" i="2"/>
  <c r="G740" i="2"/>
  <c r="G228" i="2"/>
  <c r="G731" i="2"/>
  <c r="G219" i="2"/>
  <c r="G722" i="2"/>
  <c r="G210" i="2"/>
  <c r="G399" i="2"/>
  <c r="G741" i="2"/>
  <c r="G229" i="2"/>
  <c r="G732" i="2"/>
  <c r="G220" i="2"/>
  <c r="G723" i="2"/>
  <c r="G211" i="2"/>
  <c r="G714" i="2"/>
  <c r="G202" i="2"/>
  <c r="G270" i="2"/>
  <c r="G1060" i="2"/>
  <c r="G1214" i="2"/>
  <c r="G1131" i="2"/>
  <c r="G30" i="2"/>
  <c r="G982" i="2"/>
  <c r="G839" i="2"/>
  <c r="G327" i="2"/>
  <c r="G669" i="2"/>
  <c r="G157" i="2"/>
  <c r="G660" i="2"/>
  <c r="G148" i="2"/>
  <c r="G651" i="2"/>
  <c r="G139" i="2"/>
  <c r="G642" i="2"/>
  <c r="G130" i="2"/>
  <c r="G1382" i="2"/>
  <c r="G1162" i="2"/>
  <c r="G1065" i="2"/>
  <c r="G1392" i="2"/>
  <c r="G641" i="2"/>
  <c r="G1159" i="2"/>
  <c r="G104" i="2"/>
  <c r="G38" i="2"/>
  <c r="G1125" i="2"/>
  <c r="G1068" i="2"/>
  <c r="G1139" i="2"/>
  <c r="G304" i="2"/>
  <c r="G77" i="2"/>
  <c r="G59" i="2"/>
  <c r="G294" i="2"/>
  <c r="G1185" i="2"/>
  <c r="G977" i="2"/>
  <c r="G1377" i="2"/>
  <c r="G1465" i="2"/>
  <c r="G1329" i="2"/>
  <c r="G1279" i="2"/>
  <c r="G424" i="2"/>
  <c r="G358" i="2"/>
  <c r="G1245" i="2"/>
  <c r="G1332" i="2"/>
  <c r="G1371" i="2"/>
  <c r="G1042" i="2"/>
  <c r="G581" i="2"/>
  <c r="G563" i="2"/>
  <c r="G912" i="2"/>
  <c r="G1348" i="2"/>
  <c r="G502" i="2"/>
  <c r="G1379" i="2"/>
  <c r="G689" i="2"/>
  <c r="G1242" i="2"/>
  <c r="G326" i="2"/>
  <c r="G575" i="2"/>
  <c r="G63" i="2"/>
  <c r="G405" i="2"/>
  <c r="G908" i="2"/>
  <c r="G396" i="2"/>
  <c r="G899" i="2"/>
  <c r="G387" i="2"/>
  <c r="G890" i="2"/>
  <c r="G378" i="2"/>
  <c r="G696" i="2"/>
  <c r="G1220" i="2"/>
  <c r="G265" i="2"/>
  <c r="G1291" i="2"/>
  <c r="G456" i="2"/>
  <c r="G1154" i="2"/>
  <c r="G89" i="2"/>
  <c r="G487" i="2"/>
  <c r="G829" i="2"/>
  <c r="G317" i="2"/>
  <c r="G820" i="2"/>
  <c r="G308" i="2"/>
  <c r="G811" i="2"/>
  <c r="G299" i="2"/>
  <c r="G802" i="2"/>
  <c r="G290" i="2"/>
  <c r="G264" i="2"/>
  <c r="G1082" i="2"/>
  <c r="G927" i="2"/>
  <c r="G415" i="2"/>
  <c r="G757" i="2"/>
  <c r="G245" i="2"/>
  <c r="G748" i="2"/>
  <c r="G236" i="2"/>
  <c r="G739" i="2"/>
  <c r="G227" i="2"/>
  <c r="G730" i="2"/>
  <c r="G218" i="2"/>
  <c r="G312" i="2"/>
  <c r="G1076" i="2"/>
  <c r="G1270" i="2"/>
  <c r="G1147" i="2"/>
  <c r="G72" i="2"/>
  <c r="G1007" i="2"/>
  <c r="G855" i="2"/>
  <c r="G343" i="2"/>
  <c r="G685" i="2"/>
  <c r="G173" i="2"/>
  <c r="G676" i="2"/>
  <c r="G164" i="2"/>
  <c r="G667" i="2"/>
  <c r="G155" i="2"/>
  <c r="G658" i="2"/>
  <c r="G146" i="2"/>
  <c r="G335" i="2"/>
  <c r="G677" i="2"/>
  <c r="G165" i="2"/>
  <c r="G668" i="2"/>
  <c r="G156" i="2"/>
  <c r="G659" i="2"/>
  <c r="G147" i="2"/>
  <c r="G650" i="2"/>
  <c r="G138" i="2"/>
  <c r="G97" i="2"/>
  <c r="G984" i="2"/>
  <c r="G1452" i="2"/>
  <c r="G1067" i="2"/>
  <c r="G1442" i="2"/>
  <c r="G857" i="2"/>
  <c r="G775" i="2"/>
  <c r="G263" i="2"/>
  <c r="G605" i="2"/>
  <c r="G93" i="2"/>
  <c r="G596" i="2"/>
  <c r="G84" i="2"/>
  <c r="G587" i="2"/>
  <c r="G75" i="2"/>
  <c r="G578" i="2"/>
  <c r="G66" i="2"/>
  <c r="G891" i="2"/>
  <c r="G529" i="2"/>
  <c r="G1017" i="2"/>
  <c r="G214" i="2"/>
  <c r="G1039" i="2"/>
  <c r="G1102" i="2"/>
  <c r="G1046" i="2"/>
  <c r="G974" i="2"/>
  <c r="G585" i="2"/>
  <c r="G734" i="2"/>
  <c r="G759" i="2"/>
  <c r="G636" i="2"/>
  <c r="G618" i="2"/>
  <c r="G1349" i="2"/>
  <c r="G708" i="2"/>
  <c r="G1064" i="2"/>
  <c r="G1433" i="2"/>
  <c r="G361" i="2"/>
  <c r="G1095" i="2"/>
  <c r="G1342" i="2"/>
  <c r="G1254" i="2"/>
  <c r="G1061" i="2"/>
  <c r="G878" i="2"/>
  <c r="G1008" i="2"/>
  <c r="G911" i="2"/>
  <c r="G836" i="2"/>
  <c r="G818" i="2"/>
  <c r="G1413" i="2"/>
  <c r="G1328" i="2"/>
  <c r="G1033" i="2"/>
  <c r="G1121" i="2"/>
  <c r="G833" i="2"/>
  <c r="G1073" i="2"/>
  <c r="G1215" i="2"/>
  <c r="G254" i="2"/>
  <c r="G185" i="2"/>
  <c r="G1181" i="2"/>
  <c r="G1172" i="2"/>
  <c r="G1243" i="2"/>
  <c r="G710" i="2"/>
  <c r="G325" i="2"/>
  <c r="G307" i="2"/>
  <c r="G760" i="2"/>
  <c r="G1244" i="2"/>
  <c r="G329" i="2"/>
  <c r="G1315" i="2"/>
  <c r="G520" i="2"/>
  <c r="G1178" i="2"/>
  <c r="G153" i="2"/>
  <c r="G511" i="2"/>
  <c r="G853" i="2"/>
  <c r="G341" i="2"/>
  <c r="G844" i="2"/>
  <c r="G332" i="2"/>
  <c r="G835" i="2"/>
  <c r="G323" i="2"/>
  <c r="G826" i="2"/>
  <c r="G314" i="2"/>
  <c r="G526" i="2"/>
  <c r="G1156" i="2"/>
  <c r="G96" i="2"/>
  <c r="G1227" i="2"/>
  <c r="G286" i="2"/>
  <c r="G1090" i="2"/>
  <c r="G935" i="2"/>
  <c r="G423" i="2"/>
  <c r="G765" i="2"/>
  <c r="G253" i="2"/>
  <c r="G756" i="2"/>
  <c r="G244" i="2"/>
  <c r="G747" i="2"/>
  <c r="G235" i="2"/>
  <c r="G738" i="2"/>
  <c r="G226" i="2"/>
  <c r="G94" i="2"/>
  <c r="G1018" i="2"/>
  <c r="G863" i="2"/>
  <c r="G351" i="2"/>
  <c r="G693" i="2"/>
  <c r="G181" i="2"/>
  <c r="G684" i="2"/>
  <c r="G172" i="2"/>
  <c r="G675" i="2"/>
  <c r="G163" i="2"/>
  <c r="G666" i="2"/>
  <c r="G154" i="2"/>
  <c r="G142" i="2"/>
  <c r="G1009" i="2"/>
  <c r="G1014" i="2"/>
  <c r="G1083" i="2"/>
  <c r="G1458" i="2"/>
  <c r="G889" i="2"/>
  <c r="G791" i="2"/>
  <c r="G279" i="2"/>
  <c r="G621" i="2"/>
  <c r="G109" i="2"/>
  <c r="G612" i="2"/>
  <c r="G100" i="2"/>
  <c r="G603" i="2"/>
  <c r="G91" i="2"/>
  <c r="G594" i="2"/>
  <c r="G82" i="2"/>
  <c r="G271" i="2"/>
  <c r="G613" i="2"/>
  <c r="G101" i="2"/>
  <c r="G604" i="2"/>
  <c r="G92" i="2"/>
  <c r="G595" i="2"/>
  <c r="G83" i="2"/>
  <c r="G586" i="2"/>
  <c r="G74" i="2"/>
  <c r="G1358" i="2"/>
  <c r="G862" i="2"/>
  <c r="G1340" i="2"/>
  <c r="G997" i="2"/>
  <c r="G1378" i="2"/>
  <c r="G688" i="2"/>
  <c r="G711" i="2"/>
  <c r="G199" i="2"/>
  <c r="G541" i="2"/>
  <c r="G29" i="2"/>
  <c r="G532" i="2"/>
  <c r="G20" i="2"/>
  <c r="G523" i="2"/>
  <c r="G11" i="2"/>
  <c r="G514" i="2"/>
  <c r="G2" i="2"/>
  <c r="G653" i="2"/>
  <c r="G635" i="2"/>
  <c r="G1260" i="2"/>
  <c r="G1304" i="2"/>
  <c r="G41" i="2"/>
  <c r="G949" i="2"/>
  <c r="G913" i="2"/>
  <c r="G1453" i="2"/>
  <c r="G673" i="2"/>
  <c r="G246" i="2"/>
  <c r="G305" i="2"/>
  <c r="G559" i="2"/>
  <c r="G380" i="2"/>
  <c r="G362" i="2"/>
  <c r="G1093" i="2"/>
  <c r="G1225" i="2"/>
  <c r="G1417" i="2"/>
  <c r="G904" i="2"/>
  <c r="G192" i="2"/>
  <c r="G1031" i="2"/>
  <c r="G1070" i="2"/>
  <c r="G1022" i="2"/>
  <c r="G944" i="2"/>
  <c r="G544" i="2"/>
  <c r="G670" i="2"/>
  <c r="G751" i="2"/>
  <c r="G580" i="2"/>
  <c r="G562" i="2"/>
  <c r="G1157" i="2"/>
  <c r="G1280" i="2"/>
  <c r="G1456" i="2"/>
  <c r="G686" i="2"/>
  <c r="G1232" i="2"/>
  <c r="G558" i="2"/>
  <c r="G1151" i="2"/>
  <c r="G81" i="2"/>
  <c r="G16" i="2"/>
  <c r="G1117" i="2"/>
  <c r="G1044" i="2"/>
  <c r="G1115" i="2"/>
  <c r="G281" i="2"/>
  <c r="G69" i="2"/>
  <c r="G51" i="2"/>
  <c r="G590" i="2"/>
  <c r="G1180" i="2"/>
  <c r="G160" i="2"/>
  <c r="G1251" i="2"/>
  <c r="G350" i="2"/>
  <c r="G1114" i="2"/>
  <c r="G959" i="2"/>
  <c r="G447" i="2"/>
  <c r="G789" i="2"/>
  <c r="G277" i="2"/>
  <c r="G780" i="2"/>
  <c r="G268" i="2"/>
  <c r="G771" i="2"/>
  <c r="G259" i="2"/>
  <c r="G762" i="2"/>
  <c r="G250" i="2"/>
  <c r="G353" i="2"/>
  <c r="G1092" i="2"/>
  <c r="G1334" i="2"/>
  <c r="G1163" i="2"/>
  <c r="G113" i="2"/>
  <c r="G1026" i="2"/>
  <c r="G871" i="2"/>
  <c r="G359" i="2"/>
  <c r="G701" i="2"/>
  <c r="G189" i="2"/>
  <c r="G692" i="2"/>
  <c r="G180" i="2"/>
  <c r="G683" i="2"/>
  <c r="G171" i="2"/>
  <c r="G674" i="2"/>
  <c r="G162" i="2"/>
  <c r="G1466" i="2"/>
  <c r="G905" i="2"/>
  <c r="G799" i="2"/>
  <c r="G287" i="2"/>
  <c r="G629" i="2"/>
  <c r="G117" i="2"/>
  <c r="G620" i="2"/>
  <c r="G108" i="2"/>
  <c r="G611" i="2"/>
  <c r="G99" i="2"/>
  <c r="G602" i="2"/>
  <c r="G90" i="2"/>
  <c r="G1422" i="2"/>
  <c r="G894" i="2"/>
  <c r="G1364" i="2"/>
  <c r="G1019" i="2"/>
  <c r="G1394" i="2"/>
  <c r="G729" i="2"/>
  <c r="G727" i="2"/>
  <c r="G215" i="2"/>
  <c r="G557" i="2"/>
  <c r="G45" i="2"/>
  <c r="G548" i="2"/>
  <c r="G36" i="2"/>
  <c r="G539" i="2"/>
  <c r="G27" i="2"/>
  <c r="G530" i="2"/>
  <c r="G18" i="2"/>
  <c r="G207" i="2"/>
  <c r="G549" i="2"/>
  <c r="G37" i="2"/>
  <c r="G540" i="2"/>
  <c r="G28" i="2"/>
  <c r="G531" i="2"/>
  <c r="G19" i="2"/>
  <c r="G522" i="2"/>
  <c r="G10" i="2"/>
  <c r="G1086" i="2"/>
  <c r="G694" i="2"/>
  <c r="G1451" i="2"/>
  <c r="G877" i="2"/>
  <c r="G1314" i="2"/>
  <c r="G518" i="2"/>
  <c r="G647" i="2"/>
  <c r="G135" i="2"/>
  <c r="G477" i="2"/>
  <c r="G980" i="2"/>
  <c r="G468" i="2"/>
  <c r="G971" i="2"/>
  <c r="G459" i="2"/>
  <c r="G962" i="2"/>
  <c r="G450" i="2"/>
  <c r="E1416" i="2"/>
  <c r="C1416" i="2"/>
  <c r="D1416" i="2" s="1"/>
  <c r="E1232" i="2"/>
  <c r="C1232" i="2"/>
  <c r="D1232" i="2" s="1"/>
  <c r="E1413" i="2"/>
  <c r="C1413" i="2"/>
  <c r="D1413" i="2" s="1"/>
  <c r="E1397" i="2"/>
  <c r="C1397" i="2"/>
  <c r="D1397" i="2" s="1"/>
  <c r="E1381" i="2"/>
  <c r="C1381" i="2"/>
  <c r="D1381" i="2" s="1"/>
  <c r="E1365" i="2"/>
  <c r="C1365" i="2"/>
  <c r="D1365" i="2" s="1"/>
  <c r="E1349" i="2"/>
  <c r="C1349" i="2"/>
  <c r="D1349" i="2" s="1"/>
  <c r="E1341" i="2"/>
  <c r="C1341" i="2"/>
  <c r="D1341" i="2" s="1"/>
  <c r="E1325" i="2"/>
  <c r="C1325" i="2"/>
  <c r="D1325" i="2" s="1"/>
  <c r="E1309" i="2"/>
  <c r="C1309" i="2"/>
  <c r="D1309" i="2" s="1"/>
  <c r="E1293" i="2"/>
  <c r="C1293" i="2"/>
  <c r="D1293" i="2" s="1"/>
  <c r="E1277" i="2"/>
  <c r="C1277" i="2"/>
  <c r="D1277" i="2" s="1"/>
  <c r="E1269" i="2"/>
  <c r="C1269" i="2"/>
  <c r="D1269" i="2" s="1"/>
  <c r="E1253" i="2"/>
  <c r="C1253" i="2"/>
  <c r="D1253" i="2" s="1"/>
  <c r="E1237" i="2"/>
  <c r="C1237" i="2"/>
  <c r="D1237" i="2" s="1"/>
  <c r="E1229" i="2"/>
  <c r="C1229" i="2"/>
  <c r="D1229" i="2" s="1"/>
  <c r="E1213" i="2"/>
  <c r="C1213" i="2"/>
  <c r="D1213" i="2" s="1"/>
  <c r="E1197" i="2"/>
  <c r="C1197" i="2"/>
  <c r="D1197" i="2" s="1"/>
  <c r="E1181" i="2"/>
  <c r="C1181" i="2"/>
  <c r="D1181" i="2" s="1"/>
  <c r="E1173" i="2"/>
  <c r="C1173" i="2"/>
  <c r="D1173" i="2" s="1"/>
  <c r="E1157" i="2"/>
  <c r="C1157" i="2"/>
  <c r="D1157" i="2" s="1"/>
  <c r="E1149" i="2"/>
  <c r="C1149" i="2"/>
  <c r="D1149" i="2" s="1"/>
  <c r="E1133" i="2"/>
  <c r="C1133" i="2"/>
  <c r="D1133" i="2" s="1"/>
  <c r="E1117" i="2"/>
  <c r="C1117" i="2"/>
  <c r="D1117" i="2" s="1"/>
  <c r="E1101" i="2"/>
  <c r="C1101" i="2"/>
  <c r="D1101" i="2" s="1"/>
  <c r="E1093" i="2"/>
  <c r="C1093" i="2"/>
  <c r="D1093" i="2" s="1"/>
  <c r="E1077" i="2"/>
  <c r="C1077" i="2"/>
  <c r="D1077" i="2" s="1"/>
  <c r="E1069" i="2"/>
  <c r="C1069" i="2"/>
  <c r="D1069" i="2" s="1"/>
  <c r="E1053" i="2"/>
  <c r="C1053" i="2"/>
  <c r="D1053" i="2" s="1"/>
  <c r="E1037" i="2"/>
  <c r="C1037" i="2"/>
  <c r="D1037" i="2" s="1"/>
  <c r="E1029" i="2"/>
  <c r="C1029" i="2"/>
  <c r="D1029" i="2" s="1"/>
  <c r="E1005" i="2"/>
  <c r="C1005" i="2"/>
  <c r="D1005" i="2" s="1"/>
  <c r="E989" i="2"/>
  <c r="C989" i="2"/>
  <c r="D989" i="2" s="1"/>
  <c r="E901" i="2"/>
  <c r="C901" i="2"/>
  <c r="D901" i="2" s="1"/>
  <c r="E1420" i="2"/>
  <c r="C1420" i="2"/>
  <c r="D1420" i="2" s="1"/>
  <c r="E1412" i="2"/>
  <c r="C1412" i="2"/>
  <c r="D1412" i="2" s="1"/>
  <c r="E1404" i="2"/>
  <c r="C1404" i="2"/>
  <c r="D1404" i="2" s="1"/>
  <c r="E1396" i="2"/>
  <c r="C1396" i="2"/>
  <c r="D1396" i="2" s="1"/>
  <c r="E1388" i="2"/>
  <c r="C1388" i="2"/>
  <c r="D1388" i="2" s="1"/>
  <c r="E1380" i="2"/>
  <c r="C1380" i="2"/>
  <c r="D1380" i="2" s="1"/>
  <c r="E1372" i="2"/>
  <c r="C1372" i="2"/>
  <c r="D1372" i="2" s="1"/>
  <c r="E1364" i="2"/>
  <c r="C1364" i="2"/>
  <c r="D1364" i="2" s="1"/>
  <c r="E1356" i="2"/>
  <c r="C1356" i="2"/>
  <c r="D1356" i="2" s="1"/>
  <c r="E1348" i="2"/>
  <c r="C1348" i="2"/>
  <c r="D1348" i="2" s="1"/>
  <c r="E1340" i="2"/>
  <c r="C1340" i="2"/>
  <c r="D1340" i="2" s="1"/>
  <c r="E1332" i="2"/>
  <c r="C1332" i="2"/>
  <c r="D1332" i="2" s="1"/>
  <c r="E1324" i="2"/>
  <c r="C1324" i="2"/>
  <c r="D1324" i="2" s="1"/>
  <c r="E1316" i="2"/>
  <c r="C1316" i="2"/>
  <c r="D1316" i="2" s="1"/>
  <c r="E1308" i="2"/>
  <c r="C1308" i="2"/>
  <c r="D1308" i="2" s="1"/>
  <c r="E1300" i="2"/>
  <c r="C1300" i="2"/>
  <c r="D1300" i="2" s="1"/>
  <c r="E1292" i="2"/>
  <c r="C1292" i="2"/>
  <c r="D1292" i="2" s="1"/>
  <c r="E1284" i="2"/>
  <c r="C1284" i="2"/>
  <c r="D1284" i="2" s="1"/>
  <c r="E1276" i="2"/>
  <c r="C1276" i="2"/>
  <c r="D1276" i="2" s="1"/>
  <c r="E1268" i="2"/>
  <c r="C1268" i="2"/>
  <c r="D1268" i="2" s="1"/>
  <c r="E1260" i="2"/>
  <c r="C1260" i="2"/>
  <c r="D1260" i="2" s="1"/>
  <c r="E1252" i="2"/>
  <c r="C1252" i="2"/>
  <c r="D1252" i="2" s="1"/>
  <c r="E1244" i="2"/>
  <c r="C1244" i="2"/>
  <c r="D1244" i="2" s="1"/>
  <c r="E1236" i="2"/>
  <c r="C1236" i="2"/>
  <c r="D1236" i="2" s="1"/>
  <c r="E1228" i="2"/>
  <c r="C1228" i="2"/>
  <c r="D1228" i="2" s="1"/>
  <c r="E1220" i="2"/>
  <c r="C1220" i="2"/>
  <c r="D1220" i="2" s="1"/>
  <c r="E1212" i="2"/>
  <c r="C1212" i="2"/>
  <c r="D1212" i="2" s="1"/>
  <c r="E1204" i="2"/>
  <c r="C1204" i="2"/>
  <c r="D1204" i="2" s="1"/>
  <c r="C1196" i="2"/>
  <c r="D1196" i="2" s="1"/>
  <c r="E1196" i="2"/>
  <c r="E1188" i="2"/>
  <c r="C1188" i="2"/>
  <c r="D1188" i="2" s="1"/>
  <c r="E1180" i="2"/>
  <c r="C1180" i="2"/>
  <c r="D1180" i="2" s="1"/>
  <c r="E1172" i="2"/>
  <c r="C1172" i="2"/>
  <c r="D1172" i="2" s="1"/>
  <c r="E1164" i="2"/>
  <c r="C1164" i="2"/>
  <c r="D1164" i="2" s="1"/>
  <c r="C1156" i="2"/>
  <c r="D1156" i="2" s="1"/>
  <c r="E1156" i="2"/>
  <c r="C1148" i="2"/>
  <c r="D1148" i="2" s="1"/>
  <c r="E1148" i="2"/>
  <c r="E1140" i="2"/>
  <c r="C1140" i="2"/>
  <c r="D1140" i="2" s="1"/>
  <c r="C1132" i="2"/>
  <c r="D1132" i="2" s="1"/>
  <c r="E1132" i="2"/>
  <c r="E1124" i="2"/>
  <c r="C1124" i="2"/>
  <c r="D1124" i="2" s="1"/>
  <c r="E1116" i="2"/>
  <c r="C1116" i="2"/>
  <c r="D1116" i="2" s="1"/>
  <c r="E1108" i="2"/>
  <c r="C1108" i="2"/>
  <c r="D1108" i="2" s="1"/>
  <c r="E1100" i="2"/>
  <c r="C1100" i="2"/>
  <c r="D1100" i="2" s="1"/>
  <c r="C1092" i="2"/>
  <c r="D1092" i="2" s="1"/>
  <c r="E1092" i="2"/>
  <c r="E1084" i="2"/>
  <c r="C1084" i="2"/>
  <c r="D1084" i="2" s="1"/>
  <c r="E1076" i="2"/>
  <c r="C1076" i="2"/>
  <c r="D1076" i="2" s="1"/>
  <c r="E1068" i="2"/>
  <c r="C1068" i="2"/>
  <c r="D1068" i="2" s="1"/>
  <c r="E1060" i="2"/>
  <c r="C1060" i="2"/>
  <c r="D1060" i="2" s="1"/>
  <c r="C1052" i="2"/>
  <c r="D1052" i="2" s="1"/>
  <c r="E1052" i="2"/>
  <c r="E1044" i="2"/>
  <c r="C1044" i="2"/>
  <c r="D1044" i="2" s="1"/>
  <c r="E1036" i="2"/>
  <c r="C1036" i="2"/>
  <c r="D1036" i="2" s="1"/>
  <c r="C1028" i="2"/>
  <c r="D1028" i="2" s="1"/>
  <c r="E1028" i="2"/>
  <c r="E1020" i="2"/>
  <c r="C1020" i="2"/>
  <c r="D1020" i="2" s="1"/>
  <c r="E1012" i="2"/>
  <c r="C1012" i="2"/>
  <c r="D1012" i="2" s="1"/>
  <c r="E1004" i="2"/>
  <c r="C1004" i="2"/>
  <c r="D1004" i="2" s="1"/>
  <c r="C996" i="2"/>
  <c r="D996" i="2" s="1"/>
  <c r="E996" i="2"/>
  <c r="E988" i="2"/>
  <c r="C988" i="2"/>
  <c r="D988" i="2" s="1"/>
  <c r="E980" i="2"/>
  <c r="C980" i="2"/>
  <c r="D980" i="2" s="1"/>
  <c r="E972" i="2"/>
  <c r="C972" i="2"/>
  <c r="D972" i="2" s="1"/>
  <c r="E964" i="2"/>
  <c r="C964" i="2"/>
  <c r="D964" i="2" s="1"/>
  <c r="C956" i="2"/>
  <c r="D956" i="2" s="1"/>
  <c r="E956" i="2"/>
  <c r="E948" i="2"/>
  <c r="C948" i="2"/>
  <c r="D948" i="2" s="1"/>
  <c r="C940" i="2"/>
  <c r="D940" i="2" s="1"/>
  <c r="E940" i="2"/>
  <c r="C932" i="2"/>
  <c r="D932" i="2" s="1"/>
  <c r="E932" i="2"/>
  <c r="E924" i="2"/>
  <c r="C924" i="2"/>
  <c r="D924" i="2" s="1"/>
  <c r="E916" i="2"/>
  <c r="C916" i="2"/>
  <c r="D916" i="2" s="1"/>
  <c r="E908" i="2"/>
  <c r="C908" i="2"/>
  <c r="D908" i="2" s="1"/>
  <c r="E900" i="2"/>
  <c r="C900" i="2"/>
  <c r="D900" i="2" s="1"/>
  <c r="C892" i="2"/>
  <c r="D892" i="2" s="1"/>
  <c r="E892" i="2"/>
  <c r="E884" i="2"/>
  <c r="C884" i="2"/>
  <c r="D884" i="2" s="1"/>
  <c r="E876" i="2"/>
  <c r="C876" i="2"/>
  <c r="D876" i="2" s="1"/>
  <c r="E868" i="2"/>
  <c r="C868" i="2"/>
  <c r="D868" i="2" s="1"/>
  <c r="E860" i="2"/>
  <c r="C860" i="2"/>
  <c r="D860" i="2" s="1"/>
  <c r="E852" i="2"/>
  <c r="C852" i="2"/>
  <c r="D852" i="2" s="1"/>
  <c r="E844" i="2"/>
  <c r="C844" i="2"/>
  <c r="D844" i="2" s="1"/>
  <c r="C836" i="2"/>
  <c r="D836" i="2" s="1"/>
  <c r="E836" i="2"/>
  <c r="C828" i="2"/>
  <c r="D828" i="2" s="1"/>
  <c r="E828" i="2"/>
  <c r="E820" i="2"/>
  <c r="C820" i="2"/>
  <c r="D820" i="2" s="1"/>
  <c r="E812" i="2"/>
  <c r="C812" i="2"/>
  <c r="D812" i="2" s="1"/>
  <c r="E804" i="2"/>
  <c r="C804" i="2"/>
  <c r="D804" i="2" s="1"/>
  <c r="C796" i="2"/>
  <c r="D796" i="2" s="1"/>
  <c r="E796" i="2"/>
  <c r="E788" i="2"/>
  <c r="C788" i="2"/>
  <c r="D788" i="2" s="1"/>
  <c r="E780" i="2"/>
  <c r="C780" i="2"/>
  <c r="D780" i="2" s="1"/>
  <c r="E772" i="2"/>
  <c r="C772" i="2"/>
  <c r="D772" i="2" s="1"/>
  <c r="E764" i="2"/>
  <c r="C764" i="2"/>
  <c r="D764" i="2" s="1"/>
  <c r="E756" i="2"/>
  <c r="C756" i="2"/>
  <c r="D756" i="2" s="1"/>
  <c r="E748" i="2"/>
  <c r="C748" i="2"/>
  <c r="D748" i="2" s="1"/>
  <c r="E740" i="2"/>
  <c r="C740" i="2"/>
  <c r="D740" i="2" s="1"/>
  <c r="E732" i="2"/>
  <c r="C732" i="2"/>
  <c r="D732" i="2" s="1"/>
  <c r="E724" i="2"/>
  <c r="C724" i="2"/>
  <c r="D724" i="2" s="1"/>
  <c r="E716" i="2"/>
  <c r="C716" i="2"/>
  <c r="D716" i="2" s="1"/>
  <c r="E708" i="2"/>
  <c r="C708" i="2"/>
  <c r="D708" i="2" s="1"/>
  <c r="E700" i="2"/>
  <c r="C700" i="2"/>
  <c r="D700" i="2" s="1"/>
  <c r="E692" i="2"/>
  <c r="C692" i="2"/>
  <c r="D692" i="2" s="1"/>
  <c r="E684" i="2"/>
  <c r="C684" i="2"/>
  <c r="D684" i="2" s="1"/>
  <c r="E676" i="2"/>
  <c r="C676" i="2"/>
  <c r="D676" i="2" s="1"/>
  <c r="E668" i="2"/>
  <c r="C668" i="2"/>
  <c r="D668" i="2" s="1"/>
  <c r="E660" i="2"/>
  <c r="C660" i="2"/>
  <c r="D660" i="2" s="1"/>
  <c r="E652" i="2"/>
  <c r="C652" i="2"/>
  <c r="D652" i="2" s="1"/>
  <c r="E644" i="2"/>
  <c r="C644" i="2"/>
  <c r="D644" i="2" s="1"/>
  <c r="E636" i="2"/>
  <c r="C636" i="2"/>
  <c r="D636" i="2" s="1"/>
  <c r="E628" i="2"/>
  <c r="C628" i="2"/>
  <c r="D628" i="2" s="1"/>
  <c r="E620" i="2"/>
  <c r="C620" i="2"/>
  <c r="D620" i="2" s="1"/>
  <c r="E612" i="2"/>
  <c r="C612" i="2"/>
  <c r="D612" i="2" s="1"/>
  <c r="E604" i="2"/>
  <c r="C604" i="2"/>
  <c r="D604" i="2" s="1"/>
  <c r="E596" i="2"/>
  <c r="C596" i="2"/>
  <c r="D596" i="2" s="1"/>
  <c r="E588" i="2"/>
  <c r="C588" i="2"/>
  <c r="D588" i="2" s="1"/>
  <c r="E580" i="2"/>
  <c r="C580" i="2"/>
  <c r="D580" i="2" s="1"/>
  <c r="E572" i="2"/>
  <c r="C572" i="2"/>
  <c r="D572" i="2" s="1"/>
  <c r="E564" i="2"/>
  <c r="C564" i="2"/>
  <c r="D564" i="2" s="1"/>
  <c r="E556" i="2"/>
  <c r="C556" i="2"/>
  <c r="D556" i="2" s="1"/>
  <c r="E548" i="2"/>
  <c r="C548" i="2"/>
  <c r="D548" i="2" s="1"/>
  <c r="E540" i="2"/>
  <c r="C540" i="2"/>
  <c r="D540" i="2" s="1"/>
  <c r="E532" i="2"/>
  <c r="C532" i="2"/>
  <c r="D532" i="2" s="1"/>
  <c r="E524" i="2"/>
  <c r="C524" i="2"/>
  <c r="D524" i="2" s="1"/>
  <c r="C516" i="2"/>
  <c r="D516" i="2" s="1"/>
  <c r="E516" i="2"/>
  <c r="E508" i="2"/>
  <c r="C508" i="2"/>
  <c r="D508" i="2" s="1"/>
  <c r="E500" i="2"/>
  <c r="C500" i="2"/>
  <c r="D500" i="2" s="1"/>
  <c r="E492" i="2"/>
  <c r="C492" i="2"/>
  <c r="D492" i="2" s="1"/>
  <c r="C484" i="2"/>
  <c r="D484" i="2" s="1"/>
  <c r="E484" i="2"/>
  <c r="E476" i="2"/>
  <c r="C476" i="2"/>
  <c r="D476" i="2" s="1"/>
  <c r="E468" i="2"/>
  <c r="C468" i="2"/>
  <c r="D468" i="2" s="1"/>
  <c r="E460" i="2"/>
  <c r="C460" i="2"/>
  <c r="D460" i="2" s="1"/>
  <c r="E452" i="2"/>
  <c r="C452" i="2"/>
  <c r="D452" i="2" s="1"/>
  <c r="E444" i="2"/>
  <c r="C444" i="2"/>
  <c r="D444" i="2" s="1"/>
  <c r="E436" i="2"/>
  <c r="C436" i="2"/>
  <c r="D436" i="2" s="1"/>
  <c r="E428" i="2"/>
  <c r="C428" i="2"/>
  <c r="D428" i="2" s="1"/>
  <c r="E420" i="2"/>
  <c r="C420" i="2"/>
  <c r="D420" i="2" s="1"/>
  <c r="E412" i="2"/>
  <c r="C412" i="2"/>
  <c r="D412" i="2" s="1"/>
  <c r="E404" i="2"/>
  <c r="C404" i="2"/>
  <c r="D404" i="2" s="1"/>
  <c r="E396" i="2"/>
  <c r="C396" i="2"/>
  <c r="D396" i="2" s="1"/>
  <c r="E388" i="2"/>
  <c r="C388" i="2"/>
  <c r="D388" i="2" s="1"/>
  <c r="E380" i="2"/>
  <c r="C380" i="2"/>
  <c r="D380" i="2" s="1"/>
  <c r="E372" i="2"/>
  <c r="C372" i="2"/>
  <c r="D372" i="2" s="1"/>
  <c r="E364" i="2"/>
  <c r="C364" i="2"/>
  <c r="D364" i="2" s="1"/>
  <c r="E356" i="2"/>
  <c r="C356" i="2"/>
  <c r="D356" i="2" s="1"/>
  <c r="E348" i="2"/>
  <c r="C348" i="2"/>
  <c r="D348" i="2" s="1"/>
  <c r="E340" i="2"/>
  <c r="C340" i="2"/>
  <c r="D340" i="2" s="1"/>
  <c r="E332" i="2"/>
  <c r="C332" i="2"/>
  <c r="D332" i="2" s="1"/>
  <c r="E324" i="2"/>
  <c r="C324" i="2"/>
  <c r="D324" i="2" s="1"/>
  <c r="E316" i="2"/>
  <c r="C316" i="2"/>
  <c r="D316" i="2" s="1"/>
  <c r="E308" i="2"/>
  <c r="C308" i="2"/>
  <c r="D308" i="2" s="1"/>
  <c r="E300" i="2"/>
  <c r="C300" i="2"/>
  <c r="D300" i="2" s="1"/>
  <c r="E292" i="2"/>
  <c r="C292" i="2"/>
  <c r="D292" i="2" s="1"/>
  <c r="E284" i="2"/>
  <c r="C284" i="2"/>
  <c r="D284" i="2" s="1"/>
  <c r="E276" i="2"/>
  <c r="C276" i="2"/>
  <c r="D276" i="2" s="1"/>
  <c r="E268" i="2"/>
  <c r="C268" i="2"/>
  <c r="D268" i="2" s="1"/>
  <c r="E260" i="2"/>
  <c r="C260" i="2"/>
  <c r="D260" i="2" s="1"/>
  <c r="E252" i="2"/>
  <c r="C252" i="2"/>
  <c r="D252" i="2" s="1"/>
  <c r="E244" i="2"/>
  <c r="C244" i="2"/>
  <c r="D244" i="2" s="1"/>
  <c r="E236" i="2"/>
  <c r="C236" i="2"/>
  <c r="D236" i="2" s="1"/>
  <c r="E228" i="2"/>
  <c r="C228" i="2"/>
  <c r="D228" i="2" s="1"/>
  <c r="E220" i="2"/>
  <c r="C220" i="2"/>
  <c r="D220" i="2" s="1"/>
  <c r="E212" i="2"/>
  <c r="C212" i="2"/>
  <c r="D212" i="2" s="1"/>
  <c r="E204" i="2"/>
  <c r="C204" i="2"/>
  <c r="D204" i="2" s="1"/>
  <c r="E196" i="2"/>
  <c r="C196" i="2"/>
  <c r="D196" i="2" s="1"/>
  <c r="E188" i="2"/>
  <c r="C188" i="2"/>
  <c r="D188" i="2" s="1"/>
  <c r="E180" i="2"/>
  <c r="C180" i="2"/>
  <c r="D180" i="2" s="1"/>
  <c r="E172" i="2"/>
  <c r="C172" i="2"/>
  <c r="D172" i="2" s="1"/>
  <c r="E164" i="2"/>
  <c r="C164" i="2"/>
  <c r="D164" i="2" s="1"/>
  <c r="E156" i="2"/>
  <c r="C156" i="2"/>
  <c r="D156" i="2" s="1"/>
  <c r="E148" i="2"/>
  <c r="C148" i="2"/>
  <c r="D148" i="2" s="1"/>
  <c r="E140" i="2"/>
  <c r="C140" i="2"/>
  <c r="D140" i="2" s="1"/>
  <c r="E1280" i="2"/>
  <c r="C1280" i="2"/>
  <c r="D1280" i="2" s="1"/>
  <c r="E1395" i="2"/>
  <c r="C1395" i="2"/>
  <c r="D1395" i="2" s="1"/>
  <c r="E1363" i="2"/>
  <c r="C1363" i="2"/>
  <c r="D1363" i="2" s="1"/>
  <c r="E1331" i="2"/>
  <c r="C1331" i="2"/>
  <c r="D1331" i="2" s="1"/>
  <c r="E1307" i="2"/>
  <c r="C1307" i="2"/>
  <c r="D1307" i="2" s="1"/>
  <c r="E1283" i="2"/>
  <c r="C1283" i="2"/>
  <c r="D1283" i="2" s="1"/>
  <c r="E1251" i="2"/>
  <c r="C1251" i="2"/>
  <c r="D1251" i="2" s="1"/>
  <c r="E1227" i="2"/>
  <c r="C1227" i="2"/>
  <c r="D1227" i="2" s="1"/>
  <c r="E1203" i="2"/>
  <c r="C1203" i="2"/>
  <c r="D1203" i="2" s="1"/>
  <c r="E1179" i="2"/>
  <c r="C1179" i="2"/>
  <c r="D1179" i="2" s="1"/>
  <c r="E1155" i="2"/>
  <c r="C1155" i="2"/>
  <c r="D1155" i="2" s="1"/>
  <c r="E1115" i="2"/>
  <c r="C1115" i="2"/>
  <c r="D1115" i="2" s="1"/>
  <c r="E1091" i="2"/>
  <c r="C1091" i="2"/>
  <c r="D1091" i="2" s="1"/>
  <c r="E1059" i="2"/>
  <c r="C1059" i="2"/>
  <c r="D1059" i="2" s="1"/>
  <c r="E1035" i="2"/>
  <c r="C1035" i="2"/>
  <c r="D1035" i="2" s="1"/>
  <c r="E1011" i="2"/>
  <c r="C1011" i="2"/>
  <c r="D1011" i="2" s="1"/>
  <c r="E987" i="2"/>
  <c r="C987" i="2"/>
  <c r="D987" i="2" s="1"/>
  <c r="E963" i="2"/>
  <c r="C963" i="2"/>
  <c r="D963" i="2" s="1"/>
  <c r="E939" i="2"/>
  <c r="C939" i="2"/>
  <c r="D939" i="2" s="1"/>
  <c r="E923" i="2"/>
  <c r="C923" i="2"/>
  <c r="D923" i="2" s="1"/>
  <c r="E907" i="2"/>
  <c r="C907" i="2"/>
  <c r="D907" i="2" s="1"/>
  <c r="E891" i="2"/>
  <c r="C891" i="2"/>
  <c r="D891" i="2" s="1"/>
  <c r="E883" i="2"/>
  <c r="C883" i="2"/>
  <c r="D883" i="2" s="1"/>
  <c r="E867" i="2"/>
  <c r="C867" i="2"/>
  <c r="D867" i="2" s="1"/>
  <c r="E859" i="2"/>
  <c r="C859" i="2"/>
  <c r="D859" i="2" s="1"/>
  <c r="E851" i="2"/>
  <c r="C851" i="2"/>
  <c r="D851" i="2" s="1"/>
  <c r="E843" i="2"/>
  <c r="C843" i="2"/>
  <c r="D843" i="2" s="1"/>
  <c r="E835" i="2"/>
  <c r="C835" i="2"/>
  <c r="D835" i="2" s="1"/>
  <c r="E827" i="2"/>
  <c r="C827" i="2"/>
  <c r="D827" i="2" s="1"/>
  <c r="E811" i="2"/>
  <c r="C811" i="2"/>
  <c r="D811" i="2" s="1"/>
  <c r="E803" i="2"/>
  <c r="C803" i="2"/>
  <c r="D803" i="2" s="1"/>
  <c r="E795" i="2"/>
  <c r="C795" i="2"/>
  <c r="D795" i="2" s="1"/>
  <c r="E787" i="2"/>
  <c r="C787" i="2"/>
  <c r="D787" i="2" s="1"/>
  <c r="E779" i="2"/>
  <c r="C779" i="2"/>
  <c r="D779" i="2" s="1"/>
  <c r="E771" i="2"/>
  <c r="C771" i="2"/>
  <c r="D771" i="2" s="1"/>
  <c r="E763" i="2"/>
  <c r="C763" i="2"/>
  <c r="D763" i="2" s="1"/>
  <c r="E755" i="2"/>
  <c r="C755" i="2"/>
  <c r="D755" i="2" s="1"/>
  <c r="C739" i="2"/>
  <c r="D739" i="2" s="1"/>
  <c r="E739" i="2"/>
  <c r="C731" i="2"/>
  <c r="D731" i="2" s="1"/>
  <c r="E731" i="2"/>
  <c r="C723" i="2"/>
  <c r="D723" i="2" s="1"/>
  <c r="E723" i="2"/>
  <c r="E715" i="2"/>
  <c r="C715" i="2"/>
  <c r="D715" i="2" s="1"/>
  <c r="E707" i="2"/>
  <c r="C707" i="2"/>
  <c r="D707" i="2" s="1"/>
  <c r="E699" i="2"/>
  <c r="C699" i="2"/>
  <c r="D699" i="2" s="1"/>
  <c r="C691" i="2"/>
  <c r="D691" i="2" s="1"/>
  <c r="E691" i="2"/>
  <c r="E683" i="2"/>
  <c r="C683" i="2"/>
  <c r="D683" i="2" s="1"/>
  <c r="C675" i="2"/>
  <c r="D675" i="2" s="1"/>
  <c r="E675" i="2"/>
  <c r="C667" i="2"/>
  <c r="D667" i="2" s="1"/>
  <c r="E667" i="2"/>
  <c r="E659" i="2"/>
  <c r="C659" i="2"/>
  <c r="D659" i="2" s="1"/>
  <c r="E651" i="2"/>
  <c r="C651" i="2"/>
  <c r="D651" i="2" s="1"/>
  <c r="E643" i="2"/>
  <c r="C643" i="2"/>
  <c r="D643" i="2" s="1"/>
  <c r="C635" i="2"/>
  <c r="D635" i="2" s="1"/>
  <c r="E635" i="2"/>
  <c r="C627" i="2"/>
  <c r="D627" i="2" s="1"/>
  <c r="E627" i="2"/>
  <c r="E619" i="2"/>
  <c r="C619" i="2"/>
  <c r="D619" i="2" s="1"/>
  <c r="C611" i="2"/>
  <c r="D611" i="2" s="1"/>
  <c r="E611" i="2"/>
  <c r="E603" i="2"/>
  <c r="C603" i="2"/>
  <c r="D603" i="2" s="1"/>
  <c r="C595" i="2"/>
  <c r="D595" i="2" s="1"/>
  <c r="E595" i="2"/>
  <c r="E587" i="2"/>
  <c r="C587" i="2"/>
  <c r="D587" i="2" s="1"/>
  <c r="E579" i="2"/>
  <c r="C579" i="2"/>
  <c r="D579" i="2" s="1"/>
  <c r="C571" i="2"/>
  <c r="D571" i="2" s="1"/>
  <c r="E571" i="2"/>
  <c r="C563" i="2"/>
  <c r="D563" i="2" s="1"/>
  <c r="E563" i="2"/>
  <c r="E555" i="2"/>
  <c r="C555" i="2"/>
  <c r="D555" i="2" s="1"/>
  <c r="E547" i="2"/>
  <c r="C547" i="2"/>
  <c r="D547" i="2" s="1"/>
  <c r="C539" i="2"/>
  <c r="D539" i="2" s="1"/>
  <c r="E539" i="2"/>
  <c r="C531" i="2"/>
  <c r="D531" i="2" s="1"/>
  <c r="E531" i="2"/>
  <c r="E523" i="2"/>
  <c r="C523" i="2"/>
  <c r="D523" i="2" s="1"/>
  <c r="E515" i="2"/>
  <c r="C515" i="2"/>
  <c r="D515" i="2" s="1"/>
  <c r="C507" i="2"/>
  <c r="D507" i="2" s="1"/>
  <c r="E507" i="2"/>
  <c r="E499" i="2"/>
  <c r="C499" i="2"/>
  <c r="D499" i="2" s="1"/>
  <c r="E491" i="2"/>
  <c r="C491" i="2"/>
  <c r="D491" i="2" s="1"/>
  <c r="C483" i="2"/>
  <c r="D483" i="2" s="1"/>
  <c r="E483" i="2"/>
  <c r="C475" i="2"/>
  <c r="D475" i="2" s="1"/>
  <c r="E475" i="2"/>
  <c r="C467" i="2"/>
  <c r="D467" i="2" s="1"/>
  <c r="E467" i="2"/>
  <c r="E459" i="2"/>
  <c r="C459" i="2"/>
  <c r="D459" i="2" s="1"/>
  <c r="E451" i="2"/>
  <c r="C451" i="2"/>
  <c r="D451" i="2" s="1"/>
  <c r="E443" i="2"/>
  <c r="C443" i="2"/>
  <c r="D443" i="2" s="1"/>
  <c r="C435" i="2"/>
  <c r="D435" i="2" s="1"/>
  <c r="E435" i="2"/>
  <c r="E427" i="2"/>
  <c r="C427" i="2"/>
  <c r="D427" i="2" s="1"/>
  <c r="C419" i="2"/>
  <c r="D419" i="2" s="1"/>
  <c r="E419" i="2"/>
  <c r="C411" i="2"/>
  <c r="D411" i="2" s="1"/>
  <c r="E411" i="2"/>
  <c r="E403" i="2"/>
  <c r="C403" i="2"/>
  <c r="D403" i="2" s="1"/>
  <c r="E395" i="2"/>
  <c r="C395" i="2"/>
  <c r="D395" i="2" s="1"/>
  <c r="E387" i="2"/>
  <c r="C387" i="2"/>
  <c r="D387" i="2" s="1"/>
  <c r="C379" i="2"/>
  <c r="D379" i="2" s="1"/>
  <c r="E379" i="2"/>
  <c r="C371" i="2"/>
  <c r="D371" i="2" s="1"/>
  <c r="E371" i="2"/>
  <c r="E363" i="2"/>
  <c r="C363" i="2"/>
  <c r="D363" i="2" s="1"/>
  <c r="C355" i="2"/>
  <c r="D355" i="2" s="1"/>
  <c r="E355" i="2"/>
  <c r="E347" i="2"/>
  <c r="C347" i="2"/>
  <c r="D347" i="2" s="1"/>
  <c r="C339" i="2"/>
  <c r="D339" i="2" s="1"/>
  <c r="E339" i="2"/>
  <c r="E331" i="2"/>
  <c r="C331" i="2"/>
  <c r="D331" i="2" s="1"/>
  <c r="E323" i="2"/>
  <c r="C323" i="2"/>
  <c r="D323" i="2" s="1"/>
  <c r="C315" i="2"/>
  <c r="D315" i="2" s="1"/>
  <c r="E315" i="2"/>
  <c r="C307" i="2"/>
  <c r="D307" i="2" s="1"/>
  <c r="E307" i="2"/>
  <c r="E299" i="2"/>
  <c r="C299" i="2"/>
  <c r="D299" i="2" s="1"/>
  <c r="E291" i="2"/>
  <c r="C291" i="2"/>
  <c r="D291" i="2" s="1"/>
  <c r="C283" i="2"/>
  <c r="D283" i="2" s="1"/>
  <c r="E283" i="2"/>
  <c r="C275" i="2"/>
  <c r="D275" i="2" s="1"/>
  <c r="E275" i="2"/>
  <c r="E267" i="2"/>
  <c r="C267" i="2"/>
  <c r="D267" i="2" s="1"/>
  <c r="E259" i="2"/>
  <c r="C259" i="2"/>
  <c r="D259" i="2" s="1"/>
  <c r="C251" i="2"/>
  <c r="D251" i="2" s="1"/>
  <c r="E251" i="2"/>
  <c r="E243" i="2"/>
  <c r="C243" i="2"/>
  <c r="D243" i="2" s="1"/>
  <c r="E235" i="2"/>
  <c r="C235" i="2"/>
  <c r="D235" i="2" s="1"/>
  <c r="C227" i="2"/>
  <c r="D227" i="2" s="1"/>
  <c r="E227" i="2"/>
  <c r="C219" i="2"/>
  <c r="D219" i="2" s="1"/>
  <c r="E219" i="2"/>
  <c r="E211" i="2"/>
  <c r="C211" i="2"/>
  <c r="D211" i="2" s="1"/>
  <c r="E203" i="2"/>
  <c r="C203" i="2"/>
  <c r="D203" i="2" s="1"/>
  <c r="E195" i="2"/>
  <c r="C195" i="2"/>
  <c r="D195" i="2" s="1"/>
  <c r="E1424" i="2"/>
  <c r="C1424" i="2"/>
  <c r="D1424" i="2" s="1"/>
  <c r="E1264" i="2"/>
  <c r="C1264" i="2"/>
  <c r="D1264" i="2" s="1"/>
  <c r="E1419" i="2"/>
  <c r="C1419" i="2"/>
  <c r="D1419" i="2" s="1"/>
  <c r="E1403" i="2"/>
  <c r="C1403" i="2"/>
  <c r="D1403" i="2" s="1"/>
  <c r="E1379" i="2"/>
  <c r="C1379" i="2"/>
  <c r="D1379" i="2" s="1"/>
  <c r="E1355" i="2"/>
  <c r="C1355" i="2"/>
  <c r="D1355" i="2" s="1"/>
  <c r="E1339" i="2"/>
  <c r="C1339" i="2"/>
  <c r="D1339" i="2" s="1"/>
  <c r="E1315" i="2"/>
  <c r="C1315" i="2"/>
  <c r="D1315" i="2" s="1"/>
  <c r="E1291" i="2"/>
  <c r="C1291" i="2"/>
  <c r="D1291" i="2" s="1"/>
  <c r="E1267" i="2"/>
  <c r="C1267" i="2"/>
  <c r="D1267" i="2" s="1"/>
  <c r="E1243" i="2"/>
  <c r="C1243" i="2"/>
  <c r="D1243" i="2" s="1"/>
  <c r="E1219" i="2"/>
  <c r="C1219" i="2"/>
  <c r="D1219" i="2" s="1"/>
  <c r="E1195" i="2"/>
  <c r="C1195" i="2"/>
  <c r="D1195" i="2" s="1"/>
  <c r="E1171" i="2"/>
  <c r="C1171" i="2"/>
  <c r="D1171" i="2" s="1"/>
  <c r="E1139" i="2"/>
  <c r="C1139" i="2"/>
  <c r="D1139" i="2" s="1"/>
  <c r="E1123" i="2"/>
  <c r="C1123" i="2"/>
  <c r="D1123" i="2" s="1"/>
  <c r="E1099" i="2"/>
  <c r="C1099" i="2"/>
  <c r="D1099" i="2" s="1"/>
  <c r="E1075" i="2"/>
  <c r="C1075" i="2"/>
  <c r="D1075" i="2" s="1"/>
  <c r="E1051" i="2"/>
  <c r="C1051" i="2"/>
  <c r="D1051" i="2" s="1"/>
  <c r="E1027" i="2"/>
  <c r="C1027" i="2"/>
  <c r="D1027" i="2" s="1"/>
  <c r="E1003" i="2"/>
  <c r="C1003" i="2"/>
  <c r="D1003" i="2" s="1"/>
  <c r="E971" i="2"/>
  <c r="C971" i="2"/>
  <c r="D971" i="2" s="1"/>
  <c r="E819" i="2"/>
  <c r="C819" i="2"/>
  <c r="D819" i="2" s="1"/>
  <c r="E1410" i="2"/>
  <c r="C1410" i="2"/>
  <c r="D1410" i="2" s="1"/>
  <c r="E1394" i="2"/>
  <c r="C1394" i="2"/>
  <c r="D1394" i="2" s="1"/>
  <c r="E1378" i="2"/>
  <c r="C1378" i="2"/>
  <c r="D1378" i="2" s="1"/>
  <c r="E1362" i="2"/>
  <c r="C1362" i="2"/>
  <c r="D1362" i="2" s="1"/>
  <c r="E1338" i="2"/>
  <c r="C1338" i="2"/>
  <c r="D1338" i="2" s="1"/>
  <c r="E1322" i="2"/>
  <c r="C1322" i="2"/>
  <c r="D1322" i="2" s="1"/>
  <c r="E1298" i="2"/>
  <c r="C1298" i="2"/>
  <c r="D1298" i="2" s="1"/>
  <c r="E1274" i="2"/>
  <c r="C1274" i="2"/>
  <c r="D1274" i="2" s="1"/>
  <c r="E1250" i="2"/>
  <c r="C1250" i="2"/>
  <c r="D1250" i="2" s="1"/>
  <c r="E1234" i="2"/>
  <c r="C1234" i="2"/>
  <c r="D1234" i="2" s="1"/>
  <c r="E1218" i="2"/>
  <c r="C1218" i="2"/>
  <c r="D1218" i="2" s="1"/>
  <c r="E1202" i="2"/>
  <c r="C1202" i="2"/>
  <c r="D1202" i="2" s="1"/>
  <c r="E1186" i="2"/>
  <c r="C1186" i="2"/>
  <c r="D1186" i="2" s="1"/>
  <c r="E1170" i="2"/>
  <c r="C1170" i="2"/>
  <c r="D1170" i="2" s="1"/>
  <c r="E1154" i="2"/>
  <c r="C1154" i="2"/>
  <c r="D1154" i="2" s="1"/>
  <c r="E1138" i="2"/>
  <c r="C1138" i="2"/>
  <c r="D1138" i="2" s="1"/>
  <c r="E1114" i="2"/>
  <c r="C1114" i="2"/>
  <c r="D1114" i="2" s="1"/>
  <c r="E1098" i="2"/>
  <c r="C1098" i="2"/>
  <c r="D1098" i="2" s="1"/>
  <c r="E1082" i="2"/>
  <c r="C1082" i="2"/>
  <c r="D1082" i="2" s="1"/>
  <c r="E1058" i="2"/>
  <c r="C1058" i="2"/>
  <c r="D1058" i="2" s="1"/>
  <c r="E1042" i="2"/>
  <c r="C1042" i="2"/>
  <c r="D1042" i="2" s="1"/>
  <c r="E1026" i="2"/>
  <c r="C1026" i="2"/>
  <c r="D1026" i="2" s="1"/>
  <c r="E1010" i="2"/>
  <c r="C1010" i="2"/>
  <c r="D1010" i="2" s="1"/>
  <c r="E994" i="2"/>
  <c r="C994" i="2"/>
  <c r="D994" i="2" s="1"/>
  <c r="E978" i="2"/>
  <c r="C978" i="2"/>
  <c r="D978" i="2" s="1"/>
  <c r="E962" i="2"/>
  <c r="C962" i="2"/>
  <c r="D962" i="2" s="1"/>
  <c r="E946" i="2"/>
  <c r="C946" i="2"/>
  <c r="D946" i="2" s="1"/>
  <c r="E930" i="2"/>
  <c r="C930" i="2"/>
  <c r="D930" i="2" s="1"/>
  <c r="E922" i="2"/>
  <c r="C922" i="2"/>
  <c r="D922" i="2" s="1"/>
  <c r="E914" i="2"/>
  <c r="C914" i="2"/>
  <c r="D914" i="2" s="1"/>
  <c r="E906" i="2"/>
  <c r="C906" i="2"/>
  <c r="D906" i="2" s="1"/>
  <c r="E898" i="2"/>
  <c r="C898" i="2"/>
  <c r="D898" i="2" s="1"/>
  <c r="E890" i="2"/>
  <c r="C890" i="2"/>
  <c r="D890" i="2" s="1"/>
  <c r="E882" i="2"/>
  <c r="C882" i="2"/>
  <c r="D882" i="2" s="1"/>
  <c r="E874" i="2"/>
  <c r="C874" i="2"/>
  <c r="D874" i="2" s="1"/>
  <c r="E866" i="2"/>
  <c r="C866" i="2"/>
  <c r="D866" i="2" s="1"/>
  <c r="E858" i="2"/>
  <c r="C858" i="2"/>
  <c r="D858" i="2" s="1"/>
  <c r="E842" i="2"/>
  <c r="C842" i="2"/>
  <c r="D842" i="2" s="1"/>
  <c r="E834" i="2"/>
  <c r="C834" i="2"/>
  <c r="D834" i="2" s="1"/>
  <c r="E826" i="2"/>
  <c r="C826" i="2"/>
  <c r="D826" i="2" s="1"/>
  <c r="E818" i="2"/>
  <c r="C818" i="2"/>
  <c r="D818" i="2" s="1"/>
  <c r="E810" i="2"/>
  <c r="C810" i="2"/>
  <c r="D810" i="2" s="1"/>
  <c r="E802" i="2"/>
  <c r="C802" i="2"/>
  <c r="D802" i="2" s="1"/>
  <c r="E1408" i="2"/>
  <c r="C1408" i="2"/>
  <c r="D1408" i="2" s="1"/>
  <c r="E1256" i="2"/>
  <c r="C1256" i="2"/>
  <c r="D1256" i="2" s="1"/>
  <c r="E1474" i="2"/>
  <c r="E1473" i="2"/>
  <c r="E1467" i="2"/>
  <c r="E1458" i="2"/>
  <c r="E1463" i="2"/>
  <c r="E1462" i="2"/>
  <c r="E1476" i="2"/>
  <c r="E1450" i="2"/>
  <c r="E1465" i="2"/>
  <c r="E1435" i="2"/>
  <c r="E1446" i="2"/>
  <c r="E1455" i="2"/>
  <c r="E1470" i="2"/>
  <c r="E1477" i="2"/>
  <c r="E1438" i="2"/>
  <c r="E1428" i="2"/>
  <c r="E1452" i="2"/>
  <c r="E1434" i="2"/>
  <c r="E1457" i="2"/>
  <c r="E1466" i="2"/>
  <c r="E1472" i="2"/>
  <c r="E1460" i="2"/>
  <c r="E1447" i="2"/>
  <c r="E1430" i="2"/>
  <c r="E1469" i="2"/>
  <c r="E1436" i="2"/>
  <c r="E1449" i="2"/>
  <c r="E1442" i="2"/>
  <c r="E1464" i="2"/>
  <c r="E1439" i="2"/>
  <c r="E1461" i="2"/>
  <c r="E1441" i="2"/>
  <c r="E1468" i="2"/>
  <c r="E1456" i="2"/>
  <c r="E1431" i="2"/>
  <c r="E1453" i="2"/>
  <c r="E1427" i="2"/>
  <c r="E1475" i="2"/>
  <c r="E1433" i="2"/>
  <c r="E1448" i="2"/>
  <c r="E1445" i="2"/>
  <c r="E1443" i="2"/>
  <c r="E1454" i="2"/>
  <c r="E1432" i="2"/>
  <c r="E1471" i="2"/>
  <c r="E1429" i="2"/>
  <c r="E1444" i="2"/>
  <c r="E1459" i="2"/>
  <c r="E1437" i="2"/>
  <c r="E1451" i="2"/>
  <c r="E1440" i="2"/>
  <c r="E2" i="2"/>
  <c r="E1411" i="2"/>
  <c r="C1411" i="2"/>
  <c r="D1411" i="2" s="1"/>
  <c r="E1387" i="2"/>
  <c r="C1387" i="2"/>
  <c r="D1387" i="2" s="1"/>
  <c r="E1371" i="2"/>
  <c r="C1371" i="2"/>
  <c r="D1371" i="2" s="1"/>
  <c r="E1347" i="2"/>
  <c r="C1347" i="2"/>
  <c r="D1347" i="2" s="1"/>
  <c r="E1323" i="2"/>
  <c r="C1323" i="2"/>
  <c r="D1323" i="2" s="1"/>
  <c r="E1299" i="2"/>
  <c r="C1299" i="2"/>
  <c r="D1299" i="2" s="1"/>
  <c r="E1275" i="2"/>
  <c r="C1275" i="2"/>
  <c r="D1275" i="2" s="1"/>
  <c r="E1259" i="2"/>
  <c r="C1259" i="2"/>
  <c r="D1259" i="2" s="1"/>
  <c r="E1235" i="2"/>
  <c r="C1235" i="2"/>
  <c r="D1235" i="2" s="1"/>
  <c r="E1211" i="2"/>
  <c r="C1211" i="2"/>
  <c r="D1211" i="2" s="1"/>
  <c r="E1187" i="2"/>
  <c r="C1187" i="2"/>
  <c r="D1187" i="2" s="1"/>
  <c r="E1163" i="2"/>
  <c r="C1163" i="2"/>
  <c r="D1163" i="2" s="1"/>
  <c r="E1147" i="2"/>
  <c r="C1147" i="2"/>
  <c r="D1147" i="2" s="1"/>
  <c r="E1131" i="2"/>
  <c r="C1131" i="2"/>
  <c r="D1131" i="2" s="1"/>
  <c r="E1107" i="2"/>
  <c r="C1107" i="2"/>
  <c r="D1107" i="2" s="1"/>
  <c r="E1083" i="2"/>
  <c r="C1083" i="2"/>
  <c r="D1083" i="2" s="1"/>
  <c r="E1067" i="2"/>
  <c r="C1067" i="2"/>
  <c r="D1067" i="2" s="1"/>
  <c r="E1043" i="2"/>
  <c r="C1043" i="2"/>
  <c r="D1043" i="2" s="1"/>
  <c r="E1019" i="2"/>
  <c r="C1019" i="2"/>
  <c r="D1019" i="2" s="1"/>
  <c r="E995" i="2"/>
  <c r="C995" i="2"/>
  <c r="D995" i="2" s="1"/>
  <c r="E979" i="2"/>
  <c r="C979" i="2"/>
  <c r="D979" i="2" s="1"/>
  <c r="E955" i="2"/>
  <c r="C955" i="2"/>
  <c r="D955" i="2" s="1"/>
  <c r="E947" i="2"/>
  <c r="C947" i="2"/>
  <c r="D947" i="2" s="1"/>
  <c r="E931" i="2"/>
  <c r="C931" i="2"/>
  <c r="D931" i="2" s="1"/>
  <c r="E915" i="2"/>
  <c r="C915" i="2"/>
  <c r="D915" i="2" s="1"/>
  <c r="E899" i="2"/>
  <c r="C899" i="2"/>
  <c r="D899" i="2" s="1"/>
  <c r="E875" i="2"/>
  <c r="C875" i="2"/>
  <c r="D875" i="2" s="1"/>
  <c r="E747" i="2"/>
  <c r="C747" i="2"/>
  <c r="D747" i="2" s="1"/>
  <c r="E1426" i="2"/>
  <c r="C1426" i="2"/>
  <c r="D1426" i="2" s="1"/>
  <c r="E1418" i="2"/>
  <c r="C1418" i="2"/>
  <c r="D1418" i="2" s="1"/>
  <c r="E1402" i="2"/>
  <c r="C1402" i="2"/>
  <c r="D1402" i="2" s="1"/>
  <c r="E1386" i="2"/>
  <c r="C1386" i="2"/>
  <c r="D1386" i="2" s="1"/>
  <c r="E1370" i="2"/>
  <c r="C1370" i="2"/>
  <c r="D1370" i="2" s="1"/>
  <c r="E1354" i="2"/>
  <c r="C1354" i="2"/>
  <c r="D1354" i="2" s="1"/>
  <c r="E1346" i="2"/>
  <c r="C1346" i="2"/>
  <c r="D1346" i="2" s="1"/>
  <c r="E1330" i="2"/>
  <c r="C1330" i="2"/>
  <c r="D1330" i="2" s="1"/>
  <c r="E1314" i="2"/>
  <c r="C1314" i="2"/>
  <c r="D1314" i="2" s="1"/>
  <c r="E1306" i="2"/>
  <c r="C1306" i="2"/>
  <c r="D1306" i="2" s="1"/>
  <c r="E1290" i="2"/>
  <c r="C1290" i="2"/>
  <c r="D1290" i="2" s="1"/>
  <c r="E1282" i="2"/>
  <c r="C1282" i="2"/>
  <c r="D1282" i="2" s="1"/>
  <c r="E1266" i="2"/>
  <c r="C1266" i="2"/>
  <c r="D1266" i="2" s="1"/>
  <c r="E1258" i="2"/>
  <c r="C1258" i="2"/>
  <c r="D1258" i="2" s="1"/>
  <c r="E1242" i="2"/>
  <c r="C1242" i="2"/>
  <c r="D1242" i="2" s="1"/>
  <c r="E1226" i="2"/>
  <c r="C1226" i="2"/>
  <c r="D1226" i="2" s="1"/>
  <c r="E1210" i="2"/>
  <c r="C1210" i="2"/>
  <c r="D1210" i="2" s="1"/>
  <c r="E1194" i="2"/>
  <c r="C1194" i="2"/>
  <c r="D1194" i="2" s="1"/>
  <c r="E1178" i="2"/>
  <c r="C1178" i="2"/>
  <c r="D1178" i="2" s="1"/>
  <c r="E1162" i="2"/>
  <c r="C1162" i="2"/>
  <c r="D1162" i="2" s="1"/>
  <c r="E1146" i="2"/>
  <c r="C1146" i="2"/>
  <c r="D1146" i="2" s="1"/>
  <c r="E1130" i="2"/>
  <c r="C1130" i="2"/>
  <c r="D1130" i="2" s="1"/>
  <c r="E1122" i="2"/>
  <c r="C1122" i="2"/>
  <c r="D1122" i="2" s="1"/>
  <c r="E1106" i="2"/>
  <c r="C1106" i="2"/>
  <c r="D1106" i="2" s="1"/>
  <c r="E1090" i="2"/>
  <c r="C1090" i="2"/>
  <c r="D1090" i="2" s="1"/>
  <c r="E1074" i="2"/>
  <c r="C1074" i="2"/>
  <c r="D1074" i="2" s="1"/>
  <c r="E1066" i="2"/>
  <c r="C1066" i="2"/>
  <c r="D1066" i="2" s="1"/>
  <c r="E1050" i="2"/>
  <c r="C1050" i="2"/>
  <c r="D1050" i="2" s="1"/>
  <c r="E1034" i="2"/>
  <c r="C1034" i="2"/>
  <c r="D1034" i="2" s="1"/>
  <c r="E1018" i="2"/>
  <c r="C1018" i="2"/>
  <c r="D1018" i="2" s="1"/>
  <c r="E1002" i="2"/>
  <c r="C1002" i="2"/>
  <c r="D1002" i="2" s="1"/>
  <c r="E986" i="2"/>
  <c r="C986" i="2"/>
  <c r="D986" i="2" s="1"/>
  <c r="E970" i="2"/>
  <c r="C970" i="2"/>
  <c r="D970" i="2" s="1"/>
  <c r="E954" i="2"/>
  <c r="C954" i="2"/>
  <c r="D954" i="2" s="1"/>
  <c r="E938" i="2"/>
  <c r="C938" i="2"/>
  <c r="D938" i="2" s="1"/>
  <c r="E850" i="2"/>
  <c r="C850" i="2"/>
  <c r="D850" i="2" s="1"/>
  <c r="E1425" i="2"/>
  <c r="C1425" i="2"/>
  <c r="D1425" i="2" s="1"/>
  <c r="E1417" i="2"/>
  <c r="C1417" i="2"/>
  <c r="D1417" i="2" s="1"/>
  <c r="E1409" i="2"/>
  <c r="C1409" i="2"/>
  <c r="D1409" i="2" s="1"/>
  <c r="E1401" i="2"/>
  <c r="C1401" i="2"/>
  <c r="D1401" i="2" s="1"/>
  <c r="E1393" i="2"/>
  <c r="C1393" i="2"/>
  <c r="D1393" i="2" s="1"/>
  <c r="E1385" i="2"/>
  <c r="C1385" i="2"/>
  <c r="D1385" i="2" s="1"/>
  <c r="E1377" i="2"/>
  <c r="C1377" i="2"/>
  <c r="D1377" i="2" s="1"/>
  <c r="E1369" i="2"/>
  <c r="C1369" i="2"/>
  <c r="D1369" i="2" s="1"/>
  <c r="E1361" i="2"/>
  <c r="C1361" i="2"/>
  <c r="D1361" i="2" s="1"/>
  <c r="E1353" i="2"/>
  <c r="C1353" i="2"/>
  <c r="D1353" i="2" s="1"/>
  <c r="E1345" i="2"/>
  <c r="C1345" i="2"/>
  <c r="D1345" i="2" s="1"/>
  <c r="E1337" i="2"/>
  <c r="C1337" i="2"/>
  <c r="D1337" i="2" s="1"/>
  <c r="E1329" i="2"/>
  <c r="C1329" i="2"/>
  <c r="D1329" i="2" s="1"/>
  <c r="E1321" i="2"/>
  <c r="C1321" i="2"/>
  <c r="D1321" i="2" s="1"/>
  <c r="E1313" i="2"/>
  <c r="C1313" i="2"/>
  <c r="D1313" i="2" s="1"/>
  <c r="E1305" i="2"/>
  <c r="C1305" i="2"/>
  <c r="D1305" i="2" s="1"/>
  <c r="E1297" i="2"/>
  <c r="C1297" i="2"/>
  <c r="D1297" i="2" s="1"/>
  <c r="E1289" i="2"/>
  <c r="C1289" i="2"/>
  <c r="D1289" i="2" s="1"/>
  <c r="E1281" i="2"/>
  <c r="C1281" i="2"/>
  <c r="D1281" i="2" s="1"/>
  <c r="E1273" i="2"/>
  <c r="C1273" i="2"/>
  <c r="D1273" i="2" s="1"/>
  <c r="E1265" i="2"/>
  <c r="C1265" i="2"/>
  <c r="D1265" i="2" s="1"/>
  <c r="E1257" i="2"/>
  <c r="C1257" i="2"/>
  <c r="D1257" i="2" s="1"/>
  <c r="E1249" i="2"/>
  <c r="C1249" i="2"/>
  <c r="D1249" i="2" s="1"/>
  <c r="E1241" i="2"/>
  <c r="C1241" i="2"/>
  <c r="D1241" i="2" s="1"/>
  <c r="E1233" i="2"/>
  <c r="C1233" i="2"/>
  <c r="D1233" i="2" s="1"/>
  <c r="E1225" i="2"/>
  <c r="C1225" i="2"/>
  <c r="D1225" i="2" s="1"/>
  <c r="E1217" i="2"/>
  <c r="C1217" i="2"/>
  <c r="D1217" i="2" s="1"/>
  <c r="E1209" i="2"/>
  <c r="C1209" i="2"/>
  <c r="D1209" i="2" s="1"/>
  <c r="E1201" i="2"/>
  <c r="C1201" i="2"/>
  <c r="D1201" i="2" s="1"/>
  <c r="C1193" i="2"/>
  <c r="D1193" i="2" s="1"/>
  <c r="E1193" i="2"/>
  <c r="E1185" i="2"/>
  <c r="C1185" i="2"/>
  <c r="D1185" i="2" s="1"/>
  <c r="E1177" i="2"/>
  <c r="C1177" i="2"/>
  <c r="D1177" i="2" s="1"/>
  <c r="E1169" i="2"/>
  <c r="C1169" i="2"/>
  <c r="D1169" i="2" s="1"/>
  <c r="C1161" i="2"/>
  <c r="D1161" i="2" s="1"/>
  <c r="E1161" i="2"/>
  <c r="E1153" i="2"/>
  <c r="C1153" i="2"/>
  <c r="D1153" i="2" s="1"/>
  <c r="E1145" i="2"/>
  <c r="C1145" i="2"/>
  <c r="D1145" i="2" s="1"/>
  <c r="E1137" i="2"/>
  <c r="C1137" i="2"/>
  <c r="D1137" i="2" s="1"/>
  <c r="E1129" i="2"/>
  <c r="C1129" i="2"/>
  <c r="D1129" i="2" s="1"/>
  <c r="E1121" i="2"/>
  <c r="C1121" i="2"/>
  <c r="D1121" i="2" s="1"/>
  <c r="E1113" i="2"/>
  <c r="C1113" i="2"/>
  <c r="D1113" i="2" s="1"/>
  <c r="E1105" i="2"/>
  <c r="C1105" i="2"/>
  <c r="D1105" i="2" s="1"/>
  <c r="E1097" i="2"/>
  <c r="C1097" i="2"/>
  <c r="D1097" i="2" s="1"/>
  <c r="E1089" i="2"/>
  <c r="C1089" i="2"/>
  <c r="D1089" i="2" s="1"/>
  <c r="E1081" i="2"/>
  <c r="C1081" i="2"/>
  <c r="D1081" i="2" s="1"/>
  <c r="E1073" i="2"/>
  <c r="C1073" i="2"/>
  <c r="D1073" i="2" s="1"/>
  <c r="E1065" i="2"/>
  <c r="C1065" i="2"/>
  <c r="D1065" i="2" s="1"/>
  <c r="E1057" i="2"/>
  <c r="C1057" i="2"/>
  <c r="D1057" i="2" s="1"/>
  <c r="E1049" i="2"/>
  <c r="C1049" i="2"/>
  <c r="D1049" i="2" s="1"/>
  <c r="E1041" i="2"/>
  <c r="C1041" i="2"/>
  <c r="D1041" i="2" s="1"/>
  <c r="E1033" i="2"/>
  <c r="C1033" i="2"/>
  <c r="D1033" i="2" s="1"/>
  <c r="E1025" i="2"/>
  <c r="C1025" i="2"/>
  <c r="D1025" i="2" s="1"/>
  <c r="C1017" i="2"/>
  <c r="D1017" i="2" s="1"/>
  <c r="E1017" i="2"/>
  <c r="E1009" i="2"/>
  <c r="C1009" i="2"/>
  <c r="D1009" i="2" s="1"/>
  <c r="E1001" i="2"/>
  <c r="C1001" i="2"/>
  <c r="D1001" i="2" s="1"/>
  <c r="C993" i="2"/>
  <c r="D993" i="2" s="1"/>
  <c r="E993" i="2"/>
  <c r="E985" i="2"/>
  <c r="C985" i="2"/>
  <c r="D985" i="2" s="1"/>
  <c r="E977" i="2"/>
  <c r="C977" i="2"/>
  <c r="D977" i="2" s="1"/>
  <c r="E969" i="2"/>
  <c r="C969" i="2"/>
  <c r="D969" i="2" s="1"/>
  <c r="E961" i="2"/>
  <c r="C961" i="2"/>
  <c r="D961" i="2" s="1"/>
  <c r="E953" i="2"/>
  <c r="C953" i="2"/>
  <c r="D953" i="2" s="1"/>
  <c r="E945" i="2"/>
  <c r="C945" i="2"/>
  <c r="D945" i="2" s="1"/>
  <c r="E937" i="2"/>
  <c r="C937" i="2"/>
  <c r="D937" i="2" s="1"/>
  <c r="E929" i="2"/>
  <c r="C929" i="2"/>
  <c r="D929" i="2" s="1"/>
  <c r="E921" i="2"/>
  <c r="C921" i="2"/>
  <c r="D921" i="2" s="1"/>
  <c r="E913" i="2"/>
  <c r="C913" i="2"/>
  <c r="D913" i="2" s="1"/>
  <c r="E905" i="2"/>
  <c r="C905" i="2"/>
  <c r="D905" i="2" s="1"/>
  <c r="E897" i="2"/>
  <c r="C897" i="2"/>
  <c r="D897" i="2" s="1"/>
  <c r="C889" i="2"/>
  <c r="D889" i="2" s="1"/>
  <c r="E889" i="2"/>
  <c r="E1392" i="2"/>
  <c r="C1392" i="2"/>
  <c r="D1392" i="2" s="1"/>
  <c r="E1376" i="2"/>
  <c r="C1376" i="2"/>
  <c r="D1376" i="2" s="1"/>
  <c r="E1352" i="2"/>
  <c r="C1352" i="2"/>
  <c r="D1352" i="2" s="1"/>
  <c r="E1320" i="2"/>
  <c r="C1320" i="2"/>
  <c r="D1320" i="2" s="1"/>
  <c r="E1304" i="2"/>
  <c r="C1304" i="2"/>
  <c r="D1304" i="2" s="1"/>
  <c r="E1288" i="2"/>
  <c r="C1288" i="2"/>
  <c r="D1288" i="2" s="1"/>
  <c r="E1240" i="2"/>
  <c r="C1240" i="2"/>
  <c r="D1240" i="2" s="1"/>
  <c r="E1224" i="2"/>
  <c r="C1224" i="2"/>
  <c r="D1224" i="2" s="1"/>
  <c r="E1216" i="2"/>
  <c r="C1216" i="2"/>
  <c r="D1216" i="2" s="1"/>
  <c r="E1208" i="2"/>
  <c r="C1208" i="2"/>
  <c r="D1208" i="2" s="1"/>
  <c r="E1200" i="2"/>
  <c r="C1200" i="2"/>
  <c r="D1200" i="2" s="1"/>
  <c r="E1192" i="2"/>
  <c r="C1192" i="2"/>
  <c r="D1192" i="2" s="1"/>
  <c r="E1184" i="2"/>
  <c r="C1184" i="2"/>
  <c r="D1184" i="2" s="1"/>
  <c r="E1176" i="2"/>
  <c r="C1176" i="2"/>
  <c r="D1176" i="2" s="1"/>
  <c r="E1168" i="2"/>
  <c r="C1168" i="2"/>
  <c r="D1168" i="2" s="1"/>
  <c r="E1152" i="2"/>
  <c r="C1152" i="2"/>
  <c r="D1152" i="2" s="1"/>
  <c r="E1144" i="2"/>
  <c r="C1144" i="2"/>
  <c r="D1144" i="2" s="1"/>
  <c r="E1128" i="2"/>
  <c r="C1128" i="2"/>
  <c r="D1128" i="2" s="1"/>
  <c r="E1120" i="2"/>
  <c r="C1120" i="2"/>
  <c r="D1120" i="2" s="1"/>
  <c r="E1112" i="2"/>
  <c r="C1112" i="2"/>
  <c r="D1112" i="2" s="1"/>
  <c r="E1104" i="2"/>
  <c r="C1104" i="2"/>
  <c r="D1104" i="2" s="1"/>
  <c r="E1096" i="2"/>
  <c r="C1096" i="2"/>
  <c r="D1096" i="2" s="1"/>
  <c r="E1088" i="2"/>
  <c r="C1088" i="2"/>
  <c r="D1088" i="2" s="1"/>
  <c r="E1080" i="2"/>
  <c r="C1080" i="2"/>
  <c r="D1080" i="2" s="1"/>
  <c r="E1072" i="2"/>
  <c r="C1072" i="2"/>
  <c r="D1072" i="2" s="1"/>
  <c r="E1064" i="2"/>
  <c r="C1064" i="2"/>
  <c r="D1064" i="2" s="1"/>
  <c r="E1056" i="2"/>
  <c r="C1056" i="2"/>
  <c r="D1056" i="2" s="1"/>
  <c r="E1048" i="2"/>
  <c r="C1048" i="2"/>
  <c r="D1048" i="2" s="1"/>
  <c r="E1040" i="2"/>
  <c r="C1040" i="2"/>
  <c r="D1040" i="2" s="1"/>
  <c r="E1032" i="2"/>
  <c r="C1032" i="2"/>
  <c r="D1032" i="2" s="1"/>
  <c r="E1024" i="2"/>
  <c r="C1024" i="2"/>
  <c r="D1024" i="2" s="1"/>
  <c r="E1016" i="2"/>
  <c r="C1016" i="2"/>
  <c r="D1016" i="2" s="1"/>
  <c r="E1008" i="2"/>
  <c r="C1008" i="2"/>
  <c r="D1008" i="2" s="1"/>
  <c r="E1000" i="2"/>
  <c r="C1000" i="2"/>
  <c r="D1000" i="2" s="1"/>
  <c r="E992" i="2"/>
  <c r="C992" i="2"/>
  <c r="D992" i="2" s="1"/>
  <c r="E984" i="2"/>
  <c r="C984" i="2"/>
  <c r="D984" i="2" s="1"/>
  <c r="E976" i="2"/>
  <c r="C976" i="2"/>
  <c r="D976" i="2" s="1"/>
  <c r="E968" i="2"/>
  <c r="C968" i="2"/>
  <c r="D968" i="2" s="1"/>
  <c r="E960" i="2"/>
  <c r="C960" i="2"/>
  <c r="D960" i="2" s="1"/>
  <c r="E952" i="2"/>
  <c r="C952" i="2"/>
  <c r="D952" i="2" s="1"/>
  <c r="E944" i="2"/>
  <c r="C944" i="2"/>
  <c r="D944" i="2" s="1"/>
  <c r="E936" i="2"/>
  <c r="C936" i="2"/>
  <c r="D936" i="2" s="1"/>
  <c r="E928" i="2"/>
  <c r="C928" i="2"/>
  <c r="D928" i="2" s="1"/>
  <c r="E920" i="2"/>
  <c r="C920" i="2"/>
  <c r="D920" i="2" s="1"/>
  <c r="E912" i="2"/>
  <c r="C912" i="2"/>
  <c r="D912" i="2" s="1"/>
  <c r="C904" i="2"/>
  <c r="D904" i="2" s="1"/>
  <c r="E904" i="2"/>
  <c r="E896" i="2"/>
  <c r="C896" i="2"/>
  <c r="D896" i="2" s="1"/>
  <c r="E888" i="2"/>
  <c r="C888" i="2"/>
  <c r="D888" i="2" s="1"/>
  <c r="E880" i="2"/>
  <c r="C880" i="2"/>
  <c r="D880" i="2" s="1"/>
  <c r="E872" i="2"/>
  <c r="C872" i="2"/>
  <c r="D872" i="2" s="1"/>
  <c r="E864" i="2"/>
  <c r="C864" i="2"/>
  <c r="D864" i="2" s="1"/>
  <c r="E856" i="2"/>
  <c r="C856" i="2"/>
  <c r="D856" i="2" s="1"/>
  <c r="E848" i="2"/>
  <c r="C848" i="2"/>
  <c r="D848" i="2" s="1"/>
  <c r="E840" i="2"/>
  <c r="C840" i="2"/>
  <c r="D840" i="2" s="1"/>
  <c r="E832" i="2"/>
  <c r="C832" i="2"/>
  <c r="D832" i="2" s="1"/>
  <c r="E824" i="2"/>
  <c r="C824" i="2"/>
  <c r="D824" i="2" s="1"/>
  <c r="E816" i="2"/>
  <c r="C816" i="2"/>
  <c r="D816" i="2" s="1"/>
  <c r="E808" i="2"/>
  <c r="C808" i="2"/>
  <c r="D808" i="2" s="1"/>
  <c r="E800" i="2"/>
  <c r="C800" i="2"/>
  <c r="D800" i="2" s="1"/>
  <c r="E792" i="2"/>
  <c r="C792" i="2"/>
  <c r="D792" i="2" s="1"/>
  <c r="E784" i="2"/>
  <c r="C784" i="2"/>
  <c r="D784" i="2" s="1"/>
  <c r="E776" i="2"/>
  <c r="C776" i="2"/>
  <c r="D776" i="2" s="1"/>
  <c r="E768" i="2"/>
  <c r="C768" i="2"/>
  <c r="D768" i="2" s="1"/>
  <c r="E760" i="2"/>
  <c r="C760" i="2"/>
  <c r="D760" i="2" s="1"/>
  <c r="E752" i="2"/>
  <c r="C752" i="2"/>
  <c r="D752" i="2" s="1"/>
  <c r="E744" i="2"/>
  <c r="C744" i="2"/>
  <c r="D744" i="2" s="1"/>
  <c r="E736" i="2"/>
  <c r="C736" i="2"/>
  <c r="D736" i="2" s="1"/>
  <c r="E728" i="2"/>
  <c r="C728" i="2"/>
  <c r="D728" i="2" s="1"/>
  <c r="E720" i="2"/>
  <c r="C720" i="2"/>
  <c r="D720" i="2" s="1"/>
  <c r="E712" i="2"/>
  <c r="C712" i="2"/>
  <c r="D712" i="2" s="1"/>
  <c r="E704" i="2"/>
  <c r="C704" i="2"/>
  <c r="D704" i="2" s="1"/>
  <c r="E696" i="2"/>
  <c r="C696" i="2"/>
  <c r="D696" i="2" s="1"/>
  <c r="E688" i="2"/>
  <c r="C688" i="2"/>
  <c r="D688" i="2" s="1"/>
  <c r="E680" i="2"/>
  <c r="C680" i="2"/>
  <c r="D680" i="2" s="1"/>
  <c r="E672" i="2"/>
  <c r="C672" i="2"/>
  <c r="D672" i="2" s="1"/>
  <c r="E664" i="2"/>
  <c r="C664" i="2"/>
  <c r="D664" i="2" s="1"/>
  <c r="E656" i="2"/>
  <c r="C656" i="2"/>
  <c r="D656" i="2" s="1"/>
  <c r="E648" i="2"/>
  <c r="C648" i="2"/>
  <c r="D648" i="2" s="1"/>
  <c r="E640" i="2"/>
  <c r="C640" i="2"/>
  <c r="D640" i="2" s="1"/>
  <c r="E632" i="2"/>
  <c r="C632" i="2"/>
  <c r="D632" i="2" s="1"/>
  <c r="E624" i="2"/>
  <c r="C624" i="2"/>
  <c r="D624" i="2" s="1"/>
  <c r="E616" i="2"/>
  <c r="C616" i="2"/>
  <c r="D616" i="2" s="1"/>
  <c r="E608" i="2"/>
  <c r="C608" i="2"/>
  <c r="D608" i="2" s="1"/>
  <c r="E600" i="2"/>
  <c r="C600" i="2"/>
  <c r="D600" i="2" s="1"/>
  <c r="E592" i="2"/>
  <c r="C592" i="2"/>
  <c r="D592" i="2" s="1"/>
  <c r="E584" i="2"/>
  <c r="C584" i="2"/>
  <c r="D584" i="2" s="1"/>
  <c r="E576" i="2"/>
  <c r="C576" i="2"/>
  <c r="D576" i="2" s="1"/>
  <c r="E568" i="2"/>
  <c r="C568" i="2"/>
  <c r="D568" i="2" s="1"/>
  <c r="E560" i="2"/>
  <c r="C560" i="2"/>
  <c r="D560" i="2" s="1"/>
  <c r="E552" i="2"/>
  <c r="C552" i="2"/>
  <c r="D552" i="2" s="1"/>
  <c r="E544" i="2"/>
  <c r="C544" i="2"/>
  <c r="D544" i="2" s="1"/>
  <c r="E536" i="2"/>
  <c r="C536" i="2"/>
  <c r="D536" i="2" s="1"/>
  <c r="E528" i="2"/>
  <c r="C528" i="2"/>
  <c r="D528" i="2" s="1"/>
  <c r="E520" i="2"/>
  <c r="C520" i="2"/>
  <c r="D520" i="2" s="1"/>
  <c r="E512" i="2"/>
  <c r="C512" i="2"/>
  <c r="D512" i="2" s="1"/>
  <c r="E504" i="2"/>
  <c r="C504" i="2"/>
  <c r="D504" i="2" s="1"/>
  <c r="E496" i="2"/>
  <c r="C496" i="2"/>
  <c r="D496" i="2" s="1"/>
  <c r="E488" i="2"/>
  <c r="C488" i="2"/>
  <c r="D488" i="2" s="1"/>
  <c r="E480" i="2"/>
  <c r="C480" i="2"/>
  <c r="D480" i="2" s="1"/>
  <c r="E472" i="2"/>
  <c r="C472" i="2"/>
  <c r="D472" i="2" s="1"/>
  <c r="E464" i="2"/>
  <c r="C464" i="2"/>
  <c r="D464" i="2" s="1"/>
  <c r="E456" i="2"/>
  <c r="C456" i="2"/>
  <c r="D456" i="2" s="1"/>
  <c r="E448" i="2"/>
  <c r="C448" i="2"/>
  <c r="D448" i="2" s="1"/>
  <c r="E440" i="2"/>
  <c r="C440" i="2"/>
  <c r="D440" i="2" s="1"/>
  <c r="E432" i="2"/>
  <c r="C432" i="2"/>
  <c r="D432" i="2" s="1"/>
  <c r="E424" i="2"/>
  <c r="C424" i="2"/>
  <c r="D424" i="2" s="1"/>
  <c r="E416" i="2"/>
  <c r="C416" i="2"/>
  <c r="D416" i="2" s="1"/>
  <c r="E408" i="2"/>
  <c r="C408" i="2"/>
  <c r="D408" i="2" s="1"/>
  <c r="E400" i="2"/>
  <c r="C400" i="2"/>
  <c r="D400" i="2" s="1"/>
  <c r="C392" i="2"/>
  <c r="D392" i="2" s="1"/>
  <c r="E392" i="2"/>
  <c r="E384" i="2"/>
  <c r="C384" i="2"/>
  <c r="D384" i="2" s="1"/>
  <c r="E376" i="2"/>
  <c r="C376" i="2"/>
  <c r="D376" i="2" s="1"/>
  <c r="E368" i="2"/>
  <c r="C368" i="2"/>
  <c r="D368" i="2" s="1"/>
  <c r="E360" i="2"/>
  <c r="C360" i="2"/>
  <c r="D360" i="2" s="1"/>
  <c r="E352" i="2"/>
  <c r="C352" i="2"/>
  <c r="D352" i="2" s="1"/>
  <c r="E344" i="2"/>
  <c r="C344" i="2"/>
  <c r="D344" i="2" s="1"/>
  <c r="E336" i="2"/>
  <c r="C336" i="2"/>
  <c r="D336" i="2" s="1"/>
  <c r="E328" i="2"/>
  <c r="C328" i="2"/>
  <c r="D328" i="2" s="1"/>
  <c r="E320" i="2"/>
  <c r="C320" i="2"/>
  <c r="D320" i="2" s="1"/>
  <c r="E312" i="2"/>
  <c r="C312" i="2"/>
  <c r="D312" i="2" s="1"/>
  <c r="E304" i="2"/>
  <c r="C304" i="2"/>
  <c r="D304" i="2" s="1"/>
  <c r="C296" i="2"/>
  <c r="D296" i="2" s="1"/>
  <c r="E296" i="2"/>
  <c r="E288" i="2"/>
  <c r="C288" i="2"/>
  <c r="D288" i="2" s="1"/>
  <c r="E280" i="2"/>
  <c r="C280" i="2"/>
  <c r="D280" i="2" s="1"/>
  <c r="E272" i="2"/>
  <c r="C272" i="2"/>
  <c r="D272" i="2" s="1"/>
  <c r="E264" i="2"/>
  <c r="C264" i="2"/>
  <c r="D264" i="2" s="1"/>
  <c r="E256" i="2"/>
  <c r="C256" i="2"/>
  <c r="D256" i="2" s="1"/>
  <c r="E248" i="2"/>
  <c r="C248" i="2"/>
  <c r="D248" i="2" s="1"/>
  <c r="E240" i="2"/>
  <c r="C240" i="2"/>
  <c r="D240" i="2" s="1"/>
  <c r="E232" i="2"/>
  <c r="C232" i="2"/>
  <c r="D232" i="2" s="1"/>
  <c r="E224" i="2"/>
  <c r="C224" i="2"/>
  <c r="D224" i="2" s="1"/>
  <c r="E216" i="2"/>
  <c r="C216" i="2"/>
  <c r="D216" i="2" s="1"/>
  <c r="E208" i="2"/>
  <c r="C208" i="2"/>
  <c r="D208" i="2" s="1"/>
  <c r="E200" i="2"/>
  <c r="C200" i="2"/>
  <c r="D200" i="2" s="1"/>
  <c r="E192" i="2"/>
  <c r="C192" i="2"/>
  <c r="D192" i="2" s="1"/>
  <c r="E184" i="2"/>
  <c r="C184" i="2"/>
  <c r="D184" i="2" s="1"/>
  <c r="E1400" i="2"/>
  <c r="C1400" i="2"/>
  <c r="D1400" i="2" s="1"/>
  <c r="E1368" i="2"/>
  <c r="C1368" i="2"/>
  <c r="D1368" i="2" s="1"/>
  <c r="E1344" i="2"/>
  <c r="C1344" i="2"/>
  <c r="D1344" i="2" s="1"/>
  <c r="E1328" i="2"/>
  <c r="C1328" i="2"/>
  <c r="D1328" i="2" s="1"/>
  <c r="E1296" i="2"/>
  <c r="C1296" i="2"/>
  <c r="D1296" i="2" s="1"/>
  <c r="E1160" i="2"/>
  <c r="C1160" i="2"/>
  <c r="D1160" i="2" s="1"/>
  <c r="E1415" i="2"/>
  <c r="C1415" i="2"/>
  <c r="D1415" i="2" s="1"/>
  <c r="E1399" i="2"/>
  <c r="C1399" i="2"/>
  <c r="D1399" i="2" s="1"/>
  <c r="E1391" i="2"/>
  <c r="C1391" i="2"/>
  <c r="D1391" i="2" s="1"/>
  <c r="E1375" i="2"/>
  <c r="C1375" i="2"/>
  <c r="D1375" i="2" s="1"/>
  <c r="E1359" i="2"/>
  <c r="C1359" i="2"/>
  <c r="D1359" i="2" s="1"/>
  <c r="E1351" i="2"/>
  <c r="C1351" i="2"/>
  <c r="D1351" i="2" s="1"/>
  <c r="E1335" i="2"/>
  <c r="C1335" i="2"/>
  <c r="D1335" i="2" s="1"/>
  <c r="E1327" i="2"/>
  <c r="C1327" i="2"/>
  <c r="D1327" i="2" s="1"/>
  <c r="E1319" i="2"/>
  <c r="C1319" i="2"/>
  <c r="D1319" i="2" s="1"/>
  <c r="E1311" i="2"/>
  <c r="C1311" i="2"/>
  <c r="D1311" i="2" s="1"/>
  <c r="E1303" i="2"/>
  <c r="C1303" i="2"/>
  <c r="D1303" i="2" s="1"/>
  <c r="E1295" i="2"/>
  <c r="C1295" i="2"/>
  <c r="D1295" i="2" s="1"/>
  <c r="E1287" i="2"/>
  <c r="C1287" i="2"/>
  <c r="D1287" i="2" s="1"/>
  <c r="E1279" i="2"/>
  <c r="C1279" i="2"/>
  <c r="D1279" i="2" s="1"/>
  <c r="E1263" i="2"/>
  <c r="C1263" i="2"/>
  <c r="D1263" i="2" s="1"/>
  <c r="E1255" i="2"/>
  <c r="C1255" i="2"/>
  <c r="D1255" i="2" s="1"/>
  <c r="E1247" i="2"/>
  <c r="C1247" i="2"/>
  <c r="D1247" i="2" s="1"/>
  <c r="E1239" i="2"/>
  <c r="C1239" i="2"/>
  <c r="D1239" i="2" s="1"/>
  <c r="E1231" i="2"/>
  <c r="C1231" i="2"/>
  <c r="D1231" i="2" s="1"/>
  <c r="E1223" i="2"/>
  <c r="C1223" i="2"/>
  <c r="D1223" i="2" s="1"/>
  <c r="E1215" i="2"/>
  <c r="C1215" i="2"/>
  <c r="D1215" i="2" s="1"/>
  <c r="E1207" i="2"/>
  <c r="C1207" i="2"/>
  <c r="D1207" i="2" s="1"/>
  <c r="E1199" i="2"/>
  <c r="C1199" i="2"/>
  <c r="D1199" i="2" s="1"/>
  <c r="E1191" i="2"/>
  <c r="C1191" i="2"/>
  <c r="D1191" i="2" s="1"/>
  <c r="E1183" i="2"/>
  <c r="C1183" i="2"/>
  <c r="D1183" i="2" s="1"/>
  <c r="E1175" i="2"/>
  <c r="C1175" i="2"/>
  <c r="D1175" i="2" s="1"/>
  <c r="E1167" i="2"/>
  <c r="C1167" i="2"/>
  <c r="D1167" i="2" s="1"/>
  <c r="E1159" i="2"/>
  <c r="C1159" i="2"/>
  <c r="D1159" i="2" s="1"/>
  <c r="E1151" i="2"/>
  <c r="C1151" i="2"/>
  <c r="D1151" i="2" s="1"/>
  <c r="E1143" i="2"/>
  <c r="C1143" i="2"/>
  <c r="D1143" i="2" s="1"/>
  <c r="E1135" i="2"/>
  <c r="C1135" i="2"/>
  <c r="D1135" i="2" s="1"/>
  <c r="E1127" i="2"/>
  <c r="C1127" i="2"/>
  <c r="D1127" i="2" s="1"/>
  <c r="E1119" i="2"/>
  <c r="C1119" i="2"/>
  <c r="D1119" i="2" s="1"/>
  <c r="E1111" i="2"/>
  <c r="C1111" i="2"/>
  <c r="D1111" i="2" s="1"/>
  <c r="E1103" i="2"/>
  <c r="C1103" i="2"/>
  <c r="D1103" i="2" s="1"/>
  <c r="E1095" i="2"/>
  <c r="C1095" i="2"/>
  <c r="D1095" i="2" s="1"/>
  <c r="E1087" i="2"/>
  <c r="C1087" i="2"/>
  <c r="D1087" i="2" s="1"/>
  <c r="E1079" i="2"/>
  <c r="C1079" i="2"/>
  <c r="D1079" i="2" s="1"/>
  <c r="E1071" i="2"/>
  <c r="C1071" i="2"/>
  <c r="D1071" i="2" s="1"/>
  <c r="E1063" i="2"/>
  <c r="C1063" i="2"/>
  <c r="D1063" i="2" s="1"/>
  <c r="E1055" i="2"/>
  <c r="C1055" i="2"/>
  <c r="D1055" i="2" s="1"/>
  <c r="E1047" i="2"/>
  <c r="C1047" i="2"/>
  <c r="D1047" i="2" s="1"/>
  <c r="E1039" i="2"/>
  <c r="C1039" i="2"/>
  <c r="D1039" i="2" s="1"/>
  <c r="E1031" i="2"/>
  <c r="C1031" i="2"/>
  <c r="D1031" i="2" s="1"/>
  <c r="E1023" i="2"/>
  <c r="C1023" i="2"/>
  <c r="D1023" i="2" s="1"/>
  <c r="E1015" i="2"/>
  <c r="C1015" i="2"/>
  <c r="D1015" i="2" s="1"/>
  <c r="E1007" i="2"/>
  <c r="C1007" i="2"/>
  <c r="D1007" i="2" s="1"/>
  <c r="E999" i="2"/>
  <c r="C999" i="2"/>
  <c r="D999" i="2" s="1"/>
  <c r="E991" i="2"/>
  <c r="C991" i="2"/>
  <c r="D991" i="2" s="1"/>
  <c r="E983" i="2"/>
  <c r="C983" i="2"/>
  <c r="D983" i="2" s="1"/>
  <c r="E975" i="2"/>
  <c r="C975" i="2"/>
  <c r="D975" i="2" s="1"/>
  <c r="E967" i="2"/>
  <c r="C967" i="2"/>
  <c r="D967" i="2" s="1"/>
  <c r="E959" i="2"/>
  <c r="C959" i="2"/>
  <c r="D959" i="2" s="1"/>
  <c r="E951" i="2"/>
  <c r="C951" i="2"/>
  <c r="D951" i="2" s="1"/>
  <c r="E943" i="2"/>
  <c r="C943" i="2"/>
  <c r="D943" i="2" s="1"/>
  <c r="E935" i="2"/>
  <c r="C935" i="2"/>
  <c r="D935" i="2" s="1"/>
  <c r="E927" i="2"/>
  <c r="C927" i="2"/>
  <c r="D927" i="2" s="1"/>
  <c r="E919" i="2"/>
  <c r="C919" i="2"/>
  <c r="D919" i="2" s="1"/>
  <c r="E911" i="2"/>
  <c r="C911" i="2"/>
  <c r="D911" i="2" s="1"/>
  <c r="E903" i="2"/>
  <c r="C903" i="2"/>
  <c r="D903" i="2" s="1"/>
  <c r="E895" i="2"/>
  <c r="C895" i="2"/>
  <c r="D895" i="2" s="1"/>
  <c r="E887" i="2"/>
  <c r="C887" i="2"/>
  <c r="D887" i="2" s="1"/>
  <c r="E879" i="2"/>
  <c r="C879" i="2"/>
  <c r="D879" i="2" s="1"/>
  <c r="E871" i="2"/>
  <c r="C871" i="2"/>
  <c r="D871" i="2" s="1"/>
  <c r="E863" i="2"/>
  <c r="C863" i="2"/>
  <c r="D863" i="2" s="1"/>
  <c r="E855" i="2"/>
  <c r="C855" i="2"/>
  <c r="D855" i="2" s="1"/>
  <c r="E847" i="2"/>
  <c r="C847" i="2"/>
  <c r="D847" i="2" s="1"/>
  <c r="E839" i="2"/>
  <c r="C839" i="2"/>
  <c r="D839" i="2" s="1"/>
  <c r="E831" i="2"/>
  <c r="C831" i="2"/>
  <c r="D831" i="2" s="1"/>
  <c r="E823" i="2"/>
  <c r="C823" i="2"/>
  <c r="D823" i="2" s="1"/>
  <c r="E815" i="2"/>
  <c r="C815" i="2"/>
  <c r="D815" i="2" s="1"/>
  <c r="E807" i="2"/>
  <c r="C807" i="2"/>
  <c r="D807" i="2" s="1"/>
  <c r="E799" i="2"/>
  <c r="C799" i="2"/>
  <c r="D799" i="2" s="1"/>
  <c r="E791" i="2"/>
  <c r="C791" i="2"/>
  <c r="D791" i="2" s="1"/>
  <c r="E783" i="2"/>
  <c r="C783" i="2"/>
  <c r="D783" i="2" s="1"/>
  <c r="E775" i="2"/>
  <c r="C775" i="2"/>
  <c r="D775" i="2" s="1"/>
  <c r="E767" i="2"/>
  <c r="C767" i="2"/>
  <c r="D767" i="2" s="1"/>
  <c r="E759" i="2"/>
  <c r="C759" i="2"/>
  <c r="D759" i="2" s="1"/>
  <c r="E751" i="2"/>
  <c r="C751" i="2"/>
  <c r="D751" i="2" s="1"/>
  <c r="E743" i="2"/>
  <c r="C743" i="2"/>
  <c r="D743" i="2" s="1"/>
  <c r="E735" i="2"/>
  <c r="C735" i="2"/>
  <c r="D735" i="2" s="1"/>
  <c r="E727" i="2"/>
  <c r="C727" i="2"/>
  <c r="D727" i="2" s="1"/>
  <c r="E719" i="2"/>
  <c r="C719" i="2"/>
  <c r="D719" i="2" s="1"/>
  <c r="E711" i="2"/>
  <c r="C711" i="2"/>
  <c r="D711" i="2" s="1"/>
  <c r="E703" i="2"/>
  <c r="C703" i="2"/>
  <c r="D703" i="2" s="1"/>
  <c r="E695" i="2"/>
  <c r="C695" i="2"/>
  <c r="D695" i="2" s="1"/>
  <c r="E687" i="2"/>
  <c r="C687" i="2"/>
  <c r="D687" i="2" s="1"/>
  <c r="E679" i="2"/>
  <c r="C679" i="2"/>
  <c r="D679" i="2" s="1"/>
  <c r="E671" i="2"/>
  <c r="C671" i="2"/>
  <c r="D671" i="2" s="1"/>
  <c r="E663" i="2"/>
  <c r="C663" i="2"/>
  <c r="D663" i="2" s="1"/>
  <c r="E655" i="2"/>
  <c r="C655" i="2"/>
  <c r="D655" i="2" s="1"/>
  <c r="E647" i="2"/>
  <c r="C647" i="2"/>
  <c r="D647" i="2" s="1"/>
  <c r="E639" i="2"/>
  <c r="C639" i="2"/>
  <c r="D639" i="2" s="1"/>
  <c r="E631" i="2"/>
  <c r="C631" i="2"/>
  <c r="D631" i="2" s="1"/>
  <c r="E623" i="2"/>
  <c r="C623" i="2"/>
  <c r="D623" i="2" s="1"/>
  <c r="E615" i="2"/>
  <c r="C615" i="2"/>
  <c r="D615" i="2" s="1"/>
  <c r="E607" i="2"/>
  <c r="C607" i="2"/>
  <c r="D607" i="2" s="1"/>
  <c r="E599" i="2"/>
  <c r="C599" i="2"/>
  <c r="D599" i="2" s="1"/>
  <c r="E591" i="2"/>
  <c r="C591" i="2"/>
  <c r="D591" i="2" s="1"/>
  <c r="E583" i="2"/>
  <c r="C583" i="2"/>
  <c r="D583" i="2" s="1"/>
  <c r="E575" i="2"/>
  <c r="C575" i="2"/>
  <c r="D575" i="2" s="1"/>
  <c r="E567" i="2"/>
  <c r="C567" i="2"/>
  <c r="D567" i="2" s="1"/>
  <c r="E559" i="2"/>
  <c r="C559" i="2"/>
  <c r="D559" i="2" s="1"/>
  <c r="E1384" i="2"/>
  <c r="C1384" i="2"/>
  <c r="D1384" i="2" s="1"/>
  <c r="E1360" i="2"/>
  <c r="C1360" i="2"/>
  <c r="D1360" i="2" s="1"/>
  <c r="E1336" i="2"/>
  <c r="C1336" i="2"/>
  <c r="D1336" i="2" s="1"/>
  <c r="E1312" i="2"/>
  <c r="C1312" i="2"/>
  <c r="D1312" i="2" s="1"/>
  <c r="E1272" i="2"/>
  <c r="C1272" i="2"/>
  <c r="D1272" i="2" s="1"/>
  <c r="E1136" i="2"/>
  <c r="C1136" i="2"/>
  <c r="D1136" i="2" s="1"/>
  <c r="E1423" i="2"/>
  <c r="C1423" i="2"/>
  <c r="D1423" i="2" s="1"/>
  <c r="E1407" i="2"/>
  <c r="C1407" i="2"/>
  <c r="D1407" i="2" s="1"/>
  <c r="E1383" i="2"/>
  <c r="C1383" i="2"/>
  <c r="D1383" i="2" s="1"/>
  <c r="E1367" i="2"/>
  <c r="C1367" i="2"/>
  <c r="D1367" i="2" s="1"/>
  <c r="E1343" i="2"/>
  <c r="C1343" i="2"/>
  <c r="D1343" i="2" s="1"/>
  <c r="E1271" i="2"/>
  <c r="C1271" i="2"/>
  <c r="D1271" i="2" s="1"/>
  <c r="E1422" i="2"/>
  <c r="C1422" i="2"/>
  <c r="D1422" i="2" s="1"/>
  <c r="E1414" i="2"/>
  <c r="C1414" i="2"/>
  <c r="D1414" i="2" s="1"/>
  <c r="E1406" i="2"/>
  <c r="C1406" i="2"/>
  <c r="D1406" i="2" s="1"/>
  <c r="E1398" i="2"/>
  <c r="C1398" i="2"/>
  <c r="D1398" i="2" s="1"/>
  <c r="E1390" i="2"/>
  <c r="C1390" i="2"/>
  <c r="D1390" i="2" s="1"/>
  <c r="E1382" i="2"/>
  <c r="C1382" i="2"/>
  <c r="D1382" i="2" s="1"/>
  <c r="E1374" i="2"/>
  <c r="C1374" i="2"/>
  <c r="D1374" i="2" s="1"/>
  <c r="E1366" i="2"/>
  <c r="C1366" i="2"/>
  <c r="D1366" i="2" s="1"/>
  <c r="E1358" i="2"/>
  <c r="C1358" i="2"/>
  <c r="D1358" i="2" s="1"/>
  <c r="E1350" i="2"/>
  <c r="C1350" i="2"/>
  <c r="D1350" i="2" s="1"/>
  <c r="E1342" i="2"/>
  <c r="C1342" i="2"/>
  <c r="D1342" i="2" s="1"/>
  <c r="E1334" i="2"/>
  <c r="C1334" i="2"/>
  <c r="D1334" i="2" s="1"/>
  <c r="E1326" i="2"/>
  <c r="C1326" i="2"/>
  <c r="D1326" i="2" s="1"/>
  <c r="E1318" i="2"/>
  <c r="C1318" i="2"/>
  <c r="D1318" i="2" s="1"/>
  <c r="E1310" i="2"/>
  <c r="C1310" i="2"/>
  <c r="D1310" i="2" s="1"/>
  <c r="E1302" i="2"/>
  <c r="C1302" i="2"/>
  <c r="D1302" i="2" s="1"/>
  <c r="E1294" i="2"/>
  <c r="C1294" i="2"/>
  <c r="D1294" i="2" s="1"/>
  <c r="E1286" i="2"/>
  <c r="C1286" i="2"/>
  <c r="D1286" i="2" s="1"/>
  <c r="E1278" i="2"/>
  <c r="C1278" i="2"/>
  <c r="D1278" i="2" s="1"/>
  <c r="E1270" i="2"/>
  <c r="C1270" i="2"/>
  <c r="D1270" i="2" s="1"/>
  <c r="E1262" i="2"/>
  <c r="C1262" i="2"/>
  <c r="D1262" i="2" s="1"/>
  <c r="E1254" i="2"/>
  <c r="C1254" i="2"/>
  <c r="D1254" i="2" s="1"/>
  <c r="E1246" i="2"/>
  <c r="C1246" i="2"/>
  <c r="D1246" i="2" s="1"/>
  <c r="E1238" i="2"/>
  <c r="C1238" i="2"/>
  <c r="D1238" i="2" s="1"/>
  <c r="E1230" i="2"/>
  <c r="C1230" i="2"/>
  <c r="D1230" i="2" s="1"/>
  <c r="E1222" i="2"/>
  <c r="C1222" i="2"/>
  <c r="D1222" i="2" s="1"/>
  <c r="E1214" i="2"/>
  <c r="C1214" i="2"/>
  <c r="D1214" i="2" s="1"/>
  <c r="E1206" i="2"/>
  <c r="C1206" i="2"/>
  <c r="D1206" i="2" s="1"/>
  <c r="E1198" i="2"/>
  <c r="C1198" i="2"/>
  <c r="D1198" i="2" s="1"/>
  <c r="E1190" i="2"/>
  <c r="C1190" i="2"/>
  <c r="D1190" i="2" s="1"/>
  <c r="E1182" i="2"/>
  <c r="C1182" i="2"/>
  <c r="D1182" i="2" s="1"/>
  <c r="E1174" i="2"/>
  <c r="C1174" i="2"/>
  <c r="D1174" i="2" s="1"/>
  <c r="E1166" i="2"/>
  <c r="C1166" i="2"/>
  <c r="D1166" i="2" s="1"/>
  <c r="E1158" i="2"/>
  <c r="C1158" i="2"/>
  <c r="D1158" i="2" s="1"/>
  <c r="E1150" i="2"/>
  <c r="C1150" i="2"/>
  <c r="D1150" i="2" s="1"/>
  <c r="E1142" i="2"/>
  <c r="C1142" i="2"/>
  <c r="D1142" i="2" s="1"/>
  <c r="E1134" i="2"/>
  <c r="C1134" i="2"/>
  <c r="D1134" i="2" s="1"/>
  <c r="E1126" i="2"/>
  <c r="C1126" i="2"/>
  <c r="D1126" i="2" s="1"/>
  <c r="E1118" i="2"/>
  <c r="C1118" i="2"/>
  <c r="D1118" i="2" s="1"/>
  <c r="E1110" i="2"/>
  <c r="C1110" i="2"/>
  <c r="D1110" i="2" s="1"/>
  <c r="E1102" i="2"/>
  <c r="C1102" i="2"/>
  <c r="D1102" i="2" s="1"/>
  <c r="E1094" i="2"/>
  <c r="C1094" i="2"/>
  <c r="D1094" i="2" s="1"/>
  <c r="E1086" i="2"/>
  <c r="C1086" i="2"/>
  <c r="D1086" i="2" s="1"/>
  <c r="E1078" i="2"/>
  <c r="C1078" i="2"/>
  <c r="D1078" i="2" s="1"/>
  <c r="E1070" i="2"/>
  <c r="C1070" i="2"/>
  <c r="D1070" i="2" s="1"/>
  <c r="E1062" i="2"/>
  <c r="C1062" i="2"/>
  <c r="D1062" i="2" s="1"/>
  <c r="E1054" i="2"/>
  <c r="C1054" i="2"/>
  <c r="D1054" i="2" s="1"/>
  <c r="E1046" i="2"/>
  <c r="C1046" i="2"/>
  <c r="D1046" i="2" s="1"/>
  <c r="E1038" i="2"/>
  <c r="C1038" i="2"/>
  <c r="D1038" i="2" s="1"/>
  <c r="E1030" i="2"/>
  <c r="C1030" i="2"/>
  <c r="D1030" i="2" s="1"/>
  <c r="E1022" i="2"/>
  <c r="C1022" i="2"/>
  <c r="D1022" i="2" s="1"/>
  <c r="E1014" i="2"/>
  <c r="C1014" i="2"/>
  <c r="D1014" i="2" s="1"/>
  <c r="E1006" i="2"/>
  <c r="C1006" i="2"/>
  <c r="D1006" i="2" s="1"/>
  <c r="E998" i="2"/>
  <c r="C998" i="2"/>
  <c r="D998" i="2" s="1"/>
  <c r="E990" i="2"/>
  <c r="C990" i="2"/>
  <c r="D990" i="2" s="1"/>
  <c r="E982" i="2"/>
  <c r="C982" i="2"/>
  <c r="D982" i="2" s="1"/>
  <c r="E974" i="2"/>
  <c r="C974" i="2"/>
  <c r="D974" i="2" s="1"/>
  <c r="E966" i="2"/>
  <c r="C966" i="2"/>
  <c r="D966" i="2" s="1"/>
  <c r="E958" i="2"/>
  <c r="C958" i="2"/>
  <c r="D958" i="2" s="1"/>
  <c r="E950" i="2"/>
  <c r="C950" i="2"/>
  <c r="D950" i="2" s="1"/>
  <c r="E942" i="2"/>
  <c r="C942" i="2"/>
  <c r="D942" i="2" s="1"/>
  <c r="E934" i="2"/>
  <c r="C934" i="2"/>
  <c r="D934" i="2" s="1"/>
  <c r="E926" i="2"/>
  <c r="C926" i="2"/>
  <c r="D926" i="2" s="1"/>
  <c r="E918" i="2"/>
  <c r="C918" i="2"/>
  <c r="D918" i="2" s="1"/>
  <c r="E910" i="2"/>
  <c r="C910" i="2"/>
  <c r="D910" i="2" s="1"/>
  <c r="E902" i="2"/>
  <c r="C902" i="2"/>
  <c r="D902" i="2" s="1"/>
  <c r="E894" i="2"/>
  <c r="C894" i="2"/>
  <c r="D894" i="2" s="1"/>
  <c r="E1248" i="2"/>
  <c r="C1248" i="2"/>
  <c r="D1248" i="2" s="1"/>
  <c r="E1421" i="2"/>
  <c r="C1421" i="2"/>
  <c r="D1421" i="2" s="1"/>
  <c r="E1405" i="2"/>
  <c r="C1405" i="2"/>
  <c r="D1405" i="2" s="1"/>
  <c r="E1389" i="2"/>
  <c r="C1389" i="2"/>
  <c r="D1389" i="2" s="1"/>
  <c r="E1373" i="2"/>
  <c r="C1373" i="2"/>
  <c r="D1373" i="2" s="1"/>
  <c r="E1357" i="2"/>
  <c r="C1357" i="2"/>
  <c r="D1357" i="2" s="1"/>
  <c r="E1333" i="2"/>
  <c r="C1333" i="2"/>
  <c r="D1333" i="2" s="1"/>
  <c r="E1317" i="2"/>
  <c r="C1317" i="2"/>
  <c r="D1317" i="2" s="1"/>
  <c r="E1301" i="2"/>
  <c r="C1301" i="2"/>
  <c r="D1301" i="2" s="1"/>
  <c r="E1285" i="2"/>
  <c r="C1285" i="2"/>
  <c r="D1285" i="2" s="1"/>
  <c r="E1261" i="2"/>
  <c r="C1261" i="2"/>
  <c r="D1261" i="2" s="1"/>
  <c r="E1245" i="2"/>
  <c r="C1245" i="2"/>
  <c r="D1245" i="2" s="1"/>
  <c r="E1221" i="2"/>
  <c r="C1221" i="2"/>
  <c r="D1221" i="2" s="1"/>
  <c r="E1205" i="2"/>
  <c r="C1205" i="2"/>
  <c r="D1205" i="2" s="1"/>
  <c r="E1189" i="2"/>
  <c r="C1189" i="2"/>
  <c r="D1189" i="2" s="1"/>
  <c r="E1165" i="2"/>
  <c r="C1165" i="2"/>
  <c r="D1165" i="2" s="1"/>
  <c r="E1141" i="2"/>
  <c r="C1141" i="2"/>
  <c r="D1141" i="2" s="1"/>
  <c r="E1125" i="2"/>
  <c r="C1125" i="2"/>
  <c r="D1125" i="2" s="1"/>
  <c r="E1109" i="2"/>
  <c r="C1109" i="2"/>
  <c r="D1109" i="2" s="1"/>
  <c r="E1085" i="2"/>
  <c r="C1085" i="2"/>
  <c r="D1085" i="2" s="1"/>
  <c r="E1061" i="2"/>
  <c r="C1061" i="2"/>
  <c r="D1061" i="2" s="1"/>
  <c r="E1045" i="2"/>
  <c r="C1045" i="2"/>
  <c r="D1045" i="2" s="1"/>
  <c r="E1021" i="2"/>
  <c r="C1021" i="2"/>
  <c r="D1021" i="2" s="1"/>
  <c r="E1013" i="2"/>
  <c r="C1013" i="2"/>
  <c r="D1013" i="2" s="1"/>
  <c r="E997" i="2"/>
  <c r="C997" i="2"/>
  <c r="D997" i="2" s="1"/>
  <c r="E981" i="2"/>
  <c r="C981" i="2"/>
  <c r="D981" i="2" s="1"/>
  <c r="E973" i="2"/>
  <c r="C973" i="2"/>
  <c r="D973" i="2" s="1"/>
  <c r="E965" i="2"/>
  <c r="C965" i="2"/>
  <c r="D965" i="2" s="1"/>
  <c r="E957" i="2"/>
  <c r="C957" i="2"/>
  <c r="D957" i="2" s="1"/>
  <c r="E949" i="2"/>
  <c r="C949" i="2"/>
  <c r="D949" i="2" s="1"/>
  <c r="E941" i="2"/>
  <c r="C941" i="2"/>
  <c r="D941" i="2" s="1"/>
  <c r="E933" i="2"/>
  <c r="C933" i="2"/>
  <c r="D933" i="2" s="1"/>
  <c r="E925" i="2"/>
  <c r="C925" i="2"/>
  <c r="D925" i="2" s="1"/>
  <c r="E917" i="2"/>
  <c r="C917" i="2"/>
  <c r="D917" i="2" s="1"/>
  <c r="E909" i="2"/>
  <c r="C909" i="2"/>
  <c r="D909" i="2" s="1"/>
  <c r="E893" i="2"/>
  <c r="C893" i="2"/>
  <c r="D893" i="2" s="1"/>
  <c r="E885" i="2"/>
  <c r="C885" i="2"/>
  <c r="D885" i="2" s="1"/>
  <c r="E877" i="2"/>
  <c r="C877" i="2"/>
  <c r="D877" i="2" s="1"/>
  <c r="E869" i="2"/>
  <c r="C869" i="2"/>
  <c r="D869" i="2" s="1"/>
  <c r="E861" i="2"/>
  <c r="C861" i="2"/>
  <c r="D861" i="2" s="1"/>
  <c r="E853" i="2"/>
  <c r="C853" i="2"/>
  <c r="D853" i="2" s="1"/>
  <c r="E845" i="2"/>
  <c r="C845" i="2"/>
  <c r="D845" i="2" s="1"/>
  <c r="E837" i="2"/>
  <c r="C837" i="2"/>
  <c r="D837" i="2" s="1"/>
  <c r="E829" i="2"/>
  <c r="C829" i="2"/>
  <c r="D829" i="2" s="1"/>
  <c r="E821" i="2"/>
  <c r="C821" i="2"/>
  <c r="D821" i="2" s="1"/>
  <c r="E813" i="2"/>
  <c r="C813" i="2"/>
  <c r="D813" i="2" s="1"/>
  <c r="E805" i="2"/>
  <c r="C805" i="2"/>
  <c r="D805" i="2" s="1"/>
  <c r="E797" i="2"/>
  <c r="C797" i="2"/>
  <c r="D797" i="2" s="1"/>
  <c r="E789" i="2"/>
  <c r="C789" i="2"/>
  <c r="D789" i="2" s="1"/>
  <c r="E781" i="2"/>
  <c r="C781" i="2"/>
  <c r="D781" i="2" s="1"/>
  <c r="E773" i="2"/>
  <c r="C773" i="2"/>
  <c r="D773" i="2" s="1"/>
  <c r="E765" i="2"/>
  <c r="C765" i="2"/>
  <c r="D765" i="2" s="1"/>
  <c r="E757" i="2"/>
  <c r="C757" i="2"/>
  <c r="D757" i="2" s="1"/>
  <c r="E749" i="2"/>
  <c r="C749" i="2"/>
  <c r="D749" i="2" s="1"/>
  <c r="E741" i="2"/>
  <c r="C741" i="2"/>
  <c r="D741" i="2" s="1"/>
  <c r="E733" i="2"/>
  <c r="C733" i="2"/>
  <c r="D733" i="2" s="1"/>
  <c r="E725" i="2"/>
  <c r="C725" i="2"/>
  <c r="D725" i="2" s="1"/>
  <c r="E717" i="2"/>
  <c r="C717" i="2"/>
  <c r="D717" i="2" s="1"/>
  <c r="E709" i="2"/>
  <c r="C709" i="2"/>
  <c r="D709" i="2" s="1"/>
  <c r="E701" i="2"/>
  <c r="C701" i="2"/>
  <c r="D701" i="2" s="1"/>
  <c r="E693" i="2"/>
  <c r="C693" i="2"/>
  <c r="D693" i="2" s="1"/>
  <c r="E685" i="2"/>
  <c r="C685" i="2"/>
  <c r="D685" i="2" s="1"/>
  <c r="E677" i="2"/>
  <c r="C677" i="2"/>
  <c r="D677" i="2" s="1"/>
  <c r="E669" i="2"/>
  <c r="C669" i="2"/>
  <c r="D669" i="2" s="1"/>
  <c r="E661" i="2"/>
  <c r="C661" i="2"/>
  <c r="D661" i="2" s="1"/>
  <c r="E653" i="2"/>
  <c r="C653" i="2"/>
  <c r="D653" i="2" s="1"/>
  <c r="E645" i="2"/>
  <c r="C645" i="2"/>
  <c r="D645" i="2" s="1"/>
  <c r="E637" i="2"/>
  <c r="C637" i="2"/>
  <c r="D637" i="2" s="1"/>
  <c r="E629" i="2"/>
  <c r="C629" i="2"/>
  <c r="D629" i="2" s="1"/>
  <c r="E621" i="2"/>
  <c r="C621" i="2"/>
  <c r="D621" i="2" s="1"/>
  <c r="E613" i="2"/>
  <c r="C613" i="2"/>
  <c r="D613" i="2" s="1"/>
  <c r="E605" i="2"/>
  <c r="C605" i="2"/>
  <c r="D605" i="2" s="1"/>
  <c r="E597" i="2"/>
  <c r="C597" i="2"/>
  <c r="D597" i="2" s="1"/>
  <c r="E589" i="2"/>
  <c r="C589" i="2"/>
  <c r="D589" i="2" s="1"/>
  <c r="E581" i="2"/>
  <c r="C581" i="2"/>
  <c r="D581" i="2" s="1"/>
  <c r="E573" i="2"/>
  <c r="C573" i="2"/>
  <c r="D573" i="2" s="1"/>
  <c r="E565" i="2"/>
  <c r="C565" i="2"/>
  <c r="D565" i="2" s="1"/>
  <c r="C557" i="2"/>
  <c r="D557" i="2" s="1"/>
  <c r="E557" i="2"/>
  <c r="E549" i="2"/>
  <c r="C549" i="2"/>
  <c r="D549" i="2" s="1"/>
  <c r="E541" i="2"/>
  <c r="C541" i="2"/>
  <c r="D541" i="2" s="1"/>
  <c r="E533" i="2"/>
  <c r="C533" i="2"/>
  <c r="D533" i="2" s="1"/>
  <c r="C525" i="2"/>
  <c r="D525" i="2" s="1"/>
  <c r="E525" i="2"/>
  <c r="E517" i="2"/>
  <c r="C517" i="2"/>
  <c r="D517" i="2" s="1"/>
  <c r="E509" i="2"/>
  <c r="C509" i="2"/>
  <c r="D509" i="2" s="1"/>
  <c r="E501" i="2"/>
  <c r="C501" i="2"/>
  <c r="D501" i="2" s="1"/>
  <c r="E493" i="2"/>
  <c r="C493" i="2"/>
  <c r="D493" i="2" s="1"/>
  <c r="E485" i="2"/>
  <c r="C485" i="2"/>
  <c r="D485" i="2" s="1"/>
  <c r="E477" i="2"/>
  <c r="C477" i="2"/>
  <c r="D477" i="2" s="1"/>
  <c r="E469" i="2"/>
  <c r="C469" i="2"/>
  <c r="D469" i="2" s="1"/>
  <c r="E461" i="2"/>
  <c r="C461" i="2"/>
  <c r="D461" i="2" s="1"/>
  <c r="E453" i="2"/>
  <c r="C453" i="2"/>
  <c r="D453" i="2" s="1"/>
  <c r="E445" i="2"/>
  <c r="C445" i="2"/>
  <c r="D445" i="2" s="1"/>
  <c r="E437" i="2"/>
  <c r="C437" i="2"/>
  <c r="D437" i="2" s="1"/>
  <c r="E429" i="2"/>
  <c r="C429" i="2"/>
  <c r="D429" i="2" s="1"/>
  <c r="E421" i="2"/>
  <c r="C421" i="2"/>
  <c r="D421" i="2" s="1"/>
  <c r="E413" i="2"/>
  <c r="C413" i="2"/>
  <c r="D413" i="2" s="1"/>
  <c r="E405" i="2"/>
  <c r="C405" i="2"/>
  <c r="D405" i="2" s="1"/>
  <c r="E397" i="2"/>
  <c r="C397" i="2"/>
  <c r="D397" i="2" s="1"/>
  <c r="E389" i="2"/>
  <c r="C389" i="2"/>
  <c r="D389" i="2" s="1"/>
  <c r="E381" i="2"/>
  <c r="C381" i="2"/>
  <c r="D381" i="2" s="1"/>
  <c r="E373" i="2"/>
  <c r="C373" i="2"/>
  <c r="D373" i="2" s="1"/>
  <c r="E881" i="2"/>
  <c r="C881" i="2"/>
  <c r="D881" i="2" s="1"/>
  <c r="E873" i="2"/>
  <c r="C873" i="2"/>
  <c r="D873" i="2" s="1"/>
  <c r="C865" i="2"/>
  <c r="D865" i="2" s="1"/>
  <c r="E865" i="2"/>
  <c r="E857" i="2"/>
  <c r="C857" i="2"/>
  <c r="D857" i="2" s="1"/>
  <c r="E849" i="2"/>
  <c r="C849" i="2"/>
  <c r="D849" i="2" s="1"/>
  <c r="E841" i="2"/>
  <c r="C841" i="2"/>
  <c r="D841" i="2" s="1"/>
  <c r="E833" i="2"/>
  <c r="C833" i="2"/>
  <c r="D833" i="2" s="1"/>
  <c r="E825" i="2"/>
  <c r="C825" i="2"/>
  <c r="D825" i="2" s="1"/>
  <c r="E817" i="2"/>
  <c r="C817" i="2"/>
  <c r="D817" i="2" s="1"/>
  <c r="E809" i="2"/>
  <c r="C809" i="2"/>
  <c r="D809" i="2" s="1"/>
  <c r="E801" i="2"/>
  <c r="C801" i="2"/>
  <c r="D801" i="2" s="1"/>
  <c r="E793" i="2"/>
  <c r="C793" i="2"/>
  <c r="D793" i="2" s="1"/>
  <c r="E785" i="2"/>
  <c r="C785" i="2"/>
  <c r="D785" i="2" s="1"/>
  <c r="E777" i="2"/>
  <c r="C777" i="2"/>
  <c r="D777" i="2" s="1"/>
  <c r="E769" i="2"/>
  <c r="C769" i="2"/>
  <c r="D769" i="2" s="1"/>
  <c r="C761" i="2"/>
  <c r="D761" i="2" s="1"/>
  <c r="E761" i="2"/>
  <c r="E753" i="2"/>
  <c r="C753" i="2"/>
  <c r="D753" i="2" s="1"/>
  <c r="E745" i="2"/>
  <c r="C745" i="2"/>
  <c r="D745" i="2" s="1"/>
  <c r="E737" i="2"/>
  <c r="C737" i="2"/>
  <c r="D737" i="2" s="1"/>
  <c r="E729" i="2"/>
  <c r="C729" i="2"/>
  <c r="D729" i="2" s="1"/>
  <c r="E721" i="2"/>
  <c r="C721" i="2"/>
  <c r="D721" i="2" s="1"/>
  <c r="E713" i="2"/>
  <c r="C713" i="2"/>
  <c r="D713" i="2" s="1"/>
  <c r="E705" i="2"/>
  <c r="C705" i="2"/>
  <c r="D705" i="2" s="1"/>
  <c r="E697" i="2"/>
  <c r="C697" i="2"/>
  <c r="D697" i="2" s="1"/>
  <c r="E689" i="2"/>
  <c r="C689" i="2"/>
  <c r="D689" i="2" s="1"/>
  <c r="E681" i="2"/>
  <c r="C681" i="2"/>
  <c r="D681" i="2" s="1"/>
  <c r="E673" i="2"/>
  <c r="C673" i="2"/>
  <c r="D673" i="2" s="1"/>
  <c r="E665" i="2"/>
  <c r="C665" i="2"/>
  <c r="D665" i="2" s="1"/>
  <c r="E657" i="2"/>
  <c r="C657" i="2"/>
  <c r="D657" i="2" s="1"/>
  <c r="E649" i="2"/>
  <c r="C649" i="2"/>
  <c r="D649" i="2" s="1"/>
  <c r="E641" i="2"/>
  <c r="C641" i="2"/>
  <c r="D641" i="2" s="1"/>
  <c r="C633" i="2"/>
  <c r="D633" i="2" s="1"/>
  <c r="E633" i="2"/>
  <c r="E625" i="2"/>
  <c r="C625" i="2"/>
  <c r="D625" i="2" s="1"/>
  <c r="E617" i="2"/>
  <c r="C617" i="2"/>
  <c r="D617" i="2" s="1"/>
  <c r="E609" i="2"/>
  <c r="C609" i="2"/>
  <c r="D609" i="2" s="1"/>
  <c r="E601" i="2"/>
  <c r="C601" i="2"/>
  <c r="D601" i="2" s="1"/>
  <c r="E593" i="2"/>
  <c r="C593" i="2"/>
  <c r="D593" i="2" s="1"/>
  <c r="E585" i="2"/>
  <c r="C585" i="2"/>
  <c r="D585" i="2" s="1"/>
  <c r="E577" i="2"/>
  <c r="C577" i="2"/>
  <c r="D577" i="2" s="1"/>
  <c r="E569" i="2"/>
  <c r="C569" i="2"/>
  <c r="D569" i="2" s="1"/>
  <c r="E561" i="2"/>
  <c r="C561" i="2"/>
  <c r="D561" i="2" s="1"/>
  <c r="E553" i="2"/>
  <c r="C553" i="2"/>
  <c r="D553" i="2" s="1"/>
  <c r="E545" i="2"/>
  <c r="C545" i="2"/>
  <c r="D545" i="2" s="1"/>
  <c r="E537" i="2"/>
  <c r="C537" i="2"/>
  <c r="D537" i="2" s="1"/>
  <c r="E529" i="2"/>
  <c r="C529" i="2"/>
  <c r="D529" i="2" s="1"/>
  <c r="E521" i="2"/>
  <c r="C521" i="2"/>
  <c r="D521" i="2" s="1"/>
  <c r="E513" i="2"/>
  <c r="C513" i="2"/>
  <c r="D513" i="2" s="1"/>
  <c r="E505" i="2"/>
  <c r="C505" i="2"/>
  <c r="D505" i="2" s="1"/>
  <c r="E497" i="2"/>
  <c r="C497" i="2"/>
  <c r="D497" i="2" s="1"/>
  <c r="E489" i="2"/>
  <c r="C489" i="2"/>
  <c r="D489" i="2" s="1"/>
  <c r="E481" i="2"/>
  <c r="C481" i="2"/>
  <c r="D481" i="2" s="1"/>
  <c r="E473" i="2"/>
  <c r="C473" i="2"/>
  <c r="D473" i="2" s="1"/>
  <c r="E465" i="2"/>
  <c r="C465" i="2"/>
  <c r="D465" i="2" s="1"/>
  <c r="E457" i="2"/>
  <c r="C457" i="2"/>
  <c r="D457" i="2" s="1"/>
  <c r="E449" i="2"/>
  <c r="C449" i="2"/>
  <c r="D449" i="2" s="1"/>
  <c r="C441" i="2"/>
  <c r="D441" i="2" s="1"/>
  <c r="E441" i="2"/>
  <c r="E433" i="2"/>
  <c r="C433" i="2"/>
  <c r="D433" i="2" s="1"/>
  <c r="E425" i="2"/>
  <c r="C425" i="2"/>
  <c r="D425" i="2" s="1"/>
  <c r="E417" i="2"/>
  <c r="C417" i="2"/>
  <c r="D417" i="2" s="1"/>
  <c r="E409" i="2"/>
  <c r="C409" i="2"/>
  <c r="D409" i="2" s="1"/>
  <c r="E401" i="2"/>
  <c r="C401" i="2"/>
  <c r="D401" i="2" s="1"/>
  <c r="E393" i="2"/>
  <c r="C393" i="2"/>
  <c r="D393" i="2" s="1"/>
  <c r="E385" i="2"/>
  <c r="C385" i="2"/>
  <c r="D385" i="2" s="1"/>
  <c r="E377" i="2"/>
  <c r="C377" i="2"/>
  <c r="D377" i="2" s="1"/>
  <c r="E369" i="2"/>
  <c r="C369" i="2"/>
  <c r="D369" i="2" s="1"/>
  <c r="E361" i="2"/>
  <c r="C361" i="2"/>
  <c r="D361" i="2" s="1"/>
  <c r="E353" i="2"/>
  <c r="C353" i="2"/>
  <c r="D353" i="2" s="1"/>
  <c r="E345" i="2"/>
  <c r="C345" i="2"/>
  <c r="D345" i="2" s="1"/>
  <c r="E337" i="2"/>
  <c r="C337" i="2"/>
  <c r="D337" i="2" s="1"/>
  <c r="E329" i="2"/>
  <c r="C329" i="2"/>
  <c r="D329" i="2" s="1"/>
  <c r="E321" i="2"/>
  <c r="C321" i="2"/>
  <c r="D321" i="2" s="1"/>
  <c r="E313" i="2"/>
  <c r="C313" i="2"/>
  <c r="D313" i="2" s="1"/>
  <c r="E305" i="2"/>
  <c r="C305" i="2"/>
  <c r="D305" i="2" s="1"/>
  <c r="C297" i="2"/>
  <c r="D297" i="2" s="1"/>
  <c r="E297" i="2"/>
  <c r="E289" i="2"/>
  <c r="C289" i="2"/>
  <c r="D289" i="2" s="1"/>
  <c r="E281" i="2"/>
  <c r="C281" i="2"/>
  <c r="D281" i="2" s="1"/>
  <c r="E273" i="2"/>
  <c r="C273" i="2"/>
  <c r="D273" i="2" s="1"/>
  <c r="C265" i="2"/>
  <c r="D265" i="2" s="1"/>
  <c r="E265" i="2"/>
  <c r="E257" i="2"/>
  <c r="C257" i="2"/>
  <c r="D257" i="2" s="1"/>
  <c r="E249" i="2"/>
  <c r="C249" i="2"/>
  <c r="D249" i="2" s="1"/>
  <c r="E241" i="2"/>
  <c r="C241" i="2"/>
  <c r="D241" i="2" s="1"/>
  <c r="E233" i="2"/>
  <c r="C233" i="2"/>
  <c r="D233" i="2" s="1"/>
  <c r="E225" i="2"/>
  <c r="C225" i="2"/>
  <c r="D225" i="2" s="1"/>
  <c r="E217" i="2"/>
  <c r="C217" i="2"/>
  <c r="D217" i="2" s="1"/>
  <c r="E209" i="2"/>
  <c r="C209" i="2"/>
  <c r="D209" i="2" s="1"/>
  <c r="E201" i="2"/>
  <c r="C201" i="2"/>
  <c r="D201" i="2" s="1"/>
  <c r="E193" i="2"/>
  <c r="C193" i="2"/>
  <c r="D193" i="2" s="1"/>
  <c r="E185" i="2"/>
  <c r="C185" i="2"/>
  <c r="D185" i="2" s="1"/>
  <c r="E177" i="2"/>
  <c r="C177" i="2"/>
  <c r="D177" i="2" s="1"/>
  <c r="E169" i="2"/>
  <c r="C169" i="2"/>
  <c r="D169" i="2" s="1"/>
  <c r="E161" i="2"/>
  <c r="C161" i="2"/>
  <c r="D161" i="2" s="1"/>
  <c r="E153" i="2"/>
  <c r="C153" i="2"/>
  <c r="D153" i="2" s="1"/>
  <c r="E145" i="2"/>
  <c r="C145" i="2"/>
  <c r="D145" i="2" s="1"/>
  <c r="E137" i="2"/>
  <c r="C137" i="2"/>
  <c r="D137" i="2" s="1"/>
  <c r="E129" i="2"/>
  <c r="C129" i="2"/>
  <c r="D129" i="2" s="1"/>
  <c r="E121" i="2"/>
  <c r="C121" i="2"/>
  <c r="D121" i="2" s="1"/>
  <c r="E113" i="2"/>
  <c r="C113" i="2"/>
  <c r="D113" i="2" s="1"/>
  <c r="E105" i="2"/>
  <c r="C105" i="2"/>
  <c r="D105" i="2" s="1"/>
  <c r="E97" i="2"/>
  <c r="C97" i="2"/>
  <c r="D97" i="2" s="1"/>
  <c r="E89" i="2"/>
  <c r="C89" i="2"/>
  <c r="D89" i="2" s="1"/>
  <c r="E81" i="2"/>
  <c r="C81" i="2"/>
  <c r="D81" i="2" s="1"/>
  <c r="E73" i="2"/>
  <c r="C73" i="2"/>
  <c r="D73" i="2" s="1"/>
  <c r="E65" i="2"/>
  <c r="C65" i="2"/>
  <c r="D65" i="2" s="1"/>
  <c r="E57" i="2"/>
  <c r="C57" i="2"/>
  <c r="D57" i="2" s="1"/>
  <c r="E49" i="2"/>
  <c r="C49" i="2"/>
  <c r="D49" i="2" s="1"/>
  <c r="E41" i="2"/>
  <c r="C41" i="2"/>
  <c r="D41" i="2" s="1"/>
  <c r="E33" i="2"/>
  <c r="C33" i="2"/>
  <c r="D33" i="2" s="1"/>
  <c r="E25" i="2"/>
  <c r="C25" i="2"/>
  <c r="D25" i="2" s="1"/>
  <c r="E17" i="2"/>
  <c r="C17" i="2"/>
  <c r="D17" i="2" s="1"/>
  <c r="E9" i="2"/>
  <c r="C9" i="2"/>
  <c r="D9" i="2" s="1"/>
  <c r="E176" i="2"/>
  <c r="C176" i="2"/>
  <c r="D176" i="2" s="1"/>
  <c r="E168" i="2"/>
  <c r="C168" i="2"/>
  <c r="D168" i="2" s="1"/>
  <c r="E160" i="2"/>
  <c r="C160" i="2"/>
  <c r="D160" i="2" s="1"/>
  <c r="E152" i="2"/>
  <c r="C152" i="2"/>
  <c r="D152" i="2" s="1"/>
  <c r="E144" i="2"/>
  <c r="C144" i="2"/>
  <c r="D144" i="2" s="1"/>
  <c r="E136" i="2"/>
  <c r="C136" i="2"/>
  <c r="D136" i="2" s="1"/>
  <c r="E128" i="2"/>
  <c r="C128" i="2"/>
  <c r="D128" i="2" s="1"/>
  <c r="E120" i="2"/>
  <c r="C120" i="2"/>
  <c r="D120" i="2" s="1"/>
  <c r="E112" i="2"/>
  <c r="C112" i="2"/>
  <c r="D112" i="2" s="1"/>
  <c r="E104" i="2"/>
  <c r="C104" i="2"/>
  <c r="D104" i="2" s="1"/>
  <c r="E96" i="2"/>
  <c r="C96" i="2"/>
  <c r="D96" i="2" s="1"/>
  <c r="E88" i="2"/>
  <c r="C88" i="2"/>
  <c r="D88" i="2" s="1"/>
  <c r="E80" i="2"/>
  <c r="C80" i="2"/>
  <c r="D80" i="2" s="1"/>
  <c r="E72" i="2"/>
  <c r="C72" i="2"/>
  <c r="D72" i="2" s="1"/>
  <c r="E64" i="2"/>
  <c r="C64" i="2"/>
  <c r="D64" i="2" s="1"/>
  <c r="E56" i="2"/>
  <c r="C56" i="2"/>
  <c r="D56" i="2" s="1"/>
  <c r="E48" i="2"/>
  <c r="C48" i="2"/>
  <c r="D48" i="2" s="1"/>
  <c r="E40" i="2"/>
  <c r="C40" i="2"/>
  <c r="D40" i="2" s="1"/>
  <c r="E32" i="2"/>
  <c r="C32" i="2"/>
  <c r="D32" i="2" s="1"/>
  <c r="E24" i="2"/>
  <c r="C24" i="2"/>
  <c r="D24" i="2" s="1"/>
  <c r="E16" i="2"/>
  <c r="C16" i="2"/>
  <c r="D16" i="2" s="1"/>
  <c r="C8" i="2"/>
  <c r="D8" i="2" s="1"/>
  <c r="E8" i="2"/>
  <c r="E551" i="2"/>
  <c r="C551" i="2"/>
  <c r="D551" i="2" s="1"/>
  <c r="E543" i="2"/>
  <c r="C543" i="2"/>
  <c r="D543" i="2" s="1"/>
  <c r="E535" i="2"/>
  <c r="C535" i="2"/>
  <c r="D535" i="2" s="1"/>
  <c r="E527" i="2"/>
  <c r="C527" i="2"/>
  <c r="D527" i="2" s="1"/>
  <c r="E519" i="2"/>
  <c r="C519" i="2"/>
  <c r="D519" i="2" s="1"/>
  <c r="E511" i="2"/>
  <c r="C511" i="2"/>
  <c r="D511" i="2" s="1"/>
  <c r="E503" i="2"/>
  <c r="C503" i="2"/>
  <c r="D503" i="2" s="1"/>
  <c r="E495" i="2"/>
  <c r="C495" i="2"/>
  <c r="D495" i="2" s="1"/>
  <c r="E487" i="2"/>
  <c r="C487" i="2"/>
  <c r="D487" i="2" s="1"/>
  <c r="E479" i="2"/>
  <c r="C479" i="2"/>
  <c r="D479" i="2" s="1"/>
  <c r="E471" i="2"/>
  <c r="C471" i="2"/>
  <c r="D471" i="2" s="1"/>
  <c r="E463" i="2"/>
  <c r="C463" i="2"/>
  <c r="D463" i="2" s="1"/>
  <c r="E455" i="2"/>
  <c r="C455" i="2"/>
  <c r="D455" i="2" s="1"/>
  <c r="E447" i="2"/>
  <c r="C447" i="2"/>
  <c r="D447" i="2" s="1"/>
  <c r="E439" i="2"/>
  <c r="C439" i="2"/>
  <c r="D439" i="2" s="1"/>
  <c r="E431" i="2"/>
  <c r="C431" i="2"/>
  <c r="D431" i="2" s="1"/>
  <c r="E423" i="2"/>
  <c r="C423" i="2"/>
  <c r="D423" i="2" s="1"/>
  <c r="E415" i="2"/>
  <c r="C415" i="2"/>
  <c r="D415" i="2" s="1"/>
  <c r="E407" i="2"/>
  <c r="C407" i="2"/>
  <c r="D407" i="2" s="1"/>
  <c r="E399" i="2"/>
  <c r="C399" i="2"/>
  <c r="D399" i="2" s="1"/>
  <c r="E391" i="2"/>
  <c r="C391" i="2"/>
  <c r="D391" i="2" s="1"/>
  <c r="E383" i="2"/>
  <c r="C383" i="2"/>
  <c r="D383" i="2" s="1"/>
  <c r="E375" i="2"/>
  <c r="C375" i="2"/>
  <c r="D375" i="2" s="1"/>
  <c r="E367" i="2"/>
  <c r="C367" i="2"/>
  <c r="D367" i="2" s="1"/>
  <c r="E359" i="2"/>
  <c r="C359" i="2"/>
  <c r="D359" i="2" s="1"/>
  <c r="E351" i="2"/>
  <c r="C351" i="2"/>
  <c r="D351" i="2" s="1"/>
  <c r="E343" i="2"/>
  <c r="C343" i="2"/>
  <c r="D343" i="2" s="1"/>
  <c r="E335" i="2"/>
  <c r="C335" i="2"/>
  <c r="D335" i="2" s="1"/>
  <c r="E327" i="2"/>
  <c r="C327" i="2"/>
  <c r="D327" i="2" s="1"/>
  <c r="E319" i="2"/>
  <c r="C319" i="2"/>
  <c r="D319" i="2" s="1"/>
  <c r="E311" i="2"/>
  <c r="C311" i="2"/>
  <c r="D311" i="2" s="1"/>
  <c r="E303" i="2"/>
  <c r="C303" i="2"/>
  <c r="D303" i="2" s="1"/>
  <c r="E295" i="2"/>
  <c r="C295" i="2"/>
  <c r="D295" i="2" s="1"/>
  <c r="E287" i="2"/>
  <c r="C287" i="2"/>
  <c r="D287" i="2" s="1"/>
  <c r="E279" i="2"/>
  <c r="C279" i="2"/>
  <c r="D279" i="2" s="1"/>
  <c r="E271" i="2"/>
  <c r="C271" i="2"/>
  <c r="D271" i="2" s="1"/>
  <c r="E263" i="2"/>
  <c r="C263" i="2"/>
  <c r="D263" i="2" s="1"/>
  <c r="E255" i="2"/>
  <c r="C255" i="2"/>
  <c r="D255" i="2" s="1"/>
  <c r="E247" i="2"/>
  <c r="C247" i="2"/>
  <c r="D247" i="2" s="1"/>
  <c r="E239" i="2"/>
  <c r="C239" i="2"/>
  <c r="D239" i="2" s="1"/>
  <c r="E231" i="2"/>
  <c r="C231" i="2"/>
  <c r="D231" i="2" s="1"/>
  <c r="E223" i="2"/>
  <c r="C223" i="2"/>
  <c r="D223" i="2" s="1"/>
  <c r="E215" i="2"/>
  <c r="C215" i="2"/>
  <c r="D215" i="2" s="1"/>
  <c r="E207" i="2"/>
  <c r="C207" i="2"/>
  <c r="D207" i="2" s="1"/>
  <c r="E199" i="2"/>
  <c r="C199" i="2"/>
  <c r="D199" i="2" s="1"/>
  <c r="E191" i="2"/>
  <c r="C191" i="2"/>
  <c r="D191" i="2" s="1"/>
  <c r="E183" i="2"/>
  <c r="C183" i="2"/>
  <c r="D183" i="2" s="1"/>
  <c r="E175" i="2"/>
  <c r="C175" i="2"/>
  <c r="D175" i="2" s="1"/>
  <c r="E167" i="2"/>
  <c r="C167" i="2"/>
  <c r="D167" i="2" s="1"/>
  <c r="E159" i="2"/>
  <c r="C159" i="2"/>
  <c r="D159" i="2" s="1"/>
  <c r="E151" i="2"/>
  <c r="C151" i="2"/>
  <c r="D151" i="2" s="1"/>
  <c r="E143" i="2"/>
  <c r="C143" i="2"/>
  <c r="D143" i="2" s="1"/>
  <c r="E135" i="2"/>
  <c r="C135" i="2"/>
  <c r="D135" i="2" s="1"/>
  <c r="E127" i="2"/>
  <c r="C127" i="2"/>
  <c r="D127" i="2" s="1"/>
  <c r="E119" i="2"/>
  <c r="C119" i="2"/>
  <c r="D119" i="2" s="1"/>
  <c r="E111" i="2"/>
  <c r="C111" i="2"/>
  <c r="D111" i="2" s="1"/>
  <c r="E103" i="2"/>
  <c r="C103" i="2"/>
  <c r="D103" i="2" s="1"/>
  <c r="E95" i="2"/>
  <c r="C95" i="2"/>
  <c r="D95" i="2" s="1"/>
  <c r="E87" i="2"/>
  <c r="C87" i="2"/>
  <c r="D87" i="2" s="1"/>
  <c r="E79" i="2"/>
  <c r="C79" i="2"/>
  <c r="D79" i="2" s="1"/>
  <c r="E71" i="2"/>
  <c r="C71" i="2"/>
  <c r="D71" i="2" s="1"/>
  <c r="E63" i="2"/>
  <c r="C63" i="2"/>
  <c r="D63" i="2" s="1"/>
  <c r="E55" i="2"/>
  <c r="C55" i="2"/>
  <c r="D55" i="2" s="1"/>
  <c r="E47" i="2"/>
  <c r="C47" i="2"/>
  <c r="D47" i="2" s="1"/>
  <c r="E39" i="2"/>
  <c r="C39" i="2"/>
  <c r="D39" i="2" s="1"/>
  <c r="E31" i="2"/>
  <c r="C31" i="2"/>
  <c r="D31" i="2" s="1"/>
  <c r="E23" i="2"/>
  <c r="C23" i="2"/>
  <c r="D23" i="2" s="1"/>
  <c r="E15" i="2"/>
  <c r="C15" i="2"/>
  <c r="D15" i="2" s="1"/>
  <c r="E7" i="2"/>
  <c r="C7" i="2"/>
  <c r="D7" i="2" s="1"/>
  <c r="E886" i="2"/>
  <c r="C886" i="2"/>
  <c r="D886" i="2" s="1"/>
  <c r="E878" i="2"/>
  <c r="C878" i="2"/>
  <c r="D878" i="2" s="1"/>
  <c r="E870" i="2"/>
  <c r="C870" i="2"/>
  <c r="D870" i="2" s="1"/>
  <c r="E862" i="2"/>
  <c r="C862" i="2"/>
  <c r="D862" i="2" s="1"/>
  <c r="E854" i="2"/>
  <c r="C854" i="2"/>
  <c r="D854" i="2" s="1"/>
  <c r="E846" i="2"/>
  <c r="C846" i="2"/>
  <c r="D846" i="2" s="1"/>
  <c r="E838" i="2"/>
  <c r="C838" i="2"/>
  <c r="D838" i="2" s="1"/>
  <c r="E830" i="2"/>
  <c r="C830" i="2"/>
  <c r="D830" i="2" s="1"/>
  <c r="E822" i="2"/>
  <c r="C822" i="2"/>
  <c r="D822" i="2" s="1"/>
  <c r="E814" i="2"/>
  <c r="C814" i="2"/>
  <c r="D814" i="2" s="1"/>
  <c r="E806" i="2"/>
  <c r="C806" i="2"/>
  <c r="D806" i="2" s="1"/>
  <c r="E798" i="2"/>
  <c r="C798" i="2"/>
  <c r="D798" i="2" s="1"/>
  <c r="E790" i="2"/>
  <c r="C790" i="2"/>
  <c r="D790" i="2" s="1"/>
  <c r="E782" i="2"/>
  <c r="C782" i="2"/>
  <c r="D782" i="2" s="1"/>
  <c r="E774" i="2"/>
  <c r="C774" i="2"/>
  <c r="D774" i="2" s="1"/>
  <c r="E766" i="2"/>
  <c r="C766" i="2"/>
  <c r="D766" i="2" s="1"/>
  <c r="E758" i="2"/>
  <c r="C758" i="2"/>
  <c r="D758" i="2" s="1"/>
  <c r="E750" i="2"/>
  <c r="C750" i="2"/>
  <c r="D750" i="2" s="1"/>
  <c r="E742" i="2"/>
  <c r="C742" i="2"/>
  <c r="D742" i="2" s="1"/>
  <c r="C734" i="2"/>
  <c r="D734" i="2" s="1"/>
  <c r="E734" i="2"/>
  <c r="E726" i="2"/>
  <c r="C726" i="2"/>
  <c r="D726" i="2" s="1"/>
  <c r="E718" i="2"/>
  <c r="C718" i="2"/>
  <c r="D718" i="2" s="1"/>
  <c r="E710" i="2"/>
  <c r="C710" i="2"/>
  <c r="D710" i="2" s="1"/>
  <c r="E702" i="2"/>
  <c r="C702" i="2"/>
  <c r="D702" i="2" s="1"/>
  <c r="C694" i="2"/>
  <c r="D694" i="2" s="1"/>
  <c r="E694" i="2"/>
  <c r="C686" i="2"/>
  <c r="D686" i="2" s="1"/>
  <c r="E686" i="2"/>
  <c r="E678" i="2"/>
  <c r="C678" i="2"/>
  <c r="D678" i="2" s="1"/>
  <c r="C670" i="2"/>
  <c r="D670" i="2" s="1"/>
  <c r="E670" i="2"/>
  <c r="E662" i="2"/>
  <c r="C662" i="2"/>
  <c r="D662" i="2" s="1"/>
  <c r="E654" i="2"/>
  <c r="C654" i="2"/>
  <c r="D654" i="2" s="1"/>
  <c r="E646" i="2"/>
  <c r="C646" i="2"/>
  <c r="D646" i="2" s="1"/>
  <c r="E638" i="2"/>
  <c r="C638" i="2"/>
  <c r="D638" i="2" s="1"/>
  <c r="C630" i="2"/>
  <c r="D630" i="2" s="1"/>
  <c r="E630" i="2"/>
  <c r="E622" i="2"/>
  <c r="C622" i="2"/>
  <c r="D622" i="2" s="1"/>
  <c r="E614" i="2"/>
  <c r="C614" i="2"/>
  <c r="D614" i="2" s="1"/>
  <c r="E606" i="2"/>
  <c r="C606" i="2"/>
  <c r="D606" i="2" s="1"/>
  <c r="C598" i="2"/>
  <c r="D598" i="2" s="1"/>
  <c r="E598" i="2"/>
  <c r="C590" i="2"/>
  <c r="D590" i="2" s="1"/>
  <c r="E590" i="2"/>
  <c r="E582" i="2"/>
  <c r="C582" i="2"/>
  <c r="D582" i="2" s="1"/>
  <c r="E574" i="2"/>
  <c r="C574" i="2"/>
  <c r="D574" i="2" s="1"/>
  <c r="C566" i="2"/>
  <c r="D566" i="2" s="1"/>
  <c r="E566" i="2"/>
  <c r="E558" i="2"/>
  <c r="C558" i="2"/>
  <c r="D558" i="2" s="1"/>
  <c r="E550" i="2"/>
  <c r="C550" i="2"/>
  <c r="D550" i="2" s="1"/>
  <c r="E542" i="2"/>
  <c r="C542" i="2"/>
  <c r="D542" i="2" s="1"/>
  <c r="C534" i="2"/>
  <c r="D534" i="2" s="1"/>
  <c r="E534" i="2"/>
  <c r="E526" i="2"/>
  <c r="C526" i="2"/>
  <c r="D526" i="2" s="1"/>
  <c r="E518" i="2"/>
  <c r="C518" i="2"/>
  <c r="D518" i="2" s="1"/>
  <c r="E510" i="2"/>
  <c r="C510" i="2"/>
  <c r="D510" i="2" s="1"/>
  <c r="E502" i="2"/>
  <c r="C502" i="2"/>
  <c r="D502" i="2" s="1"/>
  <c r="C494" i="2"/>
  <c r="D494" i="2" s="1"/>
  <c r="E494" i="2"/>
  <c r="E486" i="2"/>
  <c r="C486" i="2"/>
  <c r="D486" i="2" s="1"/>
  <c r="C478" i="2"/>
  <c r="D478" i="2" s="1"/>
  <c r="E478" i="2"/>
  <c r="C470" i="2"/>
  <c r="D470" i="2" s="1"/>
  <c r="E470" i="2"/>
  <c r="E462" i="2"/>
  <c r="C462" i="2"/>
  <c r="D462" i="2" s="1"/>
  <c r="E454" i="2"/>
  <c r="C454" i="2"/>
  <c r="D454" i="2" s="1"/>
  <c r="E446" i="2"/>
  <c r="C446" i="2"/>
  <c r="D446" i="2" s="1"/>
  <c r="E438" i="2"/>
  <c r="C438" i="2"/>
  <c r="D438" i="2" s="1"/>
  <c r="C430" i="2"/>
  <c r="D430" i="2" s="1"/>
  <c r="E430" i="2"/>
  <c r="E422" i="2"/>
  <c r="C422" i="2"/>
  <c r="D422" i="2" s="1"/>
  <c r="E414" i="2"/>
  <c r="C414" i="2"/>
  <c r="D414" i="2" s="1"/>
  <c r="E406" i="2"/>
  <c r="C406" i="2"/>
  <c r="D406" i="2" s="1"/>
  <c r="C398" i="2"/>
  <c r="D398" i="2" s="1"/>
  <c r="E398" i="2"/>
  <c r="E390" i="2"/>
  <c r="C390" i="2"/>
  <c r="D390" i="2" s="1"/>
  <c r="E382" i="2"/>
  <c r="C382" i="2"/>
  <c r="D382" i="2" s="1"/>
  <c r="C374" i="2"/>
  <c r="D374" i="2" s="1"/>
  <c r="E374" i="2"/>
  <c r="C366" i="2"/>
  <c r="D366" i="2" s="1"/>
  <c r="E366" i="2"/>
  <c r="E358" i="2"/>
  <c r="C358" i="2"/>
  <c r="D358" i="2" s="1"/>
  <c r="E350" i="2"/>
  <c r="C350" i="2"/>
  <c r="D350" i="2" s="1"/>
  <c r="E342" i="2"/>
  <c r="C342" i="2"/>
  <c r="D342" i="2" s="1"/>
  <c r="C334" i="2"/>
  <c r="D334" i="2" s="1"/>
  <c r="E334" i="2"/>
  <c r="E326" i="2"/>
  <c r="C326" i="2"/>
  <c r="D326" i="2" s="1"/>
  <c r="E318" i="2"/>
  <c r="C318" i="2"/>
  <c r="D318" i="2" s="1"/>
  <c r="E310" i="2"/>
  <c r="C310" i="2"/>
  <c r="D310" i="2" s="1"/>
  <c r="E302" i="2"/>
  <c r="C302" i="2"/>
  <c r="D302" i="2" s="1"/>
  <c r="E294" i="2"/>
  <c r="C294" i="2"/>
  <c r="D294" i="2" s="1"/>
  <c r="C286" i="2"/>
  <c r="D286" i="2" s="1"/>
  <c r="E286" i="2"/>
  <c r="C278" i="2"/>
  <c r="D278" i="2" s="1"/>
  <c r="E278" i="2"/>
  <c r="C270" i="2"/>
  <c r="D270" i="2" s="1"/>
  <c r="E270" i="2"/>
  <c r="E262" i="2"/>
  <c r="C262" i="2"/>
  <c r="D262" i="2" s="1"/>
  <c r="E254" i="2"/>
  <c r="C254" i="2"/>
  <c r="D254" i="2" s="1"/>
  <c r="E246" i="2"/>
  <c r="C246" i="2"/>
  <c r="D246" i="2" s="1"/>
  <c r="E238" i="2"/>
  <c r="C238" i="2"/>
  <c r="D238" i="2" s="1"/>
  <c r="E230" i="2"/>
  <c r="C230" i="2"/>
  <c r="D230" i="2" s="1"/>
  <c r="C222" i="2"/>
  <c r="D222" i="2" s="1"/>
  <c r="E222" i="2"/>
  <c r="E214" i="2"/>
  <c r="C214" i="2"/>
  <c r="D214" i="2" s="1"/>
  <c r="E206" i="2"/>
  <c r="C206" i="2"/>
  <c r="D206" i="2" s="1"/>
  <c r="E198" i="2"/>
  <c r="C198" i="2"/>
  <c r="D198" i="2" s="1"/>
  <c r="E190" i="2"/>
  <c r="C190" i="2"/>
  <c r="D190" i="2" s="1"/>
  <c r="E182" i="2"/>
  <c r="C182" i="2"/>
  <c r="D182" i="2" s="1"/>
  <c r="E174" i="2"/>
  <c r="C174" i="2"/>
  <c r="D174" i="2" s="1"/>
  <c r="E166" i="2"/>
  <c r="C166" i="2"/>
  <c r="D166" i="2" s="1"/>
  <c r="E158" i="2"/>
  <c r="C158" i="2"/>
  <c r="D158" i="2" s="1"/>
  <c r="E150" i="2"/>
  <c r="C150" i="2"/>
  <c r="D150" i="2" s="1"/>
  <c r="E142" i="2"/>
  <c r="C142" i="2"/>
  <c r="D142" i="2" s="1"/>
  <c r="E134" i="2"/>
  <c r="C134" i="2"/>
  <c r="D134" i="2" s="1"/>
  <c r="E126" i="2"/>
  <c r="C126" i="2"/>
  <c r="D126" i="2" s="1"/>
  <c r="E118" i="2"/>
  <c r="C118" i="2"/>
  <c r="D118" i="2" s="1"/>
  <c r="C110" i="2"/>
  <c r="D110" i="2" s="1"/>
  <c r="E110" i="2"/>
  <c r="E102" i="2"/>
  <c r="C102" i="2"/>
  <c r="D102" i="2" s="1"/>
  <c r="E94" i="2"/>
  <c r="C94" i="2"/>
  <c r="D94" i="2" s="1"/>
  <c r="E86" i="2"/>
  <c r="C86" i="2"/>
  <c r="D86" i="2" s="1"/>
  <c r="E78" i="2"/>
  <c r="C78" i="2"/>
  <c r="D78" i="2" s="1"/>
  <c r="E70" i="2"/>
  <c r="C70" i="2"/>
  <c r="D70" i="2" s="1"/>
  <c r="E62" i="2"/>
  <c r="C62" i="2"/>
  <c r="D62" i="2" s="1"/>
  <c r="E54" i="2"/>
  <c r="C54" i="2"/>
  <c r="D54" i="2" s="1"/>
  <c r="E46" i="2"/>
  <c r="C46" i="2"/>
  <c r="D46" i="2" s="1"/>
  <c r="E38" i="2"/>
  <c r="C38" i="2"/>
  <c r="D38" i="2" s="1"/>
  <c r="E30" i="2"/>
  <c r="C30" i="2"/>
  <c r="D30" i="2" s="1"/>
  <c r="E22" i="2"/>
  <c r="C22" i="2"/>
  <c r="D22" i="2" s="1"/>
  <c r="C14" i="2"/>
  <c r="D14" i="2" s="1"/>
  <c r="E14" i="2"/>
  <c r="C6" i="2"/>
  <c r="D6" i="2" s="1"/>
  <c r="E6" i="2"/>
  <c r="C365" i="2"/>
  <c r="D365" i="2" s="1"/>
  <c r="E365" i="2"/>
  <c r="E357" i="2"/>
  <c r="C357" i="2"/>
  <c r="D357" i="2" s="1"/>
  <c r="E349" i="2"/>
  <c r="C349" i="2"/>
  <c r="D349" i="2" s="1"/>
  <c r="E341" i="2"/>
  <c r="C341" i="2"/>
  <c r="D341" i="2" s="1"/>
  <c r="E333" i="2"/>
  <c r="C333" i="2"/>
  <c r="D333" i="2" s="1"/>
  <c r="E325" i="2"/>
  <c r="C325" i="2"/>
  <c r="D325" i="2" s="1"/>
  <c r="E317" i="2"/>
  <c r="C317" i="2"/>
  <c r="D317" i="2" s="1"/>
  <c r="E309" i="2"/>
  <c r="C309" i="2"/>
  <c r="D309" i="2" s="1"/>
  <c r="E301" i="2"/>
  <c r="C301" i="2"/>
  <c r="D301" i="2" s="1"/>
  <c r="E293" i="2"/>
  <c r="C293" i="2"/>
  <c r="D293" i="2" s="1"/>
  <c r="E285" i="2"/>
  <c r="C285" i="2"/>
  <c r="D285" i="2" s="1"/>
  <c r="E277" i="2"/>
  <c r="C277" i="2"/>
  <c r="D277" i="2" s="1"/>
  <c r="E269" i="2"/>
  <c r="C269" i="2"/>
  <c r="D269" i="2" s="1"/>
  <c r="E261" i="2"/>
  <c r="C261" i="2"/>
  <c r="D261" i="2" s="1"/>
  <c r="E253" i="2"/>
  <c r="C253" i="2"/>
  <c r="D253" i="2" s="1"/>
  <c r="E245" i="2"/>
  <c r="C245" i="2"/>
  <c r="D245" i="2" s="1"/>
  <c r="E237" i="2"/>
  <c r="C237" i="2"/>
  <c r="D237" i="2" s="1"/>
  <c r="E229" i="2"/>
  <c r="C229" i="2"/>
  <c r="D229" i="2" s="1"/>
  <c r="E221" i="2"/>
  <c r="C221" i="2"/>
  <c r="D221" i="2" s="1"/>
  <c r="E213" i="2"/>
  <c r="C213" i="2"/>
  <c r="D213" i="2" s="1"/>
  <c r="E205" i="2"/>
  <c r="C205" i="2"/>
  <c r="D205" i="2" s="1"/>
  <c r="E197" i="2"/>
  <c r="C197" i="2"/>
  <c r="D197" i="2" s="1"/>
  <c r="E189" i="2"/>
  <c r="C189" i="2"/>
  <c r="D189" i="2" s="1"/>
  <c r="E181" i="2"/>
  <c r="C181" i="2"/>
  <c r="D181" i="2" s="1"/>
  <c r="E173" i="2"/>
  <c r="C173" i="2"/>
  <c r="D173" i="2" s="1"/>
  <c r="E165" i="2"/>
  <c r="C165" i="2"/>
  <c r="D165" i="2" s="1"/>
  <c r="E157" i="2"/>
  <c r="C157" i="2"/>
  <c r="D157" i="2" s="1"/>
  <c r="E149" i="2"/>
  <c r="C149" i="2"/>
  <c r="D149" i="2" s="1"/>
  <c r="E132" i="2"/>
  <c r="C132" i="2"/>
  <c r="D132" i="2" s="1"/>
  <c r="E124" i="2"/>
  <c r="C124" i="2"/>
  <c r="D124" i="2" s="1"/>
  <c r="E116" i="2"/>
  <c r="C116" i="2"/>
  <c r="D116" i="2" s="1"/>
  <c r="E108" i="2"/>
  <c r="C108" i="2"/>
  <c r="D108" i="2" s="1"/>
  <c r="E100" i="2"/>
  <c r="C100" i="2"/>
  <c r="D100" i="2" s="1"/>
  <c r="E92" i="2"/>
  <c r="C92" i="2"/>
  <c r="D92" i="2" s="1"/>
  <c r="E84" i="2"/>
  <c r="C84" i="2"/>
  <c r="D84" i="2" s="1"/>
  <c r="E76" i="2"/>
  <c r="C76" i="2"/>
  <c r="D76" i="2" s="1"/>
  <c r="E68" i="2"/>
  <c r="C68" i="2"/>
  <c r="D68" i="2" s="1"/>
  <c r="E60" i="2"/>
  <c r="C60" i="2"/>
  <c r="D60" i="2" s="1"/>
  <c r="E52" i="2"/>
  <c r="C52" i="2"/>
  <c r="D52" i="2" s="1"/>
  <c r="E44" i="2"/>
  <c r="C44" i="2"/>
  <c r="D44" i="2" s="1"/>
  <c r="E36" i="2"/>
  <c r="C36" i="2"/>
  <c r="D36" i="2" s="1"/>
  <c r="E28" i="2"/>
  <c r="C28" i="2"/>
  <c r="D28" i="2" s="1"/>
  <c r="E20" i="2"/>
  <c r="C20" i="2"/>
  <c r="D20" i="2" s="1"/>
  <c r="C12" i="2"/>
  <c r="D12" i="2" s="1"/>
  <c r="E12" i="2"/>
  <c r="E4" i="2"/>
  <c r="C4" i="2"/>
  <c r="D4" i="2" s="1"/>
  <c r="E187" i="2"/>
  <c r="C187" i="2"/>
  <c r="D187" i="2" s="1"/>
  <c r="E179" i="2"/>
  <c r="C179" i="2"/>
  <c r="D179" i="2" s="1"/>
  <c r="C171" i="2"/>
  <c r="D171" i="2" s="1"/>
  <c r="E171" i="2"/>
  <c r="E163" i="2"/>
  <c r="C163" i="2"/>
  <c r="D163" i="2" s="1"/>
  <c r="E155" i="2"/>
  <c r="C155" i="2"/>
  <c r="D155" i="2" s="1"/>
  <c r="E147" i="2"/>
  <c r="C147" i="2"/>
  <c r="D147" i="2" s="1"/>
  <c r="E139" i="2"/>
  <c r="C139" i="2"/>
  <c r="D139" i="2" s="1"/>
  <c r="E131" i="2"/>
  <c r="C131" i="2"/>
  <c r="D131" i="2" s="1"/>
  <c r="E123" i="2"/>
  <c r="C123" i="2"/>
  <c r="D123" i="2" s="1"/>
  <c r="E115" i="2"/>
  <c r="C115" i="2"/>
  <c r="D115" i="2" s="1"/>
  <c r="E107" i="2"/>
  <c r="C107" i="2"/>
  <c r="D107" i="2" s="1"/>
  <c r="E99" i="2"/>
  <c r="C99" i="2"/>
  <c r="D99" i="2" s="1"/>
  <c r="E91" i="2"/>
  <c r="C91" i="2"/>
  <c r="D91" i="2" s="1"/>
  <c r="E83" i="2"/>
  <c r="C83" i="2"/>
  <c r="D83" i="2" s="1"/>
  <c r="E75" i="2"/>
  <c r="C75" i="2"/>
  <c r="D75" i="2" s="1"/>
  <c r="E67" i="2"/>
  <c r="C67" i="2"/>
  <c r="D67" i="2" s="1"/>
  <c r="E59" i="2"/>
  <c r="C59" i="2"/>
  <c r="D59" i="2" s="1"/>
  <c r="E51" i="2"/>
  <c r="C51" i="2"/>
  <c r="D51" i="2" s="1"/>
  <c r="C43" i="2"/>
  <c r="D43" i="2" s="1"/>
  <c r="E43" i="2"/>
  <c r="E35" i="2"/>
  <c r="C35" i="2"/>
  <c r="D35" i="2" s="1"/>
  <c r="E27" i="2"/>
  <c r="C27" i="2"/>
  <c r="D27" i="2" s="1"/>
  <c r="E19" i="2"/>
  <c r="C19" i="2"/>
  <c r="D19" i="2" s="1"/>
  <c r="C11" i="2"/>
  <c r="D11" i="2" s="1"/>
  <c r="E11" i="2"/>
  <c r="E3" i="2"/>
  <c r="E794" i="2"/>
  <c r="C794" i="2"/>
  <c r="D794" i="2" s="1"/>
  <c r="E786" i="2"/>
  <c r="C786" i="2"/>
  <c r="D786" i="2" s="1"/>
  <c r="E778" i="2"/>
  <c r="C778" i="2"/>
  <c r="D778" i="2" s="1"/>
  <c r="E770" i="2"/>
  <c r="C770" i="2"/>
  <c r="D770" i="2" s="1"/>
  <c r="E762" i="2"/>
  <c r="C762" i="2"/>
  <c r="D762" i="2" s="1"/>
  <c r="C754" i="2"/>
  <c r="D754" i="2" s="1"/>
  <c r="E754" i="2"/>
  <c r="E746" i="2"/>
  <c r="C746" i="2"/>
  <c r="D746" i="2" s="1"/>
  <c r="E738" i="2"/>
  <c r="C738" i="2"/>
  <c r="D738" i="2" s="1"/>
  <c r="E730" i="2"/>
  <c r="C730" i="2"/>
  <c r="D730" i="2" s="1"/>
  <c r="E722" i="2"/>
  <c r="C722" i="2"/>
  <c r="D722" i="2" s="1"/>
  <c r="E714" i="2"/>
  <c r="C714" i="2"/>
  <c r="D714" i="2" s="1"/>
  <c r="E706" i="2"/>
  <c r="C706" i="2"/>
  <c r="D706" i="2" s="1"/>
  <c r="E698" i="2"/>
  <c r="C698" i="2"/>
  <c r="D698" i="2" s="1"/>
  <c r="C690" i="2"/>
  <c r="D690" i="2" s="1"/>
  <c r="E690" i="2"/>
  <c r="E682" i="2"/>
  <c r="C682" i="2"/>
  <c r="D682" i="2" s="1"/>
  <c r="E674" i="2"/>
  <c r="C674" i="2"/>
  <c r="D674" i="2" s="1"/>
  <c r="E666" i="2"/>
  <c r="C666" i="2"/>
  <c r="D666" i="2" s="1"/>
  <c r="C658" i="2"/>
  <c r="D658" i="2" s="1"/>
  <c r="E658" i="2"/>
  <c r="E650" i="2"/>
  <c r="C650" i="2"/>
  <c r="D650" i="2" s="1"/>
  <c r="E642" i="2"/>
  <c r="C642" i="2"/>
  <c r="D642" i="2" s="1"/>
  <c r="E634" i="2"/>
  <c r="C634" i="2"/>
  <c r="D634" i="2" s="1"/>
  <c r="E626" i="2"/>
  <c r="C626" i="2"/>
  <c r="D626" i="2" s="1"/>
  <c r="E618" i="2"/>
  <c r="C618" i="2"/>
  <c r="D618" i="2" s="1"/>
  <c r="E610" i="2"/>
  <c r="C610" i="2"/>
  <c r="D610" i="2" s="1"/>
  <c r="E602" i="2"/>
  <c r="C602" i="2"/>
  <c r="D602" i="2" s="1"/>
  <c r="E594" i="2"/>
  <c r="C594" i="2"/>
  <c r="D594" i="2" s="1"/>
  <c r="E586" i="2"/>
  <c r="C586" i="2"/>
  <c r="D586" i="2" s="1"/>
  <c r="E578" i="2"/>
  <c r="C578" i="2"/>
  <c r="D578" i="2" s="1"/>
  <c r="E570" i="2"/>
  <c r="C570" i="2"/>
  <c r="D570" i="2" s="1"/>
  <c r="E562" i="2"/>
  <c r="C562" i="2"/>
  <c r="D562" i="2" s="1"/>
  <c r="E554" i="2"/>
  <c r="C554" i="2"/>
  <c r="D554" i="2" s="1"/>
  <c r="E546" i="2"/>
  <c r="C546" i="2"/>
  <c r="D546" i="2" s="1"/>
  <c r="E538" i="2"/>
  <c r="C538" i="2"/>
  <c r="D538" i="2" s="1"/>
  <c r="C530" i="2"/>
  <c r="D530" i="2" s="1"/>
  <c r="E530" i="2"/>
  <c r="E522" i="2"/>
  <c r="C522" i="2"/>
  <c r="D522" i="2" s="1"/>
  <c r="C514" i="2"/>
  <c r="D514" i="2" s="1"/>
  <c r="E514" i="2"/>
  <c r="E506" i="2"/>
  <c r="C506" i="2"/>
  <c r="D506" i="2" s="1"/>
  <c r="E498" i="2"/>
  <c r="C498" i="2"/>
  <c r="D498" i="2" s="1"/>
  <c r="E490" i="2"/>
  <c r="C490" i="2"/>
  <c r="D490" i="2" s="1"/>
  <c r="E482" i="2"/>
  <c r="C482" i="2"/>
  <c r="D482" i="2" s="1"/>
  <c r="E474" i="2"/>
  <c r="C474" i="2"/>
  <c r="D474" i="2" s="1"/>
  <c r="E466" i="2"/>
  <c r="C466" i="2"/>
  <c r="D466" i="2" s="1"/>
  <c r="E458" i="2"/>
  <c r="C458" i="2"/>
  <c r="D458" i="2" s="1"/>
  <c r="E450" i="2"/>
  <c r="C450" i="2"/>
  <c r="D450" i="2" s="1"/>
  <c r="E442" i="2"/>
  <c r="C442" i="2"/>
  <c r="D442" i="2" s="1"/>
  <c r="C434" i="2"/>
  <c r="D434" i="2" s="1"/>
  <c r="E434" i="2"/>
  <c r="E426" i="2"/>
  <c r="C426" i="2"/>
  <c r="D426" i="2" s="1"/>
  <c r="E418" i="2"/>
  <c r="C418" i="2"/>
  <c r="D418" i="2" s="1"/>
  <c r="E410" i="2"/>
  <c r="C410" i="2"/>
  <c r="D410" i="2" s="1"/>
  <c r="C402" i="2"/>
  <c r="D402" i="2" s="1"/>
  <c r="E402" i="2"/>
  <c r="E394" i="2"/>
  <c r="C394" i="2"/>
  <c r="D394" i="2" s="1"/>
  <c r="E386" i="2"/>
  <c r="C386" i="2"/>
  <c r="D386" i="2" s="1"/>
  <c r="E378" i="2"/>
  <c r="C378" i="2"/>
  <c r="D378" i="2" s="1"/>
  <c r="C370" i="2"/>
  <c r="D370" i="2" s="1"/>
  <c r="E370" i="2"/>
  <c r="E362" i="2"/>
  <c r="C362" i="2"/>
  <c r="D362" i="2" s="1"/>
  <c r="E354" i="2"/>
  <c r="C354" i="2"/>
  <c r="D354" i="2" s="1"/>
  <c r="E346" i="2"/>
  <c r="C346" i="2"/>
  <c r="D346" i="2" s="1"/>
  <c r="E338" i="2"/>
  <c r="C338" i="2"/>
  <c r="D338" i="2" s="1"/>
  <c r="E330" i="2"/>
  <c r="C330" i="2"/>
  <c r="D330" i="2" s="1"/>
  <c r="E322" i="2"/>
  <c r="C322" i="2"/>
  <c r="D322" i="2" s="1"/>
  <c r="E314" i="2"/>
  <c r="C314" i="2"/>
  <c r="D314" i="2" s="1"/>
  <c r="E306" i="2"/>
  <c r="C306" i="2"/>
  <c r="D306" i="2" s="1"/>
  <c r="E298" i="2"/>
  <c r="C298" i="2"/>
  <c r="D298" i="2" s="1"/>
  <c r="E290" i="2"/>
  <c r="C290" i="2"/>
  <c r="D290" i="2" s="1"/>
  <c r="E282" i="2"/>
  <c r="C282" i="2"/>
  <c r="D282" i="2" s="1"/>
  <c r="C274" i="2"/>
  <c r="D274" i="2" s="1"/>
  <c r="E274" i="2"/>
  <c r="E266" i="2"/>
  <c r="C266" i="2"/>
  <c r="D266" i="2" s="1"/>
  <c r="E258" i="2"/>
  <c r="C258" i="2"/>
  <c r="D258" i="2" s="1"/>
  <c r="E250" i="2"/>
  <c r="C250" i="2"/>
  <c r="D250" i="2" s="1"/>
  <c r="E242" i="2"/>
  <c r="C242" i="2"/>
  <c r="D242" i="2" s="1"/>
  <c r="C234" i="2"/>
  <c r="D234" i="2" s="1"/>
  <c r="E234" i="2"/>
  <c r="E226" i="2"/>
  <c r="C226" i="2"/>
  <c r="D226" i="2" s="1"/>
  <c r="E218" i="2"/>
  <c r="C218" i="2"/>
  <c r="D218" i="2" s="1"/>
  <c r="E210" i="2"/>
  <c r="C210" i="2"/>
  <c r="D210" i="2" s="1"/>
  <c r="E202" i="2"/>
  <c r="C202" i="2"/>
  <c r="D202" i="2" s="1"/>
  <c r="E194" i="2"/>
  <c r="C194" i="2"/>
  <c r="D194" i="2" s="1"/>
  <c r="E186" i="2"/>
  <c r="C186" i="2"/>
  <c r="D186" i="2" s="1"/>
  <c r="E178" i="2"/>
  <c r="C178" i="2"/>
  <c r="D178" i="2" s="1"/>
  <c r="E170" i="2"/>
  <c r="C170" i="2"/>
  <c r="D170" i="2" s="1"/>
  <c r="E162" i="2"/>
  <c r="C162" i="2"/>
  <c r="D162" i="2" s="1"/>
  <c r="E154" i="2"/>
  <c r="C154" i="2"/>
  <c r="D154" i="2" s="1"/>
  <c r="E141" i="2"/>
  <c r="C141" i="2"/>
  <c r="D141" i="2" s="1"/>
  <c r="E133" i="2"/>
  <c r="C133" i="2"/>
  <c r="D133" i="2" s="1"/>
  <c r="E125" i="2"/>
  <c r="C125" i="2"/>
  <c r="D125" i="2" s="1"/>
  <c r="E117" i="2"/>
  <c r="C117" i="2"/>
  <c r="D117" i="2" s="1"/>
  <c r="E109" i="2"/>
  <c r="C109" i="2"/>
  <c r="D109" i="2" s="1"/>
  <c r="E101" i="2"/>
  <c r="C101" i="2"/>
  <c r="D101" i="2" s="1"/>
  <c r="E93" i="2"/>
  <c r="C93" i="2"/>
  <c r="D93" i="2" s="1"/>
  <c r="E85" i="2"/>
  <c r="C85" i="2"/>
  <c r="D85" i="2" s="1"/>
  <c r="E77" i="2"/>
  <c r="C77" i="2"/>
  <c r="D77" i="2" s="1"/>
  <c r="E69" i="2"/>
  <c r="C69" i="2"/>
  <c r="D69" i="2" s="1"/>
  <c r="E61" i="2"/>
  <c r="C61" i="2"/>
  <c r="D61" i="2" s="1"/>
  <c r="E53" i="2"/>
  <c r="C53" i="2"/>
  <c r="D53" i="2" s="1"/>
  <c r="E45" i="2"/>
  <c r="C45" i="2"/>
  <c r="D45" i="2" s="1"/>
  <c r="E37" i="2"/>
  <c r="C37" i="2"/>
  <c r="D37" i="2" s="1"/>
  <c r="E29" i="2"/>
  <c r="C29" i="2"/>
  <c r="D29" i="2" s="1"/>
  <c r="E21" i="2"/>
  <c r="C21" i="2"/>
  <c r="D21" i="2" s="1"/>
  <c r="C13" i="2"/>
  <c r="D13" i="2" s="1"/>
  <c r="E13" i="2"/>
  <c r="E5" i="2"/>
  <c r="C5" i="2"/>
  <c r="D5" i="2" s="1"/>
  <c r="E146" i="2"/>
  <c r="C146" i="2"/>
  <c r="D146" i="2" s="1"/>
  <c r="E138" i="2"/>
  <c r="C138" i="2"/>
  <c r="D138" i="2" s="1"/>
  <c r="E130" i="2"/>
  <c r="C130" i="2"/>
  <c r="D130" i="2" s="1"/>
  <c r="E122" i="2"/>
  <c r="C122" i="2"/>
  <c r="D122" i="2" s="1"/>
  <c r="E114" i="2"/>
  <c r="C114" i="2"/>
  <c r="D114" i="2" s="1"/>
  <c r="E106" i="2"/>
  <c r="C106" i="2"/>
  <c r="D106" i="2" s="1"/>
  <c r="E98" i="2"/>
  <c r="C98" i="2"/>
  <c r="D98" i="2" s="1"/>
  <c r="E90" i="2"/>
  <c r="C90" i="2"/>
  <c r="D90" i="2" s="1"/>
  <c r="E82" i="2"/>
  <c r="C82" i="2"/>
  <c r="D82" i="2" s="1"/>
  <c r="E74" i="2"/>
  <c r="C74" i="2"/>
  <c r="D74" i="2" s="1"/>
  <c r="E66" i="2"/>
  <c r="C66" i="2"/>
  <c r="D66" i="2" s="1"/>
  <c r="E58" i="2"/>
  <c r="C58" i="2"/>
  <c r="D58" i="2" s="1"/>
  <c r="E50" i="2"/>
  <c r="C50" i="2"/>
  <c r="D50" i="2" s="1"/>
  <c r="E42" i="2"/>
  <c r="C42" i="2"/>
  <c r="D42" i="2" s="1"/>
  <c r="E34" i="2"/>
  <c r="C34" i="2"/>
  <c r="D34" i="2" s="1"/>
  <c r="E26" i="2"/>
  <c r="C26" i="2"/>
  <c r="D26" i="2" s="1"/>
  <c r="E18" i="2"/>
  <c r="C18" i="2"/>
  <c r="D18" i="2" s="1"/>
  <c r="E10" i="2"/>
  <c r="C10" i="2"/>
  <c r="D10" i="2" s="1"/>
  <c r="C3" i="2"/>
  <c r="D3" i="2" s="1"/>
  <c r="C2" i="2"/>
  <c r="B38" i="5" l="1"/>
  <c r="D2" i="2"/>
  <c r="B28" i="5"/>
  <c r="B27" i="5"/>
  <c r="B37" i="5"/>
  <c r="B36" i="5"/>
  <c r="B34" i="5"/>
  <c r="B35" i="5"/>
  <c r="B19" i="5"/>
  <c r="B18" i="5"/>
  <c r="B17" i="5"/>
</calcChain>
</file>

<file path=xl/sharedStrings.xml><?xml version="1.0" encoding="utf-8"?>
<sst xmlns="http://schemas.openxmlformats.org/spreadsheetml/2006/main" count="21981" uniqueCount="7829">
  <si>
    <t>Total Revenue (FY Till Date)</t>
  </si>
  <si>
    <t>Total Customers</t>
  </si>
  <si>
    <t>Active Customers</t>
  </si>
  <si>
    <t>Inactive Customers</t>
  </si>
  <si>
    <t>At Risk Customers</t>
  </si>
  <si>
    <t xml:space="preserve">Average </t>
  </si>
  <si>
    <t>Top 10 Revenue</t>
  </si>
  <si>
    <t>Top 50 Revenue</t>
  </si>
  <si>
    <t>Platinum Revenue %</t>
  </si>
  <si>
    <t>Gold Revenue %</t>
  </si>
  <si>
    <t>Platinum Inactive Count</t>
  </si>
  <si>
    <t>Platinum At Risk</t>
  </si>
  <si>
    <t>Gold Inactivity Count</t>
  </si>
  <si>
    <t>Gold at Risk</t>
  </si>
  <si>
    <t>Top 100 Inactivity Count</t>
  </si>
  <si>
    <t>B2B Revenue</t>
  </si>
  <si>
    <t>B2C Revenue</t>
  </si>
  <si>
    <t>Vch Type</t>
  </si>
  <si>
    <t>Sum of Sales Amount</t>
  </si>
  <si>
    <t>B2B</t>
  </si>
  <si>
    <t>B2C</t>
  </si>
  <si>
    <t>Grand Total</t>
  </si>
  <si>
    <t>Date</t>
  </si>
  <si>
    <t>Customer_name</t>
  </si>
  <si>
    <t>Vch No.</t>
  </si>
  <si>
    <t>Sales Amount</t>
  </si>
  <si>
    <t>Credit</t>
  </si>
  <si>
    <t>KERALA STEELS</t>
  </si>
  <si>
    <t>JU-1/25-26</t>
  </si>
  <si>
    <t>SUNIL NJARALLOOR</t>
  </si>
  <si>
    <t>J-1/25-26</t>
  </si>
  <si>
    <t>MANOJ (CURRY SHOP)</t>
  </si>
  <si>
    <t>J-2/25-26</t>
  </si>
  <si>
    <t>SHIJO AUTO  CONSULTANT</t>
  </si>
  <si>
    <t>J-3/25-26</t>
  </si>
  <si>
    <t>VASU SRISHITY</t>
  </si>
  <si>
    <t>J-4/25-26</t>
  </si>
  <si>
    <t>JOBY THATTAMUGAL</t>
  </si>
  <si>
    <t>J-5/25-26</t>
  </si>
  <si>
    <t>JAYAN KUNNAKKAL</t>
  </si>
  <si>
    <t>J-6/25-26</t>
  </si>
  <si>
    <t>MOHANAN PANCODE</t>
  </si>
  <si>
    <t>J-7/25-26</t>
  </si>
  <si>
    <t>BINU KOLETH TRUSS</t>
  </si>
  <si>
    <t>J-8/25-26</t>
  </si>
  <si>
    <t>BHASKARAN PATTIMATTOM</t>
  </si>
  <si>
    <t>J-9/25-26</t>
  </si>
  <si>
    <t>J-10/25-26</t>
  </si>
  <si>
    <t>NIJU TRUSS , PATTIMATTAM</t>
  </si>
  <si>
    <t>J-11/25-26</t>
  </si>
  <si>
    <t>Cash</t>
  </si>
  <si>
    <t>J-12/25-26</t>
  </si>
  <si>
    <t>MANU PATTIMATTOM</t>
  </si>
  <si>
    <t>J-13/25-26</t>
  </si>
  <si>
    <t>SONEUR ENERGY PRIVATE LTD.</t>
  </si>
  <si>
    <t>JU-2/25-26</t>
  </si>
  <si>
    <t>FLAVOURFAVE (P) LTD</t>
  </si>
  <si>
    <t>JU-3/25-26</t>
  </si>
  <si>
    <t>AUGUR COMPUTERS PVT LTD</t>
  </si>
  <si>
    <t>JU-4/25-26</t>
  </si>
  <si>
    <t>KOTTARAM BUILDERS AND DEVELOPERS</t>
  </si>
  <si>
    <t>JU-5/25-26</t>
  </si>
  <si>
    <t>SUDHEER KAREKKATTIL</t>
  </si>
  <si>
    <t>J-14/25-26</t>
  </si>
  <si>
    <t>ANOOP PATTIMATTOM</t>
  </si>
  <si>
    <t>J-15/25-26</t>
  </si>
  <si>
    <t>ASIF PATTIMATTOM</t>
  </si>
  <si>
    <t>J-16/25-26</t>
  </si>
  <si>
    <t>RASHEED TRUSS ,  CHENGARA</t>
  </si>
  <si>
    <t>J-17/25-26</t>
  </si>
  <si>
    <t>J-18/25-26</t>
  </si>
  <si>
    <t>J-19/25-26</t>
  </si>
  <si>
    <t>AMAZING GRACE MINISTIRES RELIGOUS &amp;CHARITABLE TRUST</t>
  </si>
  <si>
    <t>J-20/25-26</t>
  </si>
  <si>
    <t>SAJI PADINJAREKUDY</t>
  </si>
  <si>
    <t>J-21/25-26</t>
  </si>
  <si>
    <t>JAYAPRAKASH</t>
  </si>
  <si>
    <t>J-22/25-26</t>
  </si>
  <si>
    <t>J-23/25-26</t>
  </si>
  <si>
    <t>ANOOP KADAYIRUPPU</t>
  </si>
  <si>
    <t>J-24/25-26</t>
  </si>
  <si>
    <t>JIJO TRUSS</t>
  </si>
  <si>
    <t>J-25/25-26</t>
  </si>
  <si>
    <t>SURESH KUMAR P C</t>
  </si>
  <si>
    <t>J-26/25-26</t>
  </si>
  <si>
    <t>VASUDHEVAN</t>
  </si>
  <si>
    <t>J-27/25-26</t>
  </si>
  <si>
    <t>SHAMBO MAHADEVA</t>
  </si>
  <si>
    <t>J-28/25-26</t>
  </si>
  <si>
    <t>SUBASH  , BHAGAVATHY AMMA</t>
  </si>
  <si>
    <t>J-29/25-26</t>
  </si>
  <si>
    <t>J-30/25-26</t>
  </si>
  <si>
    <t>TUTTU CHANDRA</t>
  </si>
  <si>
    <t>J-31/25-26</t>
  </si>
  <si>
    <t>ELDHO PAUL(MARIYA STEEL)</t>
  </si>
  <si>
    <t>JU-6/25-26</t>
  </si>
  <si>
    <t>GRACE ENGINEERING WORKS</t>
  </si>
  <si>
    <t>JU-7/25-26</t>
  </si>
  <si>
    <t>SHIHAB ATHANI</t>
  </si>
  <si>
    <t>J-32/25-26</t>
  </si>
  <si>
    <t>PAUL ISSAC</t>
  </si>
  <si>
    <t>J-33/25-26</t>
  </si>
  <si>
    <t>JOHNY KALLENKOORIYIL</t>
  </si>
  <si>
    <t>J-34/25-26</t>
  </si>
  <si>
    <t>J-35/25-26</t>
  </si>
  <si>
    <t>J-36/25-26</t>
  </si>
  <si>
    <t>J-37/25-26</t>
  </si>
  <si>
    <t>SANTHOSH THOTTAPPILLY</t>
  </si>
  <si>
    <t>J-38/25-26</t>
  </si>
  <si>
    <t>J-39/25-26</t>
  </si>
  <si>
    <t>DINIL VALMBOOR</t>
  </si>
  <si>
    <t>J-40/25-26</t>
  </si>
  <si>
    <t>SIGNATURE REALTIES</t>
  </si>
  <si>
    <t>J-41/25-26</t>
  </si>
  <si>
    <t>J-42/25-26</t>
  </si>
  <si>
    <t>PRASAD VALAMBOOR</t>
  </si>
  <si>
    <t>J-43/25-26</t>
  </si>
  <si>
    <t>AVARACHAN VALAMBOOR</t>
  </si>
  <si>
    <t>J-44/25-26</t>
  </si>
  <si>
    <t>J-45/25-26</t>
  </si>
  <si>
    <t>LINK MANAGEMENT SOLUTIONS PVT.LTD.</t>
  </si>
  <si>
    <t>JU-8/25-26</t>
  </si>
  <si>
    <t>SHALBIN , SURYA OPTICALS</t>
  </si>
  <si>
    <t>J-46/25-26</t>
  </si>
  <si>
    <t>VISHNU VALAYANCHRANGARA</t>
  </si>
  <si>
    <t>J-47/25-26</t>
  </si>
  <si>
    <t>J-48/25-26</t>
  </si>
  <si>
    <t>ABDUL NAZEER</t>
  </si>
  <si>
    <t>J-49/25-26</t>
  </si>
  <si>
    <t>MANI , AIRAPURAM</t>
  </si>
  <si>
    <t>J-50/25-26</t>
  </si>
  <si>
    <t>SHAJI MUNNAS VILANGU</t>
  </si>
  <si>
    <t>J-51/25-26</t>
  </si>
  <si>
    <t>J-52/25-26</t>
  </si>
  <si>
    <t>J-53/25-26</t>
  </si>
  <si>
    <t>PRASANNAN TRUSS</t>
  </si>
  <si>
    <t>J-54/25-26</t>
  </si>
  <si>
    <t>AKHIL</t>
  </si>
  <si>
    <t>J-55/25-26</t>
  </si>
  <si>
    <t>J-56/25-26</t>
  </si>
  <si>
    <t>J-57/25-26</t>
  </si>
  <si>
    <t>PRESS CLUB KOLENCHERY</t>
  </si>
  <si>
    <t>J-58/25-26</t>
  </si>
  <si>
    <t>THOMAS ALEX</t>
  </si>
  <si>
    <t>J-59/25-26</t>
  </si>
  <si>
    <t>ALDEN ENGINEERS</t>
  </si>
  <si>
    <t>JU-9/25-26</t>
  </si>
  <si>
    <t>VOLGA ENGINEERS AND CONTRACTORS</t>
  </si>
  <si>
    <t>JU-10/25-26</t>
  </si>
  <si>
    <t>JU-11/25-26</t>
  </si>
  <si>
    <t>J-60/25-26</t>
  </si>
  <si>
    <t>JACOB K M</t>
  </si>
  <si>
    <t>J-61/25-26</t>
  </si>
  <si>
    <t>J-62/25-26</t>
  </si>
  <si>
    <t>VARGHESE ASHRAYA</t>
  </si>
  <si>
    <t>J-63/25-26</t>
  </si>
  <si>
    <t>BASIL TRUSS</t>
  </si>
  <si>
    <t>J-64/25-26</t>
  </si>
  <si>
    <t>JACOB T I</t>
  </si>
  <si>
    <t>J-65/25-26</t>
  </si>
  <si>
    <t>J-66/25-26</t>
  </si>
  <si>
    <t>J-67/25-26</t>
  </si>
  <si>
    <t>J-68/25-26</t>
  </si>
  <si>
    <t>YOHANNAN MECHANGARA</t>
  </si>
  <si>
    <t>J-69/25-26</t>
  </si>
  <si>
    <t>J-70/25-26</t>
  </si>
  <si>
    <t>J-71/25-26</t>
  </si>
  <si>
    <t>J-72/25-26</t>
  </si>
  <si>
    <t>BINU , JANAKY</t>
  </si>
  <si>
    <t>J-73/25-26</t>
  </si>
  <si>
    <t>SURYA</t>
  </si>
  <si>
    <t>J-74/25-26</t>
  </si>
  <si>
    <t>RAJESH VALAMBOOR</t>
  </si>
  <si>
    <t>J-75/25-26</t>
  </si>
  <si>
    <t>ROY MYLATTUMOLAYIL</t>
  </si>
  <si>
    <t>J-76/25-26</t>
  </si>
  <si>
    <t>YESSAR GREEN POWER SOLUTIONS</t>
  </si>
  <si>
    <t>JU-12/25-26</t>
  </si>
  <si>
    <t>A S ASSOCIATES</t>
  </si>
  <si>
    <t>JU-13/25-26</t>
  </si>
  <si>
    <t>PARACKAL METAL CRUSHERS LLP</t>
  </si>
  <si>
    <t>JU-14/25-26</t>
  </si>
  <si>
    <t>S R GROUP OF COMPANIES</t>
  </si>
  <si>
    <t>JU-15/25-26</t>
  </si>
  <si>
    <t>KIRAN NJARALLOOR</t>
  </si>
  <si>
    <t>J-77/25-26</t>
  </si>
  <si>
    <t>J-78/25-26</t>
  </si>
  <si>
    <t>J-79/25-26</t>
  </si>
  <si>
    <t>SHIHAB MUHAMMED</t>
  </si>
  <si>
    <t>J-80/25-26</t>
  </si>
  <si>
    <t>J-81/25-26</t>
  </si>
  <si>
    <t>NADARAJAN CHAKKASSERY</t>
  </si>
  <si>
    <t>J-82/25-26</t>
  </si>
  <si>
    <t>ANOOP SOPANAM</t>
  </si>
  <si>
    <t>J-83/25-26</t>
  </si>
  <si>
    <t>ST.THOMAS MAR THOMA CHURCH</t>
  </si>
  <si>
    <t>J-84/25-26</t>
  </si>
  <si>
    <t>ULLAS , DAUBLEPALAM</t>
  </si>
  <si>
    <t>J-85/25-26</t>
  </si>
  <si>
    <t>J-86/25-26</t>
  </si>
  <si>
    <t>RAJAMMA</t>
  </si>
  <si>
    <t>J-87/25-26</t>
  </si>
  <si>
    <t>J-88/25-26</t>
  </si>
  <si>
    <t>MANEESH MADANAN</t>
  </si>
  <si>
    <t>J-89/25-26</t>
  </si>
  <si>
    <t>MILMA SHOPPE</t>
  </si>
  <si>
    <t>J-90/25-26</t>
  </si>
  <si>
    <t>J-91/25-26</t>
  </si>
  <si>
    <t>J-92/25-26</t>
  </si>
  <si>
    <t>J-93/25-26</t>
  </si>
  <si>
    <t>J-94/25-26</t>
  </si>
  <si>
    <t>J-95/25-26</t>
  </si>
  <si>
    <t>SREEKUMAR KANINAD</t>
  </si>
  <si>
    <t>J-96/25-26</t>
  </si>
  <si>
    <t>SREEKANTH VALMBOOR</t>
  </si>
  <si>
    <t>J-97/25-26</t>
  </si>
  <si>
    <t>INTERGLIDE AUTO CONTROLS</t>
  </si>
  <si>
    <t>JU-16/25-26</t>
  </si>
  <si>
    <t>JU-17/25-26</t>
  </si>
  <si>
    <t>JU-18/25-26</t>
  </si>
  <si>
    <t>ANEESH M A</t>
  </si>
  <si>
    <t>J-98/25-26</t>
  </si>
  <si>
    <t>NAUSHAD , NJATTUMKALAYIL APE</t>
  </si>
  <si>
    <t>J-99/25-26</t>
  </si>
  <si>
    <t>VINU MAMBAKKADAN</t>
  </si>
  <si>
    <t>J-100/25-26</t>
  </si>
  <si>
    <t>J-101/25-26</t>
  </si>
  <si>
    <t>J-102/25-26</t>
  </si>
  <si>
    <t>ANEESH  KILIKILAM</t>
  </si>
  <si>
    <t>J-103/25-26</t>
  </si>
  <si>
    <t>J-104/25-26</t>
  </si>
  <si>
    <t>VARGHESE THATTAMUGAL</t>
  </si>
  <si>
    <t>J-105/25-26</t>
  </si>
  <si>
    <t>J-106/25-26</t>
  </si>
  <si>
    <t>J-107/25-26</t>
  </si>
  <si>
    <t>J-108/25-26</t>
  </si>
  <si>
    <t>SUNEER , CHENGARA</t>
  </si>
  <si>
    <t>J-109/25-26</t>
  </si>
  <si>
    <t>J-110/25-26</t>
  </si>
  <si>
    <t>PADMAN</t>
  </si>
  <si>
    <t>J-111/25-26</t>
  </si>
  <si>
    <t>HASSAN KUZHIPPILLY</t>
  </si>
  <si>
    <t>J-112/25-26</t>
  </si>
  <si>
    <t>J-113/25-26</t>
  </si>
  <si>
    <t>KANDANADAN TRADERS</t>
  </si>
  <si>
    <t>JU-19/25-26</t>
  </si>
  <si>
    <t>HI TECH COMPANY</t>
  </si>
  <si>
    <t>JU-20/25-26</t>
  </si>
  <si>
    <t>JU-21/25-26</t>
  </si>
  <si>
    <t>JU-22/25-26</t>
  </si>
  <si>
    <t>J-114/25-26</t>
  </si>
  <si>
    <t>J-115/25-26</t>
  </si>
  <si>
    <t>BABU CHOLLAPPILLY</t>
  </si>
  <si>
    <t>J-116/25-26</t>
  </si>
  <si>
    <t>SAKKEER PLAPPILLY APE</t>
  </si>
  <si>
    <t>J-117/25-26</t>
  </si>
  <si>
    <t>J-118/25-26</t>
  </si>
  <si>
    <t>J-119/25-26</t>
  </si>
  <si>
    <t>J-120/25-26</t>
  </si>
  <si>
    <t>J-121/25-26</t>
  </si>
  <si>
    <t>JOY MAMBAKKADAN</t>
  </si>
  <si>
    <t>J-122/25-26</t>
  </si>
  <si>
    <t>J-123/25-26</t>
  </si>
  <si>
    <t>J-124/25-26</t>
  </si>
  <si>
    <t>J-125/25-26</t>
  </si>
  <si>
    <t>ST.ANTONY'S FORANE CHURCH</t>
  </si>
  <si>
    <t>J-126/25-26</t>
  </si>
  <si>
    <t>J-127/25-26</t>
  </si>
  <si>
    <t>J-128/25-26</t>
  </si>
  <si>
    <t>J-129/25-26</t>
  </si>
  <si>
    <t>USHA RAMAKRISHNAN</t>
  </si>
  <si>
    <t>J-130/25-26</t>
  </si>
  <si>
    <t>ALEX VITY THOMAS</t>
  </si>
  <si>
    <t>J-131/25-26</t>
  </si>
  <si>
    <t>J-132/25-26</t>
  </si>
  <si>
    <t>J-133/25-26</t>
  </si>
  <si>
    <t>J-134/25-26</t>
  </si>
  <si>
    <t>J-135/25-26</t>
  </si>
  <si>
    <t>J-136/25-26</t>
  </si>
  <si>
    <t>J-137/25-26</t>
  </si>
  <si>
    <t>JU-23/25-26</t>
  </si>
  <si>
    <t>JU-24/25-26</t>
  </si>
  <si>
    <t>CLETUS.P.J</t>
  </si>
  <si>
    <t>JU-25/25-26</t>
  </si>
  <si>
    <t>J-138/25-26</t>
  </si>
  <si>
    <t>JITHIN KUMMANODE</t>
  </si>
  <si>
    <t>J-139/25-26</t>
  </si>
  <si>
    <t>AYYAPPAN CNTR</t>
  </si>
  <si>
    <t>J-140/25-26</t>
  </si>
  <si>
    <t>J-141/25-26</t>
  </si>
  <si>
    <t>BENNY VALAMBOOR</t>
  </si>
  <si>
    <t>J-142/25-26</t>
  </si>
  <si>
    <t>J-143/25-26</t>
  </si>
  <si>
    <t>VINOD RAMAKRISHNAN</t>
  </si>
  <si>
    <t>J-144/25-26</t>
  </si>
  <si>
    <t>J-145/25-26</t>
  </si>
  <si>
    <t>MATHEW</t>
  </si>
  <si>
    <t>J-146/25-26</t>
  </si>
  <si>
    <t>MOHANAN CHEENIKUZY</t>
  </si>
  <si>
    <t>J-147/25-26</t>
  </si>
  <si>
    <t>LALU , CHENGARA</t>
  </si>
  <si>
    <t>J-148/25-26</t>
  </si>
  <si>
    <t>J-149/25-26</t>
  </si>
  <si>
    <t>J-150/25-26</t>
  </si>
  <si>
    <t>J-151/25-26</t>
  </si>
  <si>
    <t>J-152/25-26</t>
  </si>
  <si>
    <t>J-153/25-26</t>
  </si>
  <si>
    <t>JIJO KUNNAKKAL</t>
  </si>
  <si>
    <t>J-154/25-26</t>
  </si>
  <si>
    <t>ANOOP MORAKKALA</t>
  </si>
  <si>
    <t>J-155/25-26</t>
  </si>
  <si>
    <t>J-156/25-26</t>
  </si>
  <si>
    <t>J-157/25-26</t>
  </si>
  <si>
    <t>J-158/25-26</t>
  </si>
  <si>
    <t>J-159/25-26</t>
  </si>
  <si>
    <t>JU-26/25-26</t>
  </si>
  <si>
    <t>JOHN THANNIKKODAN</t>
  </si>
  <si>
    <t>J-160/25-26</t>
  </si>
  <si>
    <t>VIBIN ALLAPPARA</t>
  </si>
  <si>
    <t>J-161/25-26</t>
  </si>
  <si>
    <t>J-162/25-26</t>
  </si>
  <si>
    <t>MARIYA STEELS</t>
  </si>
  <si>
    <t>J-163/25-26</t>
  </si>
  <si>
    <t>J-164/25-26</t>
  </si>
  <si>
    <t>J-165/25-26</t>
  </si>
  <si>
    <t>J-166/25-26</t>
  </si>
  <si>
    <t>J-167/25-26</t>
  </si>
  <si>
    <t>PAULOSE VALAMBOOR</t>
  </si>
  <si>
    <t>J-168/25-26</t>
  </si>
  <si>
    <t>J-169/25-26</t>
  </si>
  <si>
    <t>J-170/25-26</t>
  </si>
  <si>
    <t>JOHNY KANDANALIL</t>
  </si>
  <si>
    <t>J-171/25-26</t>
  </si>
  <si>
    <t>J-172/25-26</t>
  </si>
  <si>
    <t>AKSHAI IRAPURAM</t>
  </si>
  <si>
    <t>J-173/25-26</t>
  </si>
  <si>
    <t>BIJU ALINCHUVADU</t>
  </si>
  <si>
    <t>J-174/25-26</t>
  </si>
  <si>
    <t>JU-27/25-26</t>
  </si>
  <si>
    <t>JU-28/25-26</t>
  </si>
  <si>
    <t>JU-29/25-26</t>
  </si>
  <si>
    <t>JU-30/25-26</t>
  </si>
  <si>
    <t>JU-31/25-26</t>
  </si>
  <si>
    <t>ABDULSALAM KORALIYADAN</t>
  </si>
  <si>
    <t>JU-32/25-26</t>
  </si>
  <si>
    <t>ARUN VIJAYAVILASAM VIJAYAN</t>
  </si>
  <si>
    <t>JU-33/25-26</t>
  </si>
  <si>
    <t>J-175/25-26</t>
  </si>
  <si>
    <t>J-176/25-26</t>
  </si>
  <si>
    <t>J-177/25-26</t>
  </si>
  <si>
    <t>J-178/25-26</t>
  </si>
  <si>
    <t>SUNNY GEORGE</t>
  </si>
  <si>
    <t>J-179/25-26</t>
  </si>
  <si>
    <t>J-180/25-26</t>
  </si>
  <si>
    <t>J-181/25-26</t>
  </si>
  <si>
    <t>J-182/25-26</t>
  </si>
  <si>
    <t>J-183/25-26</t>
  </si>
  <si>
    <t>J-184/25-26</t>
  </si>
  <si>
    <t>ROSHAN VARGHSESE KUMMMANODE</t>
  </si>
  <si>
    <t>J-185/25-26</t>
  </si>
  <si>
    <t>SUNIL KANDOTH</t>
  </si>
  <si>
    <t>J-186/25-26</t>
  </si>
  <si>
    <t>J-187/25-26</t>
  </si>
  <si>
    <t>J-188/25-26</t>
  </si>
  <si>
    <t>J-189/25-26</t>
  </si>
  <si>
    <t>RATHEESH ,MAZHUVANNOOR</t>
  </si>
  <si>
    <t>J-190/25-26</t>
  </si>
  <si>
    <t>J-191/25-26</t>
  </si>
  <si>
    <t>J-192/25-26</t>
  </si>
  <si>
    <t>J-193/25-26</t>
  </si>
  <si>
    <t>SMINAL PATTIMATTOM</t>
  </si>
  <si>
    <t>J-194/25-26</t>
  </si>
  <si>
    <t>J-195/25-26</t>
  </si>
  <si>
    <t>J-196/25-26</t>
  </si>
  <si>
    <t>J-197/25-26</t>
  </si>
  <si>
    <t>JAYAN A.V</t>
  </si>
  <si>
    <t>J-198/25-26</t>
  </si>
  <si>
    <t>J-199/25-26</t>
  </si>
  <si>
    <t>RAVI K K</t>
  </si>
  <si>
    <t>J-200/25-26</t>
  </si>
  <si>
    <t>J-201/25-26</t>
  </si>
  <si>
    <t>J-202/25-26</t>
  </si>
  <si>
    <t>J-203/25-26</t>
  </si>
  <si>
    <t>J-204/25-26</t>
  </si>
  <si>
    <t>J-205/25-26</t>
  </si>
  <si>
    <t>ANAND PATTIMATTOM</t>
  </si>
  <si>
    <t>J-206/25-26</t>
  </si>
  <si>
    <t>J-207/25-26</t>
  </si>
  <si>
    <t>J-208/25-26</t>
  </si>
  <si>
    <t>J-209/25-26</t>
  </si>
  <si>
    <t>J-210/25-26</t>
  </si>
  <si>
    <t>J-211/25-26</t>
  </si>
  <si>
    <t>J-212/25-26</t>
  </si>
  <si>
    <t>J-213/25-26</t>
  </si>
  <si>
    <t>J-214/25-26</t>
  </si>
  <si>
    <t>ABY MAZHUVANNOR</t>
  </si>
  <si>
    <t>J-215/25-26</t>
  </si>
  <si>
    <t>J-216/25-26</t>
  </si>
  <si>
    <t>JIMMY, CHUNAMGAMVELY</t>
  </si>
  <si>
    <t>J-217/25-26</t>
  </si>
  <si>
    <t>J-218/25-26</t>
  </si>
  <si>
    <t>J-219/25-26</t>
  </si>
  <si>
    <t>ARJUN CHENGARA</t>
  </si>
  <si>
    <t>J-220/25-26</t>
  </si>
  <si>
    <t>ASLAM P MUSTHAFA</t>
  </si>
  <si>
    <t>J-221/25-26</t>
  </si>
  <si>
    <t>SHAMSUDHEEN C.P</t>
  </si>
  <si>
    <t>J-222/25-26</t>
  </si>
  <si>
    <t>JU-34/25-26</t>
  </si>
  <si>
    <t>J-223/25-26</t>
  </si>
  <si>
    <t>JOBIN JOSE</t>
  </si>
  <si>
    <t>J-224/25-26</t>
  </si>
  <si>
    <t>SHINOY TRUSS , AKKAMBARA</t>
  </si>
  <si>
    <t>J-225/25-26</t>
  </si>
  <si>
    <t>J-226/25-26</t>
  </si>
  <si>
    <t>J-227/25-26</t>
  </si>
  <si>
    <t>J-228/25-26</t>
  </si>
  <si>
    <t>BIJU , KADAYIRUPPU</t>
  </si>
  <si>
    <t>J-229/25-26</t>
  </si>
  <si>
    <t>JIJI KOLOTHUMKUDY</t>
  </si>
  <si>
    <t>J-230/25-26</t>
  </si>
  <si>
    <t>JAYAN VENGOLA</t>
  </si>
  <si>
    <t>J-231/25-26</t>
  </si>
  <si>
    <t>J-232/25-26</t>
  </si>
  <si>
    <t>J-233/25-26</t>
  </si>
  <si>
    <t>J-234/25-26</t>
  </si>
  <si>
    <t>SIJU KOLANKUDY</t>
  </si>
  <si>
    <t>J-235/25-26</t>
  </si>
  <si>
    <t>J-236/25-26</t>
  </si>
  <si>
    <t>J-237/25-26</t>
  </si>
  <si>
    <t>AKASH FLAVOURFAV</t>
  </si>
  <si>
    <t>J-238/25-26</t>
  </si>
  <si>
    <t>J-239/25-26</t>
  </si>
  <si>
    <t>J-240/25-26</t>
  </si>
  <si>
    <t>J-241/25-26</t>
  </si>
  <si>
    <t>J-242/25-26</t>
  </si>
  <si>
    <t>SIDHUN MANGALATHUNADA</t>
  </si>
  <si>
    <t>J-243/25-26</t>
  </si>
  <si>
    <t>HUSSAIN</t>
  </si>
  <si>
    <t>J-244/25-26</t>
  </si>
  <si>
    <t>JOHN VALAMBOOR</t>
  </si>
  <si>
    <t>J-245/25-26</t>
  </si>
  <si>
    <t>JU-35/25-26</t>
  </si>
  <si>
    <t>ESS BEE PLYWOOD INDUSTRIES</t>
  </si>
  <si>
    <t>JU-36/25-26</t>
  </si>
  <si>
    <t>U K ENGINEERING AND POWDER COATING</t>
  </si>
  <si>
    <t>JU-37/25-26</t>
  </si>
  <si>
    <t>JU-38/25-26</t>
  </si>
  <si>
    <t>(cancelled)</t>
  </si>
  <si>
    <t>JU-39/25-26</t>
  </si>
  <si>
    <t>J-246/25-26</t>
  </si>
  <si>
    <t>J-247/25-26</t>
  </si>
  <si>
    <t>J-248/25-26</t>
  </si>
  <si>
    <t>ASHARAF VEGETABLE SHOP 1</t>
  </si>
  <si>
    <t>J-249/25-26</t>
  </si>
  <si>
    <t>SAJI , TRUSS KILIKULAM</t>
  </si>
  <si>
    <t>J-250/25-26</t>
  </si>
  <si>
    <t>SUNIL SEBASTIAN</t>
  </si>
  <si>
    <t>J-251/25-26</t>
  </si>
  <si>
    <t>J-252/25-26</t>
  </si>
  <si>
    <t>JOHNSON NJARALLOOR</t>
  </si>
  <si>
    <t>J-253/25-26</t>
  </si>
  <si>
    <t>J-254/25-26</t>
  </si>
  <si>
    <t>NAVAS THANDAKKALA (CATERING)</t>
  </si>
  <si>
    <t>J-255/25-26</t>
  </si>
  <si>
    <t>SABU MYLATTUMUGAL</t>
  </si>
  <si>
    <t>J-256/25-26</t>
  </si>
  <si>
    <t>NIJAS MUVATTUPUZHA</t>
  </si>
  <si>
    <t>J-257/25-26</t>
  </si>
  <si>
    <t>J-258/25-26</t>
  </si>
  <si>
    <t>MIDHUN VALAMBOOR</t>
  </si>
  <si>
    <t>J-259/25-26</t>
  </si>
  <si>
    <t>JU-40/25-26</t>
  </si>
  <si>
    <t>J-260/25-26</t>
  </si>
  <si>
    <t>BIJU PURUSHOTHAMAN</t>
  </si>
  <si>
    <t>J-261/25-26</t>
  </si>
  <si>
    <t>J-262/25-26</t>
  </si>
  <si>
    <t>J-263/25-26</t>
  </si>
  <si>
    <t>J-264/25-26</t>
  </si>
  <si>
    <t>VELAYUDHAN K K</t>
  </si>
  <si>
    <t>J-265/25-26</t>
  </si>
  <si>
    <t>VARGHESE MAZHUVANNOOR</t>
  </si>
  <si>
    <t>J-266/25-26</t>
  </si>
  <si>
    <t>ELDHOSE PANTHANAMOLAYIL</t>
  </si>
  <si>
    <t>J-267/25-26</t>
  </si>
  <si>
    <t>ARUN IRAPURAM</t>
  </si>
  <si>
    <t>J-268/25-26</t>
  </si>
  <si>
    <t>J-269/25-26</t>
  </si>
  <si>
    <t>BENNY CHOORAKKODU</t>
  </si>
  <si>
    <t>J-270/25-26</t>
  </si>
  <si>
    <t>J-271/25-26</t>
  </si>
  <si>
    <t>J-272/25-26</t>
  </si>
  <si>
    <t>J-273/25-26</t>
  </si>
  <si>
    <t>MATHAI P P</t>
  </si>
  <si>
    <t>J-274/25-26</t>
  </si>
  <si>
    <t>J-275/25-26</t>
  </si>
  <si>
    <t>KAITHAKKADU MAHAVISHNU TEMPLE</t>
  </si>
  <si>
    <t>J-276/25-26</t>
  </si>
  <si>
    <t>J-277/25-26</t>
  </si>
  <si>
    <t>J-278/25-26</t>
  </si>
  <si>
    <t>J-279/25-26</t>
  </si>
  <si>
    <t>JABIR VATHIMATTOM</t>
  </si>
  <si>
    <t>J-280/25-26</t>
  </si>
  <si>
    <t>J-281/25-26</t>
  </si>
  <si>
    <t>RENJITH TRUSS PATTIMATTOM</t>
  </si>
  <si>
    <t>J-282/25-26</t>
  </si>
  <si>
    <t>MOITHEEN NJATTUMKALA</t>
  </si>
  <si>
    <t>J-283/25-26</t>
  </si>
  <si>
    <t>J-284/25-26</t>
  </si>
  <si>
    <t>M S TECH ENGINEERING INDUSTRIES</t>
  </si>
  <si>
    <t>JU-41/25-26</t>
  </si>
  <si>
    <t>JU-42/25-26</t>
  </si>
  <si>
    <t>JAMAL MANNAMKUZHY</t>
  </si>
  <si>
    <t>J-285/25-26</t>
  </si>
  <si>
    <t>VIZAG ARAKKAPADY</t>
  </si>
  <si>
    <t>J-286/25-26</t>
  </si>
  <si>
    <t>J-287/25-26</t>
  </si>
  <si>
    <t>J-288/25-26</t>
  </si>
  <si>
    <t>SUNNY KUPPAKKADAN</t>
  </si>
  <si>
    <t>J-289/25-26</t>
  </si>
  <si>
    <t>J-290/25-26</t>
  </si>
  <si>
    <t>DR.DIVAKARAN NAIR</t>
  </si>
  <si>
    <t>J-291/25-26</t>
  </si>
  <si>
    <t>J-292/25-26</t>
  </si>
  <si>
    <t>J-293/25-26</t>
  </si>
  <si>
    <t>J-294/25-26</t>
  </si>
  <si>
    <t>PRASANTH NAIR</t>
  </si>
  <si>
    <t>J-295/25-26</t>
  </si>
  <si>
    <t>THAMPI MATHEW</t>
  </si>
  <si>
    <t>J-296/25-26</t>
  </si>
  <si>
    <t>SHIBU THATTAMUGAL</t>
  </si>
  <si>
    <t>J-297/25-26</t>
  </si>
  <si>
    <t>J-298/25-26</t>
  </si>
  <si>
    <t>J-299/25-26</t>
  </si>
  <si>
    <t>J-300/25-26</t>
  </si>
  <si>
    <t>J-301/25-26</t>
  </si>
  <si>
    <t>BIJU , NJARALLOOR</t>
  </si>
  <si>
    <t>J-302/25-26</t>
  </si>
  <si>
    <t>J-303/25-26</t>
  </si>
  <si>
    <t>J-304/25-26</t>
  </si>
  <si>
    <t>J-305/25-26</t>
  </si>
  <si>
    <t>AKBAR PASSENGER</t>
  </si>
  <si>
    <t>J-306/25-26</t>
  </si>
  <si>
    <t>ECO RUBBER PRODUCTS</t>
  </si>
  <si>
    <t>JU-43/25-26</t>
  </si>
  <si>
    <t>JU-44/25-26</t>
  </si>
  <si>
    <t>SABU MARIYIL</t>
  </si>
  <si>
    <t>J-307/25-26</t>
  </si>
  <si>
    <t>J-308/25-26</t>
  </si>
  <si>
    <t>J-309/25-26</t>
  </si>
  <si>
    <t>J-310/25-26</t>
  </si>
  <si>
    <t>J-311/25-26</t>
  </si>
  <si>
    <t>J-312/25-26</t>
  </si>
  <si>
    <t>J-313/25-26</t>
  </si>
  <si>
    <t>J-314/25-26</t>
  </si>
  <si>
    <t>J-315/25-26</t>
  </si>
  <si>
    <t>J-316/25-26</t>
  </si>
  <si>
    <t>ELDHO CHILLIRIKKAL</t>
  </si>
  <si>
    <t>J-317/25-26</t>
  </si>
  <si>
    <t>SIJU KURIAN</t>
  </si>
  <si>
    <t>J-318/25-26</t>
  </si>
  <si>
    <t>J-319/25-26</t>
  </si>
  <si>
    <t>J-320/25-26</t>
  </si>
  <si>
    <t>FAIZAL N.P</t>
  </si>
  <si>
    <t>J-321/25-26</t>
  </si>
  <si>
    <t>J-322/25-26</t>
  </si>
  <si>
    <t>JOHNY WORKSHOP</t>
  </si>
  <si>
    <t>J-323/25-26</t>
  </si>
  <si>
    <t>J-324/25-26</t>
  </si>
  <si>
    <t>J-325/25-26</t>
  </si>
  <si>
    <t>ABOOBAKKER</t>
  </si>
  <si>
    <t>J-326/25-26</t>
  </si>
  <si>
    <t>J-327/25-26</t>
  </si>
  <si>
    <t>J-328/25-26</t>
  </si>
  <si>
    <t>J-329/25-26</t>
  </si>
  <si>
    <t>ANEESH</t>
  </si>
  <si>
    <t>J-330/25-26</t>
  </si>
  <si>
    <t>J-331/25-26</t>
  </si>
  <si>
    <t>GREGAREY SUNNY</t>
  </si>
  <si>
    <t>J-332/25-26</t>
  </si>
  <si>
    <t>ANSON</t>
  </si>
  <si>
    <t>J-333/25-26</t>
  </si>
  <si>
    <t>MANIKANDAN CHOORAKKODE</t>
  </si>
  <si>
    <t>J-334/25-26</t>
  </si>
  <si>
    <t>JU-45/25-26</t>
  </si>
  <si>
    <t>JU-46/25-26</t>
  </si>
  <si>
    <t>NISHAD IBRAHIM</t>
  </si>
  <si>
    <t>JU-47/25-26</t>
  </si>
  <si>
    <t>JOE EQUIPEMENT</t>
  </si>
  <si>
    <t>JU-48/25-26</t>
  </si>
  <si>
    <t>J-335/25-26</t>
  </si>
  <si>
    <t>ARUN A R</t>
  </si>
  <si>
    <t>J-336/25-26</t>
  </si>
  <si>
    <t>J-337/25-26</t>
  </si>
  <si>
    <t>J-338/25-26</t>
  </si>
  <si>
    <t>SAJI , VALAMBOOR</t>
  </si>
  <si>
    <t>J-339/25-26</t>
  </si>
  <si>
    <t>BASHEER PARAMKUDY</t>
  </si>
  <si>
    <t>J-340/25-26</t>
  </si>
  <si>
    <t>J-341/25-26</t>
  </si>
  <si>
    <t>J-342/25-26</t>
  </si>
  <si>
    <t>JOMON MOOSARIPADY</t>
  </si>
  <si>
    <t>J-343/25-26</t>
  </si>
  <si>
    <t>MAMALI CHELAKULAM</t>
  </si>
  <si>
    <t>J-344/25-26</t>
  </si>
  <si>
    <t>JOICE</t>
  </si>
  <si>
    <t>J-345/25-26</t>
  </si>
  <si>
    <t>ALIF KUMMANODE</t>
  </si>
  <si>
    <t>J-346/25-26</t>
  </si>
  <si>
    <t>SAJI THANKAPPAN</t>
  </si>
  <si>
    <t>J-347/25-26</t>
  </si>
  <si>
    <t>J-348/25-26</t>
  </si>
  <si>
    <t>J-349/25-26</t>
  </si>
  <si>
    <t>J-350/25-26</t>
  </si>
  <si>
    <t>J-351/25-26</t>
  </si>
  <si>
    <t>J-352/25-26</t>
  </si>
  <si>
    <t>J-353/25-26</t>
  </si>
  <si>
    <t>SIJU KADAYIRUPPU</t>
  </si>
  <si>
    <t>J-354/25-26</t>
  </si>
  <si>
    <t>MAR COORILOSE MEMMORIAL HIGHER SECONDARY SCHOOL</t>
  </si>
  <si>
    <t>J-355/25-26</t>
  </si>
  <si>
    <t>J-356/25-26</t>
  </si>
  <si>
    <t>J-357/25-26</t>
  </si>
  <si>
    <t>J-358/25-26</t>
  </si>
  <si>
    <t>SINDHU NJARALLOOR</t>
  </si>
  <si>
    <t>J-359/25-26</t>
  </si>
  <si>
    <t>BIJU , CHOORAKODU</t>
  </si>
  <si>
    <t>J-360/25-26</t>
  </si>
  <si>
    <t>SUBAIR , MECHANIC</t>
  </si>
  <si>
    <t>J-361/25-26</t>
  </si>
  <si>
    <t>J-362/25-26</t>
  </si>
  <si>
    <t>J-363/25-26</t>
  </si>
  <si>
    <t>J-364/25-26</t>
  </si>
  <si>
    <t>J-365/25-26</t>
  </si>
  <si>
    <t>J-366/25-26</t>
  </si>
  <si>
    <t>J-367/25-26</t>
  </si>
  <si>
    <t>JU-49/25-26</t>
  </si>
  <si>
    <t>JU-50/25-26</t>
  </si>
  <si>
    <t>J-368/25-26</t>
  </si>
  <si>
    <t>J-369/25-26</t>
  </si>
  <si>
    <t>REHIM TRUSS</t>
  </si>
  <si>
    <t>J-370/25-26</t>
  </si>
  <si>
    <t>BASIL</t>
  </si>
  <si>
    <t>J-371/25-26</t>
  </si>
  <si>
    <t>SUBASH K K</t>
  </si>
  <si>
    <t>J-372/25-26</t>
  </si>
  <si>
    <t>J-373/25-26</t>
  </si>
  <si>
    <t>Alex , Punchaputhussery</t>
  </si>
  <si>
    <t>J-374/25-26</t>
  </si>
  <si>
    <t>J-375/25-26</t>
  </si>
  <si>
    <t>J-376/25-26</t>
  </si>
  <si>
    <t>J-377/25-26</t>
  </si>
  <si>
    <t>J-378/25-26</t>
  </si>
  <si>
    <t>ANOOP VALAMBOOR</t>
  </si>
  <si>
    <t>J-379/25-26</t>
  </si>
  <si>
    <t>J-380/25-26</t>
  </si>
  <si>
    <t>SHAJI APE</t>
  </si>
  <si>
    <t>J-381/25-26</t>
  </si>
  <si>
    <t>SAMAD CHELAKULAM</t>
  </si>
  <si>
    <t>J-382/25-26</t>
  </si>
  <si>
    <t>J-383/25-26</t>
  </si>
  <si>
    <t>J-384/25-26</t>
  </si>
  <si>
    <t>SAJEEV K K</t>
  </si>
  <si>
    <t>J-385/25-26</t>
  </si>
  <si>
    <t>J-386/25-26</t>
  </si>
  <si>
    <t>J-387/25-26</t>
  </si>
  <si>
    <t>DHANOOP VALAMBOOR</t>
  </si>
  <si>
    <t>J-388/25-26</t>
  </si>
  <si>
    <t>J-389/25-26</t>
  </si>
  <si>
    <t>J-390/25-26</t>
  </si>
  <si>
    <t>SAJI PASSENGER</t>
  </si>
  <si>
    <t>J-391/25-26</t>
  </si>
  <si>
    <t>JU-51/25-26</t>
  </si>
  <si>
    <t>JU-52/25-26</t>
  </si>
  <si>
    <t>BABU PATHROSE</t>
  </si>
  <si>
    <t>JU-53/25-26</t>
  </si>
  <si>
    <t>J-392/25-26</t>
  </si>
  <si>
    <t>J-393/25-26</t>
  </si>
  <si>
    <t>J-394/25-26</t>
  </si>
  <si>
    <t>J-395/25-26</t>
  </si>
  <si>
    <t>J-396/25-26</t>
  </si>
  <si>
    <t>MARTIN ERAPPUMPARA</t>
  </si>
  <si>
    <t>J-397/25-26</t>
  </si>
  <si>
    <t>J-398/25-26</t>
  </si>
  <si>
    <t>HASSAN , THANDAKKALA</t>
  </si>
  <si>
    <t>J-399/25-26</t>
  </si>
  <si>
    <t>J-400/25-26</t>
  </si>
  <si>
    <t>JACOB CHEENIKUZHI</t>
  </si>
  <si>
    <t>J-401/25-26</t>
  </si>
  <si>
    <t>J-402/25-26</t>
  </si>
  <si>
    <t>J-403/25-26</t>
  </si>
  <si>
    <t>J-404/25-26</t>
  </si>
  <si>
    <t>J-405/25-26</t>
  </si>
  <si>
    <t>J-406/25-26</t>
  </si>
  <si>
    <t>J-407/25-26</t>
  </si>
  <si>
    <t>J-408/25-26</t>
  </si>
  <si>
    <t>J-409/25-26</t>
  </si>
  <si>
    <t>J-410/25-26</t>
  </si>
  <si>
    <t>KRED ENERGY LTD</t>
  </si>
  <si>
    <t>JU-54/25-26</t>
  </si>
  <si>
    <t>JU-55/25-26</t>
  </si>
  <si>
    <t>JU-56/25-26</t>
  </si>
  <si>
    <t>JU-57/25-26</t>
  </si>
  <si>
    <t>ARUN KUMAR K</t>
  </si>
  <si>
    <t>JU-58/25-26</t>
  </si>
  <si>
    <t>J-411/25-26</t>
  </si>
  <si>
    <t>FAROOQ N P</t>
  </si>
  <si>
    <t>J-412/25-26</t>
  </si>
  <si>
    <t>J-413/25-26</t>
  </si>
  <si>
    <t>ST.GEORGE JACOBITE CHURCH, CHOORAKODU</t>
  </si>
  <si>
    <t>J-414/25-26</t>
  </si>
  <si>
    <t>J-415/25-26</t>
  </si>
  <si>
    <t>SEEGA SOLAR</t>
  </si>
  <si>
    <t>J-416/25-26</t>
  </si>
  <si>
    <t>JAYESH K JAMES, MAZHUVANNOOR</t>
  </si>
  <si>
    <t>J-417/25-26</t>
  </si>
  <si>
    <t>J-418/25-26</t>
  </si>
  <si>
    <t>J-419/25-26</t>
  </si>
  <si>
    <t>J-420/25-26</t>
  </si>
  <si>
    <t>J-421/25-26</t>
  </si>
  <si>
    <t>J-422/25-26</t>
  </si>
  <si>
    <t>AJAYKOSH VALAMBOOR</t>
  </si>
  <si>
    <t>J-423/25-26</t>
  </si>
  <si>
    <t>ELDHO DANIEL</t>
  </si>
  <si>
    <t>J-424/25-26</t>
  </si>
  <si>
    <t>J-425/25-26</t>
  </si>
  <si>
    <t>J-426/25-26</t>
  </si>
  <si>
    <t>SAJEEVAN VALAMBOOR</t>
  </si>
  <si>
    <t>J-427/25-26</t>
  </si>
  <si>
    <t>J-428/25-26</t>
  </si>
  <si>
    <t>J-429/25-26</t>
  </si>
  <si>
    <t>J-430/25-26</t>
  </si>
  <si>
    <t>JU-59/25-26</t>
  </si>
  <si>
    <t>ZION BRICKS</t>
  </si>
  <si>
    <t>JU-60/25-26</t>
  </si>
  <si>
    <t>J-431/25-26</t>
  </si>
  <si>
    <t>SHIBU P K</t>
  </si>
  <si>
    <t>J-432/25-26</t>
  </si>
  <si>
    <t>J-433/25-26</t>
  </si>
  <si>
    <t>AFSAL PAREETH TRUSS</t>
  </si>
  <si>
    <t>J-434/25-26</t>
  </si>
  <si>
    <t>SHAMEER P.S</t>
  </si>
  <si>
    <t>J-435/25-26</t>
  </si>
  <si>
    <t>J-436/25-26</t>
  </si>
  <si>
    <t>RAFEEQ KUMMANODE</t>
  </si>
  <si>
    <t>J-437/25-26</t>
  </si>
  <si>
    <t>J-438/25-26</t>
  </si>
  <si>
    <t>HASSAN MUNDEKUDY</t>
  </si>
  <si>
    <t>J-439/25-26</t>
  </si>
  <si>
    <t>J-440/25-26</t>
  </si>
  <si>
    <t>RAJALASKSHMI CHENGARA</t>
  </si>
  <si>
    <t>J-441/25-26</t>
  </si>
  <si>
    <t>J-442/25-26</t>
  </si>
  <si>
    <t>J-443/25-26</t>
  </si>
  <si>
    <t>BASIL KADAYIRUPPU</t>
  </si>
  <si>
    <t>J-444/25-26</t>
  </si>
  <si>
    <t>KABEER VISMAYA</t>
  </si>
  <si>
    <t>J-445/25-26</t>
  </si>
  <si>
    <t>JU-61/25-26</t>
  </si>
  <si>
    <t>JU-62/25-26</t>
  </si>
  <si>
    <t>JU-63/25-26</t>
  </si>
  <si>
    <t>ELDHO BABY</t>
  </si>
  <si>
    <t>J-446/25-26</t>
  </si>
  <si>
    <t>JAMAL TRUSS</t>
  </si>
  <si>
    <t>J-447/25-26</t>
  </si>
  <si>
    <t>J-448/25-26</t>
  </si>
  <si>
    <t>J-449/25-26</t>
  </si>
  <si>
    <t>J-450/25-26</t>
  </si>
  <si>
    <t>J-451/25-26</t>
  </si>
  <si>
    <t>J-452/25-26</t>
  </si>
  <si>
    <t>J-453/25-26</t>
  </si>
  <si>
    <t>SANDEEP CHOORAKODE</t>
  </si>
  <si>
    <t>J-454/25-26</t>
  </si>
  <si>
    <t>J-455/25-26</t>
  </si>
  <si>
    <t>VINOD HITACHI</t>
  </si>
  <si>
    <t>J-456/25-26</t>
  </si>
  <si>
    <t>J-457/25-26</t>
  </si>
  <si>
    <t>J-458/25-26</t>
  </si>
  <si>
    <t>MAMMALI CRICKET</t>
  </si>
  <si>
    <t>J-459/25-26</t>
  </si>
  <si>
    <t>J-460/25-26</t>
  </si>
  <si>
    <t>SAITHU , CITY FURNITURE</t>
  </si>
  <si>
    <t>J-461/25-26</t>
  </si>
  <si>
    <t>ASHRAF T A</t>
  </si>
  <si>
    <t>JU-64/25-26</t>
  </si>
  <si>
    <t>JU-65/25-26</t>
  </si>
  <si>
    <t>NEWCREST VENTURES</t>
  </si>
  <si>
    <t>JU-66/25-26</t>
  </si>
  <si>
    <t>JU-67/25-26</t>
  </si>
  <si>
    <t>J-462/25-26</t>
  </si>
  <si>
    <t>JUSTIN PALLATH</t>
  </si>
  <si>
    <t>J-463/25-26</t>
  </si>
  <si>
    <t>J-464/25-26</t>
  </si>
  <si>
    <t>HIVE SOLAR POWER SOLUTIONS</t>
  </si>
  <si>
    <t>J-465/25-26</t>
  </si>
  <si>
    <t>J-466/25-26</t>
  </si>
  <si>
    <t>J-467/25-26</t>
  </si>
  <si>
    <t>J-468/25-26</t>
  </si>
  <si>
    <t>J-469/25-26</t>
  </si>
  <si>
    <t>SOMAN THOTTAPPILLY</t>
  </si>
  <si>
    <t>J-470/25-26</t>
  </si>
  <si>
    <t>J-471/25-26</t>
  </si>
  <si>
    <t>SANDEEP KRISHNAN</t>
  </si>
  <si>
    <t>J-472/25-26</t>
  </si>
  <si>
    <t>J-473/25-26</t>
  </si>
  <si>
    <t>J-474/25-26</t>
  </si>
  <si>
    <t>J-475/25-26</t>
  </si>
  <si>
    <t>J-476/25-26</t>
  </si>
  <si>
    <t>BENNY VAYALIPARAMBIL</t>
  </si>
  <si>
    <t>J-477/25-26</t>
  </si>
  <si>
    <t>J-478/25-26</t>
  </si>
  <si>
    <t>J-479/25-26</t>
  </si>
  <si>
    <t>SPACE ASSOCIATE</t>
  </si>
  <si>
    <t>JU-68/25-26</t>
  </si>
  <si>
    <t>CODUS GLOBAL TRADERS</t>
  </si>
  <si>
    <t>JU-69/25-26</t>
  </si>
  <si>
    <t>JU-70/25-26</t>
  </si>
  <si>
    <t>JITHIN V J</t>
  </si>
  <si>
    <t>J-480/25-26</t>
  </si>
  <si>
    <t>J-481/25-26</t>
  </si>
  <si>
    <t>J-482/25-26</t>
  </si>
  <si>
    <t>J-483/25-26</t>
  </si>
  <si>
    <t>J-484/25-26</t>
  </si>
  <si>
    <t>J-485/25-26</t>
  </si>
  <si>
    <t>J-486/25-26</t>
  </si>
  <si>
    <t>PRAMOD KADAYIRUPPU</t>
  </si>
  <si>
    <t>J-487/25-26</t>
  </si>
  <si>
    <t>J-488/25-26</t>
  </si>
  <si>
    <t>J-489/25-26</t>
  </si>
  <si>
    <t>J-490/25-26</t>
  </si>
  <si>
    <t>J-491/25-26</t>
  </si>
  <si>
    <t>J-492/25-26</t>
  </si>
  <si>
    <t>J-493/25-26</t>
  </si>
  <si>
    <t>J-494/25-26</t>
  </si>
  <si>
    <t>J-495/25-26</t>
  </si>
  <si>
    <t>SIVASAKTHI CABLES</t>
  </si>
  <si>
    <t>J-496/25-26</t>
  </si>
  <si>
    <t>JU-71/25-26</t>
  </si>
  <si>
    <t>JU-72/25-26</t>
  </si>
  <si>
    <t>JU-73/25-26</t>
  </si>
  <si>
    <t>KAKKANATTU CONTRACTORS</t>
  </si>
  <si>
    <t>JU-74/25-26</t>
  </si>
  <si>
    <t>J-497/25-26</t>
  </si>
  <si>
    <t>J-498/25-26</t>
  </si>
  <si>
    <t>CHANDRAN DOUBLE PALAM</t>
  </si>
  <si>
    <t>J-499/25-26</t>
  </si>
  <si>
    <t>J-500/25-26</t>
  </si>
  <si>
    <t>J-501/25-26</t>
  </si>
  <si>
    <t>ALI KOLENCHERY</t>
  </si>
  <si>
    <t>J-502/25-26</t>
  </si>
  <si>
    <t>J-503/25-26</t>
  </si>
  <si>
    <t>J-504/25-26</t>
  </si>
  <si>
    <t>J-505/25-26</t>
  </si>
  <si>
    <t>J-506/25-26</t>
  </si>
  <si>
    <t>SHAJI , KILIKULAM</t>
  </si>
  <si>
    <t>J-507/25-26</t>
  </si>
  <si>
    <t>AJI TRUSS</t>
  </si>
  <si>
    <t>J-508/25-26</t>
  </si>
  <si>
    <t>J-509/25-26</t>
  </si>
  <si>
    <t>SHAJI WORKSHOP</t>
  </si>
  <si>
    <t>J-510/25-26</t>
  </si>
  <si>
    <t>J-511/25-26</t>
  </si>
  <si>
    <t>DEVARAJAN</t>
  </si>
  <si>
    <t>J-512/25-26</t>
  </si>
  <si>
    <t>J-513/25-26</t>
  </si>
  <si>
    <t>J-514/25-26</t>
  </si>
  <si>
    <t>BAIJU VENGOLA</t>
  </si>
  <si>
    <t>J-515/25-26</t>
  </si>
  <si>
    <t>DIJU (DEEPA HARDWARES)</t>
  </si>
  <si>
    <t>J-516/25-26</t>
  </si>
  <si>
    <t>PAREETH KUNJU K S E B</t>
  </si>
  <si>
    <t>J-517/25-26</t>
  </si>
  <si>
    <t>J-518/25-26</t>
  </si>
  <si>
    <t>JOHNY PASSENGER</t>
  </si>
  <si>
    <t>J-519/25-26</t>
  </si>
  <si>
    <t>ST.JOSEPH CHURCH</t>
  </si>
  <si>
    <t>J-520/25-26</t>
  </si>
  <si>
    <t>J-521/25-26</t>
  </si>
  <si>
    <t>J-522/25-26</t>
  </si>
  <si>
    <t>J-523/25-26</t>
  </si>
  <si>
    <t>J-524/25-26</t>
  </si>
  <si>
    <t>J-525/25-26</t>
  </si>
  <si>
    <t>J-526/25-26</t>
  </si>
  <si>
    <t>J-527/25-26</t>
  </si>
  <si>
    <t>JU-75/25-26</t>
  </si>
  <si>
    <t>JU-76/25-26</t>
  </si>
  <si>
    <t>JU-77/25-26</t>
  </si>
  <si>
    <t>DAMODARAN NAMBOORI</t>
  </si>
  <si>
    <t>J-528/25-26</t>
  </si>
  <si>
    <t>J-529/25-26</t>
  </si>
  <si>
    <t>J-530/25-26</t>
  </si>
  <si>
    <t>J-531/25-26</t>
  </si>
  <si>
    <t>HAMEED TRUSS</t>
  </si>
  <si>
    <t>J-532/25-26</t>
  </si>
  <si>
    <t>J-533/25-26</t>
  </si>
  <si>
    <t>J-534/25-26</t>
  </si>
  <si>
    <t>J-535/25-26</t>
  </si>
  <si>
    <t>J-536/25-26</t>
  </si>
  <si>
    <t>J-537/25-26</t>
  </si>
  <si>
    <t>J-538/25-26</t>
  </si>
  <si>
    <t>MASTER SHEF PATTIMATTOM</t>
  </si>
  <si>
    <t>J-539/25-26</t>
  </si>
  <si>
    <t>J-540/25-26</t>
  </si>
  <si>
    <t>J-541/25-26</t>
  </si>
  <si>
    <t>J-542/25-26</t>
  </si>
  <si>
    <t>J-543/25-26</t>
  </si>
  <si>
    <t>J-544/25-26</t>
  </si>
  <si>
    <t>SUBHASH NEDUMBALLY</t>
  </si>
  <si>
    <t>J-545/25-26</t>
  </si>
  <si>
    <t>J-546/25-26</t>
  </si>
  <si>
    <t>JOSHY PUTHENPURACKAL</t>
  </si>
  <si>
    <t>J-547/25-26</t>
  </si>
  <si>
    <t>J-548/25-26</t>
  </si>
  <si>
    <t>J-549/25-26</t>
  </si>
  <si>
    <t>J-550/25-26</t>
  </si>
  <si>
    <t>JOY KANDANALY</t>
  </si>
  <si>
    <t>J-551/25-26</t>
  </si>
  <si>
    <t>J-552/25-26</t>
  </si>
  <si>
    <t>J-553/25-26</t>
  </si>
  <si>
    <t>SAJI M K</t>
  </si>
  <si>
    <t>J-554/25-26</t>
  </si>
  <si>
    <t>RAMACHANDRAN ARACKAPADY</t>
  </si>
  <si>
    <t>J-555/25-26</t>
  </si>
  <si>
    <t>PTECH BUILDERS AND DEVELOPERS PVT LTD</t>
  </si>
  <si>
    <t>JU-78/25-26</t>
  </si>
  <si>
    <t>JU-79/25-26</t>
  </si>
  <si>
    <t>JU-80/25-26</t>
  </si>
  <si>
    <t>KURIAN VARGHESE</t>
  </si>
  <si>
    <t>JU-81/25-26</t>
  </si>
  <si>
    <t>JU-82/25-26</t>
  </si>
  <si>
    <t>J-556/25-26</t>
  </si>
  <si>
    <t>J-557/25-26</t>
  </si>
  <si>
    <t>CHANDRASEKHAR M S</t>
  </si>
  <si>
    <t>J-558/25-26</t>
  </si>
  <si>
    <t>J-559/25-26</t>
  </si>
  <si>
    <t>J-560/25-26</t>
  </si>
  <si>
    <t>J-561/25-26</t>
  </si>
  <si>
    <t>J-562/25-26</t>
  </si>
  <si>
    <t>J-563/25-26</t>
  </si>
  <si>
    <t>MUBEENA</t>
  </si>
  <si>
    <t>J-564/25-26</t>
  </si>
  <si>
    <t>J-565/25-26</t>
  </si>
  <si>
    <t>ALEX KIZHAKKAMBALAM</t>
  </si>
  <si>
    <t>J-566/25-26</t>
  </si>
  <si>
    <t>J-567/25-26</t>
  </si>
  <si>
    <t>J-568/25-26</t>
  </si>
  <si>
    <t>J-569/25-26</t>
  </si>
  <si>
    <t>J-570/25-26</t>
  </si>
  <si>
    <t>J-571/25-26</t>
  </si>
  <si>
    <t>MANI VALAMBOOR</t>
  </si>
  <si>
    <t>J-572/25-26</t>
  </si>
  <si>
    <t>J-573/25-26</t>
  </si>
  <si>
    <t>BASIL MARADY</t>
  </si>
  <si>
    <t>J-574/25-26</t>
  </si>
  <si>
    <t>JU-83/25-26</t>
  </si>
  <si>
    <t>RUPA ENTERPRISES</t>
  </si>
  <si>
    <t>JU-84/25-26</t>
  </si>
  <si>
    <t>JU-85/25-26</t>
  </si>
  <si>
    <t>JU-86/25-26</t>
  </si>
  <si>
    <t>JU-87/25-26</t>
  </si>
  <si>
    <t>JU-88/25-26</t>
  </si>
  <si>
    <t>SURESH PATTIMATTAM</t>
  </si>
  <si>
    <t>J-575/25-26</t>
  </si>
  <si>
    <t>J-576/25-26</t>
  </si>
  <si>
    <t>J-577/25-26</t>
  </si>
  <si>
    <t>J-578/25-26</t>
  </si>
  <si>
    <t>J-579/25-26</t>
  </si>
  <si>
    <t>J-580/25-26</t>
  </si>
  <si>
    <t>PADMANABHAN VALAMBOOR</t>
  </si>
  <si>
    <t>J-581/25-26</t>
  </si>
  <si>
    <t>MOHANAN VALAMBOOR</t>
  </si>
  <si>
    <t>J-582/25-26</t>
  </si>
  <si>
    <t>J-583/25-26</t>
  </si>
  <si>
    <t>J-584/25-26</t>
  </si>
  <si>
    <t>J-585/25-26</t>
  </si>
  <si>
    <t>J-586/25-26</t>
  </si>
  <si>
    <t>J-587/25-26</t>
  </si>
  <si>
    <t>KANNAN CHENGARA</t>
  </si>
  <si>
    <t>J-588/25-26</t>
  </si>
  <si>
    <t>J-589/25-26</t>
  </si>
  <si>
    <t>J-590/25-26</t>
  </si>
  <si>
    <t>SUMESH CHATTANATTUPARAMBU</t>
  </si>
  <si>
    <t>J-591/25-26</t>
  </si>
  <si>
    <t>J-592/25-26</t>
  </si>
  <si>
    <t>SHYJU MAMBAKKADAN</t>
  </si>
  <si>
    <t>J-593/25-26</t>
  </si>
  <si>
    <t>J-594/25-26</t>
  </si>
  <si>
    <t>J-595/25-26</t>
  </si>
  <si>
    <t>J-596/25-26</t>
  </si>
  <si>
    <t>J-597/25-26</t>
  </si>
  <si>
    <t>J-598/25-26</t>
  </si>
  <si>
    <t>J-599/25-26</t>
  </si>
  <si>
    <t>J-600/25-26</t>
  </si>
  <si>
    <t>JU-89/25-26</t>
  </si>
  <si>
    <t>JU-90/25-26</t>
  </si>
  <si>
    <t>JU-91/25-26</t>
  </si>
  <si>
    <t>JU-92/25-26</t>
  </si>
  <si>
    <t>JU-93/25-26</t>
  </si>
  <si>
    <t>J-601/25-26</t>
  </si>
  <si>
    <t>J-602/25-26</t>
  </si>
  <si>
    <t>REJITH P S</t>
  </si>
  <si>
    <t>J-603/25-26</t>
  </si>
  <si>
    <t>J-604/25-26</t>
  </si>
  <si>
    <t>J-605/25-26</t>
  </si>
  <si>
    <t>SANOJ RAVINDRA</t>
  </si>
  <si>
    <t>J-606/25-26</t>
  </si>
  <si>
    <t>ESTHAPANOSE , PATTIMATTAM</t>
  </si>
  <si>
    <t>J-607/25-26</t>
  </si>
  <si>
    <t>SOJAN KUMMANOD</t>
  </si>
  <si>
    <t>J-608/25-26</t>
  </si>
  <si>
    <t>J-609/25-26</t>
  </si>
  <si>
    <t>J-610/25-26</t>
  </si>
  <si>
    <t>J-611/25-26</t>
  </si>
  <si>
    <t>KALESH , NANDANAM</t>
  </si>
  <si>
    <t>J-612/25-26</t>
  </si>
  <si>
    <t>BASIL PAUL</t>
  </si>
  <si>
    <t>J-613/25-26</t>
  </si>
  <si>
    <t>J-614/25-26</t>
  </si>
  <si>
    <t>J-615/25-26</t>
  </si>
  <si>
    <t>J-616/25-26</t>
  </si>
  <si>
    <t>JU-94/25-26</t>
  </si>
  <si>
    <t>ELDHOPAUL PAILY</t>
  </si>
  <si>
    <t>JU-95/25-26</t>
  </si>
  <si>
    <t>JU-96/25-26</t>
  </si>
  <si>
    <t>J-617/25-26</t>
  </si>
  <si>
    <t>J-618/25-26</t>
  </si>
  <si>
    <t>SURESH ACE</t>
  </si>
  <si>
    <t>J-619/25-26</t>
  </si>
  <si>
    <t>J-620/25-26</t>
  </si>
  <si>
    <t>J-621/25-26</t>
  </si>
  <si>
    <t>SANTHOSH PUKKATTUPADY</t>
  </si>
  <si>
    <t>J-622/25-26</t>
  </si>
  <si>
    <t>J-623/25-26</t>
  </si>
  <si>
    <t>J-624/25-26</t>
  </si>
  <si>
    <t>J-625/25-26</t>
  </si>
  <si>
    <t>J-626/25-26</t>
  </si>
  <si>
    <t>J-627/25-26</t>
  </si>
  <si>
    <t>J-628/25-26</t>
  </si>
  <si>
    <t>J-629/25-26</t>
  </si>
  <si>
    <t>VISHNU</t>
  </si>
  <si>
    <t>J-630/25-26</t>
  </si>
  <si>
    <t>J-631/25-26</t>
  </si>
  <si>
    <t>OLIVE INDUSTRIES</t>
  </si>
  <si>
    <t>JU-97/25-26</t>
  </si>
  <si>
    <t>JU-98/25-26</t>
  </si>
  <si>
    <t>JOHNY P V</t>
  </si>
  <si>
    <t>JU-99/25-26</t>
  </si>
  <si>
    <t>JU-100/25-26</t>
  </si>
  <si>
    <t>JU-101/25-26</t>
  </si>
  <si>
    <t>DE FRAMES</t>
  </si>
  <si>
    <t>JU-102/25-26</t>
  </si>
  <si>
    <t>ST.THOMAS CHURCH</t>
  </si>
  <si>
    <t>J-632/25-26</t>
  </si>
  <si>
    <t>J-633/25-26</t>
  </si>
  <si>
    <t>J-634/25-26</t>
  </si>
  <si>
    <t>J-635/25-26</t>
  </si>
  <si>
    <t>J-636/25-26</t>
  </si>
  <si>
    <t>J-637/25-26</t>
  </si>
  <si>
    <t>SHAJI PASSENGER</t>
  </si>
  <si>
    <t>J-638/25-26</t>
  </si>
  <si>
    <t>J-639/25-26</t>
  </si>
  <si>
    <t>BIJU KUMMANODE</t>
  </si>
  <si>
    <t>J-640/25-26</t>
  </si>
  <si>
    <t>SUPRAN  AKKAMPARA</t>
  </si>
  <si>
    <t>J-641/25-26</t>
  </si>
  <si>
    <t>J-642/25-26</t>
  </si>
  <si>
    <t>BABU THATTAMUGAL</t>
  </si>
  <si>
    <t>J-643/25-26</t>
  </si>
  <si>
    <t>J-644/25-26</t>
  </si>
  <si>
    <t>J-645/25-26</t>
  </si>
  <si>
    <t>J-646/25-26</t>
  </si>
  <si>
    <t>J-647/25-26</t>
  </si>
  <si>
    <t>J-648/25-26</t>
  </si>
  <si>
    <t>MUJEEB , PATTIMATTOM</t>
  </si>
  <si>
    <t>J-649/25-26</t>
  </si>
  <si>
    <t>PRADEEP HARIDAS</t>
  </si>
  <si>
    <t>J-650/25-26</t>
  </si>
  <si>
    <t>JU-103/25-26</t>
  </si>
  <si>
    <t>J-651/25-26</t>
  </si>
  <si>
    <t>J-652/25-26</t>
  </si>
  <si>
    <t>J-653/25-26</t>
  </si>
  <si>
    <t>J-654/25-26</t>
  </si>
  <si>
    <t>J-655/25-26</t>
  </si>
  <si>
    <t>LAIJU KADAYIRUPPU</t>
  </si>
  <si>
    <t>J-656/25-26</t>
  </si>
  <si>
    <t>MIDHUN PATTIMATTOM</t>
  </si>
  <si>
    <t>J-657/25-26</t>
  </si>
  <si>
    <t>SUNIL CHENGARA</t>
  </si>
  <si>
    <t>J-658/25-26</t>
  </si>
  <si>
    <t>JOBY JOSEPH</t>
  </si>
  <si>
    <t>J-659/25-26</t>
  </si>
  <si>
    <t>J-660/25-26</t>
  </si>
  <si>
    <t>J-661/25-26</t>
  </si>
  <si>
    <t>SAJU E.N</t>
  </si>
  <si>
    <t>J-662/25-26</t>
  </si>
  <si>
    <t>J-663/25-26</t>
  </si>
  <si>
    <t>JAYESH, ERUMATHADATHIL</t>
  </si>
  <si>
    <t>J-664/25-26</t>
  </si>
  <si>
    <t>J-665/25-26</t>
  </si>
  <si>
    <t>MATHAI</t>
  </si>
  <si>
    <t>J-666/25-26</t>
  </si>
  <si>
    <t>J-667/25-26</t>
  </si>
  <si>
    <t>J-668/25-26</t>
  </si>
  <si>
    <t>J-669/25-26</t>
  </si>
  <si>
    <t>ABDUL SAMAD</t>
  </si>
  <si>
    <t>JU-104/25-26</t>
  </si>
  <si>
    <t>FLAVOURNEST PRIVATE LIMITED</t>
  </si>
  <si>
    <t>JU-105/25-26</t>
  </si>
  <si>
    <t>JU-106/25-26</t>
  </si>
  <si>
    <t>JU-107/25-26</t>
  </si>
  <si>
    <t>VISMAYA CONSTRUCTION</t>
  </si>
  <si>
    <t>JU-108/25-26</t>
  </si>
  <si>
    <t>J-670/25-26</t>
  </si>
  <si>
    <t>J-671/25-26</t>
  </si>
  <si>
    <t>J-672/25-26</t>
  </si>
  <si>
    <t>J-673/25-26</t>
  </si>
  <si>
    <t>J-674/25-26</t>
  </si>
  <si>
    <t>PRAVEEN PUNNORKKODE</t>
  </si>
  <si>
    <t>J-675/25-26</t>
  </si>
  <si>
    <t>J-676/25-26</t>
  </si>
  <si>
    <t>J-677/25-26</t>
  </si>
  <si>
    <t>J-678/25-26</t>
  </si>
  <si>
    <t>JENY SAJEEV</t>
  </si>
  <si>
    <t>J-679/25-26</t>
  </si>
  <si>
    <t>J-680/25-26</t>
  </si>
  <si>
    <t>J-681/25-26</t>
  </si>
  <si>
    <t>J-682/25-26</t>
  </si>
  <si>
    <t>JOY MECHANGARA</t>
  </si>
  <si>
    <t>J-683/25-26</t>
  </si>
  <si>
    <t>J-684/25-26</t>
  </si>
  <si>
    <t>J-685/25-26</t>
  </si>
  <si>
    <t>SUBAIR , CHELAKKULAM</t>
  </si>
  <si>
    <t>J-686/25-26</t>
  </si>
  <si>
    <t>SASI THATTAMUKAL</t>
  </si>
  <si>
    <t>J-687/25-26</t>
  </si>
  <si>
    <t>HAREESH VALAMBOOR KURIZ</t>
  </si>
  <si>
    <t>J-688/25-26</t>
  </si>
  <si>
    <t>VINU NARAYANAN</t>
  </si>
  <si>
    <t>J-689/25-26</t>
  </si>
  <si>
    <t>JU-109/25-26</t>
  </si>
  <si>
    <t>JU-110/25-26</t>
  </si>
  <si>
    <t>JU-111/25-26</t>
  </si>
  <si>
    <t>JU-112/25-26</t>
  </si>
  <si>
    <t>J-690/25-26</t>
  </si>
  <si>
    <t>J-691/25-26</t>
  </si>
  <si>
    <t>J-692/25-26</t>
  </si>
  <si>
    <t>J-693/25-26</t>
  </si>
  <si>
    <t>SAIJU PAUL</t>
  </si>
  <si>
    <t>J-694/25-26</t>
  </si>
  <si>
    <t>J-695/25-26</t>
  </si>
  <si>
    <t>J-696/25-26</t>
  </si>
  <si>
    <t>J-697/25-26</t>
  </si>
  <si>
    <t>J-698/25-26</t>
  </si>
  <si>
    <t>J-699/25-26</t>
  </si>
  <si>
    <t>J-700/25-26</t>
  </si>
  <si>
    <t>JOHN DANIEL</t>
  </si>
  <si>
    <t>J-701/25-26</t>
  </si>
  <si>
    <t>SREEJITH ARACKAPADY</t>
  </si>
  <si>
    <t>J-702/25-26</t>
  </si>
  <si>
    <t>AUGUSTINE AIRAPURAM</t>
  </si>
  <si>
    <t>J-703/25-26</t>
  </si>
  <si>
    <t>J-704/25-26</t>
  </si>
  <si>
    <t>SUKUMARAN KAITHAKKAD</t>
  </si>
  <si>
    <t>J-705/25-26</t>
  </si>
  <si>
    <t>J-706/25-26</t>
  </si>
  <si>
    <t>J-707/25-26</t>
  </si>
  <si>
    <t>JU-113/25-26</t>
  </si>
  <si>
    <t>ELITE INDUSTIRES</t>
  </si>
  <si>
    <t>JU-114/25-26</t>
  </si>
  <si>
    <t>NAREEKUZHY  TRADERS</t>
  </si>
  <si>
    <t>JU-115/25-26</t>
  </si>
  <si>
    <t>J-708/25-26</t>
  </si>
  <si>
    <t>J-709/25-26</t>
  </si>
  <si>
    <t>BABU P GOPAL</t>
  </si>
  <si>
    <t>J-710/25-26</t>
  </si>
  <si>
    <t>Bakker Mundekudy</t>
  </si>
  <si>
    <t>J-711/25-26</t>
  </si>
  <si>
    <t>J-712/25-26</t>
  </si>
  <si>
    <t>J-713/25-26</t>
  </si>
  <si>
    <t>ADV: ALIAS MAMBAKKADAN</t>
  </si>
  <si>
    <t>J-714/25-26</t>
  </si>
  <si>
    <t>J-715/25-26</t>
  </si>
  <si>
    <t>AKHIL EZHIPPURAM</t>
  </si>
  <si>
    <t>J-716/25-26</t>
  </si>
  <si>
    <t>SUKUMARAN CHENGARA</t>
  </si>
  <si>
    <t>J-717/25-26</t>
  </si>
  <si>
    <t>VINOD CHOORAKODE</t>
  </si>
  <si>
    <t>J-718/25-26</t>
  </si>
  <si>
    <t>KURIAKOSE THATTAMUGAL</t>
  </si>
  <si>
    <t>J-719/25-26</t>
  </si>
  <si>
    <t>J-720/25-26</t>
  </si>
  <si>
    <t>J-721/25-26</t>
  </si>
  <si>
    <t>J-722/25-26</t>
  </si>
  <si>
    <t>J-723/25-26</t>
  </si>
  <si>
    <t>VIJAYAMMA KILIKULAM</t>
  </si>
  <si>
    <t>J-724/25-26</t>
  </si>
  <si>
    <t>SALIM MUNDEKUDY</t>
  </si>
  <si>
    <t>J-725/25-26</t>
  </si>
  <si>
    <t>J-726/25-26</t>
  </si>
  <si>
    <t>J-727/25-26</t>
  </si>
  <si>
    <t>J-728/25-26</t>
  </si>
  <si>
    <t>JU-116/25-26</t>
  </si>
  <si>
    <t>ZON ASSOCIATES</t>
  </si>
  <si>
    <t>JU-117/25-26</t>
  </si>
  <si>
    <t>JU-118/25-26</t>
  </si>
  <si>
    <t>J-729/25-26</t>
  </si>
  <si>
    <t>KUNJUMON TRUSS</t>
  </si>
  <si>
    <t>J-730/25-26</t>
  </si>
  <si>
    <t>J-731/25-26</t>
  </si>
  <si>
    <t>J-732/25-26</t>
  </si>
  <si>
    <t>J-733/25-26</t>
  </si>
  <si>
    <t>J-734/25-26</t>
  </si>
  <si>
    <t>J-735/25-26</t>
  </si>
  <si>
    <t>J-736/25-26</t>
  </si>
  <si>
    <t>J-737/25-26</t>
  </si>
  <si>
    <t>J-738/25-26</t>
  </si>
  <si>
    <t>SHAJI AMBALATHUMKUDY</t>
  </si>
  <si>
    <t>J-739/25-26</t>
  </si>
  <si>
    <t>J-740/25-26</t>
  </si>
  <si>
    <t>J-741/25-26</t>
  </si>
  <si>
    <t>SIRAJ ARACKKAPADY</t>
  </si>
  <si>
    <t>J-742/25-26</t>
  </si>
  <si>
    <t>KURIAKOSE KIZHAKKAMBALAM</t>
  </si>
  <si>
    <t>J-743/25-26</t>
  </si>
  <si>
    <t>J-744/25-26</t>
  </si>
  <si>
    <t>JU-119/25-26</t>
  </si>
  <si>
    <t>JU-120/25-26</t>
  </si>
  <si>
    <t>JU-121/25-26</t>
  </si>
  <si>
    <t>JU-122/25-26</t>
  </si>
  <si>
    <t>MOITHEEN MUNDEKUDY ABOOBAKAR</t>
  </si>
  <si>
    <t>JU-123/25-26</t>
  </si>
  <si>
    <t>J-745/25-26</t>
  </si>
  <si>
    <t>J-746/25-26</t>
  </si>
  <si>
    <t>J-747/25-26</t>
  </si>
  <si>
    <t>J-748/25-26</t>
  </si>
  <si>
    <t>J-749/25-26</t>
  </si>
  <si>
    <t>J-750/25-26</t>
  </si>
  <si>
    <t>AKKAMPARA ANGANVADY</t>
  </si>
  <si>
    <t>J-751/25-26</t>
  </si>
  <si>
    <t>J-752/25-26</t>
  </si>
  <si>
    <t>J-753/25-26</t>
  </si>
  <si>
    <t>J-754/25-26</t>
  </si>
  <si>
    <t>J-755/25-26</t>
  </si>
  <si>
    <t>RAJAN AIRAPURAM</t>
  </si>
  <si>
    <t>J-756/25-26</t>
  </si>
  <si>
    <t>J-757/25-26</t>
  </si>
  <si>
    <t>MUKUNDAN , KAITHAKKADU</t>
  </si>
  <si>
    <t>J-758/25-26</t>
  </si>
  <si>
    <t>PRAVEEN MAZHUVANNOOR</t>
  </si>
  <si>
    <t>J-759/25-26</t>
  </si>
  <si>
    <t>SHYJAN VADAVUCODE</t>
  </si>
  <si>
    <t>J-760/25-26</t>
  </si>
  <si>
    <t>JU-124/25-26</t>
  </si>
  <si>
    <t>JU-125/25-26</t>
  </si>
  <si>
    <t>GK POWERTRONICS</t>
  </si>
  <si>
    <t>JU-126/25-26</t>
  </si>
  <si>
    <t>ETHICS AGENCIES</t>
  </si>
  <si>
    <t>JU-127/25-26</t>
  </si>
  <si>
    <t>JANATHA TRADERS</t>
  </si>
  <si>
    <t>JU-128/25-26</t>
  </si>
  <si>
    <t>J-761/25-26</t>
  </si>
  <si>
    <t>J-762/25-26</t>
  </si>
  <si>
    <t>J-763/25-26</t>
  </si>
  <si>
    <t>J-764/25-26</t>
  </si>
  <si>
    <t>RAJU P.C VALAMBOOR</t>
  </si>
  <si>
    <t>J-765/25-26</t>
  </si>
  <si>
    <t>J-766/25-26</t>
  </si>
  <si>
    <t>J-767/25-26</t>
  </si>
  <si>
    <t>J-768/25-26</t>
  </si>
  <si>
    <t>J-769/25-26</t>
  </si>
  <si>
    <t>VINOD KIZHAKKAMBALAM</t>
  </si>
  <si>
    <t>J-770/25-26</t>
  </si>
  <si>
    <t>SHEREEF PATTIMATTOM</t>
  </si>
  <si>
    <t>J-771/25-26</t>
  </si>
  <si>
    <t>J-772/25-26</t>
  </si>
  <si>
    <t>KICHU K RAVI</t>
  </si>
  <si>
    <t>J-773/25-26</t>
  </si>
  <si>
    <t>J-774/25-26</t>
  </si>
  <si>
    <t>THAMPI KILIKULAM</t>
  </si>
  <si>
    <t>J-775/25-26</t>
  </si>
  <si>
    <t>BINOY JOSEPH</t>
  </si>
  <si>
    <t>J-776/25-26</t>
  </si>
  <si>
    <t>J-777/25-26</t>
  </si>
  <si>
    <t>J-778/25-26</t>
  </si>
  <si>
    <t>J-779/25-26</t>
  </si>
  <si>
    <t>J-780/25-26</t>
  </si>
  <si>
    <t>ROY PANCODE</t>
  </si>
  <si>
    <t>J-781/25-26</t>
  </si>
  <si>
    <t>JU-129/25-26</t>
  </si>
  <si>
    <t>JU-130/25-26</t>
  </si>
  <si>
    <t>JU-131/25-26</t>
  </si>
  <si>
    <t>SHAJI VALETHUPADY</t>
  </si>
  <si>
    <t>J-782/25-26</t>
  </si>
  <si>
    <t>J-783/25-26</t>
  </si>
  <si>
    <t>SAJI VILLAGE CHENGARA</t>
  </si>
  <si>
    <t>J-784/25-26</t>
  </si>
  <si>
    <t>SOLAMAN , CHOORAKKODU</t>
  </si>
  <si>
    <t>J-785/25-26</t>
  </si>
  <si>
    <t>J-786/25-26</t>
  </si>
  <si>
    <t>KABEER, PATTIMATTOM</t>
  </si>
  <si>
    <t>J-787/25-26</t>
  </si>
  <si>
    <t>J-788/25-26</t>
  </si>
  <si>
    <t>ELDHO , PATTIMATTAM</t>
  </si>
  <si>
    <t>J-789/25-26</t>
  </si>
  <si>
    <t>J-790/25-26</t>
  </si>
  <si>
    <t>J-791/25-26</t>
  </si>
  <si>
    <t>J-792/25-26</t>
  </si>
  <si>
    <t>RATHEESH VALAMBOOR</t>
  </si>
  <si>
    <t>J-793/25-26</t>
  </si>
  <si>
    <t>J-794/25-26</t>
  </si>
  <si>
    <t>J-795/25-26</t>
  </si>
  <si>
    <t>SATHAR ACE</t>
  </si>
  <si>
    <t>J-796/25-26</t>
  </si>
  <si>
    <t>RAVI M K</t>
  </si>
  <si>
    <t>J-797/25-26</t>
  </si>
  <si>
    <t>RAJEEVAN PATTIMATTOM</t>
  </si>
  <si>
    <t>J-798/25-26</t>
  </si>
  <si>
    <t>JU-132/25-26</t>
  </si>
  <si>
    <t>JU-133/25-26</t>
  </si>
  <si>
    <t>JU-134/25-26</t>
  </si>
  <si>
    <t>JU-135/25-26</t>
  </si>
  <si>
    <t>JU-136/25-26</t>
  </si>
  <si>
    <t>J-799/25-26</t>
  </si>
  <si>
    <t>ABY</t>
  </si>
  <si>
    <t>J-800/25-26</t>
  </si>
  <si>
    <t>J-801/25-26</t>
  </si>
  <si>
    <t>BINI PATTIMATTOM</t>
  </si>
  <si>
    <t>J-802/25-26</t>
  </si>
  <si>
    <t>J-803/25-26</t>
  </si>
  <si>
    <t>J-804/25-26</t>
  </si>
  <si>
    <t>J-805/25-26</t>
  </si>
  <si>
    <t>YUSAF PALLIKKARA</t>
  </si>
  <si>
    <t>J-806/25-26</t>
  </si>
  <si>
    <t>J-807/25-26</t>
  </si>
  <si>
    <t>J-808/25-26</t>
  </si>
  <si>
    <t>ALAN PAUL</t>
  </si>
  <si>
    <t>J-809/25-26</t>
  </si>
  <si>
    <t>SUBRAMANIAN</t>
  </si>
  <si>
    <t>J-810/25-26</t>
  </si>
  <si>
    <t>J-811/25-26</t>
  </si>
  <si>
    <t>MALABAR SPICES</t>
  </si>
  <si>
    <t>J-812/25-26</t>
  </si>
  <si>
    <t>EBRAHIM DOUBLEPALAM</t>
  </si>
  <si>
    <t>J-813/25-26</t>
  </si>
  <si>
    <t>SUBEESH PALAKUZHA</t>
  </si>
  <si>
    <t>J-814/25-26</t>
  </si>
  <si>
    <t>J-815/25-26</t>
  </si>
  <si>
    <t>JU-137/25-26</t>
  </si>
  <si>
    <t>RIJU PAZHAMTHOTTAM</t>
  </si>
  <si>
    <t>J-816/25-26</t>
  </si>
  <si>
    <t>RAJENDRAN.P.K</t>
  </si>
  <si>
    <t>J-817/25-26</t>
  </si>
  <si>
    <t>AJI . P.D</t>
  </si>
  <si>
    <t>J-818/25-26</t>
  </si>
  <si>
    <t>J-819/25-26</t>
  </si>
  <si>
    <t>J-820/25-26</t>
  </si>
  <si>
    <t>J-821/25-26</t>
  </si>
  <si>
    <t>J-822/25-26</t>
  </si>
  <si>
    <t>BASIL KILIKULAM</t>
  </si>
  <si>
    <t>J-823/25-26</t>
  </si>
  <si>
    <t>KALESH, VALAMBOOR</t>
  </si>
  <si>
    <t>J-824/25-26</t>
  </si>
  <si>
    <t>PRABHU KUMMANODE</t>
  </si>
  <si>
    <t>J-825/25-26</t>
  </si>
  <si>
    <t>J-826/25-26</t>
  </si>
  <si>
    <t>J-827/25-26</t>
  </si>
  <si>
    <t>CHANDRAN , PANCODU</t>
  </si>
  <si>
    <t>J-828/25-26</t>
  </si>
  <si>
    <t>J-829/25-26</t>
  </si>
  <si>
    <t>HYDROSE VALAMBOOR</t>
  </si>
  <si>
    <t>J-830/25-26</t>
  </si>
  <si>
    <t>FIBI</t>
  </si>
  <si>
    <t>J-831/25-26</t>
  </si>
  <si>
    <t>JOHNSON PATTIMATTOM</t>
  </si>
  <si>
    <t>J-832/25-26</t>
  </si>
  <si>
    <t>THOMSON KZHM</t>
  </si>
  <si>
    <t>J-833/25-26</t>
  </si>
  <si>
    <t>SUKUMARAN PULINCHODE</t>
  </si>
  <si>
    <t>J-834/25-26</t>
  </si>
  <si>
    <t>JU-138/25-26</t>
  </si>
  <si>
    <t>JU-139/25-26</t>
  </si>
  <si>
    <t>PBJ INDUSTRIES</t>
  </si>
  <si>
    <t>JU-140/25-26</t>
  </si>
  <si>
    <t>SUNRISE BLOCKS &amp; PAVERS</t>
  </si>
  <si>
    <t>JU-141/25-26</t>
  </si>
  <si>
    <t>JU-142/25-26</t>
  </si>
  <si>
    <t>SURENDRAN KUMMANODE</t>
  </si>
  <si>
    <t>J-835/25-26</t>
  </si>
  <si>
    <t>J-836/25-26</t>
  </si>
  <si>
    <t>J-837/25-26</t>
  </si>
  <si>
    <t>J-838/25-26</t>
  </si>
  <si>
    <t>J-839/25-26</t>
  </si>
  <si>
    <t>J-840/25-26</t>
  </si>
  <si>
    <t>J-841/25-26</t>
  </si>
  <si>
    <t>BIJU , PATTIMATTOM</t>
  </si>
  <si>
    <t>J-842/25-26</t>
  </si>
  <si>
    <t>J-843/25-26</t>
  </si>
  <si>
    <t>SHIBIN THURUTHEPARAMBU</t>
  </si>
  <si>
    <t>J-844/25-26</t>
  </si>
  <si>
    <t>J-845/25-26</t>
  </si>
  <si>
    <t>JINS PATTIMATTOM</t>
  </si>
  <si>
    <t>J-846/25-26</t>
  </si>
  <si>
    <t>J-847/25-26</t>
  </si>
  <si>
    <t>J-848/25-26</t>
  </si>
  <si>
    <t>J-849/25-26</t>
  </si>
  <si>
    <t>J-850/25-26</t>
  </si>
  <si>
    <t>J-851/25-26</t>
  </si>
  <si>
    <t>RENJITH DAYARAPADY</t>
  </si>
  <si>
    <t>J-852/25-26</t>
  </si>
  <si>
    <t>J-853/25-26</t>
  </si>
  <si>
    <t>ABU  , CHENGARA</t>
  </si>
  <si>
    <t>J-854/25-26</t>
  </si>
  <si>
    <t>J-855/25-26</t>
  </si>
  <si>
    <t>J-856/25-26</t>
  </si>
  <si>
    <t>ABY KOORACHI</t>
  </si>
  <si>
    <t>J-857/25-26</t>
  </si>
  <si>
    <t>VIJAYAN UNION</t>
  </si>
  <si>
    <t>J-858/25-26</t>
  </si>
  <si>
    <t>J-859/25-26</t>
  </si>
  <si>
    <t>JU-143/25-26</t>
  </si>
  <si>
    <t>JU-144/25-26</t>
  </si>
  <si>
    <t>JU-145/25-26</t>
  </si>
  <si>
    <t>M S EQUIPMENTS</t>
  </si>
  <si>
    <t>JU-146/25-26</t>
  </si>
  <si>
    <t>DOYD INTERIORS AND CONTRACTORS</t>
  </si>
  <si>
    <t>JU-147/25-26</t>
  </si>
  <si>
    <t>REHIM BIKE</t>
  </si>
  <si>
    <t>J-860/25-26</t>
  </si>
  <si>
    <t>NISSAR , PASSENGER</t>
  </si>
  <si>
    <t>J-861/25-26</t>
  </si>
  <si>
    <t>J-862/25-26</t>
  </si>
  <si>
    <t>J-863/25-26</t>
  </si>
  <si>
    <t>J-864/25-26</t>
  </si>
  <si>
    <t>J-865/25-26</t>
  </si>
  <si>
    <t>J-866/25-26</t>
  </si>
  <si>
    <t>J-867/25-26</t>
  </si>
  <si>
    <t>J-868/25-26</t>
  </si>
  <si>
    <t>J-869/25-26</t>
  </si>
  <si>
    <t>J-870/25-26</t>
  </si>
  <si>
    <t>J-871/25-26</t>
  </si>
  <si>
    <t>J-872/25-26</t>
  </si>
  <si>
    <t>GOVT.U P SCHOOL NORTH MAZHUVANNOOR</t>
  </si>
  <si>
    <t>J-873/25-26</t>
  </si>
  <si>
    <t>J-874/25-26</t>
  </si>
  <si>
    <t>J-875/25-26</t>
  </si>
  <si>
    <t>AKHIL KILIKULAM</t>
  </si>
  <si>
    <t>J-876/25-26</t>
  </si>
  <si>
    <t>J-877/25-26</t>
  </si>
  <si>
    <t>J-878/25-26</t>
  </si>
  <si>
    <t>JU-148/25-26</t>
  </si>
  <si>
    <t>JU-149/25-26</t>
  </si>
  <si>
    <t>JU-150/25-26</t>
  </si>
  <si>
    <t>J-879/25-26</t>
  </si>
  <si>
    <t>J-880/25-26</t>
  </si>
  <si>
    <t>ROSHID S PILLA</t>
  </si>
  <si>
    <t>J-881/25-26</t>
  </si>
  <si>
    <t>J-882/25-26</t>
  </si>
  <si>
    <t>MURSHID DOUBLEPALAM</t>
  </si>
  <si>
    <t>J-883/25-26</t>
  </si>
  <si>
    <t>J-884/25-26</t>
  </si>
  <si>
    <t>BINDHU G NAIR</t>
  </si>
  <si>
    <t>J-885/25-26</t>
  </si>
  <si>
    <t>J-886/25-26</t>
  </si>
  <si>
    <t>J-887/25-26</t>
  </si>
  <si>
    <t>J-888/25-26</t>
  </si>
  <si>
    <t>BIJU MAZHUVANNOOR</t>
  </si>
  <si>
    <t>J-889/25-26</t>
  </si>
  <si>
    <t>J-890/25-26</t>
  </si>
  <si>
    <t>JU-151/25-26</t>
  </si>
  <si>
    <t>JU-152/25-26</t>
  </si>
  <si>
    <t>JU-153/25-26</t>
  </si>
  <si>
    <t>J-891/25-26</t>
  </si>
  <si>
    <t>J-892/25-26</t>
  </si>
  <si>
    <t>J-893/25-26</t>
  </si>
  <si>
    <t>J-894/25-26</t>
  </si>
  <si>
    <t>JOHN PAREPEEDIKA</t>
  </si>
  <si>
    <t>J-895/25-26</t>
  </si>
  <si>
    <t>JOSE PATTIMATTOM</t>
  </si>
  <si>
    <t>J-896/25-26</t>
  </si>
  <si>
    <t>J-897/25-26</t>
  </si>
  <si>
    <t>BASIL PAZHAMTHOTTAM</t>
  </si>
  <si>
    <t>J-898/25-26</t>
  </si>
  <si>
    <t>J-899/25-26</t>
  </si>
  <si>
    <t>J-900/25-26</t>
  </si>
  <si>
    <t>J-901/25-26</t>
  </si>
  <si>
    <t>J-902/25-26</t>
  </si>
  <si>
    <t>J-903/25-26</t>
  </si>
  <si>
    <t>J-904/25-26</t>
  </si>
  <si>
    <t>JU-154/25-26</t>
  </si>
  <si>
    <t>J-905/25-26</t>
  </si>
  <si>
    <t>J-906/25-26</t>
  </si>
  <si>
    <t>J-907/25-26</t>
  </si>
  <si>
    <t>J-908/25-26</t>
  </si>
  <si>
    <t>J-909/25-26</t>
  </si>
  <si>
    <t>J-910/25-26</t>
  </si>
  <si>
    <t>ALIYAR PAREMKUDY</t>
  </si>
  <si>
    <t>J-911/25-26</t>
  </si>
  <si>
    <t>J-912/25-26</t>
  </si>
  <si>
    <t>DILEEP PATTIMATTOM</t>
  </si>
  <si>
    <t>J-913/25-26</t>
  </si>
  <si>
    <t>J-914/25-26</t>
  </si>
  <si>
    <t>J-915/25-26</t>
  </si>
  <si>
    <t>J-916/25-26</t>
  </si>
  <si>
    <t>AJFAR PATTIMATTOM</t>
  </si>
  <si>
    <t>J-917/25-26</t>
  </si>
  <si>
    <t>SHEKEER PATTIMATTOM</t>
  </si>
  <si>
    <t>J-918/25-26</t>
  </si>
  <si>
    <t>AMAL MANGALATHUNADA</t>
  </si>
  <si>
    <t>J-919/25-26</t>
  </si>
  <si>
    <t>J-920/25-26</t>
  </si>
  <si>
    <t>J-921/25-26</t>
  </si>
  <si>
    <t>ELDHO UTHARA</t>
  </si>
  <si>
    <t>J-922/25-26</t>
  </si>
  <si>
    <t>J-923/25-26</t>
  </si>
  <si>
    <t>J-924/25-26</t>
  </si>
  <si>
    <t>JU-155/25-26</t>
  </si>
  <si>
    <t>KERAWA EVENTS</t>
  </si>
  <si>
    <t>JU-156/25-26</t>
  </si>
  <si>
    <t>J-925/25-26</t>
  </si>
  <si>
    <t>AFZAL , DOUBLEPALM</t>
  </si>
  <si>
    <t>J-926/25-26</t>
  </si>
  <si>
    <t>J-927/25-26</t>
  </si>
  <si>
    <t>J-928/25-26</t>
  </si>
  <si>
    <t>J-929/25-26</t>
  </si>
  <si>
    <t>SONA PATTIMATTOM</t>
  </si>
  <si>
    <t>J-930/25-26</t>
  </si>
  <si>
    <t>J-931/25-26</t>
  </si>
  <si>
    <t>ANOOP KUMMANODE</t>
  </si>
  <si>
    <t>J-932/25-26</t>
  </si>
  <si>
    <t>CHUNKS BAKERY</t>
  </si>
  <si>
    <t>J-933/25-26</t>
  </si>
  <si>
    <t>JU-157/25-26</t>
  </si>
  <si>
    <t>ELDHO KOKKAT, KUMMANODE</t>
  </si>
  <si>
    <t>J-934/25-26</t>
  </si>
  <si>
    <t>J-935/25-26</t>
  </si>
  <si>
    <t>J-936/25-26</t>
  </si>
  <si>
    <t>J-937/25-26</t>
  </si>
  <si>
    <t>J-938/25-26</t>
  </si>
  <si>
    <t>J-939/25-26</t>
  </si>
  <si>
    <t>J-940/25-26</t>
  </si>
  <si>
    <t>J-941/25-26</t>
  </si>
  <si>
    <t>LIJU,THATTAMUGAL</t>
  </si>
  <si>
    <t>J-942/25-26</t>
  </si>
  <si>
    <t>J-943/25-26</t>
  </si>
  <si>
    <t>J-944/25-26</t>
  </si>
  <si>
    <t>J-945/25-26</t>
  </si>
  <si>
    <t>SHIBU KALLUNGAL</t>
  </si>
  <si>
    <t>J-946/25-26</t>
  </si>
  <si>
    <t>BIJU ARACKKAPADY</t>
  </si>
  <si>
    <t>J-947/25-26</t>
  </si>
  <si>
    <t>JOBY DOUBLE PALM</t>
  </si>
  <si>
    <t>J-948/25-26</t>
  </si>
  <si>
    <t>AFZAL</t>
  </si>
  <si>
    <t>J-949/25-26</t>
  </si>
  <si>
    <t>J-950/25-26</t>
  </si>
  <si>
    <t>M.P.RAJU</t>
  </si>
  <si>
    <t>J-951/25-26</t>
  </si>
  <si>
    <t>PRASAD KADAYIRUPPU</t>
  </si>
  <si>
    <t>J-952/25-26</t>
  </si>
  <si>
    <t>ATHUL KADAYIRUPPU</t>
  </si>
  <si>
    <t>J-953/25-26</t>
  </si>
  <si>
    <t>J-954/25-26</t>
  </si>
  <si>
    <t>J-955/25-26</t>
  </si>
  <si>
    <t>RAMESH VALAMBOOR</t>
  </si>
  <si>
    <t>J-956/25-26</t>
  </si>
  <si>
    <t>JU-158/25-26</t>
  </si>
  <si>
    <t>JU-159/25-26</t>
  </si>
  <si>
    <t>E TECH INDUSTRIES</t>
  </si>
  <si>
    <t>JU-160/25-26</t>
  </si>
  <si>
    <t>EMIYA FAB</t>
  </si>
  <si>
    <t>JU-161/25-26</t>
  </si>
  <si>
    <t>JU-162/25-26</t>
  </si>
  <si>
    <t>JU-163/25-26</t>
  </si>
  <si>
    <t>JU-164/25-26</t>
  </si>
  <si>
    <t>JU-165/25-26</t>
  </si>
  <si>
    <t>JU-166/25-26</t>
  </si>
  <si>
    <t>JITHIN PATTIMATTOM</t>
  </si>
  <si>
    <t>J-957/25-26</t>
  </si>
  <si>
    <t>SHUKOOR ARACKKAPADY</t>
  </si>
  <si>
    <t>J-958/25-26</t>
  </si>
  <si>
    <t>J-959/25-26</t>
  </si>
  <si>
    <t>J-960/25-26</t>
  </si>
  <si>
    <t>J-961/25-26</t>
  </si>
  <si>
    <t>J-962/25-26</t>
  </si>
  <si>
    <t>J-963/25-26</t>
  </si>
  <si>
    <t>PAREETH DOUBLEPALM</t>
  </si>
  <si>
    <t>J-964/25-26</t>
  </si>
  <si>
    <t>DRONIMAGINATION</t>
  </si>
  <si>
    <t>J-965/25-26</t>
  </si>
  <si>
    <t>J-966/25-26</t>
  </si>
  <si>
    <t>J-967/25-26</t>
  </si>
  <si>
    <t>J-968/25-26</t>
  </si>
  <si>
    <t>SANGEETHA PRASAD</t>
  </si>
  <si>
    <t>J-969/25-26</t>
  </si>
  <si>
    <t>J-970/25-26</t>
  </si>
  <si>
    <t>J-971/25-26</t>
  </si>
  <si>
    <t>DE THREE BUILDERS</t>
  </si>
  <si>
    <t>J-972/25-26</t>
  </si>
  <si>
    <t>JU-167/25-26</t>
  </si>
  <si>
    <t>JU-168/25-26</t>
  </si>
  <si>
    <t>JU-169/25-26</t>
  </si>
  <si>
    <t>JU-170/25-26</t>
  </si>
  <si>
    <t>DRONIMAGINATION PRIVATE LIMITED</t>
  </si>
  <si>
    <t>JU-171/25-26</t>
  </si>
  <si>
    <t>JU-172/25-26</t>
  </si>
  <si>
    <t>J-973/25-26</t>
  </si>
  <si>
    <t>J-974/25-26</t>
  </si>
  <si>
    <t>SANTHOSH</t>
  </si>
  <si>
    <t>J-975/25-26</t>
  </si>
  <si>
    <t>J-976/25-26</t>
  </si>
  <si>
    <t>J-977/25-26</t>
  </si>
  <si>
    <t>J-978/25-26</t>
  </si>
  <si>
    <t>J-979/25-26</t>
  </si>
  <si>
    <t>J-980/25-26</t>
  </si>
  <si>
    <t>VISHNU PATTIMATTOM</t>
  </si>
  <si>
    <t>J-981/25-26</t>
  </si>
  <si>
    <t>J-982/25-26</t>
  </si>
  <si>
    <t>JOSE VADAKKAN</t>
  </si>
  <si>
    <t>J-983/25-26</t>
  </si>
  <si>
    <t>J-984/25-26</t>
  </si>
  <si>
    <t>J-985/25-26</t>
  </si>
  <si>
    <t>J-986/25-26</t>
  </si>
  <si>
    <t>J-987/25-26</t>
  </si>
  <si>
    <t>MOITHEEN DOUBLEPALAM</t>
  </si>
  <si>
    <t>J-988/25-26</t>
  </si>
  <si>
    <t>J-989/25-26</t>
  </si>
  <si>
    <t>ELDHO ABRAHAM</t>
  </si>
  <si>
    <t>J-990/25-26</t>
  </si>
  <si>
    <t>SIVASAKTHI CABLE TV NET WORK</t>
  </si>
  <si>
    <t>JU-173/25-26</t>
  </si>
  <si>
    <t>J-991/25-26</t>
  </si>
  <si>
    <t>JIMMY KANIYAMKUDY</t>
  </si>
  <si>
    <t>J-992/25-26</t>
  </si>
  <si>
    <t>J-993/25-26</t>
  </si>
  <si>
    <t>J-994/25-26</t>
  </si>
  <si>
    <t>J-995/25-26</t>
  </si>
  <si>
    <t>J-996/25-26</t>
  </si>
  <si>
    <t>J-997/25-26</t>
  </si>
  <si>
    <t>SHARON PATTIMATTOM</t>
  </si>
  <si>
    <t>J-998/25-26</t>
  </si>
  <si>
    <t>J-999/25-26</t>
  </si>
  <si>
    <t>J-1000/25-26</t>
  </si>
  <si>
    <t>J-1001/25-26</t>
  </si>
  <si>
    <t>J-1002/25-26</t>
  </si>
  <si>
    <t>AJAYAN</t>
  </si>
  <si>
    <t>J-1003/25-26</t>
  </si>
  <si>
    <t>J-1004/25-26</t>
  </si>
  <si>
    <t>JU-174/25-26</t>
  </si>
  <si>
    <t>JU-175/25-26</t>
  </si>
  <si>
    <t>JU-176/25-26</t>
  </si>
  <si>
    <t>LAKSHMI FOODS</t>
  </si>
  <si>
    <t>JU-177/25-26</t>
  </si>
  <si>
    <t>JU-178/25-26</t>
  </si>
  <si>
    <t>J-1005/25-26</t>
  </si>
  <si>
    <t>J-1006/25-26</t>
  </si>
  <si>
    <t>J-1007/25-26</t>
  </si>
  <si>
    <t>J-1008/25-26</t>
  </si>
  <si>
    <t>J-1009/25-26</t>
  </si>
  <si>
    <t>J-1010/25-26</t>
  </si>
  <si>
    <t>J-1011/25-26</t>
  </si>
  <si>
    <t>J-1012/25-26</t>
  </si>
  <si>
    <t>J-1013/25-26</t>
  </si>
  <si>
    <t>J-1014/25-26</t>
  </si>
  <si>
    <t>ABBAS BISMI</t>
  </si>
  <si>
    <t>J-1015/25-26</t>
  </si>
  <si>
    <t>J-1016/25-26</t>
  </si>
  <si>
    <t>RAJU EMBASSERY</t>
  </si>
  <si>
    <t>J-1017/25-26</t>
  </si>
  <si>
    <t>J-1018/25-26</t>
  </si>
  <si>
    <t>J-1019/25-26</t>
  </si>
  <si>
    <t>J-1020/25-26</t>
  </si>
  <si>
    <t>KURUPPASAN , VALAMBOOR</t>
  </si>
  <si>
    <t>J-1021/25-26</t>
  </si>
  <si>
    <t>J-1022/25-26</t>
  </si>
  <si>
    <t>J-1023/25-26</t>
  </si>
  <si>
    <t>J-1024/25-26</t>
  </si>
  <si>
    <t>J-1025/25-26</t>
  </si>
  <si>
    <t>SARATH PATTIMATTOM</t>
  </si>
  <si>
    <t>J-1026/25-26</t>
  </si>
  <si>
    <t>BASIL VALAMBOOR</t>
  </si>
  <si>
    <t>J-1027/25-26</t>
  </si>
  <si>
    <t>JU-179/25-26</t>
  </si>
  <si>
    <t>JU-180/25-26</t>
  </si>
  <si>
    <t>PLATINUM DEVELOPERS</t>
  </si>
  <si>
    <t>JU-181/25-26</t>
  </si>
  <si>
    <t>APPU PULIKAYATH</t>
  </si>
  <si>
    <t>J-1028/25-26</t>
  </si>
  <si>
    <t>J-1029/25-26</t>
  </si>
  <si>
    <t>MOHANAN MECHERY</t>
  </si>
  <si>
    <t>J-1030/25-26</t>
  </si>
  <si>
    <t>J-1031/25-26</t>
  </si>
  <si>
    <t>J-1032/25-26</t>
  </si>
  <si>
    <t>J-1033/25-26</t>
  </si>
  <si>
    <t>J-1034/25-26</t>
  </si>
  <si>
    <t>J-1035/25-26</t>
  </si>
  <si>
    <t>J-1036/25-26</t>
  </si>
  <si>
    <t>J-1037/25-26</t>
  </si>
  <si>
    <t>J-1038/25-26</t>
  </si>
  <si>
    <t>SEBIN CHERIYAN</t>
  </si>
  <si>
    <t>J-1039/25-26</t>
  </si>
  <si>
    <t>J-1040/25-26</t>
  </si>
  <si>
    <t>J-1041/25-26</t>
  </si>
  <si>
    <t>J-1042/25-26</t>
  </si>
  <si>
    <t>J-1043/25-26</t>
  </si>
  <si>
    <t>J-1044/25-26</t>
  </si>
  <si>
    <t>ROUBLE , KUMMANODE</t>
  </si>
  <si>
    <t>J-1045/25-26</t>
  </si>
  <si>
    <t>MATHAI PERUMANI</t>
  </si>
  <si>
    <t>J-1046/25-26</t>
  </si>
  <si>
    <t>J-1047/25-26</t>
  </si>
  <si>
    <t>J-1048/25-26</t>
  </si>
  <si>
    <t>SIJESH</t>
  </si>
  <si>
    <t>J-1049/25-26</t>
  </si>
  <si>
    <t>J-1050/25-26</t>
  </si>
  <si>
    <t>J-1051/25-26</t>
  </si>
  <si>
    <t>J-1052/25-26</t>
  </si>
  <si>
    <t>JU-182/25-26</t>
  </si>
  <si>
    <t>PEBBLE OF TRADING</t>
  </si>
  <si>
    <t>JU-183/25-26</t>
  </si>
  <si>
    <t>JU-184/25-26</t>
  </si>
  <si>
    <t>JU-185/25-26</t>
  </si>
  <si>
    <t>AMEERKHAN K P</t>
  </si>
  <si>
    <t>JU-186/25-26</t>
  </si>
  <si>
    <t>J-1053/25-26</t>
  </si>
  <si>
    <t>J-1054/25-26</t>
  </si>
  <si>
    <t>BONY KURIAN</t>
  </si>
  <si>
    <t>J-1055/25-26</t>
  </si>
  <si>
    <t>SHIHAB</t>
  </si>
  <si>
    <t>J-1056/25-26</t>
  </si>
  <si>
    <t>J-1057/25-26</t>
  </si>
  <si>
    <t>SAJI , CHENGARA</t>
  </si>
  <si>
    <t>J-1058/25-26</t>
  </si>
  <si>
    <t>J-1059/25-26</t>
  </si>
  <si>
    <t>J-1060/25-26</t>
  </si>
  <si>
    <t>VINOD EMBASSERY</t>
  </si>
  <si>
    <t>J-1061/25-26</t>
  </si>
  <si>
    <t>J-1062/25-26</t>
  </si>
  <si>
    <t>J-1063/25-26</t>
  </si>
  <si>
    <t>J-1064/25-26</t>
  </si>
  <si>
    <t>J-1065/25-26</t>
  </si>
  <si>
    <t>J-1066/25-26</t>
  </si>
  <si>
    <t>BIJU MATHEW</t>
  </si>
  <si>
    <t>JU-187/25-26</t>
  </si>
  <si>
    <t>MOOLANS PATTIMATTOM</t>
  </si>
  <si>
    <t>J-1067/25-26</t>
  </si>
  <si>
    <t>J-1068/25-26</t>
  </si>
  <si>
    <t>J-1069/25-26</t>
  </si>
  <si>
    <t>J-1070/25-26</t>
  </si>
  <si>
    <t>KANNAN , SARARO</t>
  </si>
  <si>
    <t>J-1071/25-26</t>
  </si>
  <si>
    <t>J-1072/25-26</t>
  </si>
  <si>
    <t>J-1073/25-26</t>
  </si>
  <si>
    <t>J-1074/25-26</t>
  </si>
  <si>
    <t>PERFUMES INDIA</t>
  </si>
  <si>
    <t>J-1075/25-26</t>
  </si>
  <si>
    <t>THAMPI , PATTIMATTAM</t>
  </si>
  <si>
    <t>J-1076/25-26</t>
  </si>
  <si>
    <t>J-1077/25-26</t>
  </si>
  <si>
    <t>NAJEEB DOUBLE PALAM</t>
  </si>
  <si>
    <t>J-1078/25-26</t>
  </si>
  <si>
    <t>J-1079/25-26</t>
  </si>
  <si>
    <t>LAKSHMANAN EZHIPPURAM</t>
  </si>
  <si>
    <t>J-1080/25-26</t>
  </si>
  <si>
    <t>J-1081/25-26</t>
  </si>
  <si>
    <t>J-1082/25-26</t>
  </si>
  <si>
    <t>J-1083/25-26</t>
  </si>
  <si>
    <t>J-1084/25-26</t>
  </si>
  <si>
    <t>J-1085/25-26</t>
  </si>
  <si>
    <t>M J JOY &amp; COMPANY</t>
  </si>
  <si>
    <t>JU-188/25-26</t>
  </si>
  <si>
    <t>JU-189/25-26</t>
  </si>
  <si>
    <t>LENIN VALAMBORR</t>
  </si>
  <si>
    <t>J-1086/25-26</t>
  </si>
  <si>
    <t>J-1087/25-26</t>
  </si>
  <si>
    <t>J-1088/25-26</t>
  </si>
  <si>
    <t>J-1089/25-26</t>
  </si>
  <si>
    <t>PRAMOJ NJARALLOOR</t>
  </si>
  <si>
    <t>J-1090/25-26</t>
  </si>
  <si>
    <t>J-1091/25-26</t>
  </si>
  <si>
    <t>J-1092/25-26</t>
  </si>
  <si>
    <t>J-1093/25-26</t>
  </si>
  <si>
    <t>J-1094/25-26</t>
  </si>
  <si>
    <t>J-1095/25-26</t>
  </si>
  <si>
    <t>J-1096/25-26</t>
  </si>
  <si>
    <t>J-1097/25-26</t>
  </si>
  <si>
    <t>J-1098/25-26</t>
  </si>
  <si>
    <t>J-1099/25-26</t>
  </si>
  <si>
    <t>J-1100/25-26</t>
  </si>
  <si>
    <t>J-1101/25-26</t>
  </si>
  <si>
    <t>J-1102/25-26</t>
  </si>
  <si>
    <t>J-1103/25-26</t>
  </si>
  <si>
    <t>JU-190/25-26</t>
  </si>
  <si>
    <t>JU-191/25-26</t>
  </si>
  <si>
    <t>J-1104/25-26</t>
  </si>
  <si>
    <t>J-1105/25-26</t>
  </si>
  <si>
    <t>J-1106/25-26</t>
  </si>
  <si>
    <t>SIVAKUMAR KUMMANODE</t>
  </si>
  <si>
    <t>J-1107/25-26</t>
  </si>
  <si>
    <t>J-1108/25-26</t>
  </si>
  <si>
    <t>J-1109/25-26</t>
  </si>
  <si>
    <t>J-1110/25-26</t>
  </si>
  <si>
    <t>J-1111/25-26</t>
  </si>
  <si>
    <t>BHASKARAN</t>
  </si>
  <si>
    <t>J-1112/25-26</t>
  </si>
  <si>
    <t>J-1113/25-26</t>
  </si>
  <si>
    <t>J-1114/25-26</t>
  </si>
  <si>
    <t>J-1115/25-26</t>
  </si>
  <si>
    <t>J-1116/25-26</t>
  </si>
  <si>
    <t>AMEER , CHOORAKKODE</t>
  </si>
  <si>
    <t>J-1117/25-26</t>
  </si>
  <si>
    <t>ST.GEORGE INDUSTRY</t>
  </si>
  <si>
    <t>JU-192/25-26</t>
  </si>
  <si>
    <t>JU-193/25-26</t>
  </si>
  <si>
    <t>J-1118/25-26</t>
  </si>
  <si>
    <t>MUKUNDAN PATTIMATTOM</t>
  </si>
  <si>
    <t>J-1119/25-26</t>
  </si>
  <si>
    <t>RENJITH NJARALLOOR</t>
  </si>
  <si>
    <t>J-1120/25-26</t>
  </si>
  <si>
    <t>J-1121/25-26</t>
  </si>
  <si>
    <t>ILLIYAS MEPRATHUPADY</t>
  </si>
  <si>
    <t>J-1122/25-26</t>
  </si>
  <si>
    <t>J-1123/25-26</t>
  </si>
  <si>
    <t>J-1124/25-26</t>
  </si>
  <si>
    <t>J-1125/25-26</t>
  </si>
  <si>
    <t>SATHAR , KUMMANODU</t>
  </si>
  <si>
    <t>J-1126/25-26</t>
  </si>
  <si>
    <t>J-1127/25-26</t>
  </si>
  <si>
    <t>J-1128/25-26</t>
  </si>
  <si>
    <t>RENVOLT ENERGY SOLUTIONSPRIVATE LIMITED</t>
  </si>
  <si>
    <t>JU-194/25-26</t>
  </si>
  <si>
    <t>JU-195/25-26</t>
  </si>
  <si>
    <t>J-1129/25-26</t>
  </si>
  <si>
    <t>J-1130/25-26</t>
  </si>
  <si>
    <t>J-1131/25-26</t>
  </si>
  <si>
    <t>J-1132/25-26</t>
  </si>
  <si>
    <t>J-1133/25-26</t>
  </si>
  <si>
    <t>SHIHAB, PATTIMATTOM</t>
  </si>
  <si>
    <t>J-1134/25-26</t>
  </si>
  <si>
    <t>J-1135/25-26</t>
  </si>
  <si>
    <t>J-1136/25-26</t>
  </si>
  <si>
    <t>J-1137/25-26</t>
  </si>
  <si>
    <t>J-1138/25-26</t>
  </si>
  <si>
    <t>J-1139/25-26</t>
  </si>
  <si>
    <t>JU-196/25-26</t>
  </si>
  <si>
    <t>JU-197/25-26</t>
  </si>
  <si>
    <t>IMPERIAL EXTRACTS</t>
  </si>
  <si>
    <t>JU-198/25-26</t>
  </si>
  <si>
    <t>LINTO KZM</t>
  </si>
  <si>
    <t>J-1140/25-26</t>
  </si>
  <si>
    <t>J-1141/25-26</t>
  </si>
  <si>
    <t>J-1142/25-26</t>
  </si>
  <si>
    <t>J-1143/25-26</t>
  </si>
  <si>
    <t>J-1144/25-26</t>
  </si>
  <si>
    <t>J-1145/25-26</t>
  </si>
  <si>
    <t>J-1146/25-26</t>
  </si>
  <si>
    <t>J-1147/25-26</t>
  </si>
  <si>
    <t>J-1148/25-26</t>
  </si>
  <si>
    <t>J-1149/25-26</t>
  </si>
  <si>
    <t>J-1150/25-26</t>
  </si>
  <si>
    <t>J-1151/25-26</t>
  </si>
  <si>
    <t>J-1152/25-26</t>
  </si>
  <si>
    <t>J-1153/25-26</t>
  </si>
  <si>
    <t>J-1154/25-26</t>
  </si>
  <si>
    <t>J-1155/25-26</t>
  </si>
  <si>
    <t>JU-199/25-26</t>
  </si>
  <si>
    <t>JU-200/25-26</t>
  </si>
  <si>
    <t>JU-201/25-26</t>
  </si>
  <si>
    <t>J-1156/25-26</t>
  </si>
  <si>
    <t>J-1157/25-26</t>
  </si>
  <si>
    <t>KALHARAM PATTIMATTOM</t>
  </si>
  <si>
    <t>J-1158/25-26</t>
  </si>
  <si>
    <t>J-1159/25-26</t>
  </si>
  <si>
    <t>J-1160/25-26</t>
  </si>
  <si>
    <t>J-1161/25-26</t>
  </si>
  <si>
    <t>J-1162/25-26</t>
  </si>
  <si>
    <t>J-1163/25-26</t>
  </si>
  <si>
    <t>J-1164/25-26</t>
  </si>
  <si>
    <t>J-1165/25-26</t>
  </si>
  <si>
    <t>J-1166/25-26</t>
  </si>
  <si>
    <t>J-1167/25-26</t>
  </si>
  <si>
    <t>J-1168/25-26</t>
  </si>
  <si>
    <t>RENJITH CHENGARA</t>
  </si>
  <si>
    <t>J-1169/25-26</t>
  </si>
  <si>
    <t>J-1170/25-26</t>
  </si>
  <si>
    <t>J-1171/25-26</t>
  </si>
  <si>
    <t>J-1172/25-26</t>
  </si>
  <si>
    <t>J-1173/25-26</t>
  </si>
  <si>
    <t>SAJAN VALAMBOOR</t>
  </si>
  <si>
    <t>J-1174/25-26</t>
  </si>
  <si>
    <t>J-1175/25-26</t>
  </si>
  <si>
    <t>J-1176/25-26</t>
  </si>
  <si>
    <t>J-1177/25-26</t>
  </si>
  <si>
    <t>RAMACHANDRAN VALAMBOOR</t>
  </si>
  <si>
    <t>J-1178/25-26</t>
  </si>
  <si>
    <t>J-1179/25-26</t>
  </si>
  <si>
    <t>J-1180/25-26</t>
  </si>
  <si>
    <t>J-1181/25-26</t>
  </si>
  <si>
    <t>UNNIKRISHNAN THATTAMUGAL</t>
  </si>
  <si>
    <t>J-1182/25-26</t>
  </si>
  <si>
    <t>SEBAS PRODUCTS</t>
  </si>
  <si>
    <t>JU-202/25-26</t>
  </si>
  <si>
    <t>WALLMAX PAINTS PVT LTD</t>
  </si>
  <si>
    <t>JU-203/25-26</t>
  </si>
  <si>
    <t>AABIM ENTERPRISES</t>
  </si>
  <si>
    <t>JU-204/25-26</t>
  </si>
  <si>
    <t>JU-205/25-26</t>
  </si>
  <si>
    <t>J-1183/25-26</t>
  </si>
  <si>
    <t>J-1184/25-26</t>
  </si>
  <si>
    <t>J-1185/25-26</t>
  </si>
  <si>
    <t>ASHARAF THADAKKALA</t>
  </si>
  <si>
    <t>J-1186/25-26</t>
  </si>
  <si>
    <t>J-1187/25-26</t>
  </si>
  <si>
    <t>J-1188/25-26</t>
  </si>
  <si>
    <t>J-1189/25-26</t>
  </si>
  <si>
    <t>AVARACHAN NJATTUMKALA</t>
  </si>
  <si>
    <t>J-1190/25-26</t>
  </si>
  <si>
    <t>JOY VACHERY</t>
  </si>
  <si>
    <t>J-1191/25-26</t>
  </si>
  <si>
    <t>J-1192/25-26</t>
  </si>
  <si>
    <t>J-1193/25-26</t>
  </si>
  <si>
    <t>J-1194/25-26</t>
  </si>
  <si>
    <t>J-1195/25-26</t>
  </si>
  <si>
    <t>JU-206/25-26</t>
  </si>
  <si>
    <t>VYSALI JEWELLERY</t>
  </si>
  <si>
    <t>JU-207/25-26</t>
  </si>
  <si>
    <t>J-1196/25-26</t>
  </si>
  <si>
    <t>ALIYAR BISMI</t>
  </si>
  <si>
    <t>J-1197/25-26</t>
  </si>
  <si>
    <t>J-1198/25-26</t>
  </si>
  <si>
    <t>J-1199/25-26</t>
  </si>
  <si>
    <t>J-1200/25-26</t>
  </si>
  <si>
    <t>J-1201/25-26</t>
  </si>
  <si>
    <t>J-1202/25-26</t>
  </si>
  <si>
    <t>J-1203/25-26</t>
  </si>
  <si>
    <t>ST.THOMAS JACOBITE SYRIAN CHURCH</t>
  </si>
  <si>
    <t>J-1204/25-26</t>
  </si>
  <si>
    <t>J-1205/25-26</t>
  </si>
  <si>
    <t>AJIN VALAMBOOR</t>
  </si>
  <si>
    <t>J-1206/25-26</t>
  </si>
  <si>
    <t>J-1207/25-26</t>
  </si>
  <si>
    <t>DARUL HUSNA ARABIC COLLEGE</t>
  </si>
  <si>
    <t>J-1208/25-26</t>
  </si>
  <si>
    <t>J-1209/25-26</t>
  </si>
  <si>
    <t>J-1210/25-26</t>
  </si>
  <si>
    <t>J-1211/25-26</t>
  </si>
  <si>
    <t>J-1212/25-26</t>
  </si>
  <si>
    <t>JU-208/25-26</t>
  </si>
  <si>
    <t>ROYAL COLLECTIONS</t>
  </si>
  <si>
    <t>JU-209/25-26</t>
  </si>
  <si>
    <t>JU-210/25-26</t>
  </si>
  <si>
    <t>JU-211/25-26</t>
  </si>
  <si>
    <t>J-1213/25-26</t>
  </si>
  <si>
    <t>J-1214/25-26</t>
  </si>
  <si>
    <t>J-1215/25-26</t>
  </si>
  <si>
    <t>J-1216/25-26</t>
  </si>
  <si>
    <t>J-1217/25-26</t>
  </si>
  <si>
    <t>J-1218/25-26</t>
  </si>
  <si>
    <t>J-1219/25-26</t>
  </si>
  <si>
    <t>J-1220/25-26</t>
  </si>
  <si>
    <t>J-1221/25-26</t>
  </si>
  <si>
    <t>YACOB , PATTIMATTOM</t>
  </si>
  <si>
    <t>J-1222/25-26</t>
  </si>
  <si>
    <t>J-1223/25-26</t>
  </si>
  <si>
    <t>J-1224/25-26</t>
  </si>
  <si>
    <t>PAREETH TRUSS</t>
  </si>
  <si>
    <t>J-1225/25-26</t>
  </si>
  <si>
    <t>J-1226/25-26</t>
  </si>
  <si>
    <t>J-1227/25-26</t>
  </si>
  <si>
    <t>J-1228/25-26</t>
  </si>
  <si>
    <t>J-1229/25-26</t>
  </si>
  <si>
    <t>SANOJ VALAMBOOR</t>
  </si>
  <si>
    <t>J-1230/25-26</t>
  </si>
  <si>
    <t>J-1231/25-26</t>
  </si>
  <si>
    <t>J-1232/25-26</t>
  </si>
  <si>
    <t>J-1233/25-26</t>
  </si>
  <si>
    <t>SINESH.K</t>
  </si>
  <si>
    <t>J-1234/25-26</t>
  </si>
  <si>
    <t>JU-212/25-26</t>
  </si>
  <si>
    <t>JU-213/25-26</t>
  </si>
  <si>
    <t>J-1235/25-26</t>
  </si>
  <si>
    <t>LINTO , KUMMANODU</t>
  </si>
  <si>
    <t>J-1236/25-26</t>
  </si>
  <si>
    <t>J-1237/25-26</t>
  </si>
  <si>
    <t>J-1238/25-26</t>
  </si>
  <si>
    <t>JAYAKRISHNAN</t>
  </si>
  <si>
    <t>J-1239/25-26</t>
  </si>
  <si>
    <t>J-1240/25-26</t>
  </si>
  <si>
    <t>J-1241/25-26</t>
  </si>
  <si>
    <t>J-1242/25-26</t>
  </si>
  <si>
    <t>J-1243/25-26</t>
  </si>
  <si>
    <t>J-1244/25-26</t>
  </si>
  <si>
    <t>AJI MATHAI</t>
  </si>
  <si>
    <t>J-1245/25-26</t>
  </si>
  <si>
    <t>J-1246/25-26</t>
  </si>
  <si>
    <t>PAREETH K M P</t>
  </si>
  <si>
    <t>J-1247/25-26</t>
  </si>
  <si>
    <t>BIJU MATHEW - 9947439674</t>
  </si>
  <si>
    <t>J-1248/25-26</t>
  </si>
  <si>
    <t>BIJU TRUSS VALAMBOOR</t>
  </si>
  <si>
    <t>J-1249/25-26</t>
  </si>
  <si>
    <t>J-1250/25-26</t>
  </si>
  <si>
    <t>MASJID AMAN CHELAKULAM</t>
  </si>
  <si>
    <t>J-1251/25-26</t>
  </si>
  <si>
    <t>J-1252/25-26</t>
  </si>
  <si>
    <t>UNNIKRISHNAN VILANGU</t>
  </si>
  <si>
    <t>J-1253/25-26</t>
  </si>
  <si>
    <t>JU-214/25-26</t>
  </si>
  <si>
    <t>ELDO PAPPARIL VARKEY</t>
  </si>
  <si>
    <t>JU-215/25-26</t>
  </si>
  <si>
    <t>J-1254/25-26</t>
  </si>
  <si>
    <t>J-1255/25-26</t>
  </si>
  <si>
    <t>J-1256/25-26</t>
  </si>
  <si>
    <t>J-1257/25-26</t>
  </si>
  <si>
    <t>J-1258/25-26</t>
  </si>
  <si>
    <t>J-1259/25-26</t>
  </si>
  <si>
    <t>J-1260/25-26</t>
  </si>
  <si>
    <t>J-1261/25-26</t>
  </si>
  <si>
    <t>J-1262/25-26</t>
  </si>
  <si>
    <t>J-1263/25-26</t>
  </si>
  <si>
    <t>J-1264/25-26</t>
  </si>
  <si>
    <t>SIVAN MAZHUVANNOOR</t>
  </si>
  <si>
    <t>J-1265/25-26</t>
  </si>
  <si>
    <t>ARUN DAS</t>
  </si>
  <si>
    <t>J-1266/25-26</t>
  </si>
  <si>
    <t>Paul Peter</t>
  </si>
  <si>
    <t>J-1267/25-26</t>
  </si>
  <si>
    <t>J-1268/25-26</t>
  </si>
  <si>
    <t>J-1269/25-26</t>
  </si>
  <si>
    <t>J-1270/25-26</t>
  </si>
  <si>
    <t>RAHANA AYYAPPENKUTTY</t>
  </si>
  <si>
    <t>J-1271/25-26</t>
  </si>
  <si>
    <t>J-1272/25-26</t>
  </si>
  <si>
    <t>SIGIN</t>
  </si>
  <si>
    <t>J-1273/25-26</t>
  </si>
  <si>
    <t>J-1274/25-26</t>
  </si>
  <si>
    <t>J-1275/25-26</t>
  </si>
  <si>
    <t>J-1276/25-26</t>
  </si>
  <si>
    <t>J-1277/25-26</t>
  </si>
  <si>
    <t>J-1278/25-26</t>
  </si>
  <si>
    <t>J-1279/25-26</t>
  </si>
  <si>
    <t>REJI MATHEW</t>
  </si>
  <si>
    <t>J-1280/25-26</t>
  </si>
  <si>
    <t>J-1281/25-26</t>
  </si>
  <si>
    <t>J-1282/25-26</t>
  </si>
  <si>
    <t>J-1283/25-26</t>
  </si>
  <si>
    <t>J-1284/25-26</t>
  </si>
  <si>
    <t>J-1285/25-26</t>
  </si>
  <si>
    <t>ABIN ALINCHUVADU</t>
  </si>
  <si>
    <t>J-1286/25-26</t>
  </si>
  <si>
    <t>SYAM PATTIMATTOM</t>
  </si>
  <si>
    <t>J-1287/25-26</t>
  </si>
  <si>
    <t>JU-216/25-26</t>
  </si>
  <si>
    <t>JU-217/25-26</t>
  </si>
  <si>
    <t>PAZINO INFOTECH PVT.LTD</t>
  </si>
  <si>
    <t>JU-218/25-26</t>
  </si>
  <si>
    <t>JU-219/25-26</t>
  </si>
  <si>
    <t>J-1288/25-26</t>
  </si>
  <si>
    <t>N S S KARAYOGAM VALMBOOR</t>
  </si>
  <si>
    <t>J-1289/25-26</t>
  </si>
  <si>
    <t>PRADEEP PULICKAN</t>
  </si>
  <si>
    <t>J-1290/25-26</t>
  </si>
  <si>
    <t>J-1291/25-26</t>
  </si>
  <si>
    <t>J-1292/25-26</t>
  </si>
  <si>
    <t>J-1293/25-26</t>
  </si>
  <si>
    <t>SAJEEVAN</t>
  </si>
  <si>
    <t>J-1294/25-26</t>
  </si>
  <si>
    <t>J-1295/25-26</t>
  </si>
  <si>
    <t>JASSEL MANNAMKUZHY</t>
  </si>
  <si>
    <t>J-1296/25-26</t>
  </si>
  <si>
    <t>BABU MAZHUVANNOOR</t>
  </si>
  <si>
    <t>J-1297/25-26</t>
  </si>
  <si>
    <t>J-1298/25-26</t>
  </si>
  <si>
    <t>J-1299/25-26</t>
  </si>
  <si>
    <t>J-1300/25-26</t>
  </si>
  <si>
    <t>J-1301/25-26</t>
  </si>
  <si>
    <t>J-1302/25-26</t>
  </si>
  <si>
    <t>J-1303/25-26</t>
  </si>
  <si>
    <t>J-1304/25-26</t>
  </si>
  <si>
    <t>ARUN  MAZHUVANNOOR</t>
  </si>
  <si>
    <t>J-1305/25-26</t>
  </si>
  <si>
    <t>J-1306/25-26</t>
  </si>
  <si>
    <t>PAZINO INFOTECH</t>
  </si>
  <si>
    <t>J-1307/25-26</t>
  </si>
  <si>
    <t>MOHANAN KIZHAKKAMBALAM</t>
  </si>
  <si>
    <t>J-1308/25-26</t>
  </si>
  <si>
    <t>JABBAR PATTIMATTOM</t>
  </si>
  <si>
    <t>J-1309/25-26</t>
  </si>
  <si>
    <t>JU-220/25-26</t>
  </si>
  <si>
    <t>J-1310/25-26</t>
  </si>
  <si>
    <t>J-1311/25-26</t>
  </si>
  <si>
    <t>J-1312/25-26</t>
  </si>
  <si>
    <t>J-1313/25-26</t>
  </si>
  <si>
    <t>J-1314/25-26</t>
  </si>
  <si>
    <t>SHIJO ,AKKAMBARA</t>
  </si>
  <si>
    <t>J-1315/25-26</t>
  </si>
  <si>
    <t>J-1316/25-26</t>
  </si>
  <si>
    <t>J-1317/25-26</t>
  </si>
  <si>
    <t>J-1318/25-26</t>
  </si>
  <si>
    <t>J-1319/25-26</t>
  </si>
  <si>
    <t>LIJU TRUSS</t>
  </si>
  <si>
    <t>J-1320/25-26</t>
  </si>
  <si>
    <t>J-1321/25-26</t>
  </si>
  <si>
    <t>J-1322/25-26</t>
  </si>
  <si>
    <t>AJITH KAITHAKKADU</t>
  </si>
  <si>
    <t>J-1323/25-26</t>
  </si>
  <si>
    <t>J-1324/25-26</t>
  </si>
  <si>
    <t>J-1325/25-26</t>
  </si>
  <si>
    <t>J-1326/25-26</t>
  </si>
  <si>
    <t>JU-221/25-26</t>
  </si>
  <si>
    <t>J-1327/25-26</t>
  </si>
  <si>
    <t>J-1328/25-26</t>
  </si>
  <si>
    <t>J-1329/25-26</t>
  </si>
  <si>
    <t>ABHILASH MAZHUVANNOOR</t>
  </si>
  <si>
    <t>J-1330/25-26</t>
  </si>
  <si>
    <t>ANI CHOONDY</t>
  </si>
  <si>
    <t>J-1331/25-26</t>
  </si>
  <si>
    <t>J-1332/25-26</t>
  </si>
  <si>
    <t>J-1333/25-26</t>
  </si>
  <si>
    <t>J-1334/25-26</t>
  </si>
  <si>
    <t>SANDEEP KUMMANODE</t>
  </si>
  <si>
    <t>J-1335/25-26</t>
  </si>
  <si>
    <t>J-1336/25-26</t>
  </si>
  <si>
    <t>SATHEESH VENGACHUVATTIL</t>
  </si>
  <si>
    <t>J-1337/25-26</t>
  </si>
  <si>
    <t>J-1338/25-26</t>
  </si>
  <si>
    <t>J-1339/25-26</t>
  </si>
  <si>
    <t>J-1340/25-26</t>
  </si>
  <si>
    <t>J-1341/25-26</t>
  </si>
  <si>
    <t>JAWAD</t>
  </si>
  <si>
    <t>J-1342/25-26</t>
  </si>
  <si>
    <t>JU-222/25-26</t>
  </si>
  <si>
    <t>JU-223/25-26</t>
  </si>
  <si>
    <t>J-1343/25-26</t>
  </si>
  <si>
    <t>J-1344/25-26</t>
  </si>
  <si>
    <t>J-1345/25-26</t>
  </si>
  <si>
    <t>J-1346/25-26</t>
  </si>
  <si>
    <t>J-1347/25-26</t>
  </si>
  <si>
    <t>J-1348/25-26</t>
  </si>
  <si>
    <t>J-1349/25-26</t>
  </si>
  <si>
    <t>J-1350/25-26</t>
  </si>
  <si>
    <t>SUDHEESH KOLENCHERY</t>
  </si>
  <si>
    <t>J-1351/25-26</t>
  </si>
  <si>
    <t>J-1352/25-26</t>
  </si>
  <si>
    <t>SABU S I</t>
  </si>
  <si>
    <t>J-1353/25-26</t>
  </si>
  <si>
    <t>J-1354/25-26</t>
  </si>
  <si>
    <t>JU-224/25-26</t>
  </si>
  <si>
    <t>JU-225/25-26</t>
  </si>
  <si>
    <t>JU-226/25-26</t>
  </si>
  <si>
    <t>ESSA INNOVATIONS</t>
  </si>
  <si>
    <t>JU-227/25-26</t>
  </si>
  <si>
    <t>JU-228/25-26</t>
  </si>
  <si>
    <t>JU-229/25-26</t>
  </si>
  <si>
    <t>J-1355/25-26</t>
  </si>
  <si>
    <t>ALTHAF THATTAMUGAL</t>
  </si>
  <si>
    <t>J-1356/25-26</t>
  </si>
  <si>
    <t>J-1357/25-26</t>
  </si>
  <si>
    <t>J-1358/25-26</t>
  </si>
  <si>
    <t>J-1359/25-26</t>
  </si>
  <si>
    <t>J-1360/25-26</t>
  </si>
  <si>
    <t>J-1361/25-26</t>
  </si>
  <si>
    <t>J-1362/25-26</t>
  </si>
  <si>
    <t>J-1363/25-26</t>
  </si>
  <si>
    <t>J-1364/25-26</t>
  </si>
  <si>
    <t>NAVAS CHENGARA</t>
  </si>
  <si>
    <t>J-1365/25-26</t>
  </si>
  <si>
    <t>J-1366/25-26</t>
  </si>
  <si>
    <t>J-1367/25-26</t>
  </si>
  <si>
    <t>J-1368/25-26</t>
  </si>
  <si>
    <t>J-1369/25-26</t>
  </si>
  <si>
    <t>J-1370/25-26</t>
  </si>
  <si>
    <t>J-1371/25-26</t>
  </si>
  <si>
    <t>RAMAKRISNAN VALAMBOOR</t>
  </si>
  <si>
    <t>J-1372/25-26</t>
  </si>
  <si>
    <t>JU-230/25-26</t>
  </si>
  <si>
    <t>JU-231/25-26</t>
  </si>
  <si>
    <t>J-1373/25-26</t>
  </si>
  <si>
    <t>J-1374/25-26</t>
  </si>
  <si>
    <t>J-1375/25-26</t>
  </si>
  <si>
    <t>J-1376/25-26</t>
  </si>
  <si>
    <t>J-1377/25-26</t>
  </si>
  <si>
    <t>J-1378/25-26</t>
  </si>
  <si>
    <t>J-1379/25-26</t>
  </si>
  <si>
    <t>J-1380/25-26</t>
  </si>
  <si>
    <t>GOPALAKRISHNAN KADAYIRUPPU</t>
  </si>
  <si>
    <t>J-1381/25-26</t>
  </si>
  <si>
    <t>J-1382/25-26</t>
  </si>
  <si>
    <t>NIBU RAMAKRISHNAN</t>
  </si>
  <si>
    <t>J-1383/25-26</t>
  </si>
  <si>
    <t>J-1384/25-26</t>
  </si>
  <si>
    <t>J-1385/25-26</t>
  </si>
  <si>
    <t>J-1386/25-26</t>
  </si>
  <si>
    <t>J-1387/25-26</t>
  </si>
  <si>
    <t>J-1388/25-26</t>
  </si>
  <si>
    <t>JU-232/25-26</t>
  </si>
  <si>
    <t>JU-233/25-26</t>
  </si>
  <si>
    <t>J-1389/25-26</t>
  </si>
  <si>
    <t>J-1390/25-26</t>
  </si>
  <si>
    <t>J-1391/25-26</t>
  </si>
  <si>
    <t>J-1392/25-26</t>
  </si>
  <si>
    <t>J-1393/25-26</t>
  </si>
  <si>
    <t>J-1394/25-26</t>
  </si>
  <si>
    <t>SAJAD, KAMMATTOM</t>
  </si>
  <si>
    <t>J-1395/25-26</t>
  </si>
  <si>
    <t>MURALI KADAYATHU</t>
  </si>
  <si>
    <t>J-1396/25-26</t>
  </si>
  <si>
    <t>SIRAJ TRUSS ,  DOUBLEPALM</t>
  </si>
  <si>
    <t>J-1397/25-26</t>
  </si>
  <si>
    <t>J-1398/25-26</t>
  </si>
  <si>
    <t>J-1399/25-26</t>
  </si>
  <si>
    <t>J-1400/25-26</t>
  </si>
  <si>
    <t>J-1401/25-26</t>
  </si>
  <si>
    <t>ANIL KILIKULAM</t>
  </si>
  <si>
    <t>J-1402/25-26</t>
  </si>
  <si>
    <t>JITHU PATTIMATTOM</t>
  </si>
  <si>
    <t>J-1403/25-26</t>
  </si>
  <si>
    <t>J-1404/25-26</t>
  </si>
  <si>
    <t>J-1405/25-26</t>
  </si>
  <si>
    <t>J-1406/25-26</t>
  </si>
  <si>
    <t>J-1407/25-26</t>
  </si>
  <si>
    <t>J-1408/25-26</t>
  </si>
  <si>
    <t>J-1409/25-26</t>
  </si>
  <si>
    <t>J-1410/25-26</t>
  </si>
  <si>
    <t>SELBIN AKKAMPARA</t>
  </si>
  <si>
    <t>J-1411/25-26</t>
  </si>
  <si>
    <t>J-1412/25-26</t>
  </si>
  <si>
    <t>J-1413/25-26</t>
  </si>
  <si>
    <t>SURESH MEMBER</t>
  </si>
  <si>
    <t>J-1414/25-26</t>
  </si>
  <si>
    <t>GEORGE PATTIMATTOM</t>
  </si>
  <si>
    <t>J-1415/25-26</t>
  </si>
  <si>
    <t>J-1416/25-26</t>
  </si>
  <si>
    <t>J-1417/25-26</t>
  </si>
  <si>
    <t>SURESH KANINAD</t>
  </si>
  <si>
    <t>J-1418/25-26</t>
  </si>
  <si>
    <t>ARUN , VALAMBOOR</t>
  </si>
  <si>
    <t>J-1419/25-26</t>
  </si>
  <si>
    <t>J-1420/25-26</t>
  </si>
  <si>
    <t>J-1421/25-26</t>
  </si>
  <si>
    <t>JU-234/25-26</t>
  </si>
  <si>
    <t>JU-235/25-26</t>
  </si>
  <si>
    <t>J-1422/25-26</t>
  </si>
  <si>
    <t>J-1423/25-26</t>
  </si>
  <si>
    <t>J-1424/25-26</t>
  </si>
  <si>
    <t>J-1425/25-26</t>
  </si>
  <si>
    <t>J-1426/25-26</t>
  </si>
  <si>
    <t>J-1427/25-26</t>
  </si>
  <si>
    <t>J-1428/25-26</t>
  </si>
  <si>
    <t>J-1429/25-26</t>
  </si>
  <si>
    <t>J-1430/25-26</t>
  </si>
  <si>
    <t>ANTONY JOSEPH</t>
  </si>
  <si>
    <t>J-1431/25-26</t>
  </si>
  <si>
    <t>J-1432/25-26</t>
  </si>
  <si>
    <t>J-1433/25-26</t>
  </si>
  <si>
    <t>J-1434/25-26</t>
  </si>
  <si>
    <t>J-1435/25-26</t>
  </si>
  <si>
    <t>CHANDRA CHOODAN</t>
  </si>
  <si>
    <t>J-1436/25-26</t>
  </si>
  <si>
    <t>J-1437/25-26</t>
  </si>
  <si>
    <t>J-1438/25-26</t>
  </si>
  <si>
    <t>VARKEY , PAZHAMPILLY</t>
  </si>
  <si>
    <t>J-1439/25-26</t>
  </si>
  <si>
    <t>J-1440/25-26</t>
  </si>
  <si>
    <t>J-1441/25-26</t>
  </si>
  <si>
    <t>J-1442/25-26</t>
  </si>
  <si>
    <t>J-1443/25-26</t>
  </si>
  <si>
    <t>BUILDWARE ZONE</t>
  </si>
  <si>
    <t>JU-236/25-26</t>
  </si>
  <si>
    <t>JU-237/25-26</t>
  </si>
  <si>
    <t>JU-238/25-26</t>
  </si>
  <si>
    <t>J-1444/25-26</t>
  </si>
  <si>
    <t>J-1445/25-26</t>
  </si>
  <si>
    <t>J-1446/25-26</t>
  </si>
  <si>
    <t>J-1447/25-26</t>
  </si>
  <si>
    <t>KUNJUMON THEYYAMPURATH</t>
  </si>
  <si>
    <t>J-1448/25-26</t>
  </si>
  <si>
    <t>J-1449/25-26</t>
  </si>
  <si>
    <t>J-1450/25-26</t>
  </si>
  <si>
    <t>J-1451/25-26</t>
  </si>
  <si>
    <t>JAMES GEORGE</t>
  </si>
  <si>
    <t>J-1452/25-26</t>
  </si>
  <si>
    <t>J-1453/25-26</t>
  </si>
  <si>
    <t>J-1454/25-26</t>
  </si>
  <si>
    <t>J-1455/25-26</t>
  </si>
  <si>
    <t>J-1456/25-26</t>
  </si>
  <si>
    <t>J-1457/25-26</t>
  </si>
  <si>
    <t>J-1458/25-26</t>
  </si>
  <si>
    <t>J-1459/25-26</t>
  </si>
  <si>
    <t>KURIAKOSE SILVERSTEP</t>
  </si>
  <si>
    <t>J-1460/25-26</t>
  </si>
  <si>
    <t>J-1461/25-26</t>
  </si>
  <si>
    <t>J-1462/25-26</t>
  </si>
  <si>
    <t>J-1463/25-26</t>
  </si>
  <si>
    <t>J-1464/25-26</t>
  </si>
  <si>
    <t>J-1465/25-26</t>
  </si>
  <si>
    <t>J-1466/25-26</t>
  </si>
  <si>
    <t>J-1467/25-26</t>
  </si>
  <si>
    <t>J-1468/25-26</t>
  </si>
  <si>
    <t>J-1469/25-26</t>
  </si>
  <si>
    <t>J-1470/25-26</t>
  </si>
  <si>
    <t>J-1471/25-26</t>
  </si>
  <si>
    <t>JU-239/25-26</t>
  </si>
  <si>
    <t>J-1472/25-26</t>
  </si>
  <si>
    <t>RANJU THOMAS</t>
  </si>
  <si>
    <t>J-1473/25-26</t>
  </si>
  <si>
    <t>J-1474/25-26</t>
  </si>
  <si>
    <t>J-1475/25-26</t>
  </si>
  <si>
    <t>J-1476/25-26</t>
  </si>
  <si>
    <t>ANIL KOLENCHERY</t>
  </si>
  <si>
    <t>J-1477/25-26</t>
  </si>
  <si>
    <t>J-1478/25-26</t>
  </si>
  <si>
    <t>J-1479/25-26</t>
  </si>
  <si>
    <t>J-1480/25-26</t>
  </si>
  <si>
    <t>J-1481/25-26</t>
  </si>
  <si>
    <t>ADARSH HOTEL THATTAMUGAL</t>
  </si>
  <si>
    <t>J-1482/25-26</t>
  </si>
  <si>
    <t>SUDHEER TRUSS</t>
  </si>
  <si>
    <t>J-1483/25-26</t>
  </si>
  <si>
    <t>J-1484/25-26</t>
  </si>
  <si>
    <t>GEETHA PATTIMATTOM</t>
  </si>
  <si>
    <t>J-1485/25-26</t>
  </si>
  <si>
    <t>J-1486/25-26</t>
  </si>
  <si>
    <t>J-1487/25-26</t>
  </si>
  <si>
    <t>ASWIN THATTAMUGAL</t>
  </si>
  <si>
    <t>J-1488/25-26</t>
  </si>
  <si>
    <t>JU-240/25-26</t>
  </si>
  <si>
    <t>JU-241/25-26</t>
  </si>
  <si>
    <t>JU-242/25-26</t>
  </si>
  <si>
    <t>JU-243/25-26</t>
  </si>
  <si>
    <t>MATHEW KURUMOLATH VARKEY</t>
  </si>
  <si>
    <t>JU-244/25-26</t>
  </si>
  <si>
    <t>AJAMAL , CHOORAKKODU</t>
  </si>
  <si>
    <t>J-1489/25-26</t>
  </si>
  <si>
    <t>J-1490/25-26</t>
  </si>
  <si>
    <t>J-1491/25-26</t>
  </si>
  <si>
    <t>J-1492/25-26</t>
  </si>
  <si>
    <t>J-1493/25-26</t>
  </si>
  <si>
    <t>J-1494/25-26</t>
  </si>
  <si>
    <t>J-1495/25-26</t>
  </si>
  <si>
    <t>J-1496/25-26</t>
  </si>
  <si>
    <t>J-1497/25-26</t>
  </si>
  <si>
    <t>J-1498/25-26</t>
  </si>
  <si>
    <t>J-1499/25-26</t>
  </si>
  <si>
    <t>J-1500/25-26</t>
  </si>
  <si>
    <t>J-1501/25-26</t>
  </si>
  <si>
    <t>J-1502/25-26</t>
  </si>
  <si>
    <t>J-1503/25-26</t>
  </si>
  <si>
    <t>J-1504/25-26</t>
  </si>
  <si>
    <t>J-1505/25-26</t>
  </si>
  <si>
    <t>J-1506/25-26</t>
  </si>
  <si>
    <t>NIRMAL PATTIMATTOM</t>
  </si>
  <si>
    <t>J-1507/25-26</t>
  </si>
  <si>
    <t>J-1508/25-26</t>
  </si>
  <si>
    <t>J-1509/25-26</t>
  </si>
  <si>
    <t>J-1510/25-26</t>
  </si>
  <si>
    <t>UMMER COCHIN SALOON</t>
  </si>
  <si>
    <t>J-1511/25-26</t>
  </si>
  <si>
    <t>J-1512/25-26</t>
  </si>
  <si>
    <t>J-1513/25-26</t>
  </si>
  <si>
    <t>J-1514/25-26</t>
  </si>
  <si>
    <t>J-1515/25-26</t>
  </si>
  <si>
    <t>ALAVU</t>
  </si>
  <si>
    <t>J-1516/25-26</t>
  </si>
  <si>
    <t>JU-245/25-26</t>
  </si>
  <si>
    <t>UNIQUE ENTERPRISES</t>
  </si>
  <si>
    <t>JU-246/25-26</t>
  </si>
  <si>
    <t>J-1517/25-26</t>
  </si>
  <si>
    <t>J-1518/25-26</t>
  </si>
  <si>
    <t>J-1519/25-26</t>
  </si>
  <si>
    <t>ABDUL LAIZ (BREEZ)</t>
  </si>
  <si>
    <t>J-1520/25-26</t>
  </si>
  <si>
    <t>J-1521/25-26</t>
  </si>
  <si>
    <t>J-1522/25-26</t>
  </si>
  <si>
    <t>J-1523/25-26</t>
  </si>
  <si>
    <t>J-1524/25-26</t>
  </si>
  <si>
    <t>J-1525/25-26</t>
  </si>
  <si>
    <t>J-1526/25-26</t>
  </si>
  <si>
    <t>J-1527/25-26</t>
  </si>
  <si>
    <t>J-1528/25-26</t>
  </si>
  <si>
    <t>J-1529/25-26</t>
  </si>
  <si>
    <t>MOHANAN NJARALLOOR</t>
  </si>
  <si>
    <t>J-1530/25-26</t>
  </si>
  <si>
    <t>J-1531/25-26</t>
  </si>
  <si>
    <t>J-1532/25-26</t>
  </si>
  <si>
    <t>J-1533/25-26</t>
  </si>
  <si>
    <t>J-1534/25-26</t>
  </si>
  <si>
    <t>RAMAKRISHNAN</t>
  </si>
  <si>
    <t>J-1535/25-26</t>
  </si>
  <si>
    <t>J-1536/25-26</t>
  </si>
  <si>
    <t>J-1537/25-26</t>
  </si>
  <si>
    <t>J-1538/25-26</t>
  </si>
  <si>
    <t>RATHEESH MANGALATHUNADA</t>
  </si>
  <si>
    <t>J-1539/25-26</t>
  </si>
  <si>
    <t>J-1540/25-26</t>
  </si>
  <si>
    <t>J-1541/25-26</t>
  </si>
  <si>
    <t>J-1542/25-26</t>
  </si>
  <si>
    <t>J-1543/25-26</t>
  </si>
  <si>
    <t>SM TECH ENGINEERING COMPANY</t>
  </si>
  <si>
    <t>JU-247/25-26</t>
  </si>
  <si>
    <t>NIYAS APE</t>
  </si>
  <si>
    <t>J-1544/25-26</t>
  </si>
  <si>
    <t>SHAMEER , KERALA BAKERY</t>
  </si>
  <si>
    <t>J-1545/25-26</t>
  </si>
  <si>
    <t>J-1546/25-26</t>
  </si>
  <si>
    <t>THOMAS , ASPIRE VILLA</t>
  </si>
  <si>
    <t>J-1547/25-26</t>
  </si>
  <si>
    <t>EBY PUNNACHALIL</t>
  </si>
  <si>
    <t>J-1548/25-26</t>
  </si>
  <si>
    <t>J-1549/25-26</t>
  </si>
  <si>
    <t>J-1550/25-26</t>
  </si>
  <si>
    <t>Sunil Kumar</t>
  </si>
  <si>
    <t>J-1551/25-26</t>
  </si>
  <si>
    <t>SIBU</t>
  </si>
  <si>
    <t>J-1552/25-26</t>
  </si>
  <si>
    <t>J-1553/25-26</t>
  </si>
  <si>
    <t>J-1554/25-26</t>
  </si>
  <si>
    <t>JU-248/25-26</t>
  </si>
  <si>
    <t>J K ENGINEERING WORKS</t>
  </si>
  <si>
    <t>JU-249/25-26</t>
  </si>
  <si>
    <t>JU-250/25-26</t>
  </si>
  <si>
    <t>JU-251/25-26</t>
  </si>
  <si>
    <t>J-1555/25-26</t>
  </si>
  <si>
    <t>J-1556/25-26</t>
  </si>
  <si>
    <t>J-1557/25-26</t>
  </si>
  <si>
    <t>J-1558/25-26</t>
  </si>
  <si>
    <t>J-1559/25-26</t>
  </si>
  <si>
    <t>J-1560/25-26</t>
  </si>
  <si>
    <t>SHINU</t>
  </si>
  <si>
    <t>J-1561/25-26</t>
  </si>
  <si>
    <t>SUKUMARAN CHAYKOTH</t>
  </si>
  <si>
    <t>J-1562/25-26</t>
  </si>
  <si>
    <t>J-1563/25-26</t>
  </si>
  <si>
    <t>J-1564/25-26</t>
  </si>
  <si>
    <t>J-1565/25-26</t>
  </si>
  <si>
    <t>JOSEPH CHACKO</t>
  </si>
  <si>
    <t>J-1566/25-26</t>
  </si>
  <si>
    <t>J-1567/25-26</t>
  </si>
  <si>
    <t>J-1568/25-26</t>
  </si>
  <si>
    <t>J-1569/25-26</t>
  </si>
  <si>
    <t>J-1570/25-26</t>
  </si>
  <si>
    <t>J-1571/25-26</t>
  </si>
  <si>
    <t>J-1572/25-26</t>
  </si>
  <si>
    <t>J-1573/25-26</t>
  </si>
  <si>
    <t>J-1574/25-26</t>
  </si>
  <si>
    <t>ELDHO PAUL, AKKAMBARA</t>
  </si>
  <si>
    <t>J-1575/25-26</t>
  </si>
  <si>
    <t>PAULOSE PARAYANCHERY</t>
  </si>
  <si>
    <t>J-1576/25-26</t>
  </si>
  <si>
    <t>SUDHEER THANDAKALA</t>
  </si>
  <si>
    <t>J-1577/25-26</t>
  </si>
  <si>
    <t>JU-252/25-26</t>
  </si>
  <si>
    <t>J-1578/25-26</t>
  </si>
  <si>
    <t>ANSAR , THANDAKKALA</t>
  </si>
  <si>
    <t>J-1579/25-26</t>
  </si>
  <si>
    <t>J-1580/25-26</t>
  </si>
  <si>
    <t>ST.MARY'S CHURCH VALAMBOOR</t>
  </si>
  <si>
    <t>J-1581/25-26</t>
  </si>
  <si>
    <t>J-1582/25-26</t>
  </si>
  <si>
    <t>J-1583/25-26</t>
  </si>
  <si>
    <t>LINO AKKAMBARA</t>
  </si>
  <si>
    <t>J-1584/25-26</t>
  </si>
  <si>
    <t>J-1585/25-26</t>
  </si>
  <si>
    <t>J-1586/25-26</t>
  </si>
  <si>
    <t>J-1587/25-26</t>
  </si>
  <si>
    <t>J-1588/25-26</t>
  </si>
  <si>
    <t>J-1589/25-26</t>
  </si>
  <si>
    <t>J-1590/25-26</t>
  </si>
  <si>
    <t>J-1591/25-26</t>
  </si>
  <si>
    <t>J-1592/25-26</t>
  </si>
  <si>
    <t>J-1593/25-26</t>
  </si>
  <si>
    <t>BENZ KADAYIRUPPU</t>
  </si>
  <si>
    <t>J-1594/25-26</t>
  </si>
  <si>
    <t>J-1595/25-26</t>
  </si>
  <si>
    <t>J-1596/25-26</t>
  </si>
  <si>
    <t>MOHANAKRISHNAN</t>
  </si>
  <si>
    <t>J-1597/25-26</t>
  </si>
  <si>
    <t>JU-253/25-26</t>
  </si>
  <si>
    <t>JU-254/25-26</t>
  </si>
  <si>
    <t>UNNI MOONELIL CNTR</t>
  </si>
  <si>
    <t>J-1598/25-26</t>
  </si>
  <si>
    <t>J-1599/25-26</t>
  </si>
  <si>
    <t>J-1600/25-26</t>
  </si>
  <si>
    <t>HARI PRASAD</t>
  </si>
  <si>
    <t>J-1601/25-26</t>
  </si>
  <si>
    <t>COSE VARGHESE</t>
  </si>
  <si>
    <t>J-1602/25-26</t>
  </si>
  <si>
    <t>MANI RUBBER PARK, IRAPURAM</t>
  </si>
  <si>
    <t>J-1603/25-26</t>
  </si>
  <si>
    <t>J-1604/25-26</t>
  </si>
  <si>
    <t>J-1605/25-26</t>
  </si>
  <si>
    <t>J-1606/25-26</t>
  </si>
  <si>
    <t>J-1607/25-26</t>
  </si>
  <si>
    <t>J-1608/25-26</t>
  </si>
  <si>
    <t>J-1609/25-26</t>
  </si>
  <si>
    <t>J-1610/25-26</t>
  </si>
  <si>
    <t>J-1611/25-26</t>
  </si>
  <si>
    <t>J-1612/25-26</t>
  </si>
  <si>
    <t>JU-255/25-26</t>
  </si>
  <si>
    <t>MUHAMMED AJFER</t>
  </si>
  <si>
    <t>JU-256/25-26</t>
  </si>
  <si>
    <t>JU-257/25-26</t>
  </si>
  <si>
    <t>SHIBU , MOONELIMUGAL</t>
  </si>
  <si>
    <t>J-1613/25-26</t>
  </si>
  <si>
    <t>J-1614/25-26</t>
  </si>
  <si>
    <t>J-1615/25-26</t>
  </si>
  <si>
    <t>MADHU CNTR, PALLIKKARA</t>
  </si>
  <si>
    <t>J-1616/25-26</t>
  </si>
  <si>
    <t>J-1617/25-26</t>
  </si>
  <si>
    <t>J-1618/25-26</t>
  </si>
  <si>
    <t>J-1619/25-26</t>
  </si>
  <si>
    <t>AYYANKAVU TEMPLE</t>
  </si>
  <si>
    <t>J-1620/25-26</t>
  </si>
  <si>
    <t>J-1621/25-26</t>
  </si>
  <si>
    <t>J-1622/25-26</t>
  </si>
  <si>
    <t>J-1623/25-26</t>
  </si>
  <si>
    <t>LAL KADAYIRUPPU</t>
  </si>
  <si>
    <t>J-1624/25-26</t>
  </si>
  <si>
    <t>J-1625/25-26</t>
  </si>
  <si>
    <t>J-1626/25-26</t>
  </si>
  <si>
    <t>J-1627/25-26</t>
  </si>
  <si>
    <t>JU-258/25-26</t>
  </si>
  <si>
    <t>VALLUVASSERY BUILDERS PVT. LTD</t>
  </si>
  <si>
    <t>JU-259/25-26</t>
  </si>
  <si>
    <t>JU-260/25-26</t>
  </si>
  <si>
    <t>JU-261/25-26</t>
  </si>
  <si>
    <t>JU-262/25-26</t>
  </si>
  <si>
    <t>J-1628/25-26</t>
  </si>
  <si>
    <t>J-1629/25-26</t>
  </si>
  <si>
    <t>J-1630/25-26</t>
  </si>
  <si>
    <t>J-1631/25-26</t>
  </si>
  <si>
    <t>J-1632/25-26</t>
  </si>
  <si>
    <t>J-1633/25-26</t>
  </si>
  <si>
    <t>J-1634/25-26</t>
  </si>
  <si>
    <t>J-1635/25-26</t>
  </si>
  <si>
    <t>ANOOP</t>
  </si>
  <si>
    <t>J-1636/25-26</t>
  </si>
  <si>
    <t>SOMAN PILLA</t>
  </si>
  <si>
    <t>J-1637/25-26</t>
  </si>
  <si>
    <t>J-1638/25-26</t>
  </si>
  <si>
    <t>J-1639/25-26</t>
  </si>
  <si>
    <t>J-1640/25-26</t>
  </si>
  <si>
    <t>J-1641/25-26</t>
  </si>
  <si>
    <t>J-1642/25-26</t>
  </si>
  <si>
    <t>J-1643/25-26</t>
  </si>
  <si>
    <t>J-1644/25-26</t>
  </si>
  <si>
    <t>J-1645/25-26</t>
  </si>
  <si>
    <t>Siju</t>
  </si>
  <si>
    <t>J-1646/25-26</t>
  </si>
  <si>
    <t>J-1647/25-26</t>
  </si>
  <si>
    <t>J-1648/25-26</t>
  </si>
  <si>
    <t>J-1649/25-26</t>
  </si>
  <si>
    <t>J-1650/25-26</t>
  </si>
  <si>
    <t>NANDHU</t>
  </si>
  <si>
    <t>J-1651/25-26</t>
  </si>
  <si>
    <t>BINU KIZHAKKAMBALAM</t>
  </si>
  <si>
    <t>J-1652/25-26</t>
  </si>
  <si>
    <t>JU-263/25-26</t>
  </si>
  <si>
    <t>JU-264/25-26</t>
  </si>
  <si>
    <t>KINGSEYE TECHNOLOGIES</t>
  </si>
  <si>
    <t>JU-265/25-26</t>
  </si>
  <si>
    <t>V.K.ENGINEERING , PAZHAMTHOTTAM</t>
  </si>
  <si>
    <t>JU-266/25-26</t>
  </si>
  <si>
    <t>JU-267/25-26</t>
  </si>
  <si>
    <t>CLASSIC INDUSTRIES</t>
  </si>
  <si>
    <t>JU-268/25-26</t>
  </si>
  <si>
    <t>JU-269/25-26</t>
  </si>
  <si>
    <t>J-1653/25-26</t>
  </si>
  <si>
    <t>NAUSHAD PATTIMATTOM</t>
  </si>
  <si>
    <t>J-1654/25-26</t>
  </si>
  <si>
    <t>J-1655/25-26</t>
  </si>
  <si>
    <t>J-1656/25-26</t>
  </si>
  <si>
    <t>J-1657/25-26</t>
  </si>
  <si>
    <t>J-1658/25-26</t>
  </si>
  <si>
    <t>NAZER CHELAKULAM</t>
  </si>
  <si>
    <t>J-1659/25-26</t>
  </si>
  <si>
    <t>J-1660/25-26</t>
  </si>
  <si>
    <t>J-1661/25-26</t>
  </si>
  <si>
    <t>J-1662/25-26</t>
  </si>
  <si>
    <t>J-1663/25-26</t>
  </si>
  <si>
    <t>J-1664/25-26</t>
  </si>
  <si>
    <t>BASHEER (ROYAL BAKERY)</t>
  </si>
  <si>
    <t>J-1665/25-26</t>
  </si>
  <si>
    <t>J-1666/25-26</t>
  </si>
  <si>
    <t>JU-270/25-26</t>
  </si>
  <si>
    <t>JU-271/25-26</t>
  </si>
  <si>
    <t>J-1667/25-26</t>
  </si>
  <si>
    <t>VIJEESH (RASHEED TRUSS)</t>
  </si>
  <si>
    <t>J-1668/25-26</t>
  </si>
  <si>
    <t>J-1669/25-26</t>
  </si>
  <si>
    <t>J-1670/25-26</t>
  </si>
  <si>
    <t>PAULOSE MEPPURATH</t>
  </si>
  <si>
    <t>J-1671/25-26</t>
  </si>
  <si>
    <t>SIDHIQUE , HITECH</t>
  </si>
  <si>
    <t>J-1672/25-26</t>
  </si>
  <si>
    <t>J-1673/25-26</t>
  </si>
  <si>
    <t>J-1674/25-26</t>
  </si>
  <si>
    <t>J-1675/25-26</t>
  </si>
  <si>
    <t>J-1676/25-26</t>
  </si>
  <si>
    <t>J-1677/25-26</t>
  </si>
  <si>
    <t>J-1678/25-26</t>
  </si>
  <si>
    <t>BIJU.M.GEORGE</t>
  </si>
  <si>
    <t>J-1679/25-26</t>
  </si>
  <si>
    <t>J-1680/25-26</t>
  </si>
  <si>
    <t>RAVI KEDHARAM</t>
  </si>
  <si>
    <t>J-1681/25-26</t>
  </si>
  <si>
    <t>J-1682/25-26</t>
  </si>
  <si>
    <t>JU-272/25-26</t>
  </si>
  <si>
    <t>JU-273/25-26</t>
  </si>
  <si>
    <t>JU-274/25-26</t>
  </si>
  <si>
    <t>SREEKUMAR KILIKULAM</t>
  </si>
  <si>
    <t>J-1683/25-26</t>
  </si>
  <si>
    <t>J-1684/25-26</t>
  </si>
  <si>
    <t>J-1685/25-26</t>
  </si>
  <si>
    <t>J-1686/25-26</t>
  </si>
  <si>
    <t>J-1687/25-26</t>
  </si>
  <si>
    <t>J-1688/25-26</t>
  </si>
  <si>
    <t>ANOOP CHENGRA</t>
  </si>
  <si>
    <t>J-1689/25-26</t>
  </si>
  <si>
    <t>J-1690/25-26</t>
  </si>
  <si>
    <t>J-1691/25-26</t>
  </si>
  <si>
    <t>J-1692/25-26</t>
  </si>
  <si>
    <t>J-1693/25-26</t>
  </si>
  <si>
    <t>J-1694/25-26</t>
  </si>
  <si>
    <t>JU-275/25-26</t>
  </si>
  <si>
    <t>JU-276/25-26</t>
  </si>
  <si>
    <t>JU-277/25-26</t>
  </si>
  <si>
    <t>J-1695/25-26</t>
  </si>
  <si>
    <t>J-1696/25-26</t>
  </si>
  <si>
    <t>J-1697/25-26</t>
  </si>
  <si>
    <t>J-1698/25-26</t>
  </si>
  <si>
    <t>JACOB MAZHUVANNOOR</t>
  </si>
  <si>
    <t>J-1699/25-26</t>
  </si>
  <si>
    <t>PRATHEESH</t>
  </si>
  <si>
    <t>J-1700/25-26</t>
  </si>
  <si>
    <t>RAHUL JOSEPH</t>
  </si>
  <si>
    <t>J-1701/25-26</t>
  </si>
  <si>
    <t>RASAK PATTIMATTOM</t>
  </si>
  <si>
    <t>J-1702/25-26</t>
  </si>
  <si>
    <t>J-1703/25-26</t>
  </si>
  <si>
    <t>J-1704/25-26</t>
  </si>
  <si>
    <t>J-1705/25-26</t>
  </si>
  <si>
    <t>J-1706/25-26</t>
  </si>
  <si>
    <t>J-1707/25-26</t>
  </si>
  <si>
    <t>J-1708/25-26</t>
  </si>
  <si>
    <t>J-1709/25-26</t>
  </si>
  <si>
    <t>SIYAD PASSENGER</t>
  </si>
  <si>
    <t>J-1710/25-26</t>
  </si>
  <si>
    <t>J-1711/25-26</t>
  </si>
  <si>
    <t>JU-278/25-26</t>
  </si>
  <si>
    <t>AJITH VIJAYAN</t>
  </si>
  <si>
    <t>J-1712/25-26</t>
  </si>
  <si>
    <t>JOSE , KOTTAYIL</t>
  </si>
  <si>
    <t>J-1713/25-26</t>
  </si>
  <si>
    <t>J-1714/25-26</t>
  </si>
  <si>
    <t>J-1715/25-26</t>
  </si>
  <si>
    <t>J-1716/25-26</t>
  </si>
  <si>
    <t>J-1717/25-26</t>
  </si>
  <si>
    <t>J-1718/25-26</t>
  </si>
  <si>
    <t>J-1719/25-26</t>
  </si>
  <si>
    <t>J-1720/25-26</t>
  </si>
  <si>
    <t>J-1721/25-26</t>
  </si>
  <si>
    <t>J-1722/25-26</t>
  </si>
  <si>
    <t>J-1723/25-26</t>
  </si>
  <si>
    <t>ELIYAS MANNOOR</t>
  </si>
  <si>
    <t>J-1724/25-26</t>
  </si>
  <si>
    <t>J-1725/25-26</t>
  </si>
  <si>
    <t>J-1726/25-26</t>
  </si>
  <si>
    <t>JALAL PATTIMATTOM</t>
  </si>
  <si>
    <t>J-1727/25-26</t>
  </si>
  <si>
    <t>JU-279/25-26</t>
  </si>
  <si>
    <t>JU-280/25-26</t>
  </si>
  <si>
    <t>JU-281/25-26</t>
  </si>
  <si>
    <t>JU-282/25-26</t>
  </si>
  <si>
    <t>J-1728/25-26</t>
  </si>
  <si>
    <t>J-1729/25-26</t>
  </si>
  <si>
    <t>J-1730/25-26</t>
  </si>
  <si>
    <t>J-1731/25-26</t>
  </si>
  <si>
    <t>J-1732/25-26</t>
  </si>
  <si>
    <t>J-1733/25-26</t>
  </si>
  <si>
    <t>REJI PPK</t>
  </si>
  <si>
    <t>J-1734/25-26</t>
  </si>
  <si>
    <t>J-1735/25-26</t>
  </si>
  <si>
    <t>RAMACHANDRAN AIRAPURAM</t>
  </si>
  <si>
    <t>J-1736/25-26</t>
  </si>
  <si>
    <t>J-1737/25-26</t>
  </si>
  <si>
    <t>J-1738/25-26</t>
  </si>
  <si>
    <t>J-1739/25-26</t>
  </si>
  <si>
    <t>J-1740/25-26</t>
  </si>
  <si>
    <t>J-1741/25-26</t>
  </si>
  <si>
    <t>J-1742/25-26</t>
  </si>
  <si>
    <t>JU-283/25-26</t>
  </si>
  <si>
    <t>JU-284/25-26</t>
  </si>
  <si>
    <t>J-1743/25-26</t>
  </si>
  <si>
    <t>SAM PATTIMATTOM</t>
  </si>
  <si>
    <t>J-1744/25-26</t>
  </si>
  <si>
    <t>J-1745/25-26</t>
  </si>
  <si>
    <t>DAISY VARGHESE</t>
  </si>
  <si>
    <t>J-1746/25-26</t>
  </si>
  <si>
    <t>RINSHAD PATTIMATTOM</t>
  </si>
  <si>
    <t>J-1747/25-26</t>
  </si>
  <si>
    <t>J-1748/25-26</t>
  </si>
  <si>
    <t>J-1749/25-26</t>
  </si>
  <si>
    <t>SANTHOSH, CHENGARA</t>
  </si>
  <si>
    <t>J-1750/25-26</t>
  </si>
  <si>
    <t>AJMAL , PATTIMATTAM</t>
  </si>
  <si>
    <t>J-1751/25-26</t>
  </si>
  <si>
    <t>J-1752/25-26</t>
  </si>
  <si>
    <t>J-1753/25-26</t>
  </si>
  <si>
    <t>MUHAMMED EDASSERIKUDI</t>
  </si>
  <si>
    <t>J-1754/25-26</t>
  </si>
  <si>
    <t>J-1755/25-26</t>
  </si>
  <si>
    <t>J-1756/25-26</t>
  </si>
  <si>
    <t>J-1757/25-26</t>
  </si>
  <si>
    <t>JU-285/25-26</t>
  </si>
  <si>
    <t>JU-286/25-26</t>
  </si>
  <si>
    <t>JU-287/25-26</t>
  </si>
  <si>
    <t>NISHAD</t>
  </si>
  <si>
    <t>J-1758/25-26</t>
  </si>
  <si>
    <t>J-1759/25-26</t>
  </si>
  <si>
    <t>J-1760/25-26</t>
  </si>
  <si>
    <t>J-1761/25-26</t>
  </si>
  <si>
    <t>J-1762/25-26</t>
  </si>
  <si>
    <t>J-1763/25-26</t>
  </si>
  <si>
    <t>J-1764/25-26</t>
  </si>
  <si>
    <t>J-1765/25-26</t>
  </si>
  <si>
    <t>J-1766/25-26</t>
  </si>
  <si>
    <t>KUNJUMUHAMMAD THANDAKKALA</t>
  </si>
  <si>
    <t>J-1767/25-26</t>
  </si>
  <si>
    <t>SHANKARA NARAYANAN</t>
  </si>
  <si>
    <t>J-1768/25-26</t>
  </si>
  <si>
    <t>PRADEEP PATTIMATTOM</t>
  </si>
  <si>
    <t>J-1769/25-26</t>
  </si>
  <si>
    <t>J-1770/25-26</t>
  </si>
  <si>
    <t>J-1771/25-26</t>
  </si>
  <si>
    <t>VIBIN CHENGARA</t>
  </si>
  <si>
    <t>J-1772/25-26</t>
  </si>
  <si>
    <t>REJI VALAMBOOR</t>
  </si>
  <si>
    <t>J-1773/25-26</t>
  </si>
  <si>
    <t>J-1774/25-26</t>
  </si>
  <si>
    <t>J-1775/25-26</t>
  </si>
  <si>
    <t>J-1776/25-26</t>
  </si>
  <si>
    <t>J-1777/25-26</t>
  </si>
  <si>
    <t>J-1778/25-26</t>
  </si>
  <si>
    <t>JU-288/25-26</t>
  </si>
  <si>
    <t>JU-289/25-26</t>
  </si>
  <si>
    <t>JU-290/25-26</t>
  </si>
  <si>
    <t>JU-291/25-26</t>
  </si>
  <si>
    <t>J-1779/25-26</t>
  </si>
  <si>
    <t>J-1780/25-26</t>
  </si>
  <si>
    <t>MOHANAN AREEKKAL</t>
  </si>
  <si>
    <t>J-1781/25-26</t>
  </si>
  <si>
    <t>J-1782/25-26</t>
  </si>
  <si>
    <t>J-1783/25-26</t>
  </si>
  <si>
    <t>J-1784/25-26</t>
  </si>
  <si>
    <t>DAS ARACKAPPADY</t>
  </si>
  <si>
    <t>J-1785/25-26</t>
  </si>
  <si>
    <t>J-1786/25-26</t>
  </si>
  <si>
    <t>J-1787/25-26</t>
  </si>
  <si>
    <t>J-1788/25-26</t>
  </si>
  <si>
    <t>ELDHO JOSEPH</t>
  </si>
  <si>
    <t>J-1789/25-26</t>
  </si>
  <si>
    <t>J-1790/25-26</t>
  </si>
  <si>
    <t>PAULOSE K</t>
  </si>
  <si>
    <t>J-1791/25-26</t>
  </si>
  <si>
    <t>ALIAS</t>
  </si>
  <si>
    <t>J-1792/25-26</t>
  </si>
  <si>
    <t>J-1793/25-26</t>
  </si>
  <si>
    <t>J-1794/25-26</t>
  </si>
  <si>
    <t>J-1795/25-26</t>
  </si>
  <si>
    <t>J-1796/25-26</t>
  </si>
  <si>
    <t>J-1797/25-26</t>
  </si>
  <si>
    <t>J-1798/25-26</t>
  </si>
  <si>
    <t>J-1799/25-26</t>
  </si>
  <si>
    <t>ANIL , CHENGARA</t>
  </si>
  <si>
    <t>J-1800/25-26</t>
  </si>
  <si>
    <t>J-1801/25-26</t>
  </si>
  <si>
    <t>ANJALI</t>
  </si>
  <si>
    <t>J-1802/25-26</t>
  </si>
  <si>
    <t>J-1803/25-26</t>
  </si>
  <si>
    <t>JU-292/25-26</t>
  </si>
  <si>
    <t>SCARLET</t>
  </si>
  <si>
    <t>JU-293/25-26</t>
  </si>
  <si>
    <t>THE LEGENDRY MOTORS</t>
  </si>
  <si>
    <t>JU-294/25-26</t>
  </si>
  <si>
    <t>J-1804/25-26</t>
  </si>
  <si>
    <t>J-1805/25-26</t>
  </si>
  <si>
    <t>VINCENT VILLA</t>
  </si>
  <si>
    <t>J-1806/25-26</t>
  </si>
  <si>
    <t>J-1807/25-26</t>
  </si>
  <si>
    <t>J-1808/25-26</t>
  </si>
  <si>
    <t>J-1809/25-26</t>
  </si>
  <si>
    <t>SUBIRE ARAKKAPADY</t>
  </si>
  <si>
    <t>J-1810/25-26</t>
  </si>
  <si>
    <t>J-1811/25-26</t>
  </si>
  <si>
    <t>J-1812/25-26</t>
  </si>
  <si>
    <t>VIJAY VARGHESE</t>
  </si>
  <si>
    <t>J-1813/25-26</t>
  </si>
  <si>
    <t>J-1814/25-26</t>
  </si>
  <si>
    <t>J-1815/25-26</t>
  </si>
  <si>
    <t>J-1816/25-26</t>
  </si>
  <si>
    <t>J-1817/25-26</t>
  </si>
  <si>
    <t>J-1818/25-26</t>
  </si>
  <si>
    <t>SUMITH PANCODE</t>
  </si>
  <si>
    <t>J-1819/25-26</t>
  </si>
  <si>
    <t>MANOJ KILIKULM</t>
  </si>
  <si>
    <t>J-1820/25-26</t>
  </si>
  <si>
    <t>J-1821/25-26</t>
  </si>
  <si>
    <t>J-1822/25-26</t>
  </si>
  <si>
    <t>J-1823/25-26</t>
  </si>
  <si>
    <t>J-1824/25-26</t>
  </si>
  <si>
    <t>SUMANRAJ, KUMMANODE</t>
  </si>
  <si>
    <t>J-1825/25-26</t>
  </si>
  <si>
    <t>JU-295/25-26</t>
  </si>
  <si>
    <t>JU-296/25-26</t>
  </si>
  <si>
    <t>J-1826/25-26</t>
  </si>
  <si>
    <t>SUKUMARAN THOTTATHIKUDY</t>
  </si>
  <si>
    <t>J-1827/25-26</t>
  </si>
  <si>
    <t>J-1828/25-26</t>
  </si>
  <si>
    <t>J-1829/25-26</t>
  </si>
  <si>
    <t>J-1830/25-26</t>
  </si>
  <si>
    <t>J-1831/25-26</t>
  </si>
  <si>
    <t>J-1832/25-26</t>
  </si>
  <si>
    <t>J-1833/25-26</t>
  </si>
  <si>
    <t>J-1834/25-26</t>
  </si>
  <si>
    <t>J-1835/25-26</t>
  </si>
  <si>
    <t>J-1836/25-26</t>
  </si>
  <si>
    <t>JU-297/25-26</t>
  </si>
  <si>
    <t>JU-298/25-26</t>
  </si>
  <si>
    <t>JU-299/25-26</t>
  </si>
  <si>
    <t>SUDHEER CITY</t>
  </si>
  <si>
    <t>J-1837/25-26</t>
  </si>
  <si>
    <t>J-1838/25-26</t>
  </si>
  <si>
    <t>J-1839/25-26</t>
  </si>
  <si>
    <t>J-1840/25-26</t>
  </si>
  <si>
    <t>J-1841/25-26</t>
  </si>
  <si>
    <t>J-1842/25-26</t>
  </si>
  <si>
    <t>J-1843/25-26</t>
  </si>
  <si>
    <t>J-1844/25-26</t>
  </si>
  <si>
    <t>J-1845/25-26</t>
  </si>
  <si>
    <t>J-1846/25-26</t>
  </si>
  <si>
    <t>RAJAN , VALAMBOOR</t>
  </si>
  <si>
    <t>J-1847/25-26</t>
  </si>
  <si>
    <t>J-1848/25-26</t>
  </si>
  <si>
    <t>J-1849/25-26</t>
  </si>
  <si>
    <t>J-1850/25-26</t>
  </si>
  <si>
    <t>J-1851/25-26</t>
  </si>
  <si>
    <t>J-1852/25-26</t>
  </si>
  <si>
    <t>J-1853/25-26</t>
  </si>
  <si>
    <t>ALI ANCHAMILEPALAM</t>
  </si>
  <si>
    <t>J-1854/25-26</t>
  </si>
  <si>
    <t>J-1855/25-26</t>
  </si>
  <si>
    <t>CARE AND CARE ASSOCIATES AND BUILDERS</t>
  </si>
  <si>
    <t>JU-300/25-26</t>
  </si>
  <si>
    <t>JU-301/25-26</t>
  </si>
  <si>
    <t>MUJEEB .O.M.</t>
  </si>
  <si>
    <t>JU-302/25-26</t>
  </si>
  <si>
    <t>JU-303/25-26</t>
  </si>
  <si>
    <t>JU-304/25-26</t>
  </si>
  <si>
    <t>J-1856/25-26</t>
  </si>
  <si>
    <t>J-1857/25-26</t>
  </si>
  <si>
    <t>J-1858/25-26</t>
  </si>
  <si>
    <t>J-1859/25-26</t>
  </si>
  <si>
    <t>KUTTY</t>
  </si>
  <si>
    <t>J-1860/25-26</t>
  </si>
  <si>
    <t>J-1861/25-26</t>
  </si>
  <si>
    <t>J-1862/25-26</t>
  </si>
  <si>
    <t>J-1863/25-26</t>
  </si>
  <si>
    <t>J-1864/25-26</t>
  </si>
  <si>
    <t>J-1865/25-26</t>
  </si>
  <si>
    <t>J-1866/25-26</t>
  </si>
  <si>
    <t>J-1867/25-26</t>
  </si>
  <si>
    <t>J-1868/25-26</t>
  </si>
  <si>
    <t>J-1869/25-26</t>
  </si>
  <si>
    <t>J-1870/25-26</t>
  </si>
  <si>
    <t>J-1871/25-26</t>
  </si>
  <si>
    <t>J-1872/25-26</t>
  </si>
  <si>
    <t>J-1873/25-26</t>
  </si>
  <si>
    <t>J-1874/25-26</t>
  </si>
  <si>
    <t>J-1875/25-26</t>
  </si>
  <si>
    <t>ABDHUL KHADER PASSENGER</t>
  </si>
  <si>
    <t>J-1876/25-26</t>
  </si>
  <si>
    <t>J-1877/25-26</t>
  </si>
  <si>
    <t>J-1878/25-26</t>
  </si>
  <si>
    <t>JU-305/25-26</t>
  </si>
  <si>
    <t>JU-306/25-26</t>
  </si>
  <si>
    <t>JU-307/25-26</t>
  </si>
  <si>
    <t>JU-308/25-26</t>
  </si>
  <si>
    <t>JU-309/25-26</t>
  </si>
  <si>
    <t>JU-310/25-26</t>
  </si>
  <si>
    <t>JU-311/25-26</t>
  </si>
  <si>
    <t>J-1879/25-26</t>
  </si>
  <si>
    <t>J-1880/25-26</t>
  </si>
  <si>
    <t>J-1881/25-26</t>
  </si>
  <si>
    <t>J-1882/25-26</t>
  </si>
  <si>
    <t>J-1883/25-26</t>
  </si>
  <si>
    <t>J-1884/25-26</t>
  </si>
  <si>
    <t>J-1885/25-26</t>
  </si>
  <si>
    <t>J-1886/25-26</t>
  </si>
  <si>
    <t>NAZEER PATTIMATTOM</t>
  </si>
  <si>
    <t>J-1887/25-26</t>
  </si>
  <si>
    <t>J-1888/25-26</t>
  </si>
  <si>
    <t>J-1889/25-26</t>
  </si>
  <si>
    <t>ALEXANDER A V</t>
  </si>
  <si>
    <t>J-1890/25-26</t>
  </si>
  <si>
    <t>J-1891/25-26</t>
  </si>
  <si>
    <t>MUTHU KOTHELY</t>
  </si>
  <si>
    <t>J-1892/25-26</t>
  </si>
  <si>
    <t>MADHU VALAMBOOR</t>
  </si>
  <si>
    <t>J-1893/25-26</t>
  </si>
  <si>
    <t>J-1894/25-26</t>
  </si>
  <si>
    <t>J-1895/25-26</t>
  </si>
  <si>
    <t>J-1896/25-26</t>
  </si>
  <si>
    <t>J-1897/25-26</t>
  </si>
  <si>
    <t>J-1898/25-26</t>
  </si>
  <si>
    <t>J-1899/25-26</t>
  </si>
  <si>
    <t>J-1900/25-26</t>
  </si>
  <si>
    <t>BIJU PANGODE</t>
  </si>
  <si>
    <t>J-1901/25-26</t>
  </si>
  <si>
    <t>JU-312/25-26</t>
  </si>
  <si>
    <t>JU-313/25-26</t>
  </si>
  <si>
    <t>JU-314/25-26</t>
  </si>
  <si>
    <t>J-1902/25-26</t>
  </si>
  <si>
    <t>MALAYIDUMTHURUTHU PRATHYASHA BHAVAN</t>
  </si>
  <si>
    <t>J-1903/25-26</t>
  </si>
  <si>
    <t>J-1904/25-26</t>
  </si>
  <si>
    <t>J-1905/25-26</t>
  </si>
  <si>
    <t>J-1906/25-26</t>
  </si>
  <si>
    <t>PRINCE VARGHESE</t>
  </si>
  <si>
    <t>J-1907/25-26</t>
  </si>
  <si>
    <t>J-1908/25-26</t>
  </si>
  <si>
    <t>JU-315/25-26</t>
  </si>
  <si>
    <t>MADATHIKUDY PATHROSE JACOB</t>
  </si>
  <si>
    <t>JU-316/25-26</t>
  </si>
  <si>
    <t>JU-317/25-26</t>
  </si>
  <si>
    <t>JU-318/25-26</t>
  </si>
  <si>
    <t>JU-319/25-26</t>
  </si>
  <si>
    <t>JU-320/25-26</t>
  </si>
  <si>
    <t>JU-321/25-26</t>
  </si>
  <si>
    <t>J-1909/25-26</t>
  </si>
  <si>
    <t>J-1910/25-26</t>
  </si>
  <si>
    <t>J-1911/25-26</t>
  </si>
  <si>
    <t>J-1912/25-26</t>
  </si>
  <si>
    <t>J-1913/25-26</t>
  </si>
  <si>
    <t>J-1914/25-26</t>
  </si>
  <si>
    <t>J-1915/25-26</t>
  </si>
  <si>
    <t>J-1916/25-26</t>
  </si>
  <si>
    <t>J-1917/25-26</t>
  </si>
  <si>
    <t>J-1918/25-26</t>
  </si>
  <si>
    <t>J-1919/25-26</t>
  </si>
  <si>
    <t>J-1920/25-26</t>
  </si>
  <si>
    <t>J-1921/25-26</t>
  </si>
  <si>
    <t>J-1922/25-26</t>
  </si>
  <si>
    <t>J-1923/25-26</t>
  </si>
  <si>
    <t>J-1924/25-26</t>
  </si>
  <si>
    <t>J-1925/25-26</t>
  </si>
  <si>
    <t>J-1926/25-26</t>
  </si>
  <si>
    <t>SULAIMAN CNTR</t>
  </si>
  <si>
    <t>J-1927/25-26</t>
  </si>
  <si>
    <t>SREELAL PALLIKKARA</t>
  </si>
  <si>
    <t>J-1928/25-26</t>
  </si>
  <si>
    <t>J-1929/25-26</t>
  </si>
  <si>
    <t>BINI INNOVATION DOUBLEPALAM</t>
  </si>
  <si>
    <t>J-1930/25-26</t>
  </si>
  <si>
    <t>SAIJU PALLIKKARA</t>
  </si>
  <si>
    <t>J-1931/25-26</t>
  </si>
  <si>
    <t>J-1932/25-26</t>
  </si>
  <si>
    <t>GEORGE PAZHAMPILLY</t>
  </si>
  <si>
    <t>J-1933/25-26</t>
  </si>
  <si>
    <t>JU-322/25-26</t>
  </si>
  <si>
    <t>J-1934/25-26</t>
  </si>
  <si>
    <t>J-1935/25-26</t>
  </si>
  <si>
    <t>J-1936/25-26</t>
  </si>
  <si>
    <t>J-1937/25-26</t>
  </si>
  <si>
    <t>J-1938/25-26</t>
  </si>
  <si>
    <t>J-1939/25-26</t>
  </si>
  <si>
    <t>J-1940/25-26</t>
  </si>
  <si>
    <t>J-1941/25-26</t>
  </si>
  <si>
    <t>MADHUSUDHANAN</t>
  </si>
  <si>
    <t>J-1942/25-26</t>
  </si>
  <si>
    <t>J-1943/25-26</t>
  </si>
  <si>
    <t>SAKKEER APE (VIJAYAN)</t>
  </si>
  <si>
    <t>J-1944/25-26</t>
  </si>
  <si>
    <t>J-1945/25-26</t>
  </si>
  <si>
    <t>J-1946/25-26</t>
  </si>
  <si>
    <t>J-1947/25-26</t>
  </si>
  <si>
    <t>J-1948/25-26</t>
  </si>
  <si>
    <t>J-1949/25-26</t>
  </si>
  <si>
    <t>DREEM DECOR COCHIN</t>
  </si>
  <si>
    <t>JU-323/25-26</t>
  </si>
  <si>
    <t>WVA CONSULTING ENGINEERIS PVT LTD</t>
  </si>
  <si>
    <t>JU-324/25-26</t>
  </si>
  <si>
    <t>JU-325/25-26</t>
  </si>
  <si>
    <t>PRINCE STEEL FABRICATION</t>
  </si>
  <si>
    <t>JU-326/25-26</t>
  </si>
  <si>
    <t>JU-327/25-26</t>
  </si>
  <si>
    <t>JU-328/25-26</t>
  </si>
  <si>
    <t>J-1950/25-26</t>
  </si>
  <si>
    <t>J-1951/25-26</t>
  </si>
  <si>
    <t>J-1952/25-26</t>
  </si>
  <si>
    <t>KRISHNADAS</t>
  </si>
  <si>
    <t>J-1953/25-26</t>
  </si>
  <si>
    <t>J-1954/25-26</t>
  </si>
  <si>
    <t>J-1955/25-26</t>
  </si>
  <si>
    <t>J-1956/25-26</t>
  </si>
  <si>
    <t>J-1957/25-26</t>
  </si>
  <si>
    <t>J-1958/25-26</t>
  </si>
  <si>
    <t>JASEETHA PATTIMATTOM</t>
  </si>
  <si>
    <t>J-1959/25-26</t>
  </si>
  <si>
    <t>VIJESH T V</t>
  </si>
  <si>
    <t>J-1960/25-26</t>
  </si>
  <si>
    <t>J-1961/25-26</t>
  </si>
  <si>
    <t>J-1962/25-26</t>
  </si>
  <si>
    <t>J-1963/25-26</t>
  </si>
  <si>
    <t>J-1964/25-26</t>
  </si>
  <si>
    <t>J-1965/25-26</t>
  </si>
  <si>
    <t>CHAVARAMKUZHY BHAGAWATHI TEMPLE</t>
  </si>
  <si>
    <t>J-1966/25-26</t>
  </si>
  <si>
    <t>J-1967/25-26</t>
  </si>
  <si>
    <t>JU-329/25-26</t>
  </si>
  <si>
    <t>JU-330/25-26</t>
  </si>
  <si>
    <t>JU-331/25-26</t>
  </si>
  <si>
    <t>JU-332/25-26</t>
  </si>
  <si>
    <t>JU-333/25-26</t>
  </si>
  <si>
    <t>J-1968/25-26</t>
  </si>
  <si>
    <t>J-1969/25-26</t>
  </si>
  <si>
    <t>J-1970/25-26</t>
  </si>
  <si>
    <t>J-1971/25-26</t>
  </si>
  <si>
    <t>J-1972/25-26</t>
  </si>
  <si>
    <t>J-1973/25-26</t>
  </si>
  <si>
    <t>J-1974/25-26</t>
  </si>
  <si>
    <t>J-1975/25-26</t>
  </si>
  <si>
    <t>J-1976/25-26</t>
  </si>
  <si>
    <t>J-1977/25-26</t>
  </si>
  <si>
    <t>J-1978/25-26</t>
  </si>
  <si>
    <t>J-1979/25-26</t>
  </si>
  <si>
    <t>J-1980/25-26</t>
  </si>
  <si>
    <t>J-1981/25-26</t>
  </si>
  <si>
    <t>MANOJ M THOMAS</t>
  </si>
  <si>
    <t>J-1982/25-26</t>
  </si>
  <si>
    <t>J-1983/25-26</t>
  </si>
  <si>
    <t>AZIZ PATTIMATTOM</t>
  </si>
  <si>
    <t>J-1984/25-26</t>
  </si>
  <si>
    <t>J-1985/25-26</t>
  </si>
  <si>
    <t>J-1986/25-26</t>
  </si>
  <si>
    <t>J-1987/25-26</t>
  </si>
  <si>
    <t>J-1988/25-26</t>
  </si>
  <si>
    <t>J-1989/25-26</t>
  </si>
  <si>
    <t>J-1990/25-26</t>
  </si>
  <si>
    <t>JU-334/25-26</t>
  </si>
  <si>
    <t>JU-335/25-26</t>
  </si>
  <si>
    <t>P V GEORGE</t>
  </si>
  <si>
    <t>JU-336/25-26</t>
  </si>
  <si>
    <t>JU-337/25-26</t>
  </si>
  <si>
    <t>JU-338/25-26</t>
  </si>
  <si>
    <t>UMMER CHENGARA</t>
  </si>
  <si>
    <t>J-1991/25-26</t>
  </si>
  <si>
    <t>J-1992/25-26</t>
  </si>
  <si>
    <t>J-1993/25-26</t>
  </si>
  <si>
    <t>J-1994/25-26</t>
  </si>
  <si>
    <t>J-1995/25-26</t>
  </si>
  <si>
    <t>J-1996/25-26</t>
  </si>
  <si>
    <t>GEORGE NJATTUMKALA</t>
  </si>
  <si>
    <t>J-1997/25-26</t>
  </si>
  <si>
    <t>J-1998/25-26</t>
  </si>
  <si>
    <t>RIYAS, PATTIMATTOM</t>
  </si>
  <si>
    <t>J-1999/25-26</t>
  </si>
  <si>
    <t>NEETHU GANGADHARAN</t>
  </si>
  <si>
    <t>J-2000/25-26</t>
  </si>
  <si>
    <t>J-2001/25-26</t>
  </si>
  <si>
    <t>J-2002/25-26</t>
  </si>
  <si>
    <t>J-2003/25-26</t>
  </si>
  <si>
    <t>J-2004/25-26</t>
  </si>
  <si>
    <t>J-2005/25-26</t>
  </si>
  <si>
    <t>J-2006/25-26</t>
  </si>
  <si>
    <t>RAMESH E.S</t>
  </si>
  <si>
    <t>J-2007/25-26</t>
  </si>
  <si>
    <t>JU-339/25-26</t>
  </si>
  <si>
    <t>SUNNY MANGALATHUNADA</t>
  </si>
  <si>
    <t>J-2008/25-26</t>
  </si>
  <si>
    <t>J-2009/25-26</t>
  </si>
  <si>
    <t>J-2010/25-26</t>
  </si>
  <si>
    <t>J-2011/25-26</t>
  </si>
  <si>
    <t>J-2012/25-26</t>
  </si>
  <si>
    <t>J-2013/25-26</t>
  </si>
  <si>
    <t>J-2014/25-26</t>
  </si>
  <si>
    <t>J-2015/25-26</t>
  </si>
  <si>
    <t>J-2016/25-26</t>
  </si>
  <si>
    <t>REJI (9526267826) TRUSS</t>
  </si>
  <si>
    <t>J-2017/25-26</t>
  </si>
  <si>
    <t>THULASIDAS</t>
  </si>
  <si>
    <t>J-2018/25-26</t>
  </si>
  <si>
    <t>J-2019/25-26</t>
  </si>
  <si>
    <t>J-2020/25-26</t>
  </si>
  <si>
    <t>J-2021/25-26</t>
  </si>
  <si>
    <t>ANAS , ANJAMILEPALAM</t>
  </si>
  <si>
    <t>J-2022/25-26</t>
  </si>
  <si>
    <t>J-2023/25-26</t>
  </si>
  <si>
    <t>J-2024/25-26</t>
  </si>
  <si>
    <t>J-2025/25-26</t>
  </si>
  <si>
    <t>J-2026/25-26</t>
  </si>
  <si>
    <t>J-2027/25-26</t>
  </si>
  <si>
    <t>SLEEBA PAREPPEDIKA</t>
  </si>
  <si>
    <t>J-2028/25-26</t>
  </si>
  <si>
    <t>J-2029/25-26</t>
  </si>
  <si>
    <t>AJAYGHOSH V A</t>
  </si>
  <si>
    <t>J-2030/25-26</t>
  </si>
  <si>
    <t>JU-340/25-26</t>
  </si>
  <si>
    <t>JU-341/25-26</t>
  </si>
  <si>
    <t>JU-342/25-26</t>
  </si>
  <si>
    <t>OMEGA ADVERTISING  &amp; SALES PROMOTION</t>
  </si>
  <si>
    <t>JU-343/25-26</t>
  </si>
  <si>
    <t>JU-344/25-26</t>
  </si>
  <si>
    <t>JU-345/25-26</t>
  </si>
  <si>
    <t>J-2031/25-26</t>
  </si>
  <si>
    <t>J-2032/25-26</t>
  </si>
  <si>
    <t>J-2033/25-26</t>
  </si>
  <si>
    <t>J-2034/25-26</t>
  </si>
  <si>
    <t>J-2035/25-26</t>
  </si>
  <si>
    <t>J-2036/25-26</t>
  </si>
  <si>
    <t>J-2037/25-26</t>
  </si>
  <si>
    <t>J-2038/25-26</t>
  </si>
  <si>
    <t>RAPHEL PATTIMATTOM</t>
  </si>
  <si>
    <t>J-2039/25-26</t>
  </si>
  <si>
    <t>J-2040/25-26</t>
  </si>
  <si>
    <t>J-2041/25-26</t>
  </si>
  <si>
    <t>J-2042/25-26</t>
  </si>
  <si>
    <t>J-2043/25-26</t>
  </si>
  <si>
    <t>J-2044/25-26</t>
  </si>
  <si>
    <t>JU-346/25-26</t>
  </si>
  <si>
    <t>JU-347/25-26</t>
  </si>
  <si>
    <t>AKBAR CHENGARA</t>
  </si>
  <si>
    <t>J-2045/25-26</t>
  </si>
  <si>
    <t>J-2046/25-26</t>
  </si>
  <si>
    <t>J-2047/25-26</t>
  </si>
  <si>
    <t>J-2048/25-26</t>
  </si>
  <si>
    <t>CHRISTY KUMMANODE</t>
  </si>
  <si>
    <t>J-2049/25-26</t>
  </si>
  <si>
    <t>J-2050/25-26</t>
  </si>
  <si>
    <t>THAMPI , VALAMBOOR</t>
  </si>
  <si>
    <t>J-2051/25-26</t>
  </si>
  <si>
    <t>J-2052/25-26</t>
  </si>
  <si>
    <t>J-2053/25-26</t>
  </si>
  <si>
    <t>J-2054/25-26</t>
  </si>
  <si>
    <t>J-2055/25-26</t>
  </si>
  <si>
    <t>J-2056/25-26</t>
  </si>
  <si>
    <t>J-2057/25-26</t>
  </si>
  <si>
    <t>J-2058/25-26</t>
  </si>
  <si>
    <t>J-2059/25-26</t>
  </si>
  <si>
    <t>J-2060/25-26</t>
  </si>
  <si>
    <t>J-2061/25-26</t>
  </si>
  <si>
    <t>J-2062/25-26</t>
  </si>
  <si>
    <t>SREEDEVI CHEENIKUZHY</t>
  </si>
  <si>
    <t>J-2063/25-26</t>
  </si>
  <si>
    <t>J-2064/25-26</t>
  </si>
  <si>
    <t>J-2065/25-26</t>
  </si>
  <si>
    <t>J-2066/25-26</t>
  </si>
  <si>
    <t>J-2067/25-26</t>
  </si>
  <si>
    <t>J-2068/25-26</t>
  </si>
  <si>
    <t>J-2069/25-26</t>
  </si>
  <si>
    <t>MURALI (GAYATHRI)</t>
  </si>
  <si>
    <t>J-2070/25-26</t>
  </si>
  <si>
    <t>JU-348/25-26</t>
  </si>
  <si>
    <t>JU-349/25-26</t>
  </si>
  <si>
    <t>KALLU BHAI CNTR</t>
  </si>
  <si>
    <t>J-2071/25-26</t>
  </si>
  <si>
    <t>J-2072/25-26</t>
  </si>
  <si>
    <t>PALLAKKU ARTS</t>
  </si>
  <si>
    <t>J-2073/25-26</t>
  </si>
  <si>
    <t>J-2074/25-26</t>
  </si>
  <si>
    <t>J-2075/25-26</t>
  </si>
  <si>
    <t>J-2076/25-26</t>
  </si>
  <si>
    <t>J-2077/25-26</t>
  </si>
  <si>
    <t>J-2078/25-26</t>
  </si>
  <si>
    <t>ARSHAD VALAMBOOR</t>
  </si>
  <si>
    <t>J-2079/25-26</t>
  </si>
  <si>
    <t>J-2080/25-26</t>
  </si>
  <si>
    <t>J-2081/25-26</t>
  </si>
  <si>
    <t>J-2082/25-26</t>
  </si>
  <si>
    <t>J-2083/25-26</t>
  </si>
  <si>
    <t>J-2084/25-26</t>
  </si>
  <si>
    <t>J-2085/25-26</t>
  </si>
  <si>
    <t>J-2086/25-26</t>
  </si>
  <si>
    <t>J-2087/25-26</t>
  </si>
  <si>
    <t>J-2088/25-26</t>
  </si>
  <si>
    <t>ASWATHY</t>
  </si>
  <si>
    <t>J-2089/25-26</t>
  </si>
  <si>
    <t>J-2090/25-26</t>
  </si>
  <si>
    <t>JOHNY PERUMANI</t>
  </si>
  <si>
    <t>J-2091/25-26</t>
  </si>
  <si>
    <t>J-2092/25-26</t>
  </si>
  <si>
    <t>JU-350/25-26</t>
  </si>
  <si>
    <t>JU-351/25-26</t>
  </si>
  <si>
    <t>JU-352/25-26</t>
  </si>
  <si>
    <t>MAKKAR.M.P</t>
  </si>
  <si>
    <t>JU-353/25-26</t>
  </si>
  <si>
    <t>JU-354/25-26</t>
  </si>
  <si>
    <t>JU-355/25-26</t>
  </si>
  <si>
    <t>J-2093/25-26</t>
  </si>
  <si>
    <t>J-2094/25-26</t>
  </si>
  <si>
    <t>J-2095/25-26</t>
  </si>
  <si>
    <t>J-2096/25-26</t>
  </si>
  <si>
    <t>J-2097/25-26</t>
  </si>
  <si>
    <t>J-2098/25-26</t>
  </si>
  <si>
    <t>J-2099/25-26</t>
  </si>
  <si>
    <t>J-2100/25-26</t>
  </si>
  <si>
    <t>J-2101/25-26</t>
  </si>
  <si>
    <t>J-2102/25-26</t>
  </si>
  <si>
    <t>J-2103/25-26</t>
  </si>
  <si>
    <t>J-2104/25-26</t>
  </si>
  <si>
    <t>J-2105/25-26</t>
  </si>
  <si>
    <t>J-2106/25-26</t>
  </si>
  <si>
    <t>J-2107/25-26</t>
  </si>
  <si>
    <t>J-2108/25-26</t>
  </si>
  <si>
    <t>LIJI , VALAMBOOR</t>
  </si>
  <si>
    <t>J-2109/25-26</t>
  </si>
  <si>
    <t>J-2110/25-26</t>
  </si>
  <si>
    <t>J-2111/25-26</t>
  </si>
  <si>
    <t>J-2112/25-26</t>
  </si>
  <si>
    <t>J-2113/25-26</t>
  </si>
  <si>
    <t>J-2114/25-26</t>
  </si>
  <si>
    <t>JU-356/25-26</t>
  </si>
  <si>
    <t>JU-357/25-26</t>
  </si>
  <si>
    <t>JU-358/25-26</t>
  </si>
  <si>
    <t>JU-359/25-26</t>
  </si>
  <si>
    <t>J-2115/25-26</t>
  </si>
  <si>
    <t>J-2116/25-26</t>
  </si>
  <si>
    <t>J-2117/25-26</t>
  </si>
  <si>
    <t>J-2118/25-26</t>
  </si>
  <si>
    <t>J-2119/25-26</t>
  </si>
  <si>
    <t>J-2120/25-26</t>
  </si>
  <si>
    <t>J-2121/25-26</t>
  </si>
  <si>
    <t>OH MY CAKE</t>
  </si>
  <si>
    <t>J-2122/25-26</t>
  </si>
  <si>
    <t>J-2123/25-26</t>
  </si>
  <si>
    <t>SANTU NJARALLOOR</t>
  </si>
  <si>
    <t>J-2124/25-26</t>
  </si>
  <si>
    <t>J-2125/25-26</t>
  </si>
  <si>
    <t>J-2126/25-26</t>
  </si>
  <si>
    <t>J-2127/25-26</t>
  </si>
  <si>
    <t>J-2128/25-26</t>
  </si>
  <si>
    <t>J-2129/25-26</t>
  </si>
  <si>
    <t>J-2130/25-26</t>
  </si>
  <si>
    <t>J-2131/25-26</t>
  </si>
  <si>
    <t>J-2132/25-26</t>
  </si>
  <si>
    <t>J-2133/25-26</t>
  </si>
  <si>
    <t>J-2134/25-26</t>
  </si>
  <si>
    <t>JU-360/25-26</t>
  </si>
  <si>
    <t>JU-361/25-26</t>
  </si>
  <si>
    <t>JU-362/25-26</t>
  </si>
  <si>
    <t>JU-363/25-26</t>
  </si>
  <si>
    <t>J-2135/25-26</t>
  </si>
  <si>
    <t>J-2136/25-26</t>
  </si>
  <si>
    <t>J-2137/25-26</t>
  </si>
  <si>
    <t>J-2138/25-26</t>
  </si>
  <si>
    <t>J-2139/25-26</t>
  </si>
  <si>
    <t>J-2140/25-26</t>
  </si>
  <si>
    <t>J-2141/25-26</t>
  </si>
  <si>
    <t>BABU NJARALLOOR</t>
  </si>
  <si>
    <t>J-2142/25-26</t>
  </si>
  <si>
    <t>J-2143/25-26</t>
  </si>
  <si>
    <t>J-2144/25-26</t>
  </si>
  <si>
    <t>J-2145/25-26</t>
  </si>
  <si>
    <t>J-2146/25-26</t>
  </si>
  <si>
    <t>J-2147/25-26</t>
  </si>
  <si>
    <t>J-2148/25-26</t>
  </si>
  <si>
    <t>J-2149/25-26</t>
  </si>
  <si>
    <t>SHAJIL ALLAPPARA</t>
  </si>
  <si>
    <t>J-2150/25-26</t>
  </si>
  <si>
    <t>J-2151/25-26</t>
  </si>
  <si>
    <t>J-2152/25-26</t>
  </si>
  <si>
    <t>MANOJ KADAYIRUPPU</t>
  </si>
  <si>
    <t>J-2153/25-26</t>
  </si>
  <si>
    <t>JU-364/25-26</t>
  </si>
  <si>
    <t>JU-365/25-26</t>
  </si>
  <si>
    <t>JU-366/25-26</t>
  </si>
  <si>
    <t>JU-367/25-26</t>
  </si>
  <si>
    <t>JU-368/25-26</t>
  </si>
  <si>
    <t>JU-369/25-26</t>
  </si>
  <si>
    <t>MILLY JACOB</t>
  </si>
  <si>
    <t>J-2154/25-26</t>
  </si>
  <si>
    <t>J-2155/25-26</t>
  </si>
  <si>
    <t>J-2156/25-26</t>
  </si>
  <si>
    <t>J-2157/25-26</t>
  </si>
  <si>
    <t>J-2158/25-26</t>
  </si>
  <si>
    <t>J-2159/25-26</t>
  </si>
  <si>
    <t>J-2160/25-26</t>
  </si>
  <si>
    <t>J-2161/25-26</t>
  </si>
  <si>
    <t>J-2162/25-26</t>
  </si>
  <si>
    <t>J-2163/25-26</t>
  </si>
  <si>
    <t>J-2164/25-26</t>
  </si>
  <si>
    <t>J-2165/25-26</t>
  </si>
  <si>
    <t>J-2166/25-26</t>
  </si>
  <si>
    <t>J-2167/25-26</t>
  </si>
  <si>
    <t>J-2168/25-26</t>
  </si>
  <si>
    <t>J-2169/25-26</t>
  </si>
  <si>
    <t>MINI NJARALLOOR</t>
  </si>
  <si>
    <t>J-2170/25-26</t>
  </si>
  <si>
    <t>J-2171/25-26</t>
  </si>
  <si>
    <t>J-2172/25-26</t>
  </si>
  <si>
    <t>ELDHO VARIAMPURAM</t>
  </si>
  <si>
    <t>J-2173/25-26</t>
  </si>
  <si>
    <t>J-2174/25-26</t>
  </si>
  <si>
    <t>J-2175/25-26</t>
  </si>
  <si>
    <t>J-2176/25-26</t>
  </si>
  <si>
    <t>J-2177/25-26</t>
  </si>
  <si>
    <t>J-2178/25-26</t>
  </si>
  <si>
    <t>ELDHO VALAMBOOR</t>
  </si>
  <si>
    <t>J-2179/25-26</t>
  </si>
  <si>
    <t>Mathai Passenger</t>
  </si>
  <si>
    <t>J-2180/25-26</t>
  </si>
  <si>
    <t>JU-370/25-26</t>
  </si>
  <si>
    <t>JU-371/25-26</t>
  </si>
  <si>
    <t>JU-372/25-26</t>
  </si>
  <si>
    <t>VINSON KURIAN</t>
  </si>
  <si>
    <t>J-2181/25-26</t>
  </si>
  <si>
    <t>J-2182/25-26</t>
  </si>
  <si>
    <t>J-2183/25-26</t>
  </si>
  <si>
    <t>JOY TRUSS</t>
  </si>
  <si>
    <t>J-2184/25-26</t>
  </si>
  <si>
    <t>J-2185/25-26</t>
  </si>
  <si>
    <t>J-2186/25-26</t>
  </si>
  <si>
    <t>J-2187/25-26</t>
  </si>
  <si>
    <t>J-2188/25-26</t>
  </si>
  <si>
    <t>J-2189/25-26</t>
  </si>
  <si>
    <t>J-2190/25-26</t>
  </si>
  <si>
    <t>J-2191/25-26</t>
  </si>
  <si>
    <t>J-2192/25-26</t>
  </si>
  <si>
    <t>J-2193/25-26</t>
  </si>
  <si>
    <t>J-2194/25-26</t>
  </si>
  <si>
    <t>ST. GEORGE JACOBITE CHURCH</t>
  </si>
  <si>
    <t>J-2195/25-26</t>
  </si>
  <si>
    <t>J-2196/25-26</t>
  </si>
  <si>
    <t>J-2197/25-26</t>
  </si>
  <si>
    <t>LEELA PATHROSE</t>
  </si>
  <si>
    <t>J-2198/25-26</t>
  </si>
  <si>
    <t>J-2199/25-26</t>
  </si>
  <si>
    <t>J-2200/25-26</t>
  </si>
  <si>
    <t>J-2201/25-26</t>
  </si>
  <si>
    <t>J-2202/25-26</t>
  </si>
  <si>
    <t>J-2203/25-26</t>
  </si>
  <si>
    <t>J-2204/25-26</t>
  </si>
  <si>
    <t>J-2205/25-26</t>
  </si>
  <si>
    <t>J-2206/25-26</t>
  </si>
  <si>
    <t>J-2207/25-26</t>
  </si>
  <si>
    <t>JU-373/25-26</t>
  </si>
  <si>
    <t>JU-374/25-26</t>
  </si>
  <si>
    <t>JU-375/25-26</t>
  </si>
  <si>
    <t>MELETH POULOSE JOLLY</t>
  </si>
  <si>
    <t>JU-376/25-26</t>
  </si>
  <si>
    <t>JU-377/25-26</t>
  </si>
  <si>
    <t>J-2208/25-26</t>
  </si>
  <si>
    <t>J-2209/25-26</t>
  </si>
  <si>
    <t>J-2210/25-26</t>
  </si>
  <si>
    <t>J-2211/25-26</t>
  </si>
  <si>
    <t>J-2212/25-26</t>
  </si>
  <si>
    <t>RB ACE</t>
  </si>
  <si>
    <t>J-2213/25-26</t>
  </si>
  <si>
    <t>J-2214/25-26</t>
  </si>
  <si>
    <t>J-2215/25-26</t>
  </si>
  <si>
    <t>J-2216/25-26</t>
  </si>
  <si>
    <t>ELDHO VALMBOOR</t>
  </si>
  <si>
    <t>J-2217/25-26</t>
  </si>
  <si>
    <t>J-2218/25-26</t>
  </si>
  <si>
    <t>J-2219/25-26</t>
  </si>
  <si>
    <t>J-2220/25-26</t>
  </si>
  <si>
    <t>J-2221/25-26</t>
  </si>
  <si>
    <t>J-2222/25-26</t>
  </si>
  <si>
    <t>J-2223/25-26</t>
  </si>
  <si>
    <t>J-2224/25-26</t>
  </si>
  <si>
    <t>J-2225/25-26</t>
  </si>
  <si>
    <t>J-2226/25-26</t>
  </si>
  <si>
    <t>ANIL PATTIMATTOM</t>
  </si>
  <si>
    <t>J-2227/25-26</t>
  </si>
  <si>
    <t>J-2228/25-26</t>
  </si>
  <si>
    <t>J-2229/25-26</t>
  </si>
  <si>
    <t>ARUN KUMAR , KILIKULAM</t>
  </si>
  <si>
    <t>J-2230/25-26</t>
  </si>
  <si>
    <t>J-2231/25-26</t>
  </si>
  <si>
    <t>J-2232/25-26</t>
  </si>
  <si>
    <t>J-2233/25-26</t>
  </si>
  <si>
    <t>J-2234/25-26</t>
  </si>
  <si>
    <t>JU-378/25-26</t>
  </si>
  <si>
    <t>JU-379/25-26</t>
  </si>
  <si>
    <t>JU-380/25-26</t>
  </si>
  <si>
    <t>J-2235/25-26</t>
  </si>
  <si>
    <t>J-2236/25-26</t>
  </si>
  <si>
    <t>J-2237/25-26</t>
  </si>
  <si>
    <t>J-2238/25-26</t>
  </si>
  <si>
    <t>J-2239/25-26</t>
  </si>
  <si>
    <t>J-2240/25-26</t>
  </si>
  <si>
    <t>J-2241/25-26</t>
  </si>
  <si>
    <t>J-2242/25-26</t>
  </si>
  <si>
    <t>SURESH BABU</t>
  </si>
  <si>
    <t>J-2243/25-26</t>
  </si>
  <si>
    <t>J-2244/25-26</t>
  </si>
  <si>
    <t>J-2245/25-26</t>
  </si>
  <si>
    <t>J-2246/25-26</t>
  </si>
  <si>
    <t>J-2247/25-26</t>
  </si>
  <si>
    <t>SURENDRAN K C</t>
  </si>
  <si>
    <t>J-2248/25-26</t>
  </si>
  <si>
    <t>J-2249/25-26</t>
  </si>
  <si>
    <t>BAIJU C PAUL</t>
  </si>
  <si>
    <t>J-2250/25-26</t>
  </si>
  <si>
    <t>J-2251/25-26</t>
  </si>
  <si>
    <t>J-2252/25-26</t>
  </si>
  <si>
    <t>J-2253/25-26</t>
  </si>
  <si>
    <t>J-2254/25-26</t>
  </si>
  <si>
    <t>J-2255/25-26</t>
  </si>
  <si>
    <t>SELVARAJ</t>
  </si>
  <si>
    <t>J-2256/25-26</t>
  </si>
  <si>
    <t>J-2257/25-26</t>
  </si>
  <si>
    <t>J-2258/25-26</t>
  </si>
  <si>
    <t>J-2259/25-26</t>
  </si>
  <si>
    <t>J-2260/25-26</t>
  </si>
  <si>
    <t>ALI TRUSS</t>
  </si>
  <si>
    <t>J-2261/25-26</t>
  </si>
  <si>
    <t>JU-381/25-26</t>
  </si>
  <si>
    <t>JU-382/25-26</t>
  </si>
  <si>
    <t>DOCTORS CHOICE HEALTHY COCONUT OIL</t>
  </si>
  <si>
    <t>JU-383/25-26</t>
  </si>
  <si>
    <t>JU-384/25-26</t>
  </si>
  <si>
    <t>JU-385/25-26</t>
  </si>
  <si>
    <t>J-2262/25-26</t>
  </si>
  <si>
    <t>J-2263/25-26</t>
  </si>
  <si>
    <t>J-2264/25-26</t>
  </si>
  <si>
    <t>TITTU KANINAD</t>
  </si>
  <si>
    <t>J-2265/25-26</t>
  </si>
  <si>
    <t>J-2266/25-26</t>
  </si>
  <si>
    <t>J-2267/25-26</t>
  </si>
  <si>
    <t>J-2268/25-26</t>
  </si>
  <si>
    <t>J-2269/25-26</t>
  </si>
  <si>
    <t>J-2270/25-26</t>
  </si>
  <si>
    <t>J-2271/25-26</t>
  </si>
  <si>
    <t>J-2272/25-26</t>
  </si>
  <si>
    <t>J-2273/25-26</t>
  </si>
  <si>
    <t>J-2274/25-26</t>
  </si>
  <si>
    <t>J-2275/25-26</t>
  </si>
  <si>
    <t>J-2276/25-26</t>
  </si>
  <si>
    <t>J-2277/25-26</t>
  </si>
  <si>
    <t>VINU KIZHAKKAMBALAM</t>
  </si>
  <si>
    <t>J-2278/25-26</t>
  </si>
  <si>
    <t>J-2279/25-26</t>
  </si>
  <si>
    <t>J-2280/25-26</t>
  </si>
  <si>
    <t>SHAJI , VALAMBOOR</t>
  </si>
  <si>
    <t>J-2281/25-26</t>
  </si>
  <si>
    <t>J-2282/25-26</t>
  </si>
  <si>
    <t>J-2283/25-26</t>
  </si>
  <si>
    <t>REJI PANCODE</t>
  </si>
  <si>
    <t>J-2284/25-26</t>
  </si>
  <si>
    <t>JU-386/25-26</t>
  </si>
  <si>
    <t>JU-387/25-26</t>
  </si>
  <si>
    <t>JU-388/25-26</t>
  </si>
  <si>
    <t>JU-389/25-26</t>
  </si>
  <si>
    <t>JU-390/25-26</t>
  </si>
  <si>
    <t>JU-391/25-26</t>
  </si>
  <si>
    <t>J-2285/25-26</t>
  </si>
  <si>
    <t>J-2286/25-26</t>
  </si>
  <si>
    <t>J-2287/25-26</t>
  </si>
  <si>
    <t>J-2288/25-26</t>
  </si>
  <si>
    <t>J-2289/25-26</t>
  </si>
  <si>
    <t>J-2290/25-26</t>
  </si>
  <si>
    <t>J-2291/25-26</t>
  </si>
  <si>
    <t>J-2292/25-26</t>
  </si>
  <si>
    <t>JOLLY ABRAHAM (QULITY PULINCHODE)</t>
  </si>
  <si>
    <t>J-2293/25-26</t>
  </si>
  <si>
    <t>J-2294/25-26</t>
  </si>
  <si>
    <t>J-2295/25-26</t>
  </si>
  <si>
    <t>J-2296/25-26</t>
  </si>
  <si>
    <t>J-2297/25-26</t>
  </si>
  <si>
    <t>CHANDRALAL VALAMBOOR</t>
  </si>
  <si>
    <t>J-2298/25-26</t>
  </si>
  <si>
    <t>J-2299/25-26</t>
  </si>
  <si>
    <t>J-2300/25-26</t>
  </si>
  <si>
    <t>J-2301/25-26</t>
  </si>
  <si>
    <t>J-2302/25-26</t>
  </si>
  <si>
    <t>J-2303/25-26</t>
  </si>
  <si>
    <t>J-2304/25-26</t>
  </si>
  <si>
    <t>J-2305/25-26</t>
  </si>
  <si>
    <t>J-2306/25-26</t>
  </si>
  <si>
    <t>GEORGE KIZHAKKAMBALAM</t>
  </si>
  <si>
    <t>J-2307/25-26</t>
  </si>
  <si>
    <t>JU-392/25-26</t>
  </si>
  <si>
    <t>ST.MARYS ORTHODOX CHURCH</t>
  </si>
  <si>
    <t>J-2308/25-26</t>
  </si>
  <si>
    <t>J-2309/25-26</t>
  </si>
  <si>
    <t>J-2310/25-26</t>
  </si>
  <si>
    <t>BINU SARARO</t>
  </si>
  <si>
    <t>J-2311/25-26</t>
  </si>
  <si>
    <t>J-2312/25-26</t>
  </si>
  <si>
    <t>JAIMON</t>
  </si>
  <si>
    <t>J-2313/25-26</t>
  </si>
  <si>
    <t>J-2314/25-26</t>
  </si>
  <si>
    <t>J-2315/25-26</t>
  </si>
  <si>
    <t>J-2316/25-26</t>
  </si>
  <si>
    <t>J-2317/25-26</t>
  </si>
  <si>
    <t>J-2318/25-26</t>
  </si>
  <si>
    <t>J-2319/25-26</t>
  </si>
  <si>
    <t>J-2320/25-26</t>
  </si>
  <si>
    <t>J-2321/25-26</t>
  </si>
  <si>
    <t>J-2322/25-26</t>
  </si>
  <si>
    <t>MOHANAN PATTIMATTOM</t>
  </si>
  <si>
    <t>J-2323/25-26</t>
  </si>
  <si>
    <t>J-2324/25-26</t>
  </si>
  <si>
    <t>J-2325/25-26</t>
  </si>
  <si>
    <t>J-2326/25-26</t>
  </si>
  <si>
    <t>MECHERIYIL CONSTRUCTIONS</t>
  </si>
  <si>
    <t>JU-393/25-26</t>
  </si>
  <si>
    <t>J-2327/25-26</t>
  </si>
  <si>
    <t>J-2328/25-26</t>
  </si>
  <si>
    <t>J-2329/25-26</t>
  </si>
  <si>
    <t>J-2330/25-26</t>
  </si>
  <si>
    <t>J-2331/25-26</t>
  </si>
  <si>
    <t>J-2332/25-26</t>
  </si>
  <si>
    <t>J-2333/25-26</t>
  </si>
  <si>
    <t>J-2334/25-26</t>
  </si>
  <si>
    <t>J-2335/25-26</t>
  </si>
  <si>
    <t>ARUN KUMMANODE</t>
  </si>
  <si>
    <t>J-2336/25-26</t>
  </si>
  <si>
    <t>J-2337/25-26</t>
  </si>
  <si>
    <t>SURAJ KADAYATH</t>
  </si>
  <si>
    <t>J-2338/25-26</t>
  </si>
  <si>
    <t>J-2339/25-26</t>
  </si>
  <si>
    <t>J-2340/25-26</t>
  </si>
  <si>
    <t>J-2341/25-26</t>
  </si>
  <si>
    <t>J-2342/25-26</t>
  </si>
  <si>
    <t>AJEESH KUNNAKKAL</t>
  </si>
  <si>
    <t>J-2343/25-26</t>
  </si>
  <si>
    <t>JU-394/25-26</t>
  </si>
  <si>
    <t>JU-395/25-26</t>
  </si>
  <si>
    <t>JU-396/25-26</t>
  </si>
  <si>
    <t>JU-397/25-26</t>
  </si>
  <si>
    <t>JU-398/25-26</t>
  </si>
  <si>
    <t>KUTTAI NAVAS PATTIMATTOM</t>
  </si>
  <si>
    <t>J-2344/25-26</t>
  </si>
  <si>
    <t>J-2345/25-26</t>
  </si>
  <si>
    <t>J-2346/25-26</t>
  </si>
  <si>
    <t>JOMET MAZHUVANNOOR</t>
  </si>
  <si>
    <t>J-2347/25-26</t>
  </si>
  <si>
    <t>J-2348/25-26</t>
  </si>
  <si>
    <t>J-2349/25-26</t>
  </si>
  <si>
    <t>J-2350/25-26</t>
  </si>
  <si>
    <t>SASINDRAN NERIYAMPARAMBATH</t>
  </si>
  <si>
    <t>J-2351/25-26</t>
  </si>
  <si>
    <t>J-2352/25-26</t>
  </si>
  <si>
    <t>KANNAN</t>
  </si>
  <si>
    <t>J-2353/25-26</t>
  </si>
  <si>
    <t>J-2354/25-26</t>
  </si>
  <si>
    <t>J-2355/25-26</t>
  </si>
  <si>
    <t>JU-399/25-26</t>
  </si>
  <si>
    <t>JU-400/25-26</t>
  </si>
  <si>
    <t>JU-401/25-26</t>
  </si>
  <si>
    <t>JU-402/25-26</t>
  </si>
  <si>
    <t>J-2356/25-26</t>
  </si>
  <si>
    <t>J-2357/25-26</t>
  </si>
  <si>
    <t>J-2358/25-26</t>
  </si>
  <si>
    <t>ATHUL BIJU PATTIMATTOM</t>
  </si>
  <si>
    <t>J-2359/25-26</t>
  </si>
  <si>
    <t>J-2360/25-26</t>
  </si>
  <si>
    <t>J-2361/25-26</t>
  </si>
  <si>
    <t>J-2362/25-26</t>
  </si>
  <si>
    <t>J-2363/25-26</t>
  </si>
  <si>
    <t>J-2364/25-26</t>
  </si>
  <si>
    <t>J-2365/25-26</t>
  </si>
  <si>
    <t>J-2366/25-26</t>
  </si>
  <si>
    <t>J-2367/25-26</t>
  </si>
  <si>
    <t>J-2368/25-26</t>
  </si>
  <si>
    <t>J-2369/25-26</t>
  </si>
  <si>
    <t>J-2370/25-26</t>
  </si>
  <si>
    <t>KANNAPPAN</t>
  </si>
  <si>
    <t>J-2371/25-26</t>
  </si>
  <si>
    <t>J-2372/25-26</t>
  </si>
  <si>
    <t>J-2373/25-26</t>
  </si>
  <si>
    <t>J-2374/25-26</t>
  </si>
  <si>
    <t>RAMAKRISHNAN KUMMANODE</t>
  </si>
  <si>
    <t>J-2375/25-26</t>
  </si>
  <si>
    <t>J-2376/25-26</t>
  </si>
  <si>
    <t>SHAJI NJATTUMKALAYIL</t>
  </si>
  <si>
    <t>J-2377/25-26</t>
  </si>
  <si>
    <t>J-2378/25-26</t>
  </si>
  <si>
    <t>RAHUL PATTIMATTOM</t>
  </si>
  <si>
    <t>J-2379/25-26</t>
  </si>
  <si>
    <t>J-2380/25-26</t>
  </si>
  <si>
    <t>PAUL CHACHAN</t>
  </si>
  <si>
    <t>J-2381/25-26</t>
  </si>
  <si>
    <t>JU-403/25-26</t>
  </si>
  <si>
    <t>BINI INNOVATIONS</t>
  </si>
  <si>
    <t>JU-404/25-26</t>
  </si>
  <si>
    <t>JU-405/25-26</t>
  </si>
  <si>
    <t>JU-406/25-26</t>
  </si>
  <si>
    <t>J-2382/25-26</t>
  </si>
  <si>
    <t>J-2383/25-26</t>
  </si>
  <si>
    <t>KAREEM PATTIMATTOM</t>
  </si>
  <si>
    <t>J-2384/25-26</t>
  </si>
  <si>
    <t>BALI , ALAPPUZHA</t>
  </si>
  <si>
    <t>J-2385/25-26</t>
  </si>
  <si>
    <t>J-2386/25-26</t>
  </si>
  <si>
    <t>J-2387/25-26</t>
  </si>
  <si>
    <t>J-2388/25-26</t>
  </si>
  <si>
    <t>J-2389/25-26</t>
  </si>
  <si>
    <t>J-2390/25-26</t>
  </si>
  <si>
    <t>J-2391/25-26</t>
  </si>
  <si>
    <t>DILEEP VALAMBOOR</t>
  </si>
  <si>
    <t>J-2392/25-26</t>
  </si>
  <si>
    <t>SABU PULINCHODE</t>
  </si>
  <si>
    <t>J-2393/25-26</t>
  </si>
  <si>
    <t>J-2394/25-26</t>
  </si>
  <si>
    <t>J-2395/25-26</t>
  </si>
  <si>
    <t>J-2396/25-26</t>
  </si>
  <si>
    <t>J-2397/25-26</t>
  </si>
  <si>
    <t>J-2398/25-26</t>
  </si>
  <si>
    <t>JU-407/25-26</t>
  </si>
  <si>
    <t>JU-408/25-26</t>
  </si>
  <si>
    <t>JU-409/25-26</t>
  </si>
  <si>
    <t>JU-410/25-26</t>
  </si>
  <si>
    <t>J-2399/25-26</t>
  </si>
  <si>
    <t>J-2400/25-26</t>
  </si>
  <si>
    <t>DASAN KOLANKUDY</t>
  </si>
  <si>
    <t>J-2401/25-26</t>
  </si>
  <si>
    <t>RAJAN , DEYARAPADY</t>
  </si>
  <si>
    <t>J-2402/25-26</t>
  </si>
  <si>
    <t>J-2403/25-26</t>
  </si>
  <si>
    <t>J-2404/25-26</t>
  </si>
  <si>
    <t>J-2405/25-26</t>
  </si>
  <si>
    <t>J-2406/25-26</t>
  </si>
  <si>
    <t>J-2407/25-26</t>
  </si>
  <si>
    <t>J-2408/25-26</t>
  </si>
  <si>
    <t>J-2409/25-26</t>
  </si>
  <si>
    <t>J-2410/25-26</t>
  </si>
  <si>
    <t>J-2411/25-26</t>
  </si>
  <si>
    <t>J-2412/25-26</t>
  </si>
  <si>
    <t>J-2413/25-26</t>
  </si>
  <si>
    <t>BABY KUNNATHUKUDY</t>
  </si>
  <si>
    <t>J-2414/25-26</t>
  </si>
  <si>
    <t>J-2415/25-26</t>
  </si>
  <si>
    <t>J-2416/25-26</t>
  </si>
  <si>
    <t>ST. MARYS CHRISTIAN ASSOCIATION</t>
  </si>
  <si>
    <t>J-2417/25-26</t>
  </si>
  <si>
    <t>J-2418/25-26</t>
  </si>
  <si>
    <t>J-2419/25-26</t>
  </si>
  <si>
    <t>J-2420/25-26</t>
  </si>
  <si>
    <t>J-2421/25-26</t>
  </si>
  <si>
    <t>J-2422/25-26</t>
  </si>
  <si>
    <t>J-2423/25-26</t>
  </si>
  <si>
    <t>JU-411/25-26</t>
  </si>
  <si>
    <t>JU-412/25-26</t>
  </si>
  <si>
    <t>JU-413/25-26</t>
  </si>
  <si>
    <t>JU-414/25-26</t>
  </si>
  <si>
    <t>J-2424/25-26</t>
  </si>
  <si>
    <t>J-2425/25-26</t>
  </si>
  <si>
    <t>J-2426/25-26</t>
  </si>
  <si>
    <t>J-2427/25-26</t>
  </si>
  <si>
    <t>J-2428/25-26</t>
  </si>
  <si>
    <t>J-2429/25-26</t>
  </si>
  <si>
    <t>J-2430/25-26</t>
  </si>
  <si>
    <t>J-2431/25-26</t>
  </si>
  <si>
    <t>J-2432/25-26</t>
  </si>
  <si>
    <t>J-2433/25-26</t>
  </si>
  <si>
    <t>J-2434/25-26</t>
  </si>
  <si>
    <t>J-2435/25-26</t>
  </si>
  <si>
    <t>J-2436/25-26</t>
  </si>
  <si>
    <t>MANU VARGHESE</t>
  </si>
  <si>
    <t>J-2437/25-26</t>
  </si>
  <si>
    <t>J-2438/25-26</t>
  </si>
  <si>
    <t>J-2439/25-26</t>
  </si>
  <si>
    <t>J-2440/25-26</t>
  </si>
  <si>
    <t>J-2441/25-26</t>
  </si>
  <si>
    <t>J-2442/25-26</t>
  </si>
  <si>
    <t>J-2443/25-26</t>
  </si>
  <si>
    <t>J-2444/25-26</t>
  </si>
  <si>
    <t>J-2445/25-26</t>
  </si>
  <si>
    <t>JINS,KAITHAKAD</t>
  </si>
  <si>
    <t>J-2446/25-26</t>
  </si>
  <si>
    <t>J-2447/25-26</t>
  </si>
  <si>
    <t>J-2448/25-26</t>
  </si>
  <si>
    <t>GEORGE , THADIYAN</t>
  </si>
  <si>
    <t>J-2449/25-26</t>
  </si>
  <si>
    <t>J-2450/25-26</t>
  </si>
  <si>
    <t>KAREEM KAVUNGAPARAMBU</t>
  </si>
  <si>
    <t>J-2451/25-26</t>
  </si>
  <si>
    <t>AMAL PANCODE</t>
  </si>
  <si>
    <t>J-2452/25-26</t>
  </si>
  <si>
    <t>J-2453/25-26</t>
  </si>
  <si>
    <t>J-2454/25-26</t>
  </si>
  <si>
    <t>MANOJ PATTIMATTOM</t>
  </si>
  <si>
    <t>J-2455/25-26</t>
  </si>
  <si>
    <t>SANDEEP NJARALLOOR</t>
  </si>
  <si>
    <t>J-2456/25-26</t>
  </si>
  <si>
    <t>J-2457/25-26</t>
  </si>
  <si>
    <t>VARGHESE MANGALATHUNADA</t>
  </si>
  <si>
    <t>J-2458/25-26</t>
  </si>
  <si>
    <t>SAJI PULINCHODE</t>
  </si>
  <si>
    <t>J-2459/25-26</t>
  </si>
  <si>
    <t>J-2460/25-26</t>
  </si>
  <si>
    <t>SHIJU</t>
  </si>
  <si>
    <t>J-2461/25-26</t>
  </si>
  <si>
    <t>J-2462/25-26</t>
  </si>
  <si>
    <t>J-2463/25-26</t>
  </si>
  <si>
    <t>ROBIN RAVI</t>
  </si>
  <si>
    <t>J-2464/25-26</t>
  </si>
  <si>
    <t>JU-415/25-26</t>
  </si>
  <si>
    <t>J-2465/25-26</t>
  </si>
  <si>
    <t>APPU MECHERY</t>
  </si>
  <si>
    <t>J-2466/25-26</t>
  </si>
  <si>
    <t>KURIAKOSE POTTAKKAN</t>
  </si>
  <si>
    <t>J-2467/25-26</t>
  </si>
  <si>
    <t>POTTAKKAN KRUZE</t>
  </si>
  <si>
    <t>J-2468/25-26</t>
  </si>
  <si>
    <t>J-2469/25-26</t>
  </si>
  <si>
    <t>RAHUL ARACKAPADY</t>
  </si>
  <si>
    <t>J-2470/25-26</t>
  </si>
  <si>
    <t>J-2471/25-26</t>
  </si>
  <si>
    <t>WILSON , THEYYAMPURAM</t>
  </si>
  <si>
    <t>J-2472/25-26</t>
  </si>
  <si>
    <t>J-2473/25-26</t>
  </si>
  <si>
    <t>SHAJAS MANAKKAPADY</t>
  </si>
  <si>
    <t>J-2474/25-26</t>
  </si>
  <si>
    <t>J-2475/25-26</t>
  </si>
  <si>
    <t>J-2476/25-26</t>
  </si>
  <si>
    <t>J-2477/25-26</t>
  </si>
  <si>
    <t>PRAJESH MANNOOR</t>
  </si>
  <si>
    <t>J-2478/25-26</t>
  </si>
  <si>
    <t>SUJITH CHENGARA</t>
  </si>
  <si>
    <t>J-2479/25-26</t>
  </si>
  <si>
    <t>J-2480/25-26</t>
  </si>
  <si>
    <t>J-2481/25-26</t>
  </si>
  <si>
    <t>RAJESH KADAYIRUPPU</t>
  </si>
  <si>
    <t>J-2482/25-26</t>
  </si>
  <si>
    <t>J-2483/25-26</t>
  </si>
  <si>
    <t>RAJAN NJARALLOOR</t>
  </si>
  <si>
    <t>J-2484/25-26</t>
  </si>
  <si>
    <t>J-2485/25-26</t>
  </si>
  <si>
    <t>J-2486/25-26</t>
  </si>
  <si>
    <t>JU-416/25-26</t>
  </si>
  <si>
    <t>JU-417/25-26</t>
  </si>
  <si>
    <t>JU-418/25-26</t>
  </si>
  <si>
    <t>JU-419/25-26</t>
  </si>
  <si>
    <t>JU-420/25-26</t>
  </si>
  <si>
    <t>JU-421/25-26</t>
  </si>
  <si>
    <t>JU-422/25-26</t>
  </si>
  <si>
    <t>JU-423/25-26</t>
  </si>
  <si>
    <t>JU-424/25-26</t>
  </si>
  <si>
    <t>JU-425/25-26</t>
  </si>
  <si>
    <t>J-2487/25-26</t>
  </si>
  <si>
    <t>ABY THOMAS</t>
  </si>
  <si>
    <t>J-2488/25-26</t>
  </si>
  <si>
    <t>J-2489/25-26</t>
  </si>
  <si>
    <t>J-2490/25-26</t>
  </si>
  <si>
    <t>J-2491/25-26</t>
  </si>
  <si>
    <t>ANSAR ONAKKARA</t>
  </si>
  <si>
    <t>J-2492/25-26</t>
  </si>
  <si>
    <t>HASHIM</t>
  </si>
  <si>
    <t>J-2493/25-26</t>
  </si>
  <si>
    <t>J-2494/25-26</t>
  </si>
  <si>
    <t>J-2495/25-26</t>
  </si>
  <si>
    <t>J-2496/25-26</t>
  </si>
  <si>
    <t>J-2497/25-26</t>
  </si>
  <si>
    <t>J-2498/25-26</t>
  </si>
  <si>
    <t>J-2499/25-26</t>
  </si>
  <si>
    <t>J-2500/25-26</t>
  </si>
  <si>
    <t>SAMON K A</t>
  </si>
  <si>
    <t>J-2501/25-26</t>
  </si>
  <si>
    <t>J-2502/25-26</t>
  </si>
  <si>
    <t>J-2503/25-26</t>
  </si>
  <si>
    <t>J-2504/25-26</t>
  </si>
  <si>
    <t>J-2505/25-26</t>
  </si>
  <si>
    <t>J-2506/25-26</t>
  </si>
  <si>
    <t>J-2507/25-26</t>
  </si>
  <si>
    <t>JU-426/25-26</t>
  </si>
  <si>
    <t>J-2508/25-26</t>
  </si>
  <si>
    <t>J-2509/25-26</t>
  </si>
  <si>
    <t>J-2510/25-26</t>
  </si>
  <si>
    <t>J-2511/25-26</t>
  </si>
  <si>
    <t>J-2512/25-26</t>
  </si>
  <si>
    <t>J-2513/25-26</t>
  </si>
  <si>
    <t>J-2514/25-26</t>
  </si>
  <si>
    <t>MANOJ POYYAKUNNAM</t>
  </si>
  <si>
    <t>J-2515/25-26</t>
  </si>
  <si>
    <t>J-2516/25-26</t>
  </si>
  <si>
    <t>AYYAPPAN</t>
  </si>
  <si>
    <t>J-2517/25-26</t>
  </si>
  <si>
    <t>J-2518/25-26</t>
  </si>
  <si>
    <t>J-2519/25-26</t>
  </si>
  <si>
    <t>J-2520/25-26</t>
  </si>
  <si>
    <t>SURESH EDATHIKKARA</t>
  </si>
  <si>
    <t>J-2521/25-26</t>
  </si>
  <si>
    <t>DILEEP AIRAPURAM</t>
  </si>
  <si>
    <t>J-2522/25-26</t>
  </si>
  <si>
    <t>JU-427/25-26</t>
  </si>
  <si>
    <t>ROYAL ENGINEERING WORKS</t>
  </si>
  <si>
    <t>JU-428/25-26</t>
  </si>
  <si>
    <t>JU-429/25-26</t>
  </si>
  <si>
    <t>LEELA, K.KUMMANODE</t>
  </si>
  <si>
    <t>J-2523/25-26</t>
  </si>
  <si>
    <t>J-2524/25-26</t>
  </si>
  <si>
    <t>J-2525/25-26</t>
  </si>
  <si>
    <t>J-2526/25-26</t>
  </si>
  <si>
    <t>J-2527/25-26</t>
  </si>
  <si>
    <t>J-2528/25-26</t>
  </si>
  <si>
    <t>J-2529/25-26</t>
  </si>
  <si>
    <t>J-2530/25-26</t>
  </si>
  <si>
    <t>J-2531/25-26</t>
  </si>
  <si>
    <t>KESAVAN , KOLANKUDY</t>
  </si>
  <si>
    <t>J-2532/25-26</t>
  </si>
  <si>
    <t>J-2533/25-26</t>
  </si>
  <si>
    <t>PAILY  VALAMBOOR</t>
  </si>
  <si>
    <t>J-2534/25-26</t>
  </si>
  <si>
    <t>J-2535/25-26</t>
  </si>
  <si>
    <t>J-2536/25-26</t>
  </si>
  <si>
    <t>J-2537/25-26</t>
  </si>
  <si>
    <t>VELAYUDHAN VEMPILLY</t>
  </si>
  <si>
    <t>J-2538/25-26</t>
  </si>
  <si>
    <t>J-2539/25-26</t>
  </si>
  <si>
    <t>J-2540/25-26</t>
  </si>
  <si>
    <t>J-2541/25-26</t>
  </si>
  <si>
    <t>SKARIYA PULINCHODE</t>
  </si>
  <si>
    <t>J-2542/25-26</t>
  </si>
  <si>
    <t>FUTORE.NXT SYSTEMS LLP</t>
  </si>
  <si>
    <t>JU-430/25-26</t>
  </si>
  <si>
    <t>JU-431/25-26</t>
  </si>
  <si>
    <t>J-2543/25-26</t>
  </si>
  <si>
    <t>J-2544/25-26</t>
  </si>
  <si>
    <t>J-2545/25-26</t>
  </si>
  <si>
    <t>J-2546/25-26</t>
  </si>
  <si>
    <t>SARATH CHENGARA</t>
  </si>
  <si>
    <t>J-2547/25-26</t>
  </si>
  <si>
    <t>J-2548/25-26</t>
  </si>
  <si>
    <t>J-2549/25-26</t>
  </si>
  <si>
    <t>J-2550/25-26</t>
  </si>
  <si>
    <t>J-2551/25-26</t>
  </si>
  <si>
    <t>J-2552/25-26</t>
  </si>
  <si>
    <t>SHIYAS KUMMANODE</t>
  </si>
  <si>
    <t>J-2553/25-26</t>
  </si>
  <si>
    <t>J-2554/25-26</t>
  </si>
  <si>
    <t>SANOOP MAZHUVANNOOR</t>
  </si>
  <si>
    <t>J-2555/25-26</t>
  </si>
  <si>
    <t>J-2556/25-26</t>
  </si>
  <si>
    <t>J-2557/25-26</t>
  </si>
  <si>
    <t>DILEEP PANCODE</t>
  </si>
  <si>
    <t>J-2558/25-26</t>
  </si>
  <si>
    <t>J-2559/25-26</t>
  </si>
  <si>
    <t>J-2560/25-26</t>
  </si>
  <si>
    <t>J-2561/25-26</t>
  </si>
  <si>
    <t>SHYJU , PATTIMATTAM</t>
  </si>
  <si>
    <t>J-2562/25-26</t>
  </si>
  <si>
    <t>VISHNU DOUBLEPALAM</t>
  </si>
  <si>
    <t>J-2563/25-26</t>
  </si>
  <si>
    <t>JU-432/25-26</t>
  </si>
  <si>
    <t>JU-433/25-26</t>
  </si>
  <si>
    <t>JU-434/25-26</t>
  </si>
  <si>
    <t>J-2564/25-26</t>
  </si>
  <si>
    <t>J-2565/25-26</t>
  </si>
  <si>
    <t>J-2566/25-26</t>
  </si>
  <si>
    <t>J-2567/25-26</t>
  </si>
  <si>
    <t>J-2568/25-26</t>
  </si>
  <si>
    <t>J-2569/25-26</t>
  </si>
  <si>
    <t>J-2570/25-26</t>
  </si>
  <si>
    <t>MUHAMMED M.A</t>
  </si>
  <si>
    <t>J-2571/25-26</t>
  </si>
  <si>
    <t>J-2572/25-26</t>
  </si>
  <si>
    <t>J-2573/25-26</t>
  </si>
  <si>
    <t>KUTTAI PALLIKKARA</t>
  </si>
  <si>
    <t>J-2574/25-26</t>
  </si>
  <si>
    <t>J-2575/25-26</t>
  </si>
  <si>
    <t>J-2576/25-26</t>
  </si>
  <si>
    <t>J-2577/25-26</t>
  </si>
  <si>
    <t>J-2578/25-26</t>
  </si>
  <si>
    <t>J-2579/25-26</t>
  </si>
  <si>
    <t>J-2580/25-26</t>
  </si>
  <si>
    <t>J-2581/25-26</t>
  </si>
  <si>
    <t>J-2582/25-26</t>
  </si>
  <si>
    <t>J-2583/25-26</t>
  </si>
  <si>
    <t>J-2584/25-26</t>
  </si>
  <si>
    <t>J-2585/25-26</t>
  </si>
  <si>
    <t>VINOD , CHENGARA</t>
  </si>
  <si>
    <t>J-2586/25-26</t>
  </si>
  <si>
    <t>J-2587/25-26</t>
  </si>
  <si>
    <t>J-2588/25-26</t>
  </si>
  <si>
    <t>J-2589/25-26</t>
  </si>
  <si>
    <t>UNNIKRISHNAN  KARTHA T K</t>
  </si>
  <si>
    <t>J-2590/25-26</t>
  </si>
  <si>
    <t>ABBAS CHELAKULAM</t>
  </si>
  <si>
    <t>J-2591/25-26</t>
  </si>
  <si>
    <t>J-2592/25-26</t>
  </si>
  <si>
    <t>J-2593/25-26</t>
  </si>
  <si>
    <t>J-2594/25-26</t>
  </si>
  <si>
    <t>J-2595/25-26</t>
  </si>
  <si>
    <t>JU-435/25-26</t>
  </si>
  <si>
    <t>JU-436/25-26</t>
  </si>
  <si>
    <t>JU-437/25-26</t>
  </si>
  <si>
    <t>J-2596/25-26</t>
  </si>
  <si>
    <t>J-2597/25-26</t>
  </si>
  <si>
    <t>J-2598/25-26</t>
  </si>
  <si>
    <t>BONY DANIEL</t>
  </si>
  <si>
    <t>J-2599/25-26</t>
  </si>
  <si>
    <t>J-2600/25-26</t>
  </si>
  <si>
    <t>J-2601/25-26</t>
  </si>
  <si>
    <t>J-2602/25-26</t>
  </si>
  <si>
    <t>J-2603/25-26</t>
  </si>
  <si>
    <t>J-2604/25-26</t>
  </si>
  <si>
    <t>SHAJI IRAPURAM</t>
  </si>
  <si>
    <t>J-2605/25-26</t>
  </si>
  <si>
    <t>J-2606/25-26</t>
  </si>
  <si>
    <t>J-2607/25-26</t>
  </si>
  <si>
    <t>ROBIN</t>
  </si>
  <si>
    <t>J-2608/25-26</t>
  </si>
  <si>
    <t>J-2609/25-26</t>
  </si>
  <si>
    <t>J-2610/25-26</t>
  </si>
  <si>
    <t>J-2611/25-26</t>
  </si>
  <si>
    <t>J-2612/25-26</t>
  </si>
  <si>
    <t>J-2613/25-26</t>
  </si>
  <si>
    <t>BASHEER PADAKKAM</t>
  </si>
  <si>
    <t>J-2614/25-26</t>
  </si>
  <si>
    <t>J-2615/25-26</t>
  </si>
  <si>
    <t>J-2616/25-26</t>
  </si>
  <si>
    <t>AJAS PATTIMATTOM</t>
  </si>
  <si>
    <t>J-2617/25-26</t>
  </si>
  <si>
    <t>J-2618/25-26</t>
  </si>
  <si>
    <t>JU-438/25-26</t>
  </si>
  <si>
    <t>JU-439/25-26</t>
  </si>
  <si>
    <t>N J CONSTRUCTION</t>
  </si>
  <si>
    <t>JU-440/25-26</t>
  </si>
  <si>
    <t>JU-441/25-26</t>
  </si>
  <si>
    <t>JU-442/25-26</t>
  </si>
  <si>
    <t>J-2619/25-26</t>
  </si>
  <si>
    <t>J-2620/25-26</t>
  </si>
  <si>
    <t>J-2621/25-26</t>
  </si>
  <si>
    <t>MIDHUN MANGALATHUNADA</t>
  </si>
  <si>
    <t>J-2622/25-26</t>
  </si>
  <si>
    <t>J-2623/25-26</t>
  </si>
  <si>
    <t>J-2624/25-26</t>
  </si>
  <si>
    <t>J-2625/25-26</t>
  </si>
  <si>
    <t>J-2626/25-26</t>
  </si>
  <si>
    <t>J-2627/25-26</t>
  </si>
  <si>
    <t>ARUN PATTIMATTOM</t>
  </si>
  <si>
    <t>J-2628/25-26</t>
  </si>
  <si>
    <t>J-2629/25-26</t>
  </si>
  <si>
    <t>SANEESH KADAYIRUPPU</t>
  </si>
  <si>
    <t>J-2630/25-26</t>
  </si>
  <si>
    <t>J-2631/25-26</t>
  </si>
  <si>
    <t>J-2632/25-26</t>
  </si>
  <si>
    <t>J-2633/25-26</t>
  </si>
  <si>
    <t>J-2634/25-26</t>
  </si>
  <si>
    <t>J-2635/25-26</t>
  </si>
  <si>
    <t>J-2636/25-26</t>
  </si>
  <si>
    <t>J-2637/25-26</t>
  </si>
  <si>
    <t>JU-443/25-26</t>
  </si>
  <si>
    <t>JU-444/25-26</t>
  </si>
  <si>
    <t>JU-445/25-26</t>
  </si>
  <si>
    <t>JU-446/25-26</t>
  </si>
  <si>
    <t>J-2638/25-26</t>
  </si>
  <si>
    <t>J-2639/25-26</t>
  </si>
  <si>
    <t>GEORGE , MECHENGARA</t>
  </si>
  <si>
    <t>J-2640/25-26</t>
  </si>
  <si>
    <t>J-2641/25-26</t>
  </si>
  <si>
    <t>J-2642/25-26</t>
  </si>
  <si>
    <t>JINEESH KUMMANODE</t>
  </si>
  <si>
    <t>J-2643/25-26</t>
  </si>
  <si>
    <t>JINU CHELAKULAM</t>
  </si>
  <si>
    <t>J-2644/25-26</t>
  </si>
  <si>
    <t>ABU APE</t>
  </si>
  <si>
    <t>J-2645/25-26</t>
  </si>
  <si>
    <t>J-2646/25-26</t>
  </si>
  <si>
    <t>J-2647/25-26</t>
  </si>
  <si>
    <t>J-2648/25-26</t>
  </si>
  <si>
    <t>J-2649/25-26</t>
  </si>
  <si>
    <t>J-2650/25-26</t>
  </si>
  <si>
    <t>RATHEESH VEMBILLY</t>
  </si>
  <si>
    <t>J-2651/25-26</t>
  </si>
  <si>
    <t>J-2652/25-26</t>
  </si>
  <si>
    <t>JU-447/25-26</t>
  </si>
  <si>
    <t>JU-448/25-26</t>
  </si>
  <si>
    <t>JU-449/25-26</t>
  </si>
  <si>
    <t>J-2653/25-26</t>
  </si>
  <si>
    <t>J-2654/25-26</t>
  </si>
  <si>
    <t>J-2655/25-26</t>
  </si>
  <si>
    <t>J-2656/25-26</t>
  </si>
  <si>
    <t>BAIJU TRUSS PANCODE</t>
  </si>
  <si>
    <t>J-2657/25-26</t>
  </si>
  <si>
    <t>J-2658/25-26</t>
  </si>
  <si>
    <t>J-2659/25-26</t>
  </si>
  <si>
    <t>J-2660/25-26</t>
  </si>
  <si>
    <t>J-2661/25-26</t>
  </si>
  <si>
    <t>J-2662/25-26</t>
  </si>
  <si>
    <t>J-2663/25-26</t>
  </si>
  <si>
    <t>J-2664/25-26</t>
  </si>
  <si>
    <t>J-2665/25-26</t>
  </si>
  <si>
    <t>J-2666/25-26</t>
  </si>
  <si>
    <t>J-2667/25-26</t>
  </si>
  <si>
    <t>J-2668/25-26</t>
  </si>
  <si>
    <t>J-2669/25-26</t>
  </si>
  <si>
    <t>JU-450/25-26</t>
  </si>
  <si>
    <t>J-2670/25-26</t>
  </si>
  <si>
    <t>J-2671/25-26</t>
  </si>
  <si>
    <t>J-2672/25-26</t>
  </si>
  <si>
    <t>J-2673/25-26</t>
  </si>
  <si>
    <t>J-2674/25-26</t>
  </si>
  <si>
    <t>SULAIMAN ,MANAKKAPADY</t>
  </si>
  <si>
    <t>J-2675/25-26</t>
  </si>
  <si>
    <t>SHINU HANDRAIL (ROYALENGINEERING)</t>
  </si>
  <si>
    <t>J-2676/25-26</t>
  </si>
  <si>
    <t>SANEESH TRUSS OORAMANA</t>
  </si>
  <si>
    <t>J-2677/25-26</t>
  </si>
  <si>
    <t>J-2678/25-26</t>
  </si>
  <si>
    <t>J-2679/25-26</t>
  </si>
  <si>
    <t>MARY KUMMANODE</t>
  </si>
  <si>
    <t>J-2680/25-26</t>
  </si>
  <si>
    <t>J-2681/25-26</t>
  </si>
  <si>
    <t>J-2682/25-26</t>
  </si>
  <si>
    <t>J-2683/25-26</t>
  </si>
  <si>
    <t>J-2684/25-26</t>
  </si>
  <si>
    <t>DR.BABY PAZHAMPILLY</t>
  </si>
  <si>
    <t>J-2685/25-26</t>
  </si>
  <si>
    <t>J-2686/25-26</t>
  </si>
  <si>
    <t>BINDU MANI</t>
  </si>
  <si>
    <t>J-2687/25-26</t>
  </si>
  <si>
    <t>J-2688/25-26</t>
  </si>
  <si>
    <t>J-2689/25-26</t>
  </si>
  <si>
    <t>J-2690/25-26</t>
  </si>
  <si>
    <t>J-2691/25-26</t>
  </si>
  <si>
    <t>JU-451/25-26</t>
  </si>
  <si>
    <t>JU-452/25-26</t>
  </si>
  <si>
    <t>JU-453/25-26</t>
  </si>
  <si>
    <t>JU-454/25-26</t>
  </si>
  <si>
    <t>J-2692/25-26</t>
  </si>
  <si>
    <t>J-2693/25-26</t>
  </si>
  <si>
    <t>J-2694/25-26</t>
  </si>
  <si>
    <t>J-2695/25-26</t>
  </si>
  <si>
    <t>J-2696/25-26</t>
  </si>
  <si>
    <t>J-2697/25-26</t>
  </si>
  <si>
    <t>J-2698/25-26</t>
  </si>
  <si>
    <t>J-2699/25-26</t>
  </si>
  <si>
    <t>J-2700/25-26</t>
  </si>
  <si>
    <t>MOHANAN , PULINCHUVADU</t>
  </si>
  <si>
    <t>J-2701/25-26</t>
  </si>
  <si>
    <t>J-2702/25-26</t>
  </si>
  <si>
    <t>J-2703/25-26</t>
  </si>
  <si>
    <t>J-2704/25-26</t>
  </si>
  <si>
    <t>J-2705/25-26</t>
  </si>
  <si>
    <t>J-2706/25-26</t>
  </si>
  <si>
    <t>J-2707/25-26</t>
  </si>
  <si>
    <t>J-2708/25-26</t>
  </si>
  <si>
    <t>J-2709/25-26</t>
  </si>
  <si>
    <t>J-2710/25-26</t>
  </si>
  <si>
    <t>JU-455/25-26</t>
  </si>
  <si>
    <t>JU-456/25-26</t>
  </si>
  <si>
    <t>JU-457/25-26</t>
  </si>
  <si>
    <t>JU-458/25-26</t>
  </si>
  <si>
    <t>JU-459/25-26</t>
  </si>
  <si>
    <t>JU-460/25-26</t>
  </si>
  <si>
    <t>J-2711/25-26</t>
  </si>
  <si>
    <t>ALIAS C.I</t>
  </si>
  <si>
    <t>J-2712/25-26</t>
  </si>
  <si>
    <t>J-2713/25-26</t>
  </si>
  <si>
    <t>BABU TRUSS</t>
  </si>
  <si>
    <t>J-2714/25-26</t>
  </si>
  <si>
    <t>J-2715/25-26</t>
  </si>
  <si>
    <t>ABHILASH, PATTIMATTOM</t>
  </si>
  <si>
    <t>J-2716/25-26</t>
  </si>
  <si>
    <t>J-2717/25-26</t>
  </si>
  <si>
    <t>J-2718/25-26</t>
  </si>
  <si>
    <t>J-2719/25-26</t>
  </si>
  <si>
    <t>J-2720/25-26</t>
  </si>
  <si>
    <t>J-2721/25-26</t>
  </si>
  <si>
    <t>J-2722/25-26</t>
  </si>
  <si>
    <t>ANURAJ</t>
  </si>
  <si>
    <t>J-2723/25-26</t>
  </si>
  <si>
    <t>J-2724/25-26</t>
  </si>
  <si>
    <t>J-2725/25-26</t>
  </si>
  <si>
    <t>J-2726/25-26</t>
  </si>
  <si>
    <t>J-2727/25-26</t>
  </si>
  <si>
    <t>J-2728/25-26</t>
  </si>
  <si>
    <t>J-2729/25-26</t>
  </si>
  <si>
    <t>J-2730/25-26</t>
  </si>
  <si>
    <t>J-2731/25-26</t>
  </si>
  <si>
    <t>J-2732/25-26</t>
  </si>
  <si>
    <t>J-2733/25-26</t>
  </si>
  <si>
    <t>J-2734/25-26</t>
  </si>
  <si>
    <t>J-2735/25-26</t>
  </si>
  <si>
    <t>J-2736/25-26</t>
  </si>
  <si>
    <t>J-2737/25-26</t>
  </si>
  <si>
    <t>J-2738/25-26</t>
  </si>
  <si>
    <t>J-2739/25-26</t>
  </si>
  <si>
    <t>VIVEK</t>
  </si>
  <si>
    <t>J-2740/25-26</t>
  </si>
  <si>
    <t>J-2741/25-26</t>
  </si>
  <si>
    <t>J-2742/25-26</t>
  </si>
  <si>
    <t>ARUN AIRAPURAM</t>
  </si>
  <si>
    <t>J-2743/25-26</t>
  </si>
  <si>
    <t>J-2744/25-26</t>
  </si>
  <si>
    <t>RENJITH KILIKULAM</t>
  </si>
  <si>
    <t>J-2745/25-26</t>
  </si>
  <si>
    <t>JU-461/25-26</t>
  </si>
  <si>
    <t>JU-462/25-26</t>
  </si>
  <si>
    <t>AAYISHA POLYMERS</t>
  </si>
  <si>
    <t>JU-463/25-26</t>
  </si>
  <si>
    <t>JU-464/25-26</t>
  </si>
  <si>
    <t>J-2746/25-26</t>
  </si>
  <si>
    <t>NAVAS KUZHIPPILLY</t>
  </si>
  <si>
    <t>J-2747/25-26</t>
  </si>
  <si>
    <t>J-2748/25-26</t>
  </si>
  <si>
    <t>J-2749/25-26</t>
  </si>
  <si>
    <t>J-2750/25-26</t>
  </si>
  <si>
    <t>J-2751/25-26</t>
  </si>
  <si>
    <t>J-2752/25-26</t>
  </si>
  <si>
    <t>J-2753/25-26</t>
  </si>
  <si>
    <t>J-2754/25-26</t>
  </si>
  <si>
    <t>J-2755/25-26</t>
  </si>
  <si>
    <t>JOY VALAMBOOR</t>
  </si>
  <si>
    <t>J-2756/25-26</t>
  </si>
  <si>
    <t>J-2757/25-26</t>
  </si>
  <si>
    <t>J-2758/25-26</t>
  </si>
  <si>
    <t>J-2759/25-26</t>
  </si>
  <si>
    <t>J-2760/25-26</t>
  </si>
  <si>
    <t>J-2761/25-26</t>
  </si>
  <si>
    <t>VARGHESE KUTTY</t>
  </si>
  <si>
    <t>J-2762/25-26</t>
  </si>
  <si>
    <t>J-2763/25-26</t>
  </si>
  <si>
    <t>J-2764/25-26</t>
  </si>
  <si>
    <t>J-2765/25-26</t>
  </si>
  <si>
    <t>J-2766/25-26</t>
  </si>
  <si>
    <t>J-2767/25-26</t>
  </si>
  <si>
    <t>JU-465/25-26</t>
  </si>
  <si>
    <t>JU-466/25-26</t>
  </si>
  <si>
    <t>JU-467/25-26</t>
  </si>
  <si>
    <t>MANI KADAYIRUPPU</t>
  </si>
  <si>
    <t>J-2768/25-26</t>
  </si>
  <si>
    <t>J-2769/25-26</t>
  </si>
  <si>
    <t>J-2770/25-26</t>
  </si>
  <si>
    <t>J-2771/25-26</t>
  </si>
  <si>
    <t>J-2772/25-26</t>
  </si>
  <si>
    <t>J-2773/25-26</t>
  </si>
  <si>
    <t>J-2774/25-26</t>
  </si>
  <si>
    <t>RASHEED CHELAKULAM</t>
  </si>
  <si>
    <t>J-2775/25-26</t>
  </si>
  <si>
    <t>J-2776/25-26</t>
  </si>
  <si>
    <t>VINU PATTIMATTOM</t>
  </si>
  <si>
    <t>J-2777/25-26</t>
  </si>
  <si>
    <t>J-2778/25-26</t>
  </si>
  <si>
    <t>PATTIMATTOM KUCS LTD</t>
  </si>
  <si>
    <t>J-2779/25-26</t>
  </si>
  <si>
    <t>AFSAL K M</t>
  </si>
  <si>
    <t>J-2780/25-26</t>
  </si>
  <si>
    <t>J-2781/25-26</t>
  </si>
  <si>
    <t>J-2782/25-26</t>
  </si>
  <si>
    <t>NARAYANAN GOPI.V</t>
  </si>
  <si>
    <t>J-2783/25-26</t>
  </si>
  <si>
    <t>J-2784/25-26</t>
  </si>
  <si>
    <t>JU-468/25-26</t>
  </si>
  <si>
    <t>JU-469/25-26</t>
  </si>
  <si>
    <t>KRISHNAN CNTR</t>
  </si>
  <si>
    <t>J-2785/25-26</t>
  </si>
  <si>
    <t>BINU PERUMANI</t>
  </si>
  <si>
    <t>J-2786/25-26</t>
  </si>
  <si>
    <t>J-2787/25-26</t>
  </si>
  <si>
    <t>AKHIL PUNNORKODE</t>
  </si>
  <si>
    <t>J-2788/25-26</t>
  </si>
  <si>
    <t>GOPALAKRISHNAN MAZHUVANNOOR</t>
  </si>
  <si>
    <t>J-2789/25-26</t>
  </si>
  <si>
    <t>J-2790/25-26</t>
  </si>
  <si>
    <t>MAJEED CHELAKULAM</t>
  </si>
  <si>
    <t>J-2791/25-26</t>
  </si>
  <si>
    <t>VINAYAN</t>
  </si>
  <si>
    <t>J-2792/25-26</t>
  </si>
  <si>
    <t>J-2793/25-26</t>
  </si>
  <si>
    <t>J-2794/25-26</t>
  </si>
  <si>
    <t>J-2795/25-26</t>
  </si>
  <si>
    <t>ELDHO NJARALLOOR</t>
  </si>
  <si>
    <t>J-2796/25-26</t>
  </si>
  <si>
    <t>JU-470/25-26</t>
  </si>
  <si>
    <t>JU-471/25-26</t>
  </si>
  <si>
    <t>JU-472/25-26</t>
  </si>
  <si>
    <t>JU-473/25-26</t>
  </si>
  <si>
    <t>NAUFAL KUMMANODE</t>
  </si>
  <si>
    <t>J-2797/25-26</t>
  </si>
  <si>
    <t>J-2798/25-26</t>
  </si>
  <si>
    <t>J-2799/25-26</t>
  </si>
  <si>
    <t>J-2800/25-26</t>
  </si>
  <si>
    <t>J-2801/25-26</t>
  </si>
  <si>
    <t>BENNY 9847361933</t>
  </si>
  <si>
    <t>J-2802/25-26</t>
  </si>
  <si>
    <t>J-2803/25-26</t>
  </si>
  <si>
    <t>J-2804/25-26</t>
  </si>
  <si>
    <t>JBS RICE MILL</t>
  </si>
  <si>
    <t>J-2805/25-26</t>
  </si>
  <si>
    <t>J-2806/25-26</t>
  </si>
  <si>
    <t>J-2807/25-26</t>
  </si>
  <si>
    <t>J-2808/25-26</t>
  </si>
  <si>
    <t>SASI VALAMBOOR</t>
  </si>
  <si>
    <t>J-2809/25-26</t>
  </si>
  <si>
    <t>J-2810/25-26</t>
  </si>
  <si>
    <t>J-2811/25-26</t>
  </si>
  <si>
    <t>MANOJ , THATTAMUKAL</t>
  </si>
  <si>
    <t>J-2812/25-26</t>
  </si>
  <si>
    <t>J-2813/25-26</t>
  </si>
  <si>
    <t>J-2814/25-26</t>
  </si>
  <si>
    <t>J-2815/25-26</t>
  </si>
  <si>
    <t>J-2816/25-26</t>
  </si>
  <si>
    <t>JU-474/25-26</t>
  </si>
  <si>
    <t>JU-475/25-26</t>
  </si>
  <si>
    <t>JU-476/25-26</t>
  </si>
  <si>
    <t>J-2817/25-26</t>
  </si>
  <si>
    <t>VASU KADAKKANAD</t>
  </si>
  <si>
    <t>J-2818/25-26</t>
  </si>
  <si>
    <t>SHEMEER CHELAKUALM</t>
  </si>
  <si>
    <t>J-2819/25-26</t>
  </si>
  <si>
    <t>J-2820/25-26</t>
  </si>
  <si>
    <t>J-2821/25-26</t>
  </si>
  <si>
    <t>J-2822/25-26</t>
  </si>
  <si>
    <t>J-2823/25-26</t>
  </si>
  <si>
    <t>BINU PULINCHODE</t>
  </si>
  <si>
    <t>J-2824/25-26</t>
  </si>
  <si>
    <t>J-2825/25-26</t>
  </si>
  <si>
    <t>J-2826/25-26</t>
  </si>
  <si>
    <t>J-2827/25-26</t>
  </si>
  <si>
    <t>J-2828/25-26</t>
  </si>
  <si>
    <t>J-2829/25-26</t>
  </si>
  <si>
    <t>J-2830/25-26</t>
  </si>
  <si>
    <t>J-2831/25-26</t>
  </si>
  <si>
    <t>SURESHKUMAR</t>
  </si>
  <si>
    <t>J-2832/25-26</t>
  </si>
  <si>
    <t>J-2833/25-26</t>
  </si>
  <si>
    <t>J-2834/25-26</t>
  </si>
  <si>
    <t>J-2835/25-26</t>
  </si>
  <si>
    <t>J-2836/25-26</t>
  </si>
  <si>
    <t>J-2837/25-26</t>
  </si>
  <si>
    <t>ANSARI KUMMANODE</t>
  </si>
  <si>
    <t>J-2838/25-26</t>
  </si>
  <si>
    <t>J-2839/25-26</t>
  </si>
  <si>
    <t>J-2840/25-26</t>
  </si>
  <si>
    <t>J-2841/25-26</t>
  </si>
  <si>
    <t>ANEESH KUNNAKKAL</t>
  </si>
  <si>
    <t>J-2842/25-26</t>
  </si>
  <si>
    <t>J-2843/25-26</t>
  </si>
  <si>
    <t>J-2844/25-26</t>
  </si>
  <si>
    <t>J-2845/25-26</t>
  </si>
  <si>
    <t>JU-477/25-26</t>
  </si>
  <si>
    <t>JU-478/25-26</t>
  </si>
  <si>
    <t>JU-479/25-26</t>
  </si>
  <si>
    <t>J-2846/25-26</t>
  </si>
  <si>
    <t>SULAIMAN PASSENGER</t>
  </si>
  <si>
    <t>J-2847/25-26</t>
  </si>
  <si>
    <t>J-2848/25-26</t>
  </si>
  <si>
    <t>VINU , CHENGARA</t>
  </si>
  <si>
    <t>J-2849/25-26</t>
  </si>
  <si>
    <t>J-2850/25-26</t>
  </si>
  <si>
    <t>J-2851/25-26</t>
  </si>
  <si>
    <t>J-2852/25-26</t>
  </si>
  <si>
    <t>J-2853/25-26</t>
  </si>
  <si>
    <t>SHAMEER MORAKKALA</t>
  </si>
  <si>
    <t>J-2854/25-26</t>
  </si>
  <si>
    <t>J-2855/25-26</t>
  </si>
  <si>
    <t>EBY PUTHENPURAKKAL</t>
  </si>
  <si>
    <t>J-2856/25-26</t>
  </si>
  <si>
    <t>J-2857/25-26</t>
  </si>
  <si>
    <t>J-2858/25-26</t>
  </si>
  <si>
    <t>J-2859/25-26</t>
  </si>
  <si>
    <t>J-2860/25-26</t>
  </si>
  <si>
    <t>J-2861/25-26</t>
  </si>
  <si>
    <t>SANDEEP DOUBLEPALAM</t>
  </si>
  <si>
    <t>J-2862/25-26</t>
  </si>
  <si>
    <t>SAKKEER APE NEW AUTO</t>
  </si>
  <si>
    <t>J-2863/25-26</t>
  </si>
  <si>
    <t>J-2864/25-26</t>
  </si>
  <si>
    <t>BASHEER DOUBLEPALAM</t>
  </si>
  <si>
    <t>J-2865/25-26</t>
  </si>
  <si>
    <t>JU-480/25-26</t>
  </si>
  <si>
    <t>JU-481/25-26</t>
  </si>
  <si>
    <t>JU-482/25-26</t>
  </si>
  <si>
    <t>JU-483/25-26</t>
  </si>
  <si>
    <t>JU-484/25-26</t>
  </si>
  <si>
    <t>JU-485/25-26</t>
  </si>
  <si>
    <t>JU-486/25-26</t>
  </si>
  <si>
    <t>AJI MORIA</t>
  </si>
  <si>
    <t>J-2866/25-26</t>
  </si>
  <si>
    <t>SHAFI , ATHANI</t>
  </si>
  <si>
    <t>J-2867/25-26</t>
  </si>
  <si>
    <t>J-2868/25-26</t>
  </si>
  <si>
    <t>J-2869/25-26</t>
  </si>
  <si>
    <t>J-2870/25-26</t>
  </si>
  <si>
    <t>J-2871/25-26</t>
  </si>
  <si>
    <t>J-2872/25-26</t>
  </si>
  <si>
    <t>J-2873/25-26</t>
  </si>
  <si>
    <t>J-2874/25-26</t>
  </si>
  <si>
    <t>MAITHEEN TRUSS</t>
  </si>
  <si>
    <t>J-2875/25-26</t>
  </si>
  <si>
    <t>J-2876/25-26</t>
  </si>
  <si>
    <t>J-2877/25-26</t>
  </si>
  <si>
    <t>J-2878/25-26</t>
  </si>
  <si>
    <t>J-2879/25-26</t>
  </si>
  <si>
    <t>J-2880/25-26</t>
  </si>
  <si>
    <t>ASHOKAN PAINTER</t>
  </si>
  <si>
    <t>J-2881/25-26</t>
  </si>
  <si>
    <t>J-2882/25-26</t>
  </si>
  <si>
    <t>J-2883/25-26</t>
  </si>
  <si>
    <t>J-2884/25-26</t>
  </si>
  <si>
    <t>J-2885/25-26</t>
  </si>
  <si>
    <t>J-2886/25-26</t>
  </si>
  <si>
    <t>J-2887/25-26</t>
  </si>
  <si>
    <t>J-2888/25-26</t>
  </si>
  <si>
    <t>J-2889/25-26</t>
  </si>
  <si>
    <t>J-2890/25-26</t>
  </si>
  <si>
    <t>J-2891/25-26</t>
  </si>
  <si>
    <t>ABHIJITH PUNNOORKODE</t>
  </si>
  <si>
    <t>J-2892/25-26</t>
  </si>
  <si>
    <t>BINU THOMAS</t>
  </si>
  <si>
    <t>J-2893/25-26</t>
  </si>
  <si>
    <t>J-2894/25-26</t>
  </si>
  <si>
    <t>J-2895/25-26</t>
  </si>
  <si>
    <t>J-2896/25-26</t>
  </si>
  <si>
    <t>J-2897/25-26</t>
  </si>
  <si>
    <t>J-2898/25-26</t>
  </si>
  <si>
    <t>J-2899/25-26</t>
  </si>
  <si>
    <t>MAKKAR ACE PATTIMATTOM</t>
  </si>
  <si>
    <t>J-2900/25-26</t>
  </si>
  <si>
    <t>J-2901/25-26</t>
  </si>
  <si>
    <t>J-2902/25-26</t>
  </si>
  <si>
    <t>J-2903/25-26</t>
  </si>
  <si>
    <t>J-2904/25-26</t>
  </si>
  <si>
    <t>NISHAD PATTIMATTOM</t>
  </si>
  <si>
    <t>J-2905/25-26</t>
  </si>
  <si>
    <t>J-2906/25-26</t>
  </si>
  <si>
    <t>J-2907/25-26</t>
  </si>
  <si>
    <t>MATTAKKATTIL FUELS</t>
  </si>
  <si>
    <t>J-2908/25-26</t>
  </si>
  <si>
    <t>J-2909/25-26</t>
  </si>
  <si>
    <t>BABU , PATTIMATTOM</t>
  </si>
  <si>
    <t>J-2910/25-26</t>
  </si>
  <si>
    <t>J-2911/25-26</t>
  </si>
  <si>
    <t>J-2912/25-26</t>
  </si>
  <si>
    <t>SAMAD PATTIMATTOM</t>
  </si>
  <si>
    <t>J-2913/25-26</t>
  </si>
  <si>
    <t>J-2914/25-26</t>
  </si>
  <si>
    <t>J-2915/25-26</t>
  </si>
  <si>
    <t>AJEESH KADAYIRYPPU</t>
  </si>
  <si>
    <t>J-2916/25-26</t>
  </si>
  <si>
    <t>J-2917/25-26</t>
  </si>
  <si>
    <t>J-2918/25-26</t>
  </si>
  <si>
    <t>J-2919/25-26</t>
  </si>
  <si>
    <t>AZIZ APE</t>
  </si>
  <si>
    <t>J-2920/25-26</t>
  </si>
  <si>
    <t>JU-487/25-26</t>
  </si>
  <si>
    <t>JU-488/25-26</t>
  </si>
  <si>
    <t>JU-489/25-26</t>
  </si>
  <si>
    <t>J-2921/25-26</t>
  </si>
  <si>
    <t>RATHEESH RAMAKRISHNAN</t>
  </si>
  <si>
    <t>J-2922/25-26</t>
  </si>
  <si>
    <t>J-2923/25-26</t>
  </si>
  <si>
    <t>JINTO , VALAMBOOR</t>
  </si>
  <si>
    <t>J-2924/25-26</t>
  </si>
  <si>
    <t>J-2925/25-26</t>
  </si>
  <si>
    <t>J-2926/25-26</t>
  </si>
  <si>
    <t>J-2927/25-26</t>
  </si>
  <si>
    <t>ISMAIL CNTR</t>
  </si>
  <si>
    <t>J-2928/25-26</t>
  </si>
  <si>
    <t>J-2929/25-26</t>
  </si>
  <si>
    <t>CHANDRAN TRUSS</t>
  </si>
  <si>
    <t>J-2930/25-26</t>
  </si>
  <si>
    <t>J-2931/25-26</t>
  </si>
  <si>
    <t>J-2932/25-26</t>
  </si>
  <si>
    <t>J-2933/25-26</t>
  </si>
  <si>
    <t>J-2934/25-26</t>
  </si>
  <si>
    <t>ELDHOSE , MANGALATHUNADA</t>
  </si>
  <si>
    <t>J-2935/25-26</t>
  </si>
  <si>
    <t>NELSON MATHEW</t>
  </si>
  <si>
    <t>J-2936/25-26</t>
  </si>
  <si>
    <t>JU-490/25-26</t>
  </si>
  <si>
    <t>JU-491/25-26</t>
  </si>
  <si>
    <t>J-2937/25-26</t>
  </si>
  <si>
    <t>J-2938/25-26</t>
  </si>
  <si>
    <t>J-2939/25-26</t>
  </si>
  <si>
    <t>J-2940/25-26</t>
  </si>
  <si>
    <t>JIBU K.P</t>
  </si>
  <si>
    <t>J-2941/25-26</t>
  </si>
  <si>
    <t>J-2942/25-26</t>
  </si>
  <si>
    <t>J-2943/25-26</t>
  </si>
  <si>
    <t>ALIAS MATHAI</t>
  </si>
  <si>
    <t>J-2944/25-26</t>
  </si>
  <si>
    <t>J-2945/25-26</t>
  </si>
  <si>
    <t>J-2946/25-26</t>
  </si>
  <si>
    <t>J-2947/25-26</t>
  </si>
  <si>
    <t>J-2948/25-26</t>
  </si>
  <si>
    <t>J-2949/25-26</t>
  </si>
  <si>
    <t>JOMON , KUMMANODU</t>
  </si>
  <si>
    <t>J-2950/25-26</t>
  </si>
  <si>
    <t>J-2951/25-26</t>
  </si>
  <si>
    <t>J-2952/25-26</t>
  </si>
  <si>
    <t>J-2953/25-26</t>
  </si>
  <si>
    <t>J-2954/25-26</t>
  </si>
  <si>
    <t>PRANAVAM HOTELS</t>
  </si>
  <si>
    <t>JU-492/25-26</t>
  </si>
  <si>
    <t>J-2955/25-26</t>
  </si>
  <si>
    <t>J-2956/25-26</t>
  </si>
  <si>
    <t>J-2957/25-26</t>
  </si>
  <si>
    <t>J-2958/25-26</t>
  </si>
  <si>
    <t>J-2959/25-26</t>
  </si>
  <si>
    <t>J-2960/25-26</t>
  </si>
  <si>
    <t>J-2961/25-26</t>
  </si>
  <si>
    <t>J-2962/25-26</t>
  </si>
  <si>
    <t>J-2963/25-26</t>
  </si>
  <si>
    <t>J-2964/25-26</t>
  </si>
  <si>
    <t>J-2965/25-26</t>
  </si>
  <si>
    <t>J-2966/25-26</t>
  </si>
  <si>
    <t>SASIDHARAN.P.G</t>
  </si>
  <si>
    <t>J-2967/25-26</t>
  </si>
  <si>
    <t>J-2968/25-26</t>
  </si>
  <si>
    <t>J-2969/25-26</t>
  </si>
  <si>
    <t>J-2970/25-26</t>
  </si>
  <si>
    <t>J-2971/25-26</t>
  </si>
  <si>
    <t>J-2972/25-26</t>
  </si>
  <si>
    <t>J-2973/25-26</t>
  </si>
  <si>
    <t>J-2974/25-26</t>
  </si>
  <si>
    <t>J-2975/25-26</t>
  </si>
  <si>
    <t>J-2976/25-26</t>
  </si>
  <si>
    <t>MANOJ</t>
  </si>
  <si>
    <t>J-2977/25-26</t>
  </si>
  <si>
    <t>MANU DRIVER KUMMANODE</t>
  </si>
  <si>
    <t>J-2978/25-26</t>
  </si>
  <si>
    <t>J-2979/25-26</t>
  </si>
  <si>
    <t>KURIAKOSE PAREPEEDIKA</t>
  </si>
  <si>
    <t>J-2980/25-26</t>
  </si>
  <si>
    <t>J-2981/25-26</t>
  </si>
  <si>
    <t>J-2982/25-26</t>
  </si>
  <si>
    <t>J-2983/25-26</t>
  </si>
  <si>
    <t>JU-493/25-26</t>
  </si>
  <si>
    <t>J-2984/25-26</t>
  </si>
  <si>
    <t>J-2985/25-26</t>
  </si>
  <si>
    <t>J-2986/25-26</t>
  </si>
  <si>
    <t>J-2987/25-26</t>
  </si>
  <si>
    <t>AMBUJAN</t>
  </si>
  <si>
    <t>J-2988/25-26</t>
  </si>
  <si>
    <t>SABU</t>
  </si>
  <si>
    <t>J-2989/25-26</t>
  </si>
  <si>
    <t>J-2990/25-26</t>
  </si>
  <si>
    <t>J-2991/25-26</t>
  </si>
  <si>
    <t>RAMAKRISHNAN EDATHIKKARA</t>
  </si>
  <si>
    <t>J-2992/25-26</t>
  </si>
  <si>
    <t>J-2993/25-26</t>
  </si>
  <si>
    <t>SINI BINU</t>
  </si>
  <si>
    <t>J-2994/25-26</t>
  </si>
  <si>
    <t>J-2995/25-26</t>
  </si>
  <si>
    <t>J-2996/25-26</t>
  </si>
  <si>
    <t>J-2997/25-26</t>
  </si>
  <si>
    <t>J-2998/25-26</t>
  </si>
  <si>
    <t>J-2999/25-26</t>
  </si>
  <si>
    <t>J-3000/25-26</t>
  </si>
  <si>
    <t>J-3001/25-26</t>
  </si>
  <si>
    <t>LALU PATTIMATTOM</t>
  </si>
  <si>
    <t>J-3002/25-26</t>
  </si>
  <si>
    <t>O.K MEETHEEN KUNJU</t>
  </si>
  <si>
    <t>JU-494/25-26</t>
  </si>
  <si>
    <t>SALIM MANNOOPARAMBIL</t>
  </si>
  <si>
    <t>J-3003/25-26</t>
  </si>
  <si>
    <t>J-3004/25-26</t>
  </si>
  <si>
    <t>J-3005/25-26</t>
  </si>
  <si>
    <t>J-3006/25-26</t>
  </si>
  <si>
    <t>J-3007/25-26</t>
  </si>
  <si>
    <t>J-3008/25-26</t>
  </si>
  <si>
    <t>J-3009/25-26</t>
  </si>
  <si>
    <t>J-3010/25-26</t>
  </si>
  <si>
    <t>ARADHANA ,CHOORAKODE</t>
  </si>
  <si>
    <t>J-3011/25-26</t>
  </si>
  <si>
    <t>J-3012/25-26</t>
  </si>
  <si>
    <t>J-3013/25-26</t>
  </si>
  <si>
    <t>J-3014/25-26</t>
  </si>
  <si>
    <t>RAVI PATTIMATTOM</t>
  </si>
  <si>
    <t>J-3015/25-26</t>
  </si>
  <si>
    <t>J-3016/25-26</t>
  </si>
  <si>
    <t>J-3017/25-26</t>
  </si>
  <si>
    <t>VIBIN NJARALLOOR</t>
  </si>
  <si>
    <t>J-3018/25-26</t>
  </si>
  <si>
    <t>J-3019/25-26</t>
  </si>
  <si>
    <t>J-3020/25-26</t>
  </si>
  <si>
    <t>BABU KADAYIRUPPU</t>
  </si>
  <si>
    <t>J-3021/25-26</t>
  </si>
  <si>
    <t>J-3022/25-26</t>
  </si>
  <si>
    <t>J-3023/25-26</t>
  </si>
  <si>
    <t>PRAKASH CHENGARA</t>
  </si>
  <si>
    <t>J-3024/25-26</t>
  </si>
  <si>
    <t>J-3025/25-26</t>
  </si>
  <si>
    <t>J-3026/25-26</t>
  </si>
  <si>
    <t>J-3027/25-26</t>
  </si>
  <si>
    <t>J-3028/25-26</t>
  </si>
  <si>
    <t>J-3029/25-26</t>
  </si>
  <si>
    <t>J-3030/25-26</t>
  </si>
  <si>
    <t>J-3031/25-26</t>
  </si>
  <si>
    <t>J-3032/25-26</t>
  </si>
  <si>
    <t>JU-495/25-26</t>
  </si>
  <si>
    <t>JU-496/25-26</t>
  </si>
  <si>
    <t>JU-497/25-26</t>
  </si>
  <si>
    <t>JU-498/25-26</t>
  </si>
  <si>
    <t>JU-499/25-26</t>
  </si>
  <si>
    <t>SUN POWER SYSTEM</t>
  </si>
  <si>
    <t>JU-500/25-26</t>
  </si>
  <si>
    <t>J-3033/25-26</t>
  </si>
  <si>
    <t>J-3034/25-26</t>
  </si>
  <si>
    <t>J-3035/25-26</t>
  </si>
  <si>
    <t>J-3036/25-26</t>
  </si>
  <si>
    <t>J-3037/25-26</t>
  </si>
  <si>
    <t>J-3038/25-26</t>
  </si>
  <si>
    <t>J-3039/25-26</t>
  </si>
  <si>
    <t>BENNY JOSEPH (BROOK SIDE)</t>
  </si>
  <si>
    <t>J-3040/25-26</t>
  </si>
  <si>
    <t>J-3041/25-26</t>
  </si>
  <si>
    <t>J-3042/25-26</t>
  </si>
  <si>
    <t>JU-501/25-26</t>
  </si>
  <si>
    <t>JU-502/25-26</t>
  </si>
  <si>
    <t>J-3043/25-26</t>
  </si>
  <si>
    <t>J-3044/25-26</t>
  </si>
  <si>
    <t>J-3045/25-26</t>
  </si>
  <si>
    <t>J-3046/25-26</t>
  </si>
  <si>
    <t>J-3047/25-26</t>
  </si>
  <si>
    <t>SUNIL , ERAPPUMPARA</t>
  </si>
  <si>
    <t>J-3048/25-26</t>
  </si>
  <si>
    <t>J-3049/25-26</t>
  </si>
  <si>
    <t>J-3050/25-26</t>
  </si>
  <si>
    <t>J-3051/25-26</t>
  </si>
  <si>
    <t>FAIZAL</t>
  </si>
  <si>
    <t>J-3052/25-26</t>
  </si>
  <si>
    <t>J-3053/25-26</t>
  </si>
  <si>
    <t>SURESH THEROPARAMBIL</t>
  </si>
  <si>
    <t>J-3054/25-26</t>
  </si>
  <si>
    <t>J-3055/25-26</t>
  </si>
  <si>
    <t>BENNY PULINCHODE</t>
  </si>
  <si>
    <t>J-3056/25-26</t>
  </si>
  <si>
    <t>AJESH PAREKKATTIL</t>
  </si>
  <si>
    <t>J-3057/25-26</t>
  </si>
  <si>
    <t>J-3058/25-26</t>
  </si>
  <si>
    <t>J-3059/25-26</t>
  </si>
  <si>
    <t>J-3060/25-26</t>
  </si>
  <si>
    <t>J-3061/25-26</t>
  </si>
  <si>
    <t>J-3062/25-26</t>
  </si>
  <si>
    <t>RAVINDRAN THATTAMUGAL</t>
  </si>
  <si>
    <t>J-3063/25-26</t>
  </si>
  <si>
    <t>J-3064/25-26</t>
  </si>
  <si>
    <t>J-3065/25-26</t>
  </si>
  <si>
    <t>MADHU NJARALLOOR</t>
  </si>
  <si>
    <t>J-3066/25-26</t>
  </si>
  <si>
    <t>J-3067/25-26</t>
  </si>
  <si>
    <t>J-3068/25-26</t>
  </si>
  <si>
    <t>J-3069/25-26</t>
  </si>
  <si>
    <t>J-3070/25-26</t>
  </si>
  <si>
    <t>J-3071/25-26</t>
  </si>
  <si>
    <t>J-3072/25-26</t>
  </si>
  <si>
    <t>J-3073/25-26</t>
  </si>
  <si>
    <t>J-3074/25-26</t>
  </si>
  <si>
    <t>JOY NJATTUMKALA , VALAMBOOR</t>
  </si>
  <si>
    <t>J-3075/25-26</t>
  </si>
  <si>
    <t>J-3076/25-26</t>
  </si>
  <si>
    <t>J-3077/25-26</t>
  </si>
  <si>
    <t>J-3078/25-26</t>
  </si>
  <si>
    <t>J-3079/25-26</t>
  </si>
  <si>
    <t>J-3080/25-26</t>
  </si>
  <si>
    <t>J-3081/25-26</t>
  </si>
  <si>
    <t>J-3082/25-26</t>
  </si>
  <si>
    <t>J-3083/25-26</t>
  </si>
  <si>
    <t>BIJO ,KURIAN</t>
  </si>
  <si>
    <t>J-3084/25-26</t>
  </si>
  <si>
    <t>J-3085/25-26</t>
  </si>
  <si>
    <t>J-3086/25-26</t>
  </si>
  <si>
    <t>J-3087/25-26</t>
  </si>
  <si>
    <t>J-3088/25-26</t>
  </si>
  <si>
    <t>J-3089/25-26</t>
  </si>
  <si>
    <t>BIJU BAKERY</t>
  </si>
  <si>
    <t>J-3090/25-26</t>
  </si>
  <si>
    <t>J-3091/25-26</t>
  </si>
  <si>
    <t>J-3092/25-26</t>
  </si>
  <si>
    <t>J-3093/25-26</t>
  </si>
  <si>
    <t>J-3094/25-26</t>
  </si>
  <si>
    <t>J-3095/25-26</t>
  </si>
  <si>
    <t>JU-503/25-26</t>
  </si>
  <si>
    <t>JU-504/25-26</t>
  </si>
  <si>
    <t>V &amp; V ENTERPRISES</t>
  </si>
  <si>
    <t>JU-505/25-26</t>
  </si>
  <si>
    <t>JU-506/25-26</t>
  </si>
  <si>
    <t>J-3096/25-26</t>
  </si>
  <si>
    <t>J-3097/25-26</t>
  </si>
  <si>
    <t>J-3098/25-26</t>
  </si>
  <si>
    <t>J-3099/25-26</t>
  </si>
  <si>
    <t>J-3100/25-26</t>
  </si>
  <si>
    <t>J-3101/25-26</t>
  </si>
  <si>
    <t>J-3102/25-26</t>
  </si>
  <si>
    <t>J-3103/25-26</t>
  </si>
  <si>
    <t>J-3104/25-26</t>
  </si>
  <si>
    <t>J-3105/25-26</t>
  </si>
  <si>
    <t>ELDHOSE AIRAPURAM</t>
  </si>
  <si>
    <t>J-3106/25-26</t>
  </si>
  <si>
    <t>ANWAR SCARP</t>
  </si>
  <si>
    <t>J-3107/25-26</t>
  </si>
  <si>
    <t>J-3108/25-26</t>
  </si>
  <si>
    <t>J-3109/25-26</t>
  </si>
  <si>
    <t>NAUSHAD DOUBLEPALAM</t>
  </si>
  <si>
    <t>J-3110/25-26</t>
  </si>
  <si>
    <t>J-3111/25-26</t>
  </si>
  <si>
    <t>J-3112/25-26</t>
  </si>
  <si>
    <t>ELDHO THATTAMUGAL</t>
  </si>
  <si>
    <t>J-3113/25-26</t>
  </si>
  <si>
    <t>J-3114/25-26</t>
  </si>
  <si>
    <t>FRANCIS DAYARAPADY</t>
  </si>
  <si>
    <t>J-3115/25-26</t>
  </si>
  <si>
    <t>RATHEESH ERAPPUMPARA</t>
  </si>
  <si>
    <t>J-3116/25-26</t>
  </si>
  <si>
    <t>J-3117/25-26</t>
  </si>
  <si>
    <t>J-3118/25-26</t>
  </si>
  <si>
    <t>J-3119/25-26</t>
  </si>
  <si>
    <t>J-3120/25-26</t>
  </si>
  <si>
    <t>J-3121/25-26</t>
  </si>
  <si>
    <t>JU-507/25-26</t>
  </si>
  <si>
    <t>JU-508/25-26</t>
  </si>
  <si>
    <t>JU-509/25-26</t>
  </si>
  <si>
    <t>JU-510/25-26</t>
  </si>
  <si>
    <t>JU-511/25-26</t>
  </si>
  <si>
    <t>J-3122/25-26</t>
  </si>
  <si>
    <t>J-3123/25-26</t>
  </si>
  <si>
    <t>J-3124/25-26</t>
  </si>
  <si>
    <t>J-3125/25-26</t>
  </si>
  <si>
    <t>J-3126/25-26</t>
  </si>
  <si>
    <t>J-3127/25-26</t>
  </si>
  <si>
    <t>J-3128/25-26</t>
  </si>
  <si>
    <t>J-3129/25-26</t>
  </si>
  <si>
    <t>J-3130/25-26</t>
  </si>
  <si>
    <t>J-3131/25-26</t>
  </si>
  <si>
    <t>MAHESH VALAMBOOR</t>
  </si>
  <si>
    <t>J-3132/25-26</t>
  </si>
  <si>
    <t>J-3133/25-26</t>
  </si>
  <si>
    <t>J-3134/25-26</t>
  </si>
  <si>
    <t>J-3135/25-26</t>
  </si>
  <si>
    <t>J-3136/25-26</t>
  </si>
  <si>
    <t>J-3137/25-26</t>
  </si>
  <si>
    <t>J-3138/25-26</t>
  </si>
  <si>
    <t>J-3139/25-26</t>
  </si>
  <si>
    <t>JU-512/25-26</t>
  </si>
  <si>
    <t>J-3140/25-26</t>
  </si>
  <si>
    <t>J-3141/25-26</t>
  </si>
  <si>
    <t>J-3142/25-26</t>
  </si>
  <si>
    <t>J-3143/25-26</t>
  </si>
  <si>
    <t>J-3144/25-26</t>
  </si>
  <si>
    <t>J-3145/25-26</t>
  </si>
  <si>
    <t>J-3146/25-26</t>
  </si>
  <si>
    <t>J-3147/25-26</t>
  </si>
  <si>
    <t>SARAVANAN</t>
  </si>
  <si>
    <t>J-3148/25-26</t>
  </si>
  <si>
    <t>J-3149/25-26</t>
  </si>
  <si>
    <t>J-3150/25-26</t>
  </si>
  <si>
    <t>J-3151/25-26</t>
  </si>
  <si>
    <t>JAYAN KAITHAKKAD</t>
  </si>
  <si>
    <t>J-3152/25-26</t>
  </si>
  <si>
    <t>J-3153/25-26</t>
  </si>
  <si>
    <t>J-3154/25-26</t>
  </si>
  <si>
    <t>J-3155/25-26</t>
  </si>
  <si>
    <t>J-3156/25-26</t>
  </si>
  <si>
    <t>ANIL KUMAR</t>
  </si>
  <si>
    <t>J-3157/25-26</t>
  </si>
  <si>
    <t>J-3158/25-26</t>
  </si>
  <si>
    <t>ASHIF - 9562979002</t>
  </si>
  <si>
    <t>J-3159/25-26</t>
  </si>
  <si>
    <t>J-3160/25-26</t>
  </si>
  <si>
    <t>SREENIVASAN DOUBLEPALAM</t>
  </si>
  <si>
    <t>J-3161/25-26</t>
  </si>
  <si>
    <t>J-3162/25-26</t>
  </si>
  <si>
    <t>J-3163/25-26</t>
  </si>
  <si>
    <t>J-3164/25-26</t>
  </si>
  <si>
    <t>J-3165/25-26</t>
  </si>
  <si>
    <t>J-3166/25-26</t>
  </si>
  <si>
    <t>J-3167/25-26</t>
  </si>
  <si>
    <t>J-3168/25-26</t>
  </si>
  <si>
    <t>J-3169/25-26</t>
  </si>
  <si>
    <t>JU-513/25-26</t>
  </si>
  <si>
    <t>JU-514/25-26</t>
  </si>
  <si>
    <t>JU-515/25-26</t>
  </si>
  <si>
    <t>GLAZE INTERIO</t>
  </si>
  <si>
    <t>JU-516/25-26</t>
  </si>
  <si>
    <t>JU-517/25-26</t>
  </si>
  <si>
    <t>JU-518/25-26</t>
  </si>
  <si>
    <t>JU-519/25-26</t>
  </si>
  <si>
    <t>J-3170/25-26</t>
  </si>
  <si>
    <t>J-3171/25-26</t>
  </si>
  <si>
    <t>J-3172/25-26</t>
  </si>
  <si>
    <t>J-3173/25-26</t>
  </si>
  <si>
    <t>J-3174/25-26</t>
  </si>
  <si>
    <t>J-3175/25-26</t>
  </si>
  <si>
    <t>J-3176/25-26</t>
  </si>
  <si>
    <t>J-3177/25-26</t>
  </si>
  <si>
    <t>J-3178/25-26</t>
  </si>
  <si>
    <t>J-3179/25-26</t>
  </si>
  <si>
    <t>J-3180/25-26</t>
  </si>
  <si>
    <t>J-3181/25-26</t>
  </si>
  <si>
    <t>J-3182/25-26</t>
  </si>
  <si>
    <t>AJMAL.P.P</t>
  </si>
  <si>
    <t>J-3183/25-26</t>
  </si>
  <si>
    <t>J-3184/25-26</t>
  </si>
  <si>
    <t>J-3185/25-26</t>
  </si>
  <si>
    <t>J-3186/25-26</t>
  </si>
  <si>
    <t>J-3187/25-26</t>
  </si>
  <si>
    <t>J-3188/25-26</t>
  </si>
  <si>
    <t>J-3189/25-26</t>
  </si>
  <si>
    <t>AGUL MAZHUVANOOR</t>
  </si>
  <si>
    <t>J-3190/25-26</t>
  </si>
  <si>
    <t>J-3191/25-26</t>
  </si>
  <si>
    <t>J-3192/25-26</t>
  </si>
  <si>
    <t>JU-520/25-26</t>
  </si>
  <si>
    <t>JU-521/25-26</t>
  </si>
  <si>
    <t>JU-522/25-26</t>
  </si>
  <si>
    <t>JU-523/25-26</t>
  </si>
  <si>
    <t>J-3193/25-26</t>
  </si>
  <si>
    <t>J-3194/25-26</t>
  </si>
  <si>
    <t>J-3195/25-26</t>
  </si>
  <si>
    <t>J-3196/25-26</t>
  </si>
  <si>
    <t>J-3197/25-26</t>
  </si>
  <si>
    <t>J-3198/25-26</t>
  </si>
  <si>
    <t>J-3199/25-26</t>
  </si>
  <si>
    <t>J-3200/25-26</t>
  </si>
  <si>
    <t>J-3201/25-26</t>
  </si>
  <si>
    <t>J-3202/25-26</t>
  </si>
  <si>
    <t>J-3203/25-26</t>
  </si>
  <si>
    <t>J-3204/25-26</t>
  </si>
  <si>
    <t>HOTEL VRINDHAVAN</t>
  </si>
  <si>
    <t>J-3205/25-26</t>
  </si>
  <si>
    <t>J-3206/25-26</t>
  </si>
  <si>
    <t>J-3207/25-26</t>
  </si>
  <si>
    <t>JU-524/25-26</t>
  </si>
  <si>
    <t>JU-525/25-26</t>
  </si>
  <si>
    <t>J-3208/25-26</t>
  </si>
  <si>
    <t>J-3209/25-26</t>
  </si>
  <si>
    <t>J-3210/25-26</t>
  </si>
  <si>
    <t>J-3211/25-26</t>
  </si>
  <si>
    <t>J-3212/25-26</t>
  </si>
  <si>
    <t>J-3213/25-26</t>
  </si>
  <si>
    <t>J-3214/25-26</t>
  </si>
  <si>
    <t>J-3215/25-26</t>
  </si>
  <si>
    <t>PAREETH</t>
  </si>
  <si>
    <t>J-3216/25-26</t>
  </si>
  <si>
    <t>J-3217/25-26</t>
  </si>
  <si>
    <t>J-3218/25-26</t>
  </si>
  <si>
    <t>BALU CHELAKUALM</t>
  </si>
  <si>
    <t>J-3219/25-26</t>
  </si>
  <si>
    <t>J-3220/25-26</t>
  </si>
  <si>
    <t>J-3221/25-26</t>
  </si>
  <si>
    <t>J-3222/25-26</t>
  </si>
  <si>
    <t>J-3223/25-26</t>
  </si>
  <si>
    <t>J-3224/25-26</t>
  </si>
  <si>
    <t>J-3225/25-26</t>
  </si>
  <si>
    <t>J-3226/25-26</t>
  </si>
  <si>
    <t>J-3227/25-26</t>
  </si>
  <si>
    <t>SATHYAN , PAZHAMTHOTTAM</t>
  </si>
  <si>
    <t>J-3228/25-26</t>
  </si>
  <si>
    <t>YUNGSTERS</t>
  </si>
  <si>
    <t>J-3229/25-26</t>
  </si>
  <si>
    <t>JU-526/25-26</t>
  </si>
  <si>
    <t>JU-527/25-26</t>
  </si>
  <si>
    <t>J-3230/25-26</t>
  </si>
  <si>
    <t>J-3231/25-26</t>
  </si>
  <si>
    <t>J-3232/25-26</t>
  </si>
  <si>
    <t>JOSE VILANGU</t>
  </si>
  <si>
    <t>J-3233/25-26</t>
  </si>
  <si>
    <t>J-3234/25-26</t>
  </si>
  <si>
    <t>J-3235/25-26</t>
  </si>
  <si>
    <t>J-3236/25-26</t>
  </si>
  <si>
    <t>J-3237/25-26</t>
  </si>
  <si>
    <t>SREEJITH KOCHIKKA</t>
  </si>
  <si>
    <t>J-3238/25-26</t>
  </si>
  <si>
    <t>J-3239/25-26</t>
  </si>
  <si>
    <t>J-3240/25-26</t>
  </si>
  <si>
    <t>J-3241/25-26</t>
  </si>
  <si>
    <t>J-3242/25-26</t>
  </si>
  <si>
    <t>J-3243/25-26</t>
  </si>
  <si>
    <t>JU-528/25-26</t>
  </si>
  <si>
    <t>JU-529/25-26</t>
  </si>
  <si>
    <t>JU-530/25-26</t>
  </si>
  <si>
    <t>J-3244/25-26</t>
  </si>
  <si>
    <t>J-3245/25-26</t>
  </si>
  <si>
    <t>J-3246/25-26</t>
  </si>
  <si>
    <t>J-3247/25-26</t>
  </si>
  <si>
    <t>J-3248/25-26</t>
  </si>
  <si>
    <t>RAJESH KUMMANODE</t>
  </si>
  <si>
    <t>J-3249/25-26</t>
  </si>
  <si>
    <t>J-3250/25-26</t>
  </si>
  <si>
    <t>J-3251/25-26</t>
  </si>
  <si>
    <t>SIVAN APE</t>
  </si>
  <si>
    <t>J-3252/25-26</t>
  </si>
  <si>
    <t>J-3253/25-26</t>
  </si>
  <si>
    <t>J-3254/25-26</t>
  </si>
  <si>
    <t>RADHIKA KUMMANODE</t>
  </si>
  <si>
    <t>J-3255/25-26</t>
  </si>
  <si>
    <t>J-3256/25-26</t>
  </si>
  <si>
    <t>J-3257/25-26</t>
  </si>
  <si>
    <t>J-3258/25-26</t>
  </si>
  <si>
    <t>KAITHAKKADU JUMA MAZJID</t>
  </si>
  <si>
    <t>J-3259/25-26</t>
  </si>
  <si>
    <t>JU-531/25-26</t>
  </si>
  <si>
    <t>JU-532/25-26</t>
  </si>
  <si>
    <t>SUDEEP PATTIMATTOM</t>
  </si>
  <si>
    <t>J-3260/25-26</t>
  </si>
  <si>
    <t>ANANDU , MAZHUVANNOOR</t>
  </si>
  <si>
    <t>J-3261/25-26</t>
  </si>
  <si>
    <t>J-3262/25-26</t>
  </si>
  <si>
    <t>J-3263/25-26</t>
  </si>
  <si>
    <t>J-3264/25-26</t>
  </si>
  <si>
    <t>J-3265/25-26</t>
  </si>
  <si>
    <t>J-3266/25-26</t>
  </si>
  <si>
    <t>THOUFEEQUE KUZHIPPILLY</t>
  </si>
  <si>
    <t>J-3267/25-26</t>
  </si>
  <si>
    <t>J-3268/25-26</t>
  </si>
  <si>
    <t>BABU DOUBLEPALAM</t>
  </si>
  <si>
    <t>J-3269/25-26</t>
  </si>
  <si>
    <t>J-3270/25-26</t>
  </si>
  <si>
    <t>J-3271/25-26</t>
  </si>
  <si>
    <t>J-3272/25-26</t>
  </si>
  <si>
    <t>J-3273/25-26</t>
  </si>
  <si>
    <t>J-3274/25-26</t>
  </si>
  <si>
    <t>DILEEP , KILIKULAM</t>
  </si>
  <si>
    <t>J-3275/25-26</t>
  </si>
  <si>
    <t>J-3276/25-26</t>
  </si>
  <si>
    <t>JU-533/25-26</t>
  </si>
  <si>
    <t>M K CHACKO</t>
  </si>
  <si>
    <t>JU-534/25-26</t>
  </si>
  <si>
    <t>J-3277/25-26</t>
  </si>
  <si>
    <t>J-3278/25-26</t>
  </si>
  <si>
    <t>J-3279/25-26</t>
  </si>
  <si>
    <t>J-3280/25-26</t>
  </si>
  <si>
    <t>J-3281/25-26</t>
  </si>
  <si>
    <t>J-3282/25-26</t>
  </si>
  <si>
    <t>J-3283/25-26</t>
  </si>
  <si>
    <t>J-3284/25-26</t>
  </si>
  <si>
    <t>PREMJI THATTAMUGAL</t>
  </si>
  <si>
    <t>J-3285/25-26</t>
  </si>
  <si>
    <t>J-3286/25-26</t>
  </si>
  <si>
    <t>J-3287/25-26</t>
  </si>
  <si>
    <t>J-3288/25-26</t>
  </si>
  <si>
    <t>J-3289/25-26</t>
  </si>
  <si>
    <t>J-3290/25-26</t>
  </si>
  <si>
    <t>J-3291/25-26</t>
  </si>
  <si>
    <t>J-3292/25-26</t>
  </si>
  <si>
    <t>J-3293/25-26</t>
  </si>
  <si>
    <t>JOBY JOHNY</t>
  </si>
  <si>
    <t>JU-535/25-26</t>
  </si>
  <si>
    <t>JU-536/25-26</t>
  </si>
  <si>
    <t>JU-537/25-26</t>
  </si>
  <si>
    <t>JU-538/25-26</t>
  </si>
  <si>
    <t>JU-539/25-26</t>
  </si>
  <si>
    <t>J-3294/25-26</t>
  </si>
  <si>
    <t>J-3295/25-26</t>
  </si>
  <si>
    <t>J-3296/25-26</t>
  </si>
  <si>
    <t>J-3297/25-26</t>
  </si>
  <si>
    <t>J-3298/25-26</t>
  </si>
  <si>
    <t>ALI THANDAKALA</t>
  </si>
  <si>
    <t>J-3299/25-26</t>
  </si>
  <si>
    <t>J-3300/25-26</t>
  </si>
  <si>
    <t>J-3301/25-26</t>
  </si>
  <si>
    <t>J-3302/25-26</t>
  </si>
  <si>
    <t>J-3303/25-26</t>
  </si>
  <si>
    <t>J-3304/25-26</t>
  </si>
  <si>
    <t>J-3305/25-26</t>
  </si>
  <si>
    <t>DHANEESH PATTIMATTOM</t>
  </si>
  <si>
    <t>J-3306/25-26</t>
  </si>
  <si>
    <t>J-3307/25-26</t>
  </si>
  <si>
    <t>J-3308/25-26</t>
  </si>
  <si>
    <t>JU-540/25-26</t>
  </si>
  <si>
    <t>JU-541/25-26</t>
  </si>
  <si>
    <t>JU-542/25-26</t>
  </si>
  <si>
    <t>JU-543/25-26</t>
  </si>
  <si>
    <t>J-3309/25-26</t>
  </si>
  <si>
    <t>J-3310/25-26</t>
  </si>
  <si>
    <t>J-3311/25-26</t>
  </si>
  <si>
    <t>J-3312/25-26</t>
  </si>
  <si>
    <t>J-3313/25-26</t>
  </si>
  <si>
    <t>J-3314/25-26</t>
  </si>
  <si>
    <t>J-3315/25-26</t>
  </si>
  <si>
    <t>J-3316/25-26</t>
  </si>
  <si>
    <t>J-3317/25-26</t>
  </si>
  <si>
    <t>J-3318/25-26</t>
  </si>
  <si>
    <t>J-3319/25-26</t>
  </si>
  <si>
    <t>J-3320/25-26</t>
  </si>
  <si>
    <t>J-3321/25-26</t>
  </si>
  <si>
    <t>J-3322/25-26</t>
  </si>
  <si>
    <t>J-3323/25-26</t>
  </si>
  <si>
    <t>JU-544/25-26</t>
  </si>
  <si>
    <t>JENOVA SOLAR HYBRID UPS SYSTEMS</t>
  </si>
  <si>
    <t>JU-545/25-26</t>
  </si>
  <si>
    <t>JU-546/25-26</t>
  </si>
  <si>
    <t>J-3324/25-26</t>
  </si>
  <si>
    <t>J-3325/25-26</t>
  </si>
  <si>
    <t>J-3326/25-26</t>
  </si>
  <si>
    <t>J-3327/25-26</t>
  </si>
  <si>
    <t>J-3328/25-26</t>
  </si>
  <si>
    <t>SHAJI PARAKKAL</t>
  </si>
  <si>
    <t>J-3329/25-26</t>
  </si>
  <si>
    <t>J-3330/25-26</t>
  </si>
  <si>
    <t>J-3331/25-26</t>
  </si>
  <si>
    <t>SIVAN</t>
  </si>
  <si>
    <t>J-3332/25-26</t>
  </si>
  <si>
    <t>J-3333/25-26</t>
  </si>
  <si>
    <t>J-3334/25-26</t>
  </si>
  <si>
    <t>JU-547/25-26</t>
  </si>
  <si>
    <t>JU-548/25-26</t>
  </si>
  <si>
    <t>J-3335/25-26</t>
  </si>
  <si>
    <t>J-3336/25-26</t>
  </si>
  <si>
    <t>J-3337/25-26</t>
  </si>
  <si>
    <t>J-3338/25-26</t>
  </si>
  <si>
    <t>J-3339/25-26</t>
  </si>
  <si>
    <t>RENEESH KUMMANODE</t>
  </si>
  <si>
    <t>J-3340/25-26</t>
  </si>
  <si>
    <t>J-3341/25-26</t>
  </si>
  <si>
    <t>J-3342/25-26</t>
  </si>
  <si>
    <t>J-3343/25-26</t>
  </si>
  <si>
    <t>J-3344/25-26</t>
  </si>
  <si>
    <t>J-3345/25-26</t>
  </si>
  <si>
    <t>YUSAF , VALAMBOOR</t>
  </si>
  <si>
    <t>J-3346/25-26</t>
  </si>
  <si>
    <t>J-3347/25-26</t>
  </si>
  <si>
    <t>J-3348/25-26</t>
  </si>
  <si>
    <t>JU-549/25-26</t>
  </si>
  <si>
    <t>JU-550/25-26</t>
  </si>
  <si>
    <t>JU-551/25-26</t>
  </si>
  <si>
    <t>JU-552/25-26</t>
  </si>
  <si>
    <t>JU-553/25-26</t>
  </si>
  <si>
    <t>J-3349/25-26</t>
  </si>
  <si>
    <t>J-3350/25-26</t>
  </si>
  <si>
    <t>RENJITH ARACKKAPADY</t>
  </si>
  <si>
    <t>J-3351/25-26</t>
  </si>
  <si>
    <t>J-3352/25-26</t>
  </si>
  <si>
    <t>J-3353/25-26</t>
  </si>
  <si>
    <t>DR.SREENATH</t>
  </si>
  <si>
    <t>J-3354/25-26</t>
  </si>
  <si>
    <t>J-3355/25-26</t>
  </si>
  <si>
    <t>KHADER PASSENGER</t>
  </si>
  <si>
    <t>J-3356/25-26</t>
  </si>
  <si>
    <t>J-3357/25-26</t>
  </si>
  <si>
    <t>J-3358/25-26</t>
  </si>
  <si>
    <t>ROBIN GEORGE ATHANI</t>
  </si>
  <si>
    <t>J-3359/25-26</t>
  </si>
  <si>
    <t>J-3360/25-26</t>
  </si>
  <si>
    <t>J-3361/25-26</t>
  </si>
  <si>
    <t>SUSEELAN KOLENCHERY</t>
  </si>
  <si>
    <t>J-3362/25-26</t>
  </si>
  <si>
    <t>J-3363/25-26</t>
  </si>
  <si>
    <t>J-3364/25-26</t>
  </si>
  <si>
    <t>UMA SANKAR</t>
  </si>
  <si>
    <t>J-3365/25-26</t>
  </si>
  <si>
    <t>J-3366/25-26</t>
  </si>
  <si>
    <t>SOMARAJAN</t>
  </si>
  <si>
    <t>J-3367/25-26</t>
  </si>
  <si>
    <t>J K ANNA NATURAL RUBBERS</t>
  </si>
  <si>
    <t>JU-554/25-26</t>
  </si>
  <si>
    <t>JU-555/25-26</t>
  </si>
  <si>
    <t>JU-556/25-26</t>
  </si>
  <si>
    <t>J-3368/25-26</t>
  </si>
  <si>
    <t>J-3369/25-26</t>
  </si>
  <si>
    <t>REGHU KUMMANODE</t>
  </si>
  <si>
    <t>J-3370/25-26</t>
  </si>
  <si>
    <t>J-3371/25-26</t>
  </si>
  <si>
    <t>J-3372/25-26</t>
  </si>
  <si>
    <t>SAKEER PATTIMATTOM</t>
  </si>
  <si>
    <t>J-3373/25-26</t>
  </si>
  <si>
    <t>J-3374/25-26</t>
  </si>
  <si>
    <t>J-3375/25-26</t>
  </si>
  <si>
    <t>J-3376/25-26</t>
  </si>
  <si>
    <t>J-3377/25-26</t>
  </si>
  <si>
    <t>J-3378/25-26</t>
  </si>
  <si>
    <t>J-3379/25-26</t>
  </si>
  <si>
    <t>SHINOJ VALAMBOOR</t>
  </si>
  <si>
    <t>J-3380/25-26</t>
  </si>
  <si>
    <t>J-3381/25-26</t>
  </si>
  <si>
    <t>BENNY KSEB</t>
  </si>
  <si>
    <t>J-3382/25-26</t>
  </si>
  <si>
    <t>J-3383/25-26</t>
  </si>
  <si>
    <t>JU-557/25-26</t>
  </si>
  <si>
    <t>JU-558/25-26</t>
  </si>
  <si>
    <t>JU-559/25-26</t>
  </si>
  <si>
    <t>J-3384/25-26</t>
  </si>
  <si>
    <t>J-3385/25-26</t>
  </si>
  <si>
    <t>J-3386/25-26</t>
  </si>
  <si>
    <t>J-3387/25-26</t>
  </si>
  <si>
    <t>AJITH K T</t>
  </si>
  <si>
    <t>J-3388/25-26</t>
  </si>
  <si>
    <t>J-3389/25-26</t>
  </si>
  <si>
    <t>J-3390/25-26</t>
  </si>
  <si>
    <t>J-3391/25-26</t>
  </si>
  <si>
    <t>RAFEEK TRUSS</t>
  </si>
  <si>
    <t>J-3392/25-26</t>
  </si>
  <si>
    <t>J-3393/25-26</t>
  </si>
  <si>
    <t>ABDUL KHADAR</t>
  </si>
  <si>
    <t>J-3394/25-26</t>
  </si>
  <si>
    <t>J-3395/25-26</t>
  </si>
  <si>
    <t>J-3396/25-26</t>
  </si>
  <si>
    <t>HABITATE HARMONIE VENTURES</t>
  </si>
  <si>
    <t>J-3397/25-26</t>
  </si>
  <si>
    <t>J-3398/25-26</t>
  </si>
  <si>
    <t>J-3399/25-26</t>
  </si>
  <si>
    <t>SIYAR PANAYAPPILLY</t>
  </si>
  <si>
    <t>J-3400/25-26</t>
  </si>
  <si>
    <t>J-3401/25-26</t>
  </si>
  <si>
    <t>J-3402/25-26</t>
  </si>
  <si>
    <t>J-3403/25-26</t>
  </si>
  <si>
    <t>J-3404/25-26</t>
  </si>
  <si>
    <t>ANIL KUMAR IRAPURAM</t>
  </si>
  <si>
    <t>J-3405/25-26</t>
  </si>
  <si>
    <t>J-3406/25-26</t>
  </si>
  <si>
    <t>BANANSO IRAPURAM</t>
  </si>
  <si>
    <t>J-3407/25-26</t>
  </si>
  <si>
    <t>JU-560/25-26</t>
  </si>
  <si>
    <t>JU-561/25-26</t>
  </si>
  <si>
    <t>JU-562/25-26</t>
  </si>
  <si>
    <t>ECO POWER SOLUTIONS</t>
  </si>
  <si>
    <t>JU-563/25-26</t>
  </si>
  <si>
    <t>J-3408/25-26</t>
  </si>
  <si>
    <t>J-3409/25-26</t>
  </si>
  <si>
    <t>J-3410/25-26</t>
  </si>
  <si>
    <t>J-3411/25-26</t>
  </si>
  <si>
    <t>J-3412/25-26</t>
  </si>
  <si>
    <t>J-3413/25-26</t>
  </si>
  <si>
    <t>J-3414/25-26</t>
  </si>
  <si>
    <t>J-3415/25-26</t>
  </si>
  <si>
    <t>BIBIN VALAMBOOR</t>
  </si>
  <si>
    <t>J-3416/25-26</t>
  </si>
  <si>
    <t>J-3417/25-26</t>
  </si>
  <si>
    <t>VARGHESE PANCODE</t>
  </si>
  <si>
    <t>J-3418/25-26</t>
  </si>
  <si>
    <t>J-3419/25-26</t>
  </si>
  <si>
    <t>J-3420/25-26</t>
  </si>
  <si>
    <t>J-3421/25-26</t>
  </si>
  <si>
    <t>J-3422/25-26</t>
  </si>
  <si>
    <t>J-3423/25-26</t>
  </si>
  <si>
    <t>J-3424/25-26</t>
  </si>
  <si>
    <t>J-3425/25-26</t>
  </si>
  <si>
    <t>J-3426/25-26</t>
  </si>
  <si>
    <t>J-3427/25-26</t>
  </si>
  <si>
    <t>J-3428/25-26</t>
  </si>
  <si>
    <t>J-3429/25-26</t>
  </si>
  <si>
    <t>J-3430/25-26</t>
  </si>
  <si>
    <t>P V PAILY</t>
  </si>
  <si>
    <t>J-3431/25-26</t>
  </si>
  <si>
    <t>J-3432/25-26</t>
  </si>
  <si>
    <t>JU-564/25-26</t>
  </si>
  <si>
    <t>JU-565/25-26</t>
  </si>
  <si>
    <t>JU-566/25-26</t>
  </si>
  <si>
    <t>JU-567/25-26</t>
  </si>
  <si>
    <t>ARTEC INDUSTRIES</t>
  </si>
  <si>
    <t>JU-568/25-26</t>
  </si>
  <si>
    <t>J-3433/25-26</t>
  </si>
  <si>
    <t>GOVT UP SCHOOL KUNNAKURUDY</t>
  </si>
  <si>
    <t>J-3434/25-26</t>
  </si>
  <si>
    <t>J-3435/25-26</t>
  </si>
  <si>
    <t>J-3436/25-26</t>
  </si>
  <si>
    <t>J-3437/25-26</t>
  </si>
  <si>
    <t>J-3438/25-26</t>
  </si>
  <si>
    <t>J-3439/25-26</t>
  </si>
  <si>
    <t>BABU , PALLIKKARA</t>
  </si>
  <si>
    <t>J-3440/25-26</t>
  </si>
  <si>
    <t>J-3441/25-26</t>
  </si>
  <si>
    <t>J-3442/25-26</t>
  </si>
  <si>
    <t>J-3443/25-26</t>
  </si>
  <si>
    <t>J-3444/25-26</t>
  </si>
  <si>
    <t>J-3445/25-26</t>
  </si>
  <si>
    <t>PAULOSE PAZHAMTHOTTAM</t>
  </si>
  <si>
    <t>J-3446/25-26</t>
  </si>
  <si>
    <t>J-3447/25-26</t>
  </si>
  <si>
    <t>RAJESH , PATTIMATTAM</t>
  </si>
  <si>
    <t>J-3448/25-26</t>
  </si>
  <si>
    <t>J-3449/25-26</t>
  </si>
  <si>
    <t>J-3450/25-26</t>
  </si>
  <si>
    <t>J-3451/25-26</t>
  </si>
  <si>
    <t>JU-569/25-26</t>
  </si>
  <si>
    <t>BETA SOLAR SYSTEMS</t>
  </si>
  <si>
    <t>JU-570/25-26</t>
  </si>
  <si>
    <t>JU-571/25-26</t>
  </si>
  <si>
    <t>J-3452/25-26</t>
  </si>
  <si>
    <t>J-3453/25-26</t>
  </si>
  <si>
    <t>J-3454/25-26</t>
  </si>
  <si>
    <t>J-3455/25-26</t>
  </si>
  <si>
    <t>SHIBU CREATIVE</t>
  </si>
  <si>
    <t>J-3456/25-26</t>
  </si>
  <si>
    <t>J-3457/25-26</t>
  </si>
  <si>
    <t>JOY , THATTAMUGAL</t>
  </si>
  <si>
    <t>J-3458/25-26</t>
  </si>
  <si>
    <t>J-3459/25-26</t>
  </si>
  <si>
    <t>J-3460/25-26</t>
  </si>
  <si>
    <t>J-3461/25-26</t>
  </si>
  <si>
    <t>J-3462/25-26</t>
  </si>
  <si>
    <t>J-3463/25-26</t>
  </si>
  <si>
    <t>SIDHQUE BISMI</t>
  </si>
  <si>
    <t>J-3464/25-26</t>
  </si>
  <si>
    <t>J-3465/25-26</t>
  </si>
  <si>
    <t>J-3466/25-26</t>
  </si>
  <si>
    <t>J-3467/25-26</t>
  </si>
  <si>
    <t>J-3468/25-26</t>
  </si>
  <si>
    <t>J-3469/25-26</t>
  </si>
  <si>
    <t>ASHRAF BAKERY</t>
  </si>
  <si>
    <t>J-3470/25-26</t>
  </si>
  <si>
    <t>J-3471/25-26</t>
  </si>
  <si>
    <t>J-3472/25-26</t>
  </si>
  <si>
    <t>J-3473/25-26</t>
  </si>
  <si>
    <t>SAJEEV KILIKULAM</t>
  </si>
  <si>
    <t>J-3474/25-26</t>
  </si>
  <si>
    <t>J-3475/25-26</t>
  </si>
  <si>
    <t>JU-572/25-26</t>
  </si>
  <si>
    <t>JU-573/25-26</t>
  </si>
  <si>
    <t>J-3476/25-26</t>
  </si>
  <si>
    <t>J-3477/25-26</t>
  </si>
  <si>
    <t>J-3478/25-26</t>
  </si>
  <si>
    <t>J-3479/25-26</t>
  </si>
  <si>
    <t>ANIL ASHARIKUDY</t>
  </si>
  <si>
    <t>J-3480/25-26</t>
  </si>
  <si>
    <t>J-3481/25-26</t>
  </si>
  <si>
    <t>J-3482/25-26</t>
  </si>
  <si>
    <t>J-3483/25-26</t>
  </si>
  <si>
    <t>FAIZAL KUMMANODE</t>
  </si>
  <si>
    <t>J-3484/25-26</t>
  </si>
  <si>
    <t>J-3485/25-26</t>
  </si>
  <si>
    <t>J-3486/25-26</t>
  </si>
  <si>
    <t>J-3487/25-26</t>
  </si>
  <si>
    <t>J-3488/25-26</t>
  </si>
  <si>
    <t>J-3489/25-26</t>
  </si>
  <si>
    <t>J-3490/25-26</t>
  </si>
  <si>
    <t>JU-574/25-26</t>
  </si>
  <si>
    <t>JU-575/25-26</t>
  </si>
  <si>
    <t>JU-576/25-26</t>
  </si>
  <si>
    <t>JU-577/25-26</t>
  </si>
  <si>
    <t>J-3491/25-26</t>
  </si>
  <si>
    <t>J-3492/25-26</t>
  </si>
  <si>
    <t>J-3493/25-26</t>
  </si>
  <si>
    <t>J-3494/25-26</t>
  </si>
  <si>
    <t>J-3495/25-26</t>
  </si>
  <si>
    <t>SREENI PATTIMATTOM</t>
  </si>
  <si>
    <t>J-3496/25-26</t>
  </si>
  <si>
    <t>J-3497/25-26</t>
  </si>
  <si>
    <t>J-3498/25-26</t>
  </si>
  <si>
    <t>J-3499/25-26</t>
  </si>
  <si>
    <t>MOHANAN MAZHUVANNOOR</t>
  </si>
  <si>
    <t>J-3500/25-26</t>
  </si>
  <si>
    <t>J-3501/25-26</t>
  </si>
  <si>
    <t>J-3502/25-26</t>
  </si>
  <si>
    <t>J-3503/25-26</t>
  </si>
  <si>
    <t>J-3504/25-26</t>
  </si>
  <si>
    <t>J-3505/25-26</t>
  </si>
  <si>
    <t>J-3506/25-26</t>
  </si>
  <si>
    <t>J-3507/25-26</t>
  </si>
  <si>
    <t>JU-578/25-26</t>
  </si>
  <si>
    <t>JU-579/25-26</t>
  </si>
  <si>
    <t>JU-580/25-26</t>
  </si>
  <si>
    <t>JU-581/25-26</t>
  </si>
  <si>
    <t>ELDHO ALIAS</t>
  </si>
  <si>
    <t>JU-582/25-26</t>
  </si>
  <si>
    <t>J-3508/25-26</t>
  </si>
  <si>
    <t>J-3509/25-26</t>
  </si>
  <si>
    <t>SAVADH KAITHAKKAD</t>
  </si>
  <si>
    <t>J-3510/25-26</t>
  </si>
  <si>
    <t>J-3511/25-26</t>
  </si>
  <si>
    <t>J-3512/25-26</t>
  </si>
  <si>
    <t>SIYAD , DAUBLEPALAM</t>
  </si>
  <si>
    <t>J-3513/25-26</t>
  </si>
  <si>
    <t>J-3514/25-26</t>
  </si>
  <si>
    <t>J-3515/25-26</t>
  </si>
  <si>
    <t>J-3516/25-26</t>
  </si>
  <si>
    <t>J-3517/25-26</t>
  </si>
  <si>
    <t>SUKUMARAN KILIKUALM</t>
  </si>
  <si>
    <t>J-3518/25-26</t>
  </si>
  <si>
    <t>MATHAI PULINCHODE</t>
  </si>
  <si>
    <t>J-3519/25-26</t>
  </si>
  <si>
    <t>ANJU ANTONY</t>
  </si>
  <si>
    <t>J-3520/25-26</t>
  </si>
  <si>
    <t>ANTONY KILIKULAM</t>
  </si>
  <si>
    <t>J-3521/25-26</t>
  </si>
  <si>
    <t>J-3522/25-26</t>
  </si>
  <si>
    <t>J-3523/25-26</t>
  </si>
  <si>
    <t>J-3524/25-26</t>
  </si>
  <si>
    <t>J-3525/25-26</t>
  </si>
  <si>
    <t>BINU KURIAN</t>
  </si>
  <si>
    <t>J-3526/25-26</t>
  </si>
  <si>
    <t>J-3527/25-26</t>
  </si>
  <si>
    <t>JU-583/25-26</t>
  </si>
  <si>
    <t>JU-584/25-26</t>
  </si>
  <si>
    <t>JU-585/25-26</t>
  </si>
  <si>
    <t>JU-586/25-26</t>
  </si>
  <si>
    <t>J-3528/25-26</t>
  </si>
  <si>
    <t>J-3529/25-26</t>
  </si>
  <si>
    <t>J-3530/25-26</t>
  </si>
  <si>
    <t>J-3531/25-26</t>
  </si>
  <si>
    <t>J-3532/25-26</t>
  </si>
  <si>
    <t>J-3533/25-26</t>
  </si>
  <si>
    <t>J-3534/25-26</t>
  </si>
  <si>
    <t>J-3535/25-26</t>
  </si>
  <si>
    <t>J-3536/25-26</t>
  </si>
  <si>
    <t>J-3537/25-26</t>
  </si>
  <si>
    <t>J-3538/25-26</t>
  </si>
  <si>
    <t>SAJU KATTIKUDIYIL</t>
  </si>
  <si>
    <t>J-3539/25-26</t>
  </si>
  <si>
    <t>J-3540/25-26</t>
  </si>
  <si>
    <t>J-3541/25-26</t>
  </si>
  <si>
    <t>VINCY TOMY</t>
  </si>
  <si>
    <t>J-3542/25-26</t>
  </si>
  <si>
    <t>J-3543/25-26</t>
  </si>
  <si>
    <t>J-3544/25-26</t>
  </si>
  <si>
    <t>NEENA VINOD</t>
  </si>
  <si>
    <t>J-3545/25-26</t>
  </si>
  <si>
    <t>JU-587/25-26</t>
  </si>
  <si>
    <t>HOME TECH TRADERS</t>
  </si>
  <si>
    <t>JU-588/25-26</t>
  </si>
  <si>
    <t>JU-589/25-26</t>
  </si>
  <si>
    <t>JU-590/25-26</t>
  </si>
  <si>
    <t>J-3546/25-26</t>
  </si>
  <si>
    <t>J-3547/25-26</t>
  </si>
  <si>
    <t>J-3548/25-26</t>
  </si>
  <si>
    <t>S K TOOLS</t>
  </si>
  <si>
    <t>J-3549/25-26</t>
  </si>
  <si>
    <t>J-3550/25-26</t>
  </si>
  <si>
    <t>J-3551/25-26</t>
  </si>
  <si>
    <t>J-3552/25-26</t>
  </si>
  <si>
    <t>J-3553/25-26</t>
  </si>
  <si>
    <t>J-3554/25-26</t>
  </si>
  <si>
    <t>NEELAMBARAN</t>
  </si>
  <si>
    <t>J-3555/25-26</t>
  </si>
  <si>
    <t>J-3556/25-26</t>
  </si>
  <si>
    <t>J-3557/25-26</t>
  </si>
  <si>
    <t>CHANDRA MOHAN VALAMBOOR</t>
  </si>
  <si>
    <t>J-3558/25-26</t>
  </si>
  <si>
    <t>SUKUMARAN VALAMBOOR</t>
  </si>
  <si>
    <t>J-3559/25-26</t>
  </si>
  <si>
    <t>J-3560/25-26</t>
  </si>
  <si>
    <t>J-3561/25-26</t>
  </si>
  <si>
    <t>J-3562/25-26</t>
  </si>
  <si>
    <t>J-3563/25-26</t>
  </si>
  <si>
    <t>J-3564/25-26</t>
  </si>
  <si>
    <t>FRAMEZ ARCHITECTURAL CONSTRUCTIONS</t>
  </si>
  <si>
    <t>JU-591/25-26</t>
  </si>
  <si>
    <t>INDWARE HARDWARE STEEL</t>
  </si>
  <si>
    <t>JU-592/25-26</t>
  </si>
  <si>
    <t>DARSHAN</t>
  </si>
  <si>
    <t>J-3565/25-26</t>
  </si>
  <si>
    <t>J-3566/25-26</t>
  </si>
  <si>
    <t>J-3567/25-26</t>
  </si>
  <si>
    <t>J-3568/25-26</t>
  </si>
  <si>
    <t>J-3569/25-26</t>
  </si>
  <si>
    <t>J-3570/25-26</t>
  </si>
  <si>
    <t>J-3571/25-26</t>
  </si>
  <si>
    <t>J-3572/25-26</t>
  </si>
  <si>
    <t>RENJITH TRUSS</t>
  </si>
  <si>
    <t>J-3573/25-26</t>
  </si>
  <si>
    <t>BABU PULINCHODE</t>
  </si>
  <si>
    <t>J-3574/25-26</t>
  </si>
  <si>
    <t>J-3575/25-26</t>
  </si>
  <si>
    <t>J-3576/25-26</t>
  </si>
  <si>
    <t>J-3577/25-26</t>
  </si>
  <si>
    <t>J-3578/25-26</t>
  </si>
  <si>
    <t>J-3579/25-26</t>
  </si>
  <si>
    <t>J-3580/25-26</t>
  </si>
  <si>
    <t>J-3581/25-26</t>
  </si>
  <si>
    <t>J-3582/25-26</t>
  </si>
  <si>
    <t>J-3583/25-26</t>
  </si>
  <si>
    <t>JU-593/25-26</t>
  </si>
  <si>
    <t>JU-594/25-26</t>
  </si>
  <si>
    <t>JU-595/25-26</t>
  </si>
  <si>
    <t>J-3584/25-26</t>
  </si>
  <si>
    <t>J-3585/25-26</t>
  </si>
  <si>
    <t>NISHAD PLAPPILLY HOME</t>
  </si>
  <si>
    <t>J-3586/25-26</t>
  </si>
  <si>
    <t>J-3587/25-26</t>
  </si>
  <si>
    <t>J-3588/25-26</t>
  </si>
  <si>
    <t>J-3589/25-26</t>
  </si>
  <si>
    <t>J-3590/25-26</t>
  </si>
  <si>
    <t>SONY VALAMBOOR</t>
  </si>
  <si>
    <t>J-3591/25-26</t>
  </si>
  <si>
    <t>J-3592/25-26</t>
  </si>
  <si>
    <t>J-3593/25-26</t>
  </si>
  <si>
    <t>J-3594/25-26</t>
  </si>
  <si>
    <t>RAJEEV KOLANKUDY</t>
  </si>
  <si>
    <t>J-3595/25-26</t>
  </si>
  <si>
    <t>J-3596/25-26</t>
  </si>
  <si>
    <t>J-3597/25-26</t>
  </si>
  <si>
    <t>J-3598/25-26</t>
  </si>
  <si>
    <t>J-3599/25-26</t>
  </si>
  <si>
    <t>J-3600/25-26</t>
  </si>
  <si>
    <t>J-3601/25-26</t>
  </si>
  <si>
    <t>J-3602/25-26</t>
  </si>
  <si>
    <t>J-3603/25-26</t>
  </si>
  <si>
    <t>JU-596/25-26</t>
  </si>
  <si>
    <t>JU-597/25-26</t>
  </si>
  <si>
    <t>JU-598/25-26</t>
  </si>
  <si>
    <t>JU-599/25-26</t>
  </si>
  <si>
    <t>J-3604/25-26</t>
  </si>
  <si>
    <t>J-3605/25-26</t>
  </si>
  <si>
    <t>RAYAN ENGINEERING</t>
  </si>
  <si>
    <t>J-3606/25-26</t>
  </si>
  <si>
    <t>J-3607/25-26</t>
  </si>
  <si>
    <t>TIJO KANINAD</t>
  </si>
  <si>
    <t>J-3608/25-26</t>
  </si>
  <si>
    <t>J-3609/25-26</t>
  </si>
  <si>
    <t>J-3610/25-26</t>
  </si>
  <si>
    <t>J-3611/25-26</t>
  </si>
  <si>
    <t>J-3612/25-26</t>
  </si>
  <si>
    <t>J-3613/25-26</t>
  </si>
  <si>
    <t>J-3614/25-26</t>
  </si>
  <si>
    <t>J-3615/25-26</t>
  </si>
  <si>
    <t>J-3616/25-26</t>
  </si>
  <si>
    <t>J-3617/25-26</t>
  </si>
  <si>
    <t>J-3618/25-26</t>
  </si>
  <si>
    <t>J-3619/25-26</t>
  </si>
  <si>
    <t>J-3620/25-26</t>
  </si>
  <si>
    <t>J-3621/25-26</t>
  </si>
  <si>
    <t>J-3622/25-26</t>
  </si>
  <si>
    <t>J-3623/25-26</t>
  </si>
  <si>
    <t>KUNNATHUNADU SERVICE CO-OPERATIVE BANK</t>
  </si>
  <si>
    <t>J-3624/25-26</t>
  </si>
  <si>
    <t>J-3625/25-26</t>
  </si>
  <si>
    <t>ASHTAMI PRINTERS</t>
  </si>
  <si>
    <t>JU-600/25-26</t>
  </si>
  <si>
    <t>TONY ERAPUMPPARA</t>
  </si>
  <si>
    <t>J-3626/25-26</t>
  </si>
  <si>
    <t>J-3627/25-26</t>
  </si>
  <si>
    <t>J-3628/25-26</t>
  </si>
  <si>
    <t>J-3629/25-26</t>
  </si>
  <si>
    <t>J-3630/25-26</t>
  </si>
  <si>
    <t>J-3631/25-26</t>
  </si>
  <si>
    <t>J-3632/25-26</t>
  </si>
  <si>
    <t>J-3633/25-26</t>
  </si>
  <si>
    <t>J-3634/25-26</t>
  </si>
  <si>
    <t>J-3635/25-26</t>
  </si>
  <si>
    <t>J-3636/25-26</t>
  </si>
  <si>
    <t>J-3637/25-26</t>
  </si>
  <si>
    <t>J-3638/25-26</t>
  </si>
  <si>
    <t>J-3639/25-26</t>
  </si>
  <si>
    <t>J-3640/25-26</t>
  </si>
  <si>
    <t>J-3641/25-26</t>
  </si>
  <si>
    <t>J-3642/25-26</t>
  </si>
  <si>
    <t>J-3643/25-26</t>
  </si>
  <si>
    <t>JUSTIN</t>
  </si>
  <si>
    <t>J-3644/25-26</t>
  </si>
  <si>
    <t>J-3645/25-26</t>
  </si>
  <si>
    <t>J-3646/25-26</t>
  </si>
  <si>
    <t>JU-601/25-26</t>
  </si>
  <si>
    <t>JU-602/25-26</t>
  </si>
  <si>
    <t>J-3647/25-26</t>
  </si>
  <si>
    <t>J-3648/25-26</t>
  </si>
  <si>
    <t>J-3649/25-26</t>
  </si>
  <si>
    <t>J-3650/25-26</t>
  </si>
  <si>
    <t>J-3651/25-26</t>
  </si>
  <si>
    <t>SHEJIL M JACOB</t>
  </si>
  <si>
    <t>J-3652/25-26</t>
  </si>
  <si>
    <t>J-3653/25-26</t>
  </si>
  <si>
    <t>J-3654/25-26</t>
  </si>
  <si>
    <t>J-3655/25-26</t>
  </si>
  <si>
    <t>J-3656/25-26</t>
  </si>
  <si>
    <t>J-3657/25-26</t>
  </si>
  <si>
    <t>J-3658/25-26</t>
  </si>
  <si>
    <t>J-3659/25-26</t>
  </si>
  <si>
    <t>J-3660/25-26</t>
  </si>
  <si>
    <t>AJAYAN A</t>
  </si>
  <si>
    <t>J-3661/25-26</t>
  </si>
  <si>
    <t>J-3662/25-26</t>
  </si>
  <si>
    <t>J-3663/25-26</t>
  </si>
  <si>
    <t>J-3664/25-26</t>
  </si>
  <si>
    <t>J-3665/25-26</t>
  </si>
  <si>
    <t>GEORGE</t>
  </si>
  <si>
    <t>J-3666/25-26</t>
  </si>
  <si>
    <t>J-3667/25-26</t>
  </si>
  <si>
    <t>J-3668/25-26</t>
  </si>
  <si>
    <t>JU-603/25-26</t>
  </si>
  <si>
    <t>JU-604/25-26</t>
  </si>
  <si>
    <t>JU-605/25-26</t>
  </si>
  <si>
    <t>JU-606/25-26</t>
  </si>
  <si>
    <t>JU-607/25-26</t>
  </si>
  <si>
    <t>CHOLLAPPILLY SPICES</t>
  </si>
  <si>
    <t>JU-608/25-26</t>
  </si>
  <si>
    <t>J-3669/25-26</t>
  </si>
  <si>
    <t>J-3670/25-26</t>
  </si>
  <si>
    <t>J-3671/25-26</t>
  </si>
  <si>
    <t>J-3672/25-26</t>
  </si>
  <si>
    <t>J-3673/25-26</t>
  </si>
  <si>
    <t>SAJI THATTAMUGAL</t>
  </si>
  <si>
    <t>J-3674/25-26</t>
  </si>
  <si>
    <t>J-3675/25-26</t>
  </si>
  <si>
    <t>J-3676/25-26</t>
  </si>
  <si>
    <t>J-3677/25-26</t>
  </si>
  <si>
    <t>J-3678/25-26</t>
  </si>
  <si>
    <t>NISAR SI</t>
  </si>
  <si>
    <t>J-3679/25-26</t>
  </si>
  <si>
    <t>J-3680/25-26</t>
  </si>
  <si>
    <t>SONA KURIAKOSE</t>
  </si>
  <si>
    <t>J-3681/25-26</t>
  </si>
  <si>
    <t>J-3682/25-26</t>
  </si>
  <si>
    <t>PAVITHRAN KOTTAMALA</t>
  </si>
  <si>
    <t>J-3683/25-26</t>
  </si>
  <si>
    <t>J-3684/25-26</t>
  </si>
  <si>
    <t>J-3685/25-26</t>
  </si>
  <si>
    <t>J-3686/25-26</t>
  </si>
  <si>
    <t>J-3687/25-26</t>
  </si>
  <si>
    <t>J-3688/25-26</t>
  </si>
  <si>
    <t>J-3689/25-26</t>
  </si>
  <si>
    <t>J-3690/25-26</t>
  </si>
  <si>
    <t>J-3691/25-26</t>
  </si>
  <si>
    <t>ANSAR CHELAKULAM</t>
  </si>
  <si>
    <t>J-3692/25-26</t>
  </si>
  <si>
    <t>J-3693/25-26</t>
  </si>
  <si>
    <t>J-3694/25-26</t>
  </si>
  <si>
    <t>J-3695/25-26</t>
  </si>
  <si>
    <t>PRINCE VEMBILLY</t>
  </si>
  <si>
    <t>J-3696/25-26</t>
  </si>
  <si>
    <t>JU-609/25-26</t>
  </si>
  <si>
    <t>JU-610/25-26</t>
  </si>
  <si>
    <t>N-FAB</t>
  </si>
  <si>
    <t>JU-611/25-26</t>
  </si>
  <si>
    <t>JU-612/25-26</t>
  </si>
  <si>
    <t>JU-613/25-26</t>
  </si>
  <si>
    <t>JU-614/25-26</t>
  </si>
  <si>
    <t>JU-615/25-26</t>
  </si>
  <si>
    <t>JU-616/25-26</t>
  </si>
  <si>
    <t>J-3697/25-26</t>
  </si>
  <si>
    <t>J-3698/25-26</t>
  </si>
  <si>
    <t>J-3699/25-26</t>
  </si>
  <si>
    <t>JAYABHARATH LIBRARY</t>
  </si>
  <si>
    <t>J-3700/25-26</t>
  </si>
  <si>
    <t>J-3701/25-26</t>
  </si>
  <si>
    <t>J-3702/25-26</t>
  </si>
  <si>
    <t>J-3703/25-26</t>
  </si>
  <si>
    <t>J-3704/25-26</t>
  </si>
  <si>
    <t>J-3705/25-26</t>
  </si>
  <si>
    <t>J-3706/25-26</t>
  </si>
  <si>
    <t>ELJO PAUL</t>
  </si>
  <si>
    <t>J-3707/25-26</t>
  </si>
  <si>
    <t>GURU PRASAD</t>
  </si>
  <si>
    <t>J-3708/25-26</t>
  </si>
  <si>
    <t>HARI ATHANI</t>
  </si>
  <si>
    <t>J-3709/25-26</t>
  </si>
  <si>
    <t>RAPHEL, THATTAMUGAL</t>
  </si>
  <si>
    <t>J-3710/25-26</t>
  </si>
  <si>
    <t>SATHEESH KUMAR</t>
  </si>
  <si>
    <t>J-3711/25-26</t>
  </si>
  <si>
    <t>JU-617/25-26</t>
  </si>
  <si>
    <t>J-3712/25-26</t>
  </si>
  <si>
    <t>J-3713/25-26</t>
  </si>
  <si>
    <t>J-3714/25-26</t>
  </si>
  <si>
    <t>J-3715/25-26</t>
  </si>
  <si>
    <t>J-3716/25-26</t>
  </si>
  <si>
    <t>J-3717/25-26</t>
  </si>
  <si>
    <t>ABU WORKSHOP</t>
  </si>
  <si>
    <t>J-3718/25-26</t>
  </si>
  <si>
    <t>J-3719/25-26</t>
  </si>
  <si>
    <t>J-3720/25-26</t>
  </si>
  <si>
    <t>J-3721/25-26</t>
  </si>
  <si>
    <t>J-3722/25-26</t>
  </si>
  <si>
    <t>J-3723/25-26</t>
  </si>
  <si>
    <t>J-3724/25-26</t>
  </si>
  <si>
    <t>TONY PATTIMATTOM</t>
  </si>
  <si>
    <t>J-3725/25-26</t>
  </si>
  <si>
    <t>J-3726/25-26</t>
  </si>
  <si>
    <t>J-3727/25-26</t>
  </si>
  <si>
    <t>J-3728/25-26</t>
  </si>
  <si>
    <t>J-3729/25-26</t>
  </si>
  <si>
    <t>J-3730/25-26</t>
  </si>
  <si>
    <t>J-3731/25-26</t>
  </si>
  <si>
    <t>J-3732/25-26</t>
  </si>
  <si>
    <t>J-3733/25-26</t>
  </si>
  <si>
    <t>JU-618/25-26</t>
  </si>
  <si>
    <t>JU-619/25-26</t>
  </si>
  <si>
    <t>JU-620/25-26</t>
  </si>
  <si>
    <t>J-3734/25-26</t>
  </si>
  <si>
    <t>J-3735/25-26</t>
  </si>
  <si>
    <t>J-3736/25-26</t>
  </si>
  <si>
    <t>ASHLIN MAZHAUVANNOOR</t>
  </si>
  <si>
    <t>J-3737/25-26</t>
  </si>
  <si>
    <t>J-3738/25-26</t>
  </si>
  <si>
    <t>J-3739/25-26</t>
  </si>
  <si>
    <t>J-3740/25-26</t>
  </si>
  <si>
    <t>J-3741/25-26</t>
  </si>
  <si>
    <t>TJN CONCTRUCTIONS</t>
  </si>
  <si>
    <t>J-3742/25-26</t>
  </si>
  <si>
    <t>SHYJU KURIAKOSE</t>
  </si>
  <si>
    <t>J-3743/25-26</t>
  </si>
  <si>
    <t>J-3744/25-26</t>
  </si>
  <si>
    <t>J-3745/25-26</t>
  </si>
  <si>
    <t>SAJU MYLATTUMOLAYIL</t>
  </si>
  <si>
    <t>J-3746/25-26</t>
  </si>
  <si>
    <t>J-3747/25-26</t>
  </si>
  <si>
    <t>J-3748/25-26</t>
  </si>
  <si>
    <t>J-3749/25-26</t>
  </si>
  <si>
    <t>ROOPESH PASSENGER</t>
  </si>
  <si>
    <t>J-3750/25-26</t>
  </si>
  <si>
    <t>J-3751/25-26</t>
  </si>
  <si>
    <t>J-3752/25-26</t>
  </si>
  <si>
    <t>J-3753/25-26</t>
  </si>
  <si>
    <t>J-3754/25-26</t>
  </si>
  <si>
    <t>J-3755/25-26</t>
  </si>
  <si>
    <t>J-3756/25-26</t>
  </si>
  <si>
    <t>J-3757/25-26</t>
  </si>
  <si>
    <t>J-3758/25-26</t>
  </si>
  <si>
    <t>J-3759/25-26</t>
  </si>
  <si>
    <t>J-3760/25-26</t>
  </si>
  <si>
    <t>J-3761/25-26</t>
  </si>
  <si>
    <t>JU-621/25-26</t>
  </si>
  <si>
    <t>JU-622/25-26</t>
  </si>
  <si>
    <t>JU-623/25-26</t>
  </si>
  <si>
    <t>JU-624/25-26</t>
  </si>
  <si>
    <t>J-3762/25-26</t>
  </si>
  <si>
    <t>BIJU DAIVASAHAYAM ACE</t>
  </si>
  <si>
    <t>J-3763/25-26</t>
  </si>
  <si>
    <t>J-3764/25-26</t>
  </si>
  <si>
    <t>J-3765/25-26</t>
  </si>
  <si>
    <t>J-3766/25-26</t>
  </si>
  <si>
    <t>J-3767/25-26</t>
  </si>
  <si>
    <t>J-3768/25-26</t>
  </si>
  <si>
    <t>J-3769/25-26</t>
  </si>
  <si>
    <t>RAKESH KAITHAKKAD</t>
  </si>
  <si>
    <t>J-3770/25-26</t>
  </si>
  <si>
    <t>J-3771/25-26</t>
  </si>
  <si>
    <t>J-3772/25-26</t>
  </si>
  <si>
    <t>SATHEESH, AMEYA BHAVAN</t>
  </si>
  <si>
    <t>J-3773/25-26</t>
  </si>
  <si>
    <t>J-3774/25-26</t>
  </si>
  <si>
    <t>J-3775/25-26</t>
  </si>
  <si>
    <t>J-3776/25-26</t>
  </si>
  <si>
    <t>J-3777/25-26</t>
  </si>
  <si>
    <t>J-3778/25-26</t>
  </si>
  <si>
    <t>JU-625/25-26</t>
  </si>
  <si>
    <t>JU-626/25-26</t>
  </si>
  <si>
    <t>ABOOBEKKER</t>
  </si>
  <si>
    <t>J-3779/25-26</t>
  </si>
  <si>
    <t>J-3780/25-26</t>
  </si>
  <si>
    <t>J-3781/25-26</t>
  </si>
  <si>
    <t>J-3782/25-26</t>
  </si>
  <si>
    <t>J-3783/25-26</t>
  </si>
  <si>
    <t>J-3784/25-26</t>
  </si>
  <si>
    <t>J-3785/25-26</t>
  </si>
  <si>
    <t>GOPI.K.N</t>
  </si>
  <si>
    <t>J-3786/25-26</t>
  </si>
  <si>
    <t>BIJU MARIYIL PASSENGER</t>
  </si>
  <si>
    <t>J-3787/25-26</t>
  </si>
  <si>
    <t>J-3788/25-26</t>
  </si>
  <si>
    <t>J-3789/25-26</t>
  </si>
  <si>
    <t>SAJI THANKAPPAN ,VALAMBOOR</t>
  </si>
  <si>
    <t>J-3790/25-26</t>
  </si>
  <si>
    <t>SAMAD PERINGALA</t>
  </si>
  <si>
    <t>J-3791/25-26</t>
  </si>
  <si>
    <t>J-3792/25-26</t>
  </si>
  <si>
    <t>RIA ENTERPRISES</t>
  </si>
  <si>
    <t>JU-627/25-26</t>
  </si>
  <si>
    <t>JU-628/25-26</t>
  </si>
  <si>
    <t>JU-629/25-26</t>
  </si>
  <si>
    <t>J-3793/25-26</t>
  </si>
  <si>
    <t>J-3794/25-26</t>
  </si>
  <si>
    <t>J-3795/25-26</t>
  </si>
  <si>
    <t>J-3796/25-26</t>
  </si>
  <si>
    <t>J-3797/25-26</t>
  </si>
  <si>
    <t>J-3798/25-26</t>
  </si>
  <si>
    <t>J-3799/25-26</t>
  </si>
  <si>
    <t>J-3800/25-26</t>
  </si>
  <si>
    <t>J-3801/25-26</t>
  </si>
  <si>
    <t>J-3802/25-26</t>
  </si>
  <si>
    <t>J-3803/25-26</t>
  </si>
  <si>
    <t>J-3804/25-26</t>
  </si>
  <si>
    <t>JU-630/25-26</t>
  </si>
  <si>
    <t>JU-631/25-26</t>
  </si>
  <si>
    <t>J-3805/25-26</t>
  </si>
  <si>
    <t>J-3806/25-26</t>
  </si>
  <si>
    <t>J-3807/25-26</t>
  </si>
  <si>
    <t>J-3808/25-26</t>
  </si>
  <si>
    <t>J-3809/25-26</t>
  </si>
  <si>
    <t>J-3810/25-26</t>
  </si>
  <si>
    <t>J-3811/25-26</t>
  </si>
  <si>
    <t>J-3812/25-26</t>
  </si>
  <si>
    <t>ABBAS TRUSS</t>
  </si>
  <si>
    <t>J-3813/25-26</t>
  </si>
  <si>
    <t>J-3814/25-26</t>
  </si>
  <si>
    <t>J-3815/25-26</t>
  </si>
  <si>
    <t>J-3816/25-26</t>
  </si>
  <si>
    <t>JU-632/25-26</t>
  </si>
  <si>
    <t>J-3817/25-26</t>
  </si>
  <si>
    <t>J-3818/25-26</t>
  </si>
  <si>
    <t>J-3819/25-26</t>
  </si>
  <si>
    <t>J-3820/25-26</t>
  </si>
  <si>
    <t>J-3821/25-26</t>
  </si>
  <si>
    <t>J-3822/25-26</t>
  </si>
  <si>
    <t>J-3823/25-26</t>
  </si>
  <si>
    <t>J-3824/25-26</t>
  </si>
  <si>
    <t>J-3825/25-26</t>
  </si>
  <si>
    <t>J-3826/25-26</t>
  </si>
  <si>
    <t>J-3827/25-26</t>
  </si>
  <si>
    <t>J-3828/25-26</t>
  </si>
  <si>
    <t>J-3829/25-26</t>
  </si>
  <si>
    <t>J-3830/25-26</t>
  </si>
  <si>
    <t>J-3831/25-26</t>
  </si>
  <si>
    <t>GEORGE VALAYIL</t>
  </si>
  <si>
    <t>J-3832/25-26</t>
  </si>
  <si>
    <t>JU-633/25-26</t>
  </si>
  <si>
    <t>JU-634/25-26</t>
  </si>
  <si>
    <t>JU-635/25-26</t>
  </si>
  <si>
    <t>J-3833/25-26</t>
  </si>
  <si>
    <t>J-3834/25-26</t>
  </si>
  <si>
    <t>J-3835/25-26</t>
  </si>
  <si>
    <t>JEBY THATTAMUGAL</t>
  </si>
  <si>
    <t>J-3836/25-26</t>
  </si>
  <si>
    <t>J-3837/25-26</t>
  </si>
  <si>
    <t>ST.THOMAS CHAPPEL</t>
  </si>
  <si>
    <t>J-3838/25-26</t>
  </si>
  <si>
    <t>J-3839/25-26</t>
  </si>
  <si>
    <t>ALI PATTIMATTOM</t>
  </si>
  <si>
    <t>J-3840/25-26</t>
  </si>
  <si>
    <t>J-3841/25-26</t>
  </si>
  <si>
    <t>SATHEESH CHEENIKUZY</t>
  </si>
  <si>
    <t>J-3842/25-26</t>
  </si>
  <si>
    <t>J-3843/25-26</t>
  </si>
  <si>
    <t>J-3844/25-26</t>
  </si>
  <si>
    <t>J-3845/25-26</t>
  </si>
  <si>
    <t>J-3846/25-26</t>
  </si>
  <si>
    <t>J-3847/25-26</t>
  </si>
  <si>
    <t>J-3848/25-26</t>
  </si>
  <si>
    <t>AZEES CHELAKKULAM</t>
  </si>
  <si>
    <t>J-3849/25-26</t>
  </si>
  <si>
    <t>J-3850/25-26</t>
  </si>
  <si>
    <t>BABU , SAITHALY</t>
  </si>
  <si>
    <t>J-3851/25-26</t>
  </si>
  <si>
    <t>JINTO AKKAMPARA</t>
  </si>
  <si>
    <t>J-3852/25-26</t>
  </si>
  <si>
    <t>JU-636/25-26</t>
  </si>
  <si>
    <t>SUNNEX</t>
  </si>
  <si>
    <t>JU-637/25-26</t>
  </si>
  <si>
    <t>JU-638/25-26</t>
  </si>
  <si>
    <t>JU-639/25-26</t>
  </si>
  <si>
    <t>JU-640/25-26</t>
  </si>
  <si>
    <t>JU-641/25-26</t>
  </si>
  <si>
    <t>J-3853/25-26</t>
  </si>
  <si>
    <t>J-3854/25-26</t>
  </si>
  <si>
    <t>J-3855/25-26</t>
  </si>
  <si>
    <t>ARUN NV</t>
  </si>
  <si>
    <t>J-3856/25-26</t>
  </si>
  <si>
    <t>J-3857/25-26</t>
  </si>
  <si>
    <t>J-3858/25-26</t>
  </si>
  <si>
    <t>J-3859/25-26</t>
  </si>
  <si>
    <t>DILLY FURNITURE MART VALAMBOOR</t>
  </si>
  <si>
    <t>J-3860/25-26</t>
  </si>
  <si>
    <t>J-3861/25-26</t>
  </si>
  <si>
    <t>J-3862/25-26</t>
  </si>
  <si>
    <t>ROY VALAMBOOR</t>
  </si>
  <si>
    <t>J-3863/25-26</t>
  </si>
  <si>
    <t>J-3864/25-26</t>
  </si>
  <si>
    <t>Biju , Thattamukal</t>
  </si>
  <si>
    <t>J-3865/25-26</t>
  </si>
  <si>
    <t>ABY MANGALATHUNADA</t>
  </si>
  <si>
    <t>J-3866/25-26</t>
  </si>
  <si>
    <t>J-3867/25-26</t>
  </si>
  <si>
    <t>PRADEEP, CHENAGARA</t>
  </si>
  <si>
    <t>J-3868/25-26</t>
  </si>
  <si>
    <t>J-3869/25-26</t>
  </si>
  <si>
    <t>KHADAR THANDAKKALA</t>
  </si>
  <si>
    <t>J-3870/25-26</t>
  </si>
  <si>
    <t>J-3871/25-26</t>
  </si>
  <si>
    <t>SUNIL DOUBLEPALAM</t>
  </si>
  <si>
    <t>J-3872/25-26</t>
  </si>
  <si>
    <t>J-3873/25-26</t>
  </si>
  <si>
    <t>ATHUL M S</t>
  </si>
  <si>
    <t>J-3874/25-26</t>
  </si>
  <si>
    <t>JU-642/25-26</t>
  </si>
  <si>
    <t>JU-643/25-26</t>
  </si>
  <si>
    <t>JU-644/25-26</t>
  </si>
  <si>
    <t>JU-645/25-26</t>
  </si>
  <si>
    <t>JU-646/25-26</t>
  </si>
  <si>
    <t>MASTERFIX ENGINEERING SOLUTIONS</t>
  </si>
  <si>
    <t>JU-647/25-26</t>
  </si>
  <si>
    <t>J-3875/25-26</t>
  </si>
  <si>
    <t>RENJITH DYFI</t>
  </si>
  <si>
    <t>J-3876/25-26</t>
  </si>
  <si>
    <t>J-3877/25-26</t>
  </si>
  <si>
    <t>J-3878/25-26</t>
  </si>
  <si>
    <t>GOPI.V.K</t>
  </si>
  <si>
    <t>J-3879/25-26</t>
  </si>
  <si>
    <t>J-3880/25-26</t>
  </si>
  <si>
    <t>NAVEEN PAULOSE</t>
  </si>
  <si>
    <t>J-3881/25-26</t>
  </si>
  <si>
    <t>J-3882/25-26</t>
  </si>
  <si>
    <t>J-3883/25-26</t>
  </si>
  <si>
    <t>J-3884/25-26</t>
  </si>
  <si>
    <t>J-3885/25-26</t>
  </si>
  <si>
    <t>J-3886/25-26</t>
  </si>
  <si>
    <t>EBIN KURIAN</t>
  </si>
  <si>
    <t>J-3887/25-26</t>
  </si>
  <si>
    <t>J-3888/25-26</t>
  </si>
  <si>
    <t>J-3889/25-26</t>
  </si>
  <si>
    <t>J-3890/25-26</t>
  </si>
  <si>
    <t>PRAJIN PATTIMATTOM</t>
  </si>
  <si>
    <t>J-3891/25-26</t>
  </si>
  <si>
    <t>J-3892/25-26</t>
  </si>
  <si>
    <t>ANU V NAIR</t>
  </si>
  <si>
    <t>J-3893/25-26</t>
  </si>
  <si>
    <t>J-3894/25-26</t>
  </si>
  <si>
    <t>J-3895/25-26</t>
  </si>
  <si>
    <t>VINEETH</t>
  </si>
  <si>
    <t>J-3896/25-26</t>
  </si>
  <si>
    <t>J-3897/25-26</t>
  </si>
  <si>
    <t>J-3898/25-26</t>
  </si>
  <si>
    <t>J-3899/25-26</t>
  </si>
  <si>
    <t>J-3900/25-26</t>
  </si>
  <si>
    <t>J-3901/25-26</t>
  </si>
  <si>
    <t>J-3902/25-26</t>
  </si>
  <si>
    <t>J-3903/25-26</t>
  </si>
  <si>
    <t>J-3904/25-26</t>
  </si>
  <si>
    <t>J-3905/25-26</t>
  </si>
  <si>
    <t>J-3906/25-26</t>
  </si>
  <si>
    <t>J-3907/25-26</t>
  </si>
  <si>
    <t>J-3908/25-26</t>
  </si>
  <si>
    <t>SHIBU PATTIMATTOM</t>
  </si>
  <si>
    <t>J-3909/25-26</t>
  </si>
  <si>
    <t>J-3910/25-26</t>
  </si>
  <si>
    <t>J-3911/25-26</t>
  </si>
  <si>
    <t>SAJAN GEORGE</t>
  </si>
  <si>
    <t>J-3912/25-26</t>
  </si>
  <si>
    <t>J-3913/25-26</t>
  </si>
  <si>
    <t>ANU DAS</t>
  </si>
  <si>
    <t>J-3914/25-26</t>
  </si>
  <si>
    <t>J-3915/25-26</t>
  </si>
  <si>
    <t>JU-648/25-26</t>
  </si>
  <si>
    <t>J-3916/25-26</t>
  </si>
  <si>
    <t>J-3917/25-26</t>
  </si>
  <si>
    <t>J-3918/25-26</t>
  </si>
  <si>
    <t>MATHAI MECHANGARA</t>
  </si>
  <si>
    <t>J-3919/25-26</t>
  </si>
  <si>
    <t>J-3920/25-26</t>
  </si>
  <si>
    <t>J-3921/25-26</t>
  </si>
  <si>
    <t>J-3922/25-26</t>
  </si>
  <si>
    <t>J-3923/25-26</t>
  </si>
  <si>
    <t>J-3924/25-26</t>
  </si>
  <si>
    <t>J-3925/25-26</t>
  </si>
  <si>
    <t>J-3926/25-26</t>
  </si>
  <si>
    <t>J-3927/25-26</t>
  </si>
  <si>
    <t>J-3928/25-26</t>
  </si>
  <si>
    <t>J-3929/25-26</t>
  </si>
  <si>
    <t>J-3930/25-26</t>
  </si>
  <si>
    <t>J-3931/25-26</t>
  </si>
  <si>
    <t>RAJU</t>
  </si>
  <si>
    <t>J-3932/25-26</t>
  </si>
  <si>
    <t>J-3933/25-26</t>
  </si>
  <si>
    <t>JU-649/25-26</t>
  </si>
  <si>
    <t>J-3934/25-26</t>
  </si>
  <si>
    <t>J-3935/25-26</t>
  </si>
  <si>
    <t>J-3936/25-26</t>
  </si>
  <si>
    <t>J-3937/25-26</t>
  </si>
  <si>
    <t>J-3938/25-26</t>
  </si>
  <si>
    <t>J-3939/25-26</t>
  </si>
  <si>
    <t>J-3940/25-26</t>
  </si>
  <si>
    <t>J-3941/25-26</t>
  </si>
  <si>
    <t>SURENDRAN CHOLLAPPILLY</t>
  </si>
  <si>
    <t>J-3942/25-26</t>
  </si>
  <si>
    <t>J-3943/25-26</t>
  </si>
  <si>
    <t>J-3944/25-26</t>
  </si>
  <si>
    <t>J-3945/25-26</t>
  </si>
  <si>
    <t>J-3946/25-26</t>
  </si>
  <si>
    <t>J-3947/25-26</t>
  </si>
  <si>
    <t>J-3948/25-26</t>
  </si>
  <si>
    <t>J-3949/25-26</t>
  </si>
  <si>
    <t>JU-650/25-26</t>
  </si>
  <si>
    <t>J-3950/25-26</t>
  </si>
  <si>
    <t>J-3951/25-26</t>
  </si>
  <si>
    <t>J-3952/25-26</t>
  </si>
  <si>
    <t>J-3953/25-26</t>
  </si>
  <si>
    <t>J-3954/25-26</t>
  </si>
  <si>
    <t>J-3955/25-26</t>
  </si>
  <si>
    <t>J-3956/25-26</t>
  </si>
  <si>
    <t>J-3957/25-26</t>
  </si>
  <si>
    <t>J-3958/25-26</t>
  </si>
  <si>
    <t>J-3959/25-26</t>
  </si>
  <si>
    <t>J-3960/25-26</t>
  </si>
  <si>
    <t>J-3961/25-26</t>
  </si>
  <si>
    <t>J-3962/25-26</t>
  </si>
  <si>
    <t>J-3963/25-26</t>
  </si>
  <si>
    <t>ALBIN TEXAS VILLAS</t>
  </si>
  <si>
    <t>J-3964/25-26</t>
  </si>
  <si>
    <t>JU-651/25-26</t>
  </si>
  <si>
    <t>J-3965/25-26</t>
  </si>
  <si>
    <t>J-3966/25-26</t>
  </si>
  <si>
    <t>J-3967/25-26</t>
  </si>
  <si>
    <t>J-3968/25-26</t>
  </si>
  <si>
    <t>J-3969/25-26</t>
  </si>
  <si>
    <t>J-3970/25-26</t>
  </si>
  <si>
    <t>ELDHO ABRAHAM ARACKKAPADY</t>
  </si>
  <si>
    <t>J-3971/25-26</t>
  </si>
  <si>
    <t>J-3972/25-26</t>
  </si>
  <si>
    <t>CHAKKAPPAN</t>
  </si>
  <si>
    <t>J-3973/25-26</t>
  </si>
  <si>
    <t>REMESH EXCECUTIVE</t>
  </si>
  <si>
    <t>J-3974/25-26</t>
  </si>
  <si>
    <t>J-3975/25-26</t>
  </si>
  <si>
    <t>J-3976/25-26</t>
  </si>
  <si>
    <t>J-3977/25-26</t>
  </si>
  <si>
    <t>BABY , MELETH</t>
  </si>
  <si>
    <t>J-3978/25-26</t>
  </si>
  <si>
    <t>J-3979/25-26</t>
  </si>
  <si>
    <t>J-3980/25-26</t>
  </si>
  <si>
    <t>J-3981/25-26</t>
  </si>
  <si>
    <t>J-3982/25-26</t>
  </si>
  <si>
    <t>J-3983/25-26</t>
  </si>
  <si>
    <t>J-3984/25-26</t>
  </si>
  <si>
    <t>YADU DAMODARAN NAMBOORI</t>
  </si>
  <si>
    <t>JU-652/25-26</t>
  </si>
  <si>
    <t>JU-653/25-26</t>
  </si>
  <si>
    <t>A.K. ABDUL SALAM, CONTRACTOR</t>
  </si>
  <si>
    <t>JU-654/25-26</t>
  </si>
  <si>
    <t>J-3985/25-26</t>
  </si>
  <si>
    <t>RAJESH NAIR CHENGARA</t>
  </si>
  <si>
    <t>J-3986/25-26</t>
  </si>
  <si>
    <t>J-3987/25-26</t>
  </si>
  <si>
    <t>J-3988/25-26</t>
  </si>
  <si>
    <t>J-3989/25-26</t>
  </si>
  <si>
    <t>J-3990/25-26</t>
  </si>
  <si>
    <t>J-3991/25-26</t>
  </si>
  <si>
    <t>J-3992/25-26</t>
  </si>
  <si>
    <t>J-3993/25-26</t>
  </si>
  <si>
    <t>SLOMO VARGHESE</t>
  </si>
  <si>
    <t>J-3994/25-26</t>
  </si>
  <si>
    <t>J-3995/25-26</t>
  </si>
  <si>
    <t>J-3996/25-26</t>
  </si>
  <si>
    <t>J-3997/25-26</t>
  </si>
  <si>
    <t>J-3998/25-26</t>
  </si>
  <si>
    <t>J-3999/25-26</t>
  </si>
  <si>
    <t>REJI MANJANAD</t>
  </si>
  <si>
    <t>J-4000/25-26</t>
  </si>
  <si>
    <t>J-4001/25-26</t>
  </si>
  <si>
    <t>STEPHEN VARGHESE</t>
  </si>
  <si>
    <t>J-4002/25-26</t>
  </si>
  <si>
    <t>J-4003/25-26</t>
  </si>
  <si>
    <t>J-4004/25-26</t>
  </si>
  <si>
    <t>J-4005/25-26</t>
  </si>
  <si>
    <t>J-4006/25-26</t>
  </si>
  <si>
    <t>J-4007/25-26</t>
  </si>
  <si>
    <t>J-4008/25-26</t>
  </si>
  <si>
    <t>AJ SOLID BRICKS</t>
  </si>
  <si>
    <t>JU-655/25-26</t>
  </si>
  <si>
    <t>JU-656/25-26</t>
  </si>
  <si>
    <t>J-4009/25-26</t>
  </si>
  <si>
    <t>J-4010/25-26</t>
  </si>
  <si>
    <t>J-4011/25-26</t>
  </si>
  <si>
    <t>J-4012/25-26</t>
  </si>
  <si>
    <t>J-4013/25-26</t>
  </si>
  <si>
    <t>J-4014/25-26</t>
  </si>
  <si>
    <t>J-4015/25-26</t>
  </si>
  <si>
    <t>J-4016/25-26</t>
  </si>
  <si>
    <t>J-4017/25-26</t>
  </si>
  <si>
    <t>J-4018/25-26</t>
  </si>
  <si>
    <t>J-4019/25-26</t>
  </si>
  <si>
    <t>J-4020/25-26</t>
  </si>
  <si>
    <t>JOE ANTONY</t>
  </si>
  <si>
    <t>J-4021/25-26</t>
  </si>
  <si>
    <t>J-4022/25-26</t>
  </si>
  <si>
    <t>J-4023/25-26</t>
  </si>
  <si>
    <t>ST THOMAS EVANGALICAL CHURCH</t>
  </si>
  <si>
    <t>J-4024/25-26</t>
  </si>
  <si>
    <t>ELDHO KANDANALY</t>
  </si>
  <si>
    <t>J-4025/25-26</t>
  </si>
  <si>
    <t>J-4026/25-26</t>
  </si>
  <si>
    <t>JU-657/25-26</t>
  </si>
  <si>
    <t>J-4027/25-26</t>
  </si>
  <si>
    <t>J-4028/25-26</t>
  </si>
  <si>
    <t>J-4029/25-26</t>
  </si>
  <si>
    <t>ABU KUMMANODE</t>
  </si>
  <si>
    <t>J-4030/25-26</t>
  </si>
  <si>
    <t>J-4031/25-26</t>
  </si>
  <si>
    <t>J-4032/25-26</t>
  </si>
  <si>
    <t>ANISH ARACKKAPADY</t>
  </si>
  <si>
    <t>J-4033/25-26</t>
  </si>
  <si>
    <t>J-4034/25-26</t>
  </si>
  <si>
    <t>SABU VALAMBOOR</t>
  </si>
  <si>
    <t>J-4035/25-26</t>
  </si>
  <si>
    <t>J-4036/25-26</t>
  </si>
  <si>
    <t>J-4037/25-26</t>
  </si>
  <si>
    <t>ROY THATTARA</t>
  </si>
  <si>
    <t>J-4038/25-26</t>
  </si>
  <si>
    <t>JU-658/25-26</t>
  </si>
  <si>
    <t>S J STEEL FURNITURE</t>
  </si>
  <si>
    <t>JU-659/25-26</t>
  </si>
  <si>
    <t>J-4039/25-26</t>
  </si>
  <si>
    <t>J-4040/25-26</t>
  </si>
  <si>
    <t>SREEJITH , VALAMBOOR</t>
  </si>
  <si>
    <t>J-4041/25-26</t>
  </si>
  <si>
    <t>J-4042/25-26</t>
  </si>
  <si>
    <t>J-4043/25-26</t>
  </si>
  <si>
    <t>J-4044/25-26</t>
  </si>
  <si>
    <t>J-4045/25-26</t>
  </si>
  <si>
    <t>J-4046/25-26</t>
  </si>
  <si>
    <t>J-4047/25-26</t>
  </si>
  <si>
    <t>J-4048/25-26</t>
  </si>
  <si>
    <t>J-4049/25-26</t>
  </si>
  <si>
    <t>J-4050/25-26</t>
  </si>
  <si>
    <t>VINEETH.V</t>
  </si>
  <si>
    <t>J-4051/25-26</t>
  </si>
  <si>
    <t>J-4052/25-26</t>
  </si>
  <si>
    <t>J-4053/25-26</t>
  </si>
  <si>
    <t>BASHEER KALAPPURACKAL</t>
  </si>
  <si>
    <t>J-4054/25-26</t>
  </si>
  <si>
    <t>J-4055/25-26</t>
  </si>
  <si>
    <t>J-4056/25-26</t>
  </si>
  <si>
    <t>J-4057/25-26</t>
  </si>
  <si>
    <t>J-4058/25-26</t>
  </si>
  <si>
    <t>J-4059/25-26</t>
  </si>
  <si>
    <t>SREEJITH MAZHUVANNOOR</t>
  </si>
  <si>
    <t>J-4060/25-26</t>
  </si>
  <si>
    <t>J-4061/25-26</t>
  </si>
  <si>
    <t>JU-660/25-26</t>
  </si>
  <si>
    <t>SREEKAUSTHUBHAM TEMPLE ARCHITECTURE &amp; SCULPTURER</t>
  </si>
  <si>
    <t>JU-661/25-26</t>
  </si>
  <si>
    <t>BIJU JOHN</t>
  </si>
  <si>
    <t>JU-662/25-26</t>
  </si>
  <si>
    <t>JU-663/25-26</t>
  </si>
  <si>
    <t>J-4062/25-26</t>
  </si>
  <si>
    <t>ANANDHU PATTIMATTOM</t>
  </si>
  <si>
    <t>J-4063/25-26</t>
  </si>
  <si>
    <t>J-4064/25-26</t>
  </si>
  <si>
    <t>J-4065/25-26</t>
  </si>
  <si>
    <t>J-4066/25-26</t>
  </si>
  <si>
    <t>J-4067/25-26</t>
  </si>
  <si>
    <t>J-4068/25-26</t>
  </si>
  <si>
    <t>J-4069/25-26</t>
  </si>
  <si>
    <t>J-4070/25-26</t>
  </si>
  <si>
    <t>SIJU PETER</t>
  </si>
  <si>
    <t>J-4071/25-26</t>
  </si>
  <si>
    <t>J-4072/25-26</t>
  </si>
  <si>
    <t>J-4073/25-26</t>
  </si>
  <si>
    <t>SIVAN MANGALATHUNADA</t>
  </si>
  <si>
    <t>J-4074/25-26</t>
  </si>
  <si>
    <t>J-4075/25-26</t>
  </si>
  <si>
    <t>JU-664/25-26</t>
  </si>
  <si>
    <t>JU-665/25-26</t>
  </si>
  <si>
    <t>J-4076/25-26</t>
  </si>
  <si>
    <t>J-4077/25-26</t>
  </si>
  <si>
    <t>J-4078/25-26</t>
  </si>
  <si>
    <t>J-4079/25-26</t>
  </si>
  <si>
    <t>J-4080/25-26</t>
  </si>
  <si>
    <t>J-4081/25-26</t>
  </si>
  <si>
    <t>J-4082/25-26</t>
  </si>
  <si>
    <t>J-4083/25-26</t>
  </si>
  <si>
    <t>J-4084/25-26</t>
  </si>
  <si>
    <t>J-4085/25-26</t>
  </si>
  <si>
    <t>J-4086/25-26</t>
  </si>
  <si>
    <t>J-4087/25-26</t>
  </si>
  <si>
    <t>J-4088/25-26</t>
  </si>
  <si>
    <t>J-4089/25-26</t>
  </si>
  <si>
    <t>J-4090/25-26</t>
  </si>
  <si>
    <t>JU-666/25-26</t>
  </si>
  <si>
    <t>JU-667/25-26</t>
  </si>
  <si>
    <t>THOMAS AKKABARA</t>
  </si>
  <si>
    <t>J-4091/25-26</t>
  </si>
  <si>
    <t>J-4092/25-26</t>
  </si>
  <si>
    <t>J-4093/25-26</t>
  </si>
  <si>
    <t>J-4094/25-26</t>
  </si>
  <si>
    <t>J-4095/25-26</t>
  </si>
  <si>
    <t>J-4096/25-26</t>
  </si>
  <si>
    <t>SREEKUMAR VALETHUPADY</t>
  </si>
  <si>
    <t>J-4097/25-26</t>
  </si>
  <si>
    <t>J-4098/25-26</t>
  </si>
  <si>
    <t>SAJI VARGHESE , CHENGARAKUDIYIL</t>
  </si>
  <si>
    <t>J-4099/25-26</t>
  </si>
  <si>
    <t>J-4100/25-26</t>
  </si>
  <si>
    <t>J-4101/25-26</t>
  </si>
  <si>
    <t>J-4102/25-26</t>
  </si>
  <si>
    <t>J-4103/25-26</t>
  </si>
  <si>
    <t>J-4104/25-26</t>
  </si>
  <si>
    <t>J-4105/25-26</t>
  </si>
  <si>
    <t>ASWIN DEV</t>
  </si>
  <si>
    <t>J-4106/25-26</t>
  </si>
  <si>
    <t>J-4107/25-26</t>
  </si>
  <si>
    <t>J-4108/25-26</t>
  </si>
  <si>
    <t>J-4109/25-26</t>
  </si>
  <si>
    <t>JU-668/25-26</t>
  </si>
  <si>
    <t>JU-669/25-26</t>
  </si>
  <si>
    <t>JU-670/25-26</t>
  </si>
  <si>
    <t>JU-671/25-26</t>
  </si>
  <si>
    <t>J-4110/25-26</t>
  </si>
  <si>
    <t>J-4111/25-26</t>
  </si>
  <si>
    <t>J-4112/25-26</t>
  </si>
  <si>
    <t>J-4113/25-26</t>
  </si>
  <si>
    <t>J-4114/25-26</t>
  </si>
  <si>
    <t>J-4115/25-26</t>
  </si>
  <si>
    <t>J-4116/25-26</t>
  </si>
  <si>
    <t>J-4117/25-26</t>
  </si>
  <si>
    <t>J-4118/25-26</t>
  </si>
  <si>
    <t>J-4119/25-26</t>
  </si>
  <si>
    <t>ELDHOSE VALAMBOOR</t>
  </si>
  <si>
    <t>J-4120/25-26</t>
  </si>
  <si>
    <t>SAJU PAPPALIL</t>
  </si>
  <si>
    <t>J-4121/25-26</t>
  </si>
  <si>
    <t>J-4122/25-26</t>
  </si>
  <si>
    <t>J-4123/25-26</t>
  </si>
  <si>
    <t>SREEKUMAR , PANCODU</t>
  </si>
  <si>
    <t>J-4124/25-26</t>
  </si>
  <si>
    <t>J-4125/25-26</t>
  </si>
  <si>
    <t>J-4126/25-26</t>
  </si>
  <si>
    <t>J-4127/25-26</t>
  </si>
  <si>
    <t>J-4128/25-26</t>
  </si>
  <si>
    <t>J-4129/25-26</t>
  </si>
  <si>
    <t>J-4130/25-26</t>
  </si>
  <si>
    <t>J-4131/25-26</t>
  </si>
  <si>
    <t>RAMAN TRUSS</t>
  </si>
  <si>
    <t>J-4132/25-26</t>
  </si>
  <si>
    <t>J-4133/25-26</t>
  </si>
  <si>
    <t>J-4134/25-26</t>
  </si>
  <si>
    <t>JINESH , VALAMBOOR</t>
  </si>
  <si>
    <t>J-4135/25-26</t>
  </si>
  <si>
    <t>JU-672/25-26</t>
  </si>
  <si>
    <t>JU-673/25-26</t>
  </si>
  <si>
    <t>J-4136/25-26</t>
  </si>
  <si>
    <t>J-4137/25-26</t>
  </si>
  <si>
    <t>J-4138/25-26</t>
  </si>
  <si>
    <t>J-4139/25-26</t>
  </si>
  <si>
    <t>RAJESH, CHENGARA</t>
  </si>
  <si>
    <t>J-4140/25-26</t>
  </si>
  <si>
    <t>MAJEED</t>
  </si>
  <si>
    <t>J-4141/25-26</t>
  </si>
  <si>
    <t>BAVA MANNACHERRY</t>
  </si>
  <si>
    <t>J-4142/25-26</t>
  </si>
  <si>
    <t>J-4143/25-26</t>
  </si>
  <si>
    <t>J-4144/25-26</t>
  </si>
  <si>
    <t>PAPPACHAN , KUZHIKKADU</t>
  </si>
  <si>
    <t>J-4145/25-26</t>
  </si>
  <si>
    <t>J-4146/25-26</t>
  </si>
  <si>
    <t>J-4147/25-26</t>
  </si>
  <si>
    <t>J-4148/25-26</t>
  </si>
  <si>
    <t>SREEJITH C</t>
  </si>
  <si>
    <t>J-4149/25-26</t>
  </si>
  <si>
    <t>J-4150/25-26</t>
  </si>
  <si>
    <t>ANOOP CHINUS</t>
  </si>
  <si>
    <t>J-4151/25-26</t>
  </si>
  <si>
    <t>J-4152/25-26</t>
  </si>
  <si>
    <t>J-4153/25-26</t>
  </si>
  <si>
    <t>J-4154/25-26</t>
  </si>
  <si>
    <t>J-4155/25-26</t>
  </si>
  <si>
    <t>J-4156/25-26</t>
  </si>
  <si>
    <t>J-4157/25-26</t>
  </si>
  <si>
    <t>ARUN HARIDAS</t>
  </si>
  <si>
    <t>J-4158/25-26</t>
  </si>
  <si>
    <t>J-4159/25-26</t>
  </si>
  <si>
    <t>J-4160/25-26</t>
  </si>
  <si>
    <t>JU-674/25-26</t>
  </si>
  <si>
    <t>JU-675/25-26</t>
  </si>
  <si>
    <t>JU-676/25-26</t>
  </si>
  <si>
    <t>J-4161/25-26</t>
  </si>
  <si>
    <t>J-4162/25-26</t>
  </si>
  <si>
    <t>J-4163/25-26</t>
  </si>
  <si>
    <t>JOSHY AIRAPURAM</t>
  </si>
  <si>
    <t>J-4164/25-26</t>
  </si>
  <si>
    <t>SHANAVAS KIZHAKAMURI</t>
  </si>
  <si>
    <t>J-4165/25-26</t>
  </si>
  <si>
    <t>J-4166/25-26</t>
  </si>
  <si>
    <t>J-4167/25-26</t>
  </si>
  <si>
    <t>J-4168/25-26</t>
  </si>
  <si>
    <t>J-4169/25-26</t>
  </si>
  <si>
    <t>J-4170/25-26</t>
  </si>
  <si>
    <t>J-4171/25-26</t>
  </si>
  <si>
    <t>J-4172/25-26</t>
  </si>
  <si>
    <t>J-4173/25-26</t>
  </si>
  <si>
    <t>J-4174/25-26</t>
  </si>
  <si>
    <t>J-4175/25-26</t>
  </si>
  <si>
    <t>J-4176/25-26</t>
  </si>
  <si>
    <t>J-4177/25-26</t>
  </si>
  <si>
    <t>J-4178/25-26</t>
  </si>
  <si>
    <t>J-4179/25-26</t>
  </si>
  <si>
    <t>J-4180/25-26</t>
  </si>
  <si>
    <t>NAZER , THAILAN</t>
  </si>
  <si>
    <t>J-4181/25-26</t>
  </si>
  <si>
    <t>JU-677/25-26</t>
  </si>
  <si>
    <t>IDEAL CONSTRUCTION</t>
  </si>
  <si>
    <t>JU-678/25-26</t>
  </si>
  <si>
    <t>JU-679/25-26</t>
  </si>
  <si>
    <t>J-4182/25-26</t>
  </si>
  <si>
    <t>KAREEM ACE</t>
  </si>
  <si>
    <t>J-4183/25-26</t>
  </si>
  <si>
    <t>J-4184/25-26</t>
  </si>
  <si>
    <t>J-4185/25-26</t>
  </si>
  <si>
    <t>J-4186/25-26</t>
  </si>
  <si>
    <t>J-4187/25-26</t>
  </si>
  <si>
    <t>J-4188/25-26</t>
  </si>
  <si>
    <t>J-4189/25-26</t>
  </si>
  <si>
    <t>VISHNU VENNIPARAMBIL</t>
  </si>
  <si>
    <t>J-4190/25-26</t>
  </si>
  <si>
    <t>J-4191/25-26</t>
  </si>
  <si>
    <t>J-4192/25-26</t>
  </si>
  <si>
    <t>J-4193/25-26</t>
  </si>
  <si>
    <t>J-4194/25-26</t>
  </si>
  <si>
    <t>J-4195/25-26</t>
  </si>
  <si>
    <t>J-4196/25-26</t>
  </si>
  <si>
    <t>J-4197/25-26</t>
  </si>
  <si>
    <t>J-4198/25-26</t>
  </si>
  <si>
    <t>J-4199/25-26</t>
  </si>
  <si>
    <t>J-4200/25-26</t>
  </si>
  <si>
    <t>J-4201/25-26</t>
  </si>
  <si>
    <t>J-4202/25-26</t>
  </si>
  <si>
    <t>JU-680/25-26</t>
  </si>
  <si>
    <t>JU-681/25-26</t>
  </si>
  <si>
    <t>JU-682/25-26</t>
  </si>
  <si>
    <t>EBIN PULINCHODE</t>
  </si>
  <si>
    <t>J-4203/25-26</t>
  </si>
  <si>
    <t>J-4204/25-26</t>
  </si>
  <si>
    <t>J-4205/25-26</t>
  </si>
  <si>
    <t>J-4206/25-26</t>
  </si>
  <si>
    <t>J-4207/25-26</t>
  </si>
  <si>
    <t>J-4208/25-26</t>
  </si>
  <si>
    <t>SAJU KOCHAKKAN</t>
  </si>
  <si>
    <t>J-4209/25-26</t>
  </si>
  <si>
    <t>ANIL TRUSS  MANGALATHUNADA</t>
  </si>
  <si>
    <t>J-4210/25-26</t>
  </si>
  <si>
    <t>J-4211/25-26</t>
  </si>
  <si>
    <t>J-4212/25-26</t>
  </si>
  <si>
    <t>J-4213/25-26</t>
  </si>
  <si>
    <t>SUJI TRUSS</t>
  </si>
  <si>
    <t>J-4214/25-26</t>
  </si>
  <si>
    <t>J-4215/25-26</t>
  </si>
  <si>
    <t>J-4216/25-26</t>
  </si>
  <si>
    <t>SAJEEVAN (SIVASAKTHI)</t>
  </si>
  <si>
    <t>J-4217/25-26</t>
  </si>
  <si>
    <t>J-4218/25-26</t>
  </si>
  <si>
    <t>J-4219/25-26</t>
  </si>
  <si>
    <t>J-4220/25-26</t>
  </si>
  <si>
    <t>J-4221/25-26</t>
  </si>
  <si>
    <t>J-4222/25-26</t>
  </si>
  <si>
    <t>J-4223/25-26</t>
  </si>
  <si>
    <t>JU-683/25-26</t>
  </si>
  <si>
    <t>J-4224/25-26</t>
  </si>
  <si>
    <t>J-4225/25-26</t>
  </si>
  <si>
    <t>J-4226/25-26</t>
  </si>
  <si>
    <t>BABY , PATTIMATTOM</t>
  </si>
  <si>
    <t>J-4227/25-26</t>
  </si>
  <si>
    <t>J-4228/25-26</t>
  </si>
  <si>
    <t>J-4229/25-26</t>
  </si>
  <si>
    <t>J-4230/25-26</t>
  </si>
  <si>
    <t>J-4231/25-26</t>
  </si>
  <si>
    <t>J-4232/25-26</t>
  </si>
  <si>
    <t>J-4233/25-26</t>
  </si>
  <si>
    <t>J-4234/25-26</t>
  </si>
  <si>
    <t>J-4235/25-26</t>
  </si>
  <si>
    <t>J-4236/25-26</t>
  </si>
  <si>
    <t>J-4237/25-26</t>
  </si>
  <si>
    <t>JU-684/25-26</t>
  </si>
  <si>
    <t>JU-685/25-26</t>
  </si>
  <si>
    <t>JU-686/25-26</t>
  </si>
  <si>
    <t>JU-687/25-26</t>
  </si>
  <si>
    <t>J-4238/25-26</t>
  </si>
  <si>
    <t>J-4239/25-26</t>
  </si>
  <si>
    <t>J-4240/25-26</t>
  </si>
  <si>
    <t>J-4241/25-26</t>
  </si>
  <si>
    <t>BIJU MECHANIC</t>
  </si>
  <si>
    <t>J-4242/25-26</t>
  </si>
  <si>
    <t>J-4243/25-26</t>
  </si>
  <si>
    <t>J-4244/25-26</t>
  </si>
  <si>
    <t>J-4245/25-26</t>
  </si>
  <si>
    <t>J-4246/25-26</t>
  </si>
  <si>
    <t>J-4247/25-26</t>
  </si>
  <si>
    <t>J-4248/25-26</t>
  </si>
  <si>
    <t>J-4249/25-26</t>
  </si>
  <si>
    <t>SUNIL EZIPURAM</t>
  </si>
  <si>
    <t>J-4250/25-26</t>
  </si>
  <si>
    <t>J-4251/25-26</t>
  </si>
  <si>
    <t>J-4252/25-26</t>
  </si>
  <si>
    <t>J-4253/25-26</t>
  </si>
  <si>
    <t>J-4254/25-26</t>
  </si>
  <si>
    <t>J-4255/25-26</t>
  </si>
  <si>
    <t>J-4256/25-26</t>
  </si>
  <si>
    <t>JU-688/25-26</t>
  </si>
  <si>
    <t>JU-689/25-26</t>
  </si>
  <si>
    <t>JU-690/25-26</t>
  </si>
  <si>
    <t>J-4257/25-26</t>
  </si>
  <si>
    <t>J-4258/25-26</t>
  </si>
  <si>
    <t>J-4259/25-26</t>
  </si>
  <si>
    <t>J-4260/25-26</t>
  </si>
  <si>
    <t>J-4261/25-26</t>
  </si>
  <si>
    <t>JOBY BABY</t>
  </si>
  <si>
    <t>J-4262/25-26</t>
  </si>
  <si>
    <t>J-4263/25-26</t>
  </si>
  <si>
    <t>J-4264/25-26</t>
  </si>
  <si>
    <t>J-4265/25-26</t>
  </si>
  <si>
    <t>JOSEPH MYLATTUMOLAYIL</t>
  </si>
  <si>
    <t>J-4266/25-26</t>
  </si>
  <si>
    <t>J-4267/25-26</t>
  </si>
  <si>
    <t>J-4268/25-26</t>
  </si>
  <si>
    <t>SIBI ALIAS</t>
  </si>
  <si>
    <t>J-4269/25-26</t>
  </si>
  <si>
    <t>J-4270/25-26</t>
  </si>
  <si>
    <t>J-4271/25-26</t>
  </si>
  <si>
    <t>J-4272/25-26</t>
  </si>
  <si>
    <t>J-4273/25-26</t>
  </si>
  <si>
    <t>J-4274/25-26</t>
  </si>
  <si>
    <t>RAJAN K K</t>
  </si>
  <si>
    <t>J-4275/25-26</t>
  </si>
  <si>
    <t>SHYJU VALAMBOOR</t>
  </si>
  <si>
    <t>J-4276/25-26</t>
  </si>
  <si>
    <t>J-4277/25-26</t>
  </si>
  <si>
    <t>J-4278/25-26</t>
  </si>
  <si>
    <t>J-4279/25-26</t>
  </si>
  <si>
    <t>J-4280/25-26</t>
  </si>
  <si>
    <t>N &amp; S CONSTRUCTIONS</t>
  </si>
  <si>
    <t>JU-691/25-26</t>
  </si>
  <si>
    <t>ABY KUMMANODE</t>
  </si>
  <si>
    <t>J-4281/25-26</t>
  </si>
  <si>
    <t>J-4282/25-26</t>
  </si>
  <si>
    <t>J-4283/25-26</t>
  </si>
  <si>
    <t>J-4284/25-26</t>
  </si>
  <si>
    <t>Aji , Pottakkan</t>
  </si>
  <si>
    <t>J-4285/25-26</t>
  </si>
  <si>
    <t>J-4286/25-26</t>
  </si>
  <si>
    <t>J-4287/25-26</t>
  </si>
  <si>
    <t>J-4288/25-26</t>
  </si>
  <si>
    <t>J-4289/25-26</t>
  </si>
  <si>
    <t>J-4290/25-26</t>
  </si>
  <si>
    <t>SUNNY , VALAMBOOR CRUIZE</t>
  </si>
  <si>
    <t>J-4291/25-26</t>
  </si>
  <si>
    <t>J-4292/25-26</t>
  </si>
  <si>
    <t>J-4293/25-26</t>
  </si>
  <si>
    <t>J-4294/25-26</t>
  </si>
  <si>
    <t>J-4295/25-26</t>
  </si>
  <si>
    <t>J-4296/25-26</t>
  </si>
  <si>
    <t>JU-692/25-26</t>
  </si>
  <si>
    <t>JU-693/25-26</t>
  </si>
  <si>
    <t>JU-694/25-26</t>
  </si>
  <si>
    <t>MAZ ENGINEERING</t>
  </si>
  <si>
    <t>JU-695/25-26</t>
  </si>
  <si>
    <t>BEERAN , THANDAKKALA</t>
  </si>
  <si>
    <t>J-4297/25-26</t>
  </si>
  <si>
    <t>J-4298/25-26</t>
  </si>
  <si>
    <t>AFSAL APE</t>
  </si>
  <si>
    <t>J-4299/25-26</t>
  </si>
  <si>
    <t>VARGHESE CHOORAKKODU</t>
  </si>
  <si>
    <t>J-4300/25-26</t>
  </si>
  <si>
    <t>J-4301/25-26</t>
  </si>
  <si>
    <t>J-4302/25-26</t>
  </si>
  <si>
    <t>AJAYAN VALAMBOOR</t>
  </si>
  <si>
    <t>J-4303/25-26</t>
  </si>
  <si>
    <t>J-4304/25-26</t>
  </si>
  <si>
    <t>J-4305/25-26</t>
  </si>
  <si>
    <t>VARKEY KUNNATHUKUDY</t>
  </si>
  <si>
    <t>J-4306/25-26</t>
  </si>
  <si>
    <t>VISWAMBARAN , DAUBLEPALAM</t>
  </si>
  <si>
    <t>J-4307/25-26</t>
  </si>
  <si>
    <t>J-4308/25-26</t>
  </si>
  <si>
    <t>J-4309/25-26</t>
  </si>
  <si>
    <t>J-4310/25-26</t>
  </si>
  <si>
    <t>J-4311/25-26</t>
  </si>
  <si>
    <t>VARGHESE PAUL</t>
  </si>
  <si>
    <t>J-4312/25-26</t>
  </si>
  <si>
    <t>J-4313/25-26</t>
  </si>
  <si>
    <t>J-4314/25-26</t>
  </si>
  <si>
    <t>SAJU , THENGANAL</t>
  </si>
  <si>
    <t>J-4315/25-26</t>
  </si>
  <si>
    <t>BIJU , 9947703676</t>
  </si>
  <si>
    <t>J-4316/25-26</t>
  </si>
  <si>
    <t>J-4317/25-26</t>
  </si>
  <si>
    <t>J-4318/25-26</t>
  </si>
  <si>
    <t>J-4319/25-26</t>
  </si>
  <si>
    <t>JU-696/25-26</t>
  </si>
  <si>
    <t>J-4320/25-26</t>
  </si>
  <si>
    <t>J-4321/25-26</t>
  </si>
  <si>
    <t>J-4322/25-26</t>
  </si>
  <si>
    <t>J-4323/25-26</t>
  </si>
  <si>
    <t>J-4324/25-26</t>
  </si>
  <si>
    <t>J-4325/25-26</t>
  </si>
  <si>
    <t>J-4326/25-26</t>
  </si>
  <si>
    <t>J-4327/25-26</t>
  </si>
  <si>
    <t>J-4328/25-26</t>
  </si>
  <si>
    <t>J-4329/25-26</t>
  </si>
  <si>
    <t>JIJO MATHEW</t>
  </si>
  <si>
    <t>J-4330/25-26</t>
  </si>
  <si>
    <t>JOBIN KOLAMKUDY</t>
  </si>
  <si>
    <t>J-4331/25-26</t>
  </si>
  <si>
    <t>ARUN C THATTAMUGAL</t>
  </si>
  <si>
    <t>J-4332/25-26</t>
  </si>
  <si>
    <t>SHAJI KANICHERY</t>
  </si>
  <si>
    <t>J-4333/25-26</t>
  </si>
  <si>
    <t>J-4334/25-26</t>
  </si>
  <si>
    <t>J-4335/25-26</t>
  </si>
  <si>
    <t>J-4336/25-26</t>
  </si>
  <si>
    <t>J-4337/25-26</t>
  </si>
  <si>
    <t>J-4338/25-26</t>
  </si>
  <si>
    <t>J-4339/25-26</t>
  </si>
  <si>
    <t>J-4340/25-26</t>
  </si>
  <si>
    <t>ANANDHU CHELAKULAM</t>
  </si>
  <si>
    <t>J-4341/25-26</t>
  </si>
  <si>
    <t>J-4342/25-26</t>
  </si>
  <si>
    <t>JU-697/25-26</t>
  </si>
  <si>
    <t>J-4343/25-26</t>
  </si>
  <si>
    <t>GEORGE , VATTAPPARA</t>
  </si>
  <si>
    <t>J-4344/25-26</t>
  </si>
  <si>
    <t>J-4345/25-26</t>
  </si>
  <si>
    <t>SHYJU KOLAMKUDY</t>
  </si>
  <si>
    <t>J-4346/25-26</t>
  </si>
  <si>
    <t>J-4347/25-26</t>
  </si>
  <si>
    <t>J-4348/25-26</t>
  </si>
  <si>
    <t>ELDHO GEORGE</t>
  </si>
  <si>
    <t>J-4349/25-26</t>
  </si>
  <si>
    <t>J-4350/25-26</t>
  </si>
  <si>
    <t>J-4351/25-26</t>
  </si>
  <si>
    <t>J-4352/25-26</t>
  </si>
  <si>
    <t>J-4353/25-26</t>
  </si>
  <si>
    <t>J-4354/25-26</t>
  </si>
  <si>
    <t>J-4355/25-26</t>
  </si>
  <si>
    <t>J-4356/25-26</t>
  </si>
  <si>
    <t>J-4357/25-26</t>
  </si>
  <si>
    <t>SANAL KOLANKUDY</t>
  </si>
  <si>
    <t>J-4358/25-26</t>
  </si>
  <si>
    <t>J-4359/25-26</t>
  </si>
  <si>
    <t>J-4360/25-26</t>
  </si>
  <si>
    <t>J-4361/25-26</t>
  </si>
  <si>
    <t>BALACHANDRAN ANISSERIMARIYIL</t>
  </si>
  <si>
    <t>J-4362/25-26</t>
  </si>
  <si>
    <t>J-4363/25-26</t>
  </si>
  <si>
    <t>J-4364/25-26</t>
  </si>
  <si>
    <t>J-4365/25-26</t>
  </si>
  <si>
    <t>ST.GEORGE SIMHASANA CHAPPEL</t>
  </si>
  <si>
    <t>J-4366/25-26</t>
  </si>
  <si>
    <t>VIJAYAN ERAPPUMPARA</t>
  </si>
  <si>
    <t>J-4367/25-26</t>
  </si>
  <si>
    <t>BAVASONS ENTERPRISES</t>
  </si>
  <si>
    <t>JU-698/25-26</t>
  </si>
  <si>
    <t>JU-699/25-26</t>
  </si>
  <si>
    <t>JU-700/25-26</t>
  </si>
  <si>
    <t>J-4368/25-26</t>
  </si>
  <si>
    <t>J-4369/25-26</t>
  </si>
  <si>
    <t>J-4370/25-26</t>
  </si>
  <si>
    <t>ROBIN KIZHAKKAMBALAM</t>
  </si>
  <si>
    <t>J-4371/25-26</t>
  </si>
  <si>
    <t>J-4372/25-26</t>
  </si>
  <si>
    <t>J-4373/25-26</t>
  </si>
  <si>
    <t>VIJAYAN,  AIRAPURAM</t>
  </si>
  <si>
    <t>J-4374/25-26</t>
  </si>
  <si>
    <t>J-4375/25-26</t>
  </si>
  <si>
    <t>J-4376/25-26</t>
  </si>
  <si>
    <t>J-4377/25-26</t>
  </si>
  <si>
    <t>J-4378/25-26</t>
  </si>
  <si>
    <t>J-4379/25-26</t>
  </si>
  <si>
    <t>J-4380/25-26</t>
  </si>
  <si>
    <t>J-4381/25-26</t>
  </si>
  <si>
    <t>J-4382/25-26</t>
  </si>
  <si>
    <t>J-4383/25-26</t>
  </si>
  <si>
    <t>J-4384/25-26</t>
  </si>
  <si>
    <t>J-4385/25-26</t>
  </si>
  <si>
    <t>J-4386/25-26</t>
  </si>
  <si>
    <t>J-4387/25-26</t>
  </si>
  <si>
    <t>J-4388/25-26</t>
  </si>
  <si>
    <t>J-4389/25-26</t>
  </si>
  <si>
    <t>PRAMODH</t>
  </si>
  <si>
    <t>J-4390/25-26</t>
  </si>
  <si>
    <t>JU-701/25-26</t>
  </si>
  <si>
    <t>JU-702/25-26</t>
  </si>
  <si>
    <t>JU-703/25-26</t>
  </si>
  <si>
    <t>ADS N ART</t>
  </si>
  <si>
    <t>JU-704/25-26</t>
  </si>
  <si>
    <t>J-4391/25-26</t>
  </si>
  <si>
    <t>J-4392/25-26</t>
  </si>
  <si>
    <t>J-4393/25-26</t>
  </si>
  <si>
    <t>J-4394/25-26</t>
  </si>
  <si>
    <t>J-4395/25-26</t>
  </si>
  <si>
    <t>J-4396/25-26</t>
  </si>
  <si>
    <t>J-4397/25-26</t>
  </si>
  <si>
    <t>J-4398/25-26</t>
  </si>
  <si>
    <t>JOY NJARALLOOR</t>
  </si>
  <si>
    <t>J-4399/25-26</t>
  </si>
  <si>
    <t>J-4400/25-26</t>
  </si>
  <si>
    <t>SANAL , VALAMBOOR</t>
  </si>
  <si>
    <t>J-4401/25-26</t>
  </si>
  <si>
    <t>J-4402/25-26</t>
  </si>
  <si>
    <t>J-4403/25-26</t>
  </si>
  <si>
    <t>J-4404/25-26</t>
  </si>
  <si>
    <t>SALIM UNIVERSAL</t>
  </si>
  <si>
    <t>J-4405/25-26</t>
  </si>
  <si>
    <t>J-4406/25-26</t>
  </si>
  <si>
    <t>JU-705/25-26</t>
  </si>
  <si>
    <t>JU-706/25-26</t>
  </si>
  <si>
    <t>JU-707/25-26</t>
  </si>
  <si>
    <t>JU-708/25-26</t>
  </si>
  <si>
    <t>J-4407/25-26</t>
  </si>
  <si>
    <t>J-4408/25-26</t>
  </si>
  <si>
    <t>J-4409/25-26</t>
  </si>
  <si>
    <t>J-4410/25-26</t>
  </si>
  <si>
    <t>J-4411/25-26</t>
  </si>
  <si>
    <t>J-4412/25-26</t>
  </si>
  <si>
    <t>J-4413/25-26</t>
  </si>
  <si>
    <t>JITHU</t>
  </si>
  <si>
    <t>J-4414/25-26</t>
  </si>
  <si>
    <t>J-4415/25-26</t>
  </si>
  <si>
    <t>J-4416/25-26</t>
  </si>
  <si>
    <t>J-4417/25-26</t>
  </si>
  <si>
    <t>J-4418/25-26</t>
  </si>
  <si>
    <t>J-4419/25-26</t>
  </si>
  <si>
    <t>BABU , VALETH</t>
  </si>
  <si>
    <t>J-4420/25-26</t>
  </si>
  <si>
    <t>J-4421/25-26</t>
  </si>
  <si>
    <t>J-4422/25-26</t>
  </si>
  <si>
    <t>J-4423/25-26</t>
  </si>
  <si>
    <t>J-4424/25-26</t>
  </si>
  <si>
    <t>J-4425/25-26</t>
  </si>
  <si>
    <t>SRS ELECTRICALS</t>
  </si>
  <si>
    <t>JU-709/25-26</t>
  </si>
  <si>
    <t>JU-710/25-26</t>
  </si>
  <si>
    <t>JU-711/25-26</t>
  </si>
  <si>
    <t>J-4426/25-26</t>
  </si>
  <si>
    <t>J-4427/25-26</t>
  </si>
  <si>
    <t>J-4428/25-26</t>
  </si>
  <si>
    <t>J-4429/25-26</t>
  </si>
  <si>
    <t>J-4430/25-26</t>
  </si>
  <si>
    <t>J-4431/25-26</t>
  </si>
  <si>
    <t>J-4432/25-26</t>
  </si>
  <si>
    <t>J-4433/25-26</t>
  </si>
  <si>
    <t>J-4434/25-26</t>
  </si>
  <si>
    <t>J-4435/25-26</t>
  </si>
  <si>
    <t>J-4436/25-26</t>
  </si>
  <si>
    <t>J-4437/25-26</t>
  </si>
  <si>
    <t>SHAMEER C.P</t>
  </si>
  <si>
    <t>J-4438/25-26</t>
  </si>
  <si>
    <t>J-4439/25-26</t>
  </si>
  <si>
    <t>J-4440/25-26</t>
  </si>
  <si>
    <t>J-4441/25-26</t>
  </si>
  <si>
    <t>J-4442/25-26</t>
  </si>
  <si>
    <t>J-4443/25-26</t>
  </si>
  <si>
    <t>J-4444/25-26</t>
  </si>
  <si>
    <t>JU-712/25-26</t>
  </si>
  <si>
    <t>JU-713/25-26</t>
  </si>
  <si>
    <t>J-4445/25-26</t>
  </si>
  <si>
    <t>NAUSHAD EARVADY APE</t>
  </si>
  <si>
    <t>J-4446/25-26</t>
  </si>
  <si>
    <t>J-4447/25-26</t>
  </si>
  <si>
    <t>J-4448/25-26</t>
  </si>
  <si>
    <t>J-4449/25-26</t>
  </si>
  <si>
    <t>J-4450/25-26</t>
  </si>
  <si>
    <t>VETTIKKAL TEMPLE</t>
  </si>
  <si>
    <t>J-4451/25-26</t>
  </si>
  <si>
    <t>J-4452/25-26</t>
  </si>
  <si>
    <t>J-4453/25-26</t>
  </si>
  <si>
    <t>J-4454/25-26</t>
  </si>
  <si>
    <t>J-4455/25-26</t>
  </si>
  <si>
    <t>J-4456/25-26</t>
  </si>
  <si>
    <t>J-4457/25-26</t>
  </si>
  <si>
    <t>J-4458/25-26</t>
  </si>
  <si>
    <t>J-4459/25-26</t>
  </si>
  <si>
    <t>J-4460/25-26</t>
  </si>
  <si>
    <t>J-4461/25-26</t>
  </si>
  <si>
    <t>SAJU PARAYIL</t>
  </si>
  <si>
    <t>J-4462/25-26</t>
  </si>
  <si>
    <t>J-4463/25-26</t>
  </si>
  <si>
    <t>SIVADAS KUMMANODE</t>
  </si>
  <si>
    <t>J-4464/25-26</t>
  </si>
  <si>
    <t>J-4465/25-26</t>
  </si>
  <si>
    <t>SIJU CHOORAKKODE</t>
  </si>
  <si>
    <t>J-4466/25-26</t>
  </si>
  <si>
    <t>J-4467/25-26</t>
  </si>
  <si>
    <t>J-4468/25-26</t>
  </si>
  <si>
    <t>J-4469/25-26</t>
  </si>
  <si>
    <t>JU-714/25-26</t>
  </si>
  <si>
    <t>JU-715/25-26</t>
  </si>
  <si>
    <t>JU-716/25-26</t>
  </si>
  <si>
    <t>ZAYED DEVELOPERS</t>
  </si>
  <si>
    <t>JU-717/25-26</t>
  </si>
  <si>
    <t>J-4470/25-26</t>
  </si>
  <si>
    <t>GEORGE KEERANKUZHY</t>
  </si>
  <si>
    <t>J-4471/25-26</t>
  </si>
  <si>
    <t>J-4472/25-26</t>
  </si>
  <si>
    <t>J-4473/25-26</t>
  </si>
  <si>
    <t>J-4474/25-26</t>
  </si>
  <si>
    <t>J-4475/25-26</t>
  </si>
  <si>
    <t>J-4476/25-26</t>
  </si>
  <si>
    <t>J-4477/25-26</t>
  </si>
  <si>
    <t>J-4478/25-26</t>
  </si>
  <si>
    <t>J-4479/25-26</t>
  </si>
  <si>
    <t>J-4480/25-26</t>
  </si>
  <si>
    <t>J-4481/25-26</t>
  </si>
  <si>
    <t>JAYAN TRUSS, PAZHAMTHOTTAM</t>
  </si>
  <si>
    <t>J-4482/25-26</t>
  </si>
  <si>
    <t>J-4483/25-26</t>
  </si>
  <si>
    <t>SAJAN PAUL</t>
  </si>
  <si>
    <t>J-4484/25-26</t>
  </si>
  <si>
    <t>J-4485/25-26</t>
  </si>
  <si>
    <t>J-4486/25-26</t>
  </si>
  <si>
    <t>J-4487/25-26</t>
  </si>
  <si>
    <t>JU-718/25-26</t>
  </si>
  <si>
    <t>JU-719/25-26</t>
  </si>
  <si>
    <t>JU-720/25-26</t>
  </si>
  <si>
    <t>J-4488/25-26</t>
  </si>
  <si>
    <t>J-4489/25-26</t>
  </si>
  <si>
    <t>J-4490/25-26</t>
  </si>
  <si>
    <t>J-4491/25-26</t>
  </si>
  <si>
    <t>J-4492/25-26</t>
  </si>
  <si>
    <t>J-4493/25-26</t>
  </si>
  <si>
    <t>J-4494/25-26</t>
  </si>
  <si>
    <t>J-4495/25-26</t>
  </si>
  <si>
    <t>J-4496/25-26</t>
  </si>
  <si>
    <t>J-4497/25-26</t>
  </si>
  <si>
    <t>JU-721/25-26</t>
  </si>
  <si>
    <t>J-4498/25-26</t>
  </si>
  <si>
    <t>J-4499/25-26</t>
  </si>
  <si>
    <t>J-4500/25-26</t>
  </si>
  <si>
    <t>J-4501/25-26</t>
  </si>
  <si>
    <t>J-4502/25-26</t>
  </si>
  <si>
    <t>J-4503/25-26</t>
  </si>
  <si>
    <t>J-4504/25-26</t>
  </si>
  <si>
    <t>J-4505/25-26</t>
  </si>
  <si>
    <t>JOBY NJARALLOOR</t>
  </si>
  <si>
    <t>J-4506/25-26</t>
  </si>
  <si>
    <t>J-4507/25-26</t>
  </si>
  <si>
    <t>J-4508/25-26</t>
  </si>
  <si>
    <t>J-4509/25-26</t>
  </si>
  <si>
    <t>J-4510/25-26</t>
  </si>
  <si>
    <t>UNNIKRISHNAN</t>
  </si>
  <si>
    <t>J-4511/25-26</t>
  </si>
  <si>
    <t>J-4512/25-26</t>
  </si>
  <si>
    <t>J-4513/25-26</t>
  </si>
  <si>
    <t>JU-722/25-26</t>
  </si>
  <si>
    <t>JU-723/25-26</t>
  </si>
  <si>
    <t>J-4514/25-26</t>
  </si>
  <si>
    <t>J-4515/25-26</t>
  </si>
  <si>
    <t>J-4516/25-26</t>
  </si>
  <si>
    <t>J-4517/25-26</t>
  </si>
  <si>
    <t>J-4518/25-26</t>
  </si>
  <si>
    <t>AJITH VALETHUPADY</t>
  </si>
  <si>
    <t>J-4519/25-26</t>
  </si>
  <si>
    <t>J-4520/25-26</t>
  </si>
  <si>
    <t>J-4521/25-26</t>
  </si>
  <si>
    <t>J-4522/25-26</t>
  </si>
  <si>
    <t>J-4523/25-26</t>
  </si>
  <si>
    <t>J-4524/25-26</t>
  </si>
  <si>
    <t>J-4525/25-26</t>
  </si>
  <si>
    <t>J-4526/25-26</t>
  </si>
  <si>
    <t>J-4527/25-26</t>
  </si>
  <si>
    <t>SAJU , VALAMBOOR</t>
  </si>
  <si>
    <t>J-4528/25-26</t>
  </si>
  <si>
    <t>J-4529/25-26</t>
  </si>
  <si>
    <t>J-4530/25-26</t>
  </si>
  <si>
    <t>J-4531/25-26</t>
  </si>
  <si>
    <t>JU-724/25-26</t>
  </si>
  <si>
    <t>JU-725/25-26</t>
  </si>
  <si>
    <t>J-4532/25-26</t>
  </si>
  <si>
    <t>J-4533/25-26</t>
  </si>
  <si>
    <t>J-4534/25-26</t>
  </si>
  <si>
    <t>J-4535/25-26</t>
  </si>
  <si>
    <t>NAUFAL ARAKKAPADY</t>
  </si>
  <si>
    <t>J-4536/25-26</t>
  </si>
  <si>
    <t>J-4537/25-26</t>
  </si>
  <si>
    <t>J-4538/25-26</t>
  </si>
  <si>
    <t>J-4539/25-26</t>
  </si>
  <si>
    <t>J-4540/25-26</t>
  </si>
  <si>
    <t>J-4541/25-26</t>
  </si>
  <si>
    <t>J-4542/25-26</t>
  </si>
  <si>
    <t>TITUS KURIAKOSE</t>
  </si>
  <si>
    <t>J-4543/25-26</t>
  </si>
  <si>
    <t>J-4544/25-26</t>
  </si>
  <si>
    <t>J-4545/25-26</t>
  </si>
  <si>
    <t>J-4546/25-26</t>
  </si>
  <si>
    <t>AVARACHAN KANJIRAVELIL</t>
  </si>
  <si>
    <t>J-4547/25-26</t>
  </si>
  <si>
    <t>AJU VALAMBOOR</t>
  </si>
  <si>
    <t>J-4548/25-26</t>
  </si>
  <si>
    <t>J-4549/25-26</t>
  </si>
  <si>
    <t>J-4550/25-26</t>
  </si>
  <si>
    <t>J-4551/25-26</t>
  </si>
  <si>
    <t>J-4552/25-26</t>
  </si>
  <si>
    <t>J-4553/25-26</t>
  </si>
  <si>
    <t>JU-726/25-26</t>
  </si>
  <si>
    <t>AYISHA CONSTRUCTIONS</t>
  </si>
  <si>
    <t>JU-727/25-26</t>
  </si>
  <si>
    <t>JU-728/25-26</t>
  </si>
  <si>
    <t>JU-729/25-26</t>
  </si>
  <si>
    <t>JU-730/25-26</t>
  </si>
  <si>
    <t>J-4554/25-26</t>
  </si>
  <si>
    <t>J-4555/25-26</t>
  </si>
  <si>
    <t>AJESH PAZHAMPILLY</t>
  </si>
  <si>
    <t>J-4556/25-26</t>
  </si>
  <si>
    <t>J-4557/25-26</t>
  </si>
  <si>
    <t>J-4558/25-26</t>
  </si>
  <si>
    <t>J-4559/25-26</t>
  </si>
  <si>
    <t>J-4560/25-26</t>
  </si>
  <si>
    <t>J-4561/25-26</t>
  </si>
  <si>
    <t>J-4562/25-26</t>
  </si>
  <si>
    <t>J-4563/25-26</t>
  </si>
  <si>
    <t>J-4564/25-26</t>
  </si>
  <si>
    <t>J-4565/25-26</t>
  </si>
  <si>
    <t>J-4566/25-26</t>
  </si>
  <si>
    <t>J-4567/25-26</t>
  </si>
  <si>
    <t>J-4568/25-26</t>
  </si>
  <si>
    <t>ANWAR PATTIMATTOM</t>
  </si>
  <si>
    <t>J-4569/25-26</t>
  </si>
  <si>
    <t>J-4570/25-26</t>
  </si>
  <si>
    <t>J-4571/25-26</t>
  </si>
  <si>
    <t>J-4572/25-26</t>
  </si>
  <si>
    <t>J-4573/25-26</t>
  </si>
  <si>
    <t>J-4574/25-26</t>
  </si>
  <si>
    <t>J-4575/25-26</t>
  </si>
  <si>
    <t>J-4576/25-26</t>
  </si>
  <si>
    <t>J-4577/25-26</t>
  </si>
  <si>
    <t>J-4578/25-26</t>
  </si>
  <si>
    <t>AJIL PATTIMATTOM</t>
  </si>
  <si>
    <t>J-4579/25-26</t>
  </si>
  <si>
    <t>J-4580/25-26</t>
  </si>
  <si>
    <t>AJI MANAKALMARY</t>
  </si>
  <si>
    <t>J-4581/25-26</t>
  </si>
  <si>
    <t>JU-731/25-26</t>
  </si>
  <si>
    <t>JU-732/25-26</t>
  </si>
  <si>
    <t>JU-733/25-26</t>
  </si>
  <si>
    <t>JU-734/25-26</t>
  </si>
  <si>
    <t>JU-735/25-26</t>
  </si>
  <si>
    <t>BOLDTECH INTERIORS &amp; DEVELOPERS LLP</t>
  </si>
  <si>
    <t>JU-736/25-26</t>
  </si>
  <si>
    <t>J-4582/25-26</t>
  </si>
  <si>
    <t>J-4583/25-26</t>
  </si>
  <si>
    <t>J-4584/25-26</t>
  </si>
  <si>
    <t>J-4585/25-26</t>
  </si>
  <si>
    <t>J-4586/25-26</t>
  </si>
  <si>
    <t>J-4587/25-26</t>
  </si>
  <si>
    <t>J-4588/25-26</t>
  </si>
  <si>
    <t>J-4589/25-26</t>
  </si>
  <si>
    <t>J-4590/25-26</t>
  </si>
  <si>
    <t>BROOKESIDE CLUB</t>
  </si>
  <si>
    <t>J-4591/25-26</t>
  </si>
  <si>
    <t>J-4592/25-26</t>
  </si>
  <si>
    <t>J-4593/25-26</t>
  </si>
  <si>
    <t>VISWAN CHENGRA</t>
  </si>
  <si>
    <t>J-4594/25-26</t>
  </si>
  <si>
    <t>JINESH KUMMANODE</t>
  </si>
  <si>
    <t>J-4595/25-26</t>
  </si>
  <si>
    <t>J-4596/25-26</t>
  </si>
  <si>
    <t>J-4597/25-26</t>
  </si>
  <si>
    <t>VAIGA ENGINEERING</t>
  </si>
  <si>
    <t>JU-737/25-26</t>
  </si>
  <si>
    <t>JU-738/25-26</t>
  </si>
  <si>
    <t>JU-739/25-26</t>
  </si>
  <si>
    <t>THOMAS T M</t>
  </si>
  <si>
    <t>JU-740/25-26</t>
  </si>
  <si>
    <t>BIBIN GEORGE</t>
  </si>
  <si>
    <t>J-4598/25-26</t>
  </si>
  <si>
    <t>J-4599/25-26</t>
  </si>
  <si>
    <t>J-4600/25-26</t>
  </si>
  <si>
    <t>J-4601/25-26</t>
  </si>
  <si>
    <t>J-4602/25-26</t>
  </si>
  <si>
    <t>J-4603/25-26</t>
  </si>
  <si>
    <t>BINU VALAMBOOR</t>
  </si>
  <si>
    <t>J-4604/25-26</t>
  </si>
  <si>
    <t>J-4605/25-26</t>
  </si>
  <si>
    <t>J-4606/25-26</t>
  </si>
  <si>
    <t>J-4607/25-26</t>
  </si>
  <si>
    <t>PAREETH KEEPETH</t>
  </si>
  <si>
    <t>J-4608/25-26</t>
  </si>
  <si>
    <t>J-4609/25-26</t>
  </si>
  <si>
    <t>J-4610/25-26</t>
  </si>
  <si>
    <t>J-4611/25-26</t>
  </si>
  <si>
    <t>J-4612/25-26</t>
  </si>
  <si>
    <t>J-4613/25-26</t>
  </si>
  <si>
    <t>J-4614/25-26</t>
  </si>
  <si>
    <t>J-4615/25-26</t>
  </si>
  <si>
    <t>J-4616/25-26</t>
  </si>
  <si>
    <t>J-4617/25-26</t>
  </si>
  <si>
    <t>J-4618/25-26</t>
  </si>
  <si>
    <t>J-4619/25-26</t>
  </si>
  <si>
    <t>J-4620/25-26</t>
  </si>
  <si>
    <t>J-4621/25-26</t>
  </si>
  <si>
    <t>J-4622/25-26</t>
  </si>
  <si>
    <t>JU-741/25-26</t>
  </si>
  <si>
    <t>JU-742/25-26</t>
  </si>
  <si>
    <t>JU-743/25-26</t>
  </si>
  <si>
    <t>J-4623/25-26</t>
  </si>
  <si>
    <t>J-4624/25-26</t>
  </si>
  <si>
    <t>J-4625/25-26</t>
  </si>
  <si>
    <t>J-4626/25-26</t>
  </si>
  <si>
    <t>J-4627/25-26</t>
  </si>
  <si>
    <t>J-4628/25-26</t>
  </si>
  <si>
    <t>J-4629/25-26</t>
  </si>
  <si>
    <t>J-4630/25-26</t>
  </si>
  <si>
    <t>J-4631/25-26</t>
  </si>
  <si>
    <t>J-4632/25-26</t>
  </si>
  <si>
    <t>J-4633/25-26</t>
  </si>
  <si>
    <t>J-4634/25-26</t>
  </si>
  <si>
    <t>J-4635/25-26</t>
  </si>
  <si>
    <t>J-4636/25-26</t>
  </si>
  <si>
    <t>J-4637/25-26</t>
  </si>
  <si>
    <t>KADMUR SOLUTIONS PRIVATE LIMITED</t>
  </si>
  <si>
    <t>JU-744/25-26</t>
  </si>
  <si>
    <t>SOLARGATE</t>
  </si>
  <si>
    <t>JU-745/25-26</t>
  </si>
  <si>
    <t>JU-746/25-26</t>
  </si>
  <si>
    <t>JU-747/25-26</t>
  </si>
  <si>
    <t>JU-748/25-26</t>
  </si>
  <si>
    <t>BAVA  THOTTUNGAL</t>
  </si>
  <si>
    <t>J-4638/25-26</t>
  </si>
  <si>
    <t>ABDULKHADER KOTTALIKUDY</t>
  </si>
  <si>
    <t>J-4639/25-26</t>
  </si>
  <si>
    <t>J-4640/25-26</t>
  </si>
  <si>
    <t>J-4641/25-26</t>
  </si>
  <si>
    <t>J-4642/25-26</t>
  </si>
  <si>
    <t>J-4643/25-26</t>
  </si>
  <si>
    <t>J-4644/25-26</t>
  </si>
  <si>
    <t>J-4645/25-26</t>
  </si>
  <si>
    <t>J-4646/25-26</t>
  </si>
  <si>
    <t>J-4647/25-26</t>
  </si>
  <si>
    <t>J-4648/25-26</t>
  </si>
  <si>
    <t>J-4649/25-26</t>
  </si>
  <si>
    <t>J-4650/25-26</t>
  </si>
  <si>
    <t>J-4651/25-26</t>
  </si>
  <si>
    <t>ALI.K.P</t>
  </si>
  <si>
    <t>J-4652/25-26</t>
  </si>
  <si>
    <t>RAJI , PATHAMILE</t>
  </si>
  <si>
    <t>J-4653/25-26</t>
  </si>
  <si>
    <t>JU-749/25-26</t>
  </si>
  <si>
    <t>JU-750/25-26</t>
  </si>
  <si>
    <t>J-4654/25-26</t>
  </si>
  <si>
    <t>J-4655/25-26</t>
  </si>
  <si>
    <t>J-4656/25-26</t>
  </si>
  <si>
    <t>J-4657/25-26</t>
  </si>
  <si>
    <t>J-4658/25-26</t>
  </si>
  <si>
    <t>ELDHO MATHAI , ERAPPUMPARA</t>
  </si>
  <si>
    <t>J-4659/25-26</t>
  </si>
  <si>
    <t>J-4660/25-26</t>
  </si>
  <si>
    <t>J-4661/25-26</t>
  </si>
  <si>
    <t>J-4662/25-26</t>
  </si>
  <si>
    <t>J-4663/25-26</t>
  </si>
  <si>
    <t>J-4664/25-26</t>
  </si>
  <si>
    <t>ANEESH P PAULOSE</t>
  </si>
  <si>
    <t>J-4665/25-26</t>
  </si>
  <si>
    <t>J-4666/25-26</t>
  </si>
  <si>
    <t>J-4667/25-26</t>
  </si>
  <si>
    <t>J-4668/25-26</t>
  </si>
  <si>
    <t>J-4669/25-26</t>
  </si>
  <si>
    <t>PRABHU CHENGARA</t>
  </si>
  <si>
    <t>J-4670/25-26</t>
  </si>
  <si>
    <t>J-4671/25-26</t>
  </si>
  <si>
    <t>JOHNSON ERAPPUMPARA</t>
  </si>
  <si>
    <t>J-4672/25-26</t>
  </si>
  <si>
    <t>J-4673/25-26</t>
  </si>
  <si>
    <t>SETHU</t>
  </si>
  <si>
    <t>J-4674/25-26</t>
  </si>
  <si>
    <t>J-4675/25-26</t>
  </si>
  <si>
    <t>J-4676/25-26</t>
  </si>
  <si>
    <t>J-4677/25-26</t>
  </si>
  <si>
    <t>J-4678/25-26</t>
  </si>
  <si>
    <t>J-4679/25-26</t>
  </si>
  <si>
    <t>J-4680/25-26</t>
  </si>
  <si>
    <t>J-4681/25-26</t>
  </si>
  <si>
    <t>J-4682/25-26</t>
  </si>
  <si>
    <t>J-4683/25-26</t>
  </si>
  <si>
    <t>J-4684/25-26</t>
  </si>
  <si>
    <t>J-4685/25-26</t>
  </si>
  <si>
    <t>NIHAS .E.M</t>
  </si>
  <si>
    <t>JU-751/25-26</t>
  </si>
  <si>
    <t>JU-752/25-26</t>
  </si>
  <si>
    <t>JU-753/25-26</t>
  </si>
  <si>
    <t>J-4686/25-26</t>
  </si>
  <si>
    <t>J-4687/25-26</t>
  </si>
  <si>
    <t>J-4688/25-26</t>
  </si>
  <si>
    <t>J-4689/25-26</t>
  </si>
  <si>
    <t>VISHNU NJARALLOOR</t>
  </si>
  <si>
    <t>J-4690/25-26</t>
  </si>
  <si>
    <t>J-4691/25-26</t>
  </si>
  <si>
    <t>J-4692/25-26</t>
  </si>
  <si>
    <t>VIJAYAN PATTIMATTOM</t>
  </si>
  <si>
    <t>J-4693/25-26</t>
  </si>
  <si>
    <t>J-4694/25-26</t>
  </si>
  <si>
    <t>J-4695/25-26</t>
  </si>
  <si>
    <t>J-4696/25-26</t>
  </si>
  <si>
    <t>J-4697/25-26</t>
  </si>
  <si>
    <t>J-4698/25-26</t>
  </si>
  <si>
    <t>J-4699/25-26</t>
  </si>
  <si>
    <t>J-4700/25-26</t>
  </si>
  <si>
    <t>SURESH MAZVANOOR</t>
  </si>
  <si>
    <t>J-4701/25-26</t>
  </si>
  <si>
    <t>J-4702/25-26</t>
  </si>
  <si>
    <t>J-4703/25-26</t>
  </si>
  <si>
    <t>J-4704/25-26</t>
  </si>
  <si>
    <t>NAVAS K M</t>
  </si>
  <si>
    <t>JU-754/25-26</t>
  </si>
  <si>
    <t>JU-755/25-26</t>
  </si>
  <si>
    <t xml:space="preserve">JAWA SOLAR LLP_x000D_
_x000D_
</t>
  </si>
  <si>
    <t>JU-756/25-26</t>
  </si>
  <si>
    <t>JU-757/25-26</t>
  </si>
  <si>
    <t>JU-758/25-26</t>
  </si>
  <si>
    <t>HEAVEN PAPER PRODUCTS</t>
  </si>
  <si>
    <t>JU-759/25-26</t>
  </si>
  <si>
    <t>JU-760/25-26</t>
  </si>
  <si>
    <t>J-4705/25-26</t>
  </si>
  <si>
    <t>J-4706/25-26</t>
  </si>
  <si>
    <t>J-4707/25-26</t>
  </si>
  <si>
    <t>J-4708/25-26</t>
  </si>
  <si>
    <t>J-4709/25-26</t>
  </si>
  <si>
    <t>SAJI EZHIPURAM</t>
  </si>
  <si>
    <t>J-4710/25-26</t>
  </si>
  <si>
    <t>J-4711/25-26</t>
  </si>
  <si>
    <t>J-4712/25-26</t>
  </si>
  <si>
    <t>J-4713/25-26</t>
  </si>
  <si>
    <t>J-4714/25-26</t>
  </si>
  <si>
    <t>J-4715/25-26</t>
  </si>
  <si>
    <t>TAHIR , KUMMANODU</t>
  </si>
  <si>
    <t>J-4716/25-26</t>
  </si>
  <si>
    <t>J-4717/25-26</t>
  </si>
  <si>
    <t>J-4718/25-26</t>
  </si>
  <si>
    <t>J-4719/25-26</t>
  </si>
  <si>
    <t>VISHNU MAZHUVANNOOR</t>
  </si>
  <si>
    <t>J-4720/25-26</t>
  </si>
  <si>
    <t>J-4721/25-26</t>
  </si>
  <si>
    <t>J-4722/25-26</t>
  </si>
  <si>
    <t>J-4723/25-26</t>
  </si>
  <si>
    <t>J-4724/25-26</t>
  </si>
  <si>
    <t>J-4725/25-26</t>
  </si>
  <si>
    <t>JU-761/25-26</t>
  </si>
  <si>
    <t>J-4726/25-26</t>
  </si>
  <si>
    <t>J-4727/25-26</t>
  </si>
  <si>
    <t>J-4728/25-26</t>
  </si>
  <si>
    <t>J-4729/25-26</t>
  </si>
  <si>
    <t>J-4730/25-26</t>
  </si>
  <si>
    <t>J-4731/25-26</t>
  </si>
  <si>
    <t>J-4732/25-26</t>
  </si>
  <si>
    <t>SHAJAN KANINAD</t>
  </si>
  <si>
    <t>J-4733/25-26</t>
  </si>
  <si>
    <t>J-4734/25-26</t>
  </si>
  <si>
    <t>J-4735/25-26</t>
  </si>
  <si>
    <t>J-4736/25-26</t>
  </si>
  <si>
    <t>J-4737/25-26</t>
  </si>
  <si>
    <t>J-4738/25-26</t>
  </si>
  <si>
    <t>JU-762/25-26</t>
  </si>
  <si>
    <t>J-4739/25-26</t>
  </si>
  <si>
    <t>J-4740/25-26</t>
  </si>
  <si>
    <t>J-4741/25-26</t>
  </si>
  <si>
    <t>J-4742/25-26</t>
  </si>
  <si>
    <t>J-4743/25-26</t>
  </si>
  <si>
    <t>J-4744/25-26</t>
  </si>
  <si>
    <t>J-4745/25-26</t>
  </si>
  <si>
    <t>J-4746/25-26</t>
  </si>
  <si>
    <t>J-4747/25-26</t>
  </si>
  <si>
    <t>J-4748/25-26</t>
  </si>
  <si>
    <t>SAJI , MORAKKALA</t>
  </si>
  <si>
    <t>J-4749/25-26</t>
  </si>
  <si>
    <t>J-4750/25-26</t>
  </si>
  <si>
    <t>J-4751/25-26</t>
  </si>
  <si>
    <t>J-4752/25-26</t>
  </si>
  <si>
    <t>AJI , N.V</t>
  </si>
  <si>
    <t>J-4753/25-26</t>
  </si>
  <si>
    <t>J-4754/25-26</t>
  </si>
  <si>
    <t>J-4755/25-26</t>
  </si>
  <si>
    <t>J-4756/25-26</t>
  </si>
  <si>
    <t>J-4757/25-26</t>
  </si>
  <si>
    <t>AJIKUMR VALAMBOOR</t>
  </si>
  <si>
    <t>J-4758/25-26</t>
  </si>
  <si>
    <t>J-4759/25-26</t>
  </si>
  <si>
    <t>J-4760/25-26</t>
  </si>
  <si>
    <t>AJAS K A</t>
  </si>
  <si>
    <t>JU-763/25-26</t>
  </si>
  <si>
    <t>R.SAJIKUMAR</t>
  </si>
  <si>
    <t>JU-764/25-26</t>
  </si>
  <si>
    <t>JU-765/25-26</t>
  </si>
  <si>
    <t>BREAKTHROUGH ENGINEERING</t>
  </si>
  <si>
    <t>JU-766/25-26</t>
  </si>
  <si>
    <t>JU-767/25-26</t>
  </si>
  <si>
    <t>J-4761/25-26</t>
  </si>
  <si>
    <t>J-4762/25-26</t>
  </si>
  <si>
    <t>J-4763/25-26</t>
  </si>
  <si>
    <t>J-4764/25-26</t>
  </si>
  <si>
    <t>BENNY POKKATTILL</t>
  </si>
  <si>
    <t>J-4765/25-26</t>
  </si>
  <si>
    <t>J-4766/25-26</t>
  </si>
  <si>
    <t>J-4767/25-26</t>
  </si>
  <si>
    <t>GOPI MAZHUVANNOOR</t>
  </si>
  <si>
    <t>J-4768/25-26</t>
  </si>
  <si>
    <t>SANDEEP PANAKKAL</t>
  </si>
  <si>
    <t>J-4769/25-26</t>
  </si>
  <si>
    <t>SANTHOSH MAZHUVANOOR</t>
  </si>
  <si>
    <t>J-4770/25-26</t>
  </si>
  <si>
    <t>J-4771/25-26</t>
  </si>
  <si>
    <t>J-4772/25-26</t>
  </si>
  <si>
    <t>J-4773/25-26</t>
  </si>
  <si>
    <t>J-4774/25-26</t>
  </si>
  <si>
    <t>J-4775/25-26</t>
  </si>
  <si>
    <t>J-4776/25-26</t>
  </si>
  <si>
    <t>J-4777/25-26</t>
  </si>
  <si>
    <t>J-4778/25-26</t>
  </si>
  <si>
    <t>JU-768/25-26</t>
  </si>
  <si>
    <t>KEMI VENEERS</t>
  </si>
  <si>
    <t>JU-769/25-26</t>
  </si>
  <si>
    <t>J-4779/25-26</t>
  </si>
  <si>
    <t>J-4780/25-26</t>
  </si>
  <si>
    <t>J-4781/25-26</t>
  </si>
  <si>
    <t>J-4782/25-26</t>
  </si>
  <si>
    <t>J-4783/25-26</t>
  </si>
  <si>
    <t>J-4784/25-26</t>
  </si>
  <si>
    <t>J-4785/25-26</t>
  </si>
  <si>
    <t>J-4786/25-26</t>
  </si>
  <si>
    <t>ELDHO ISSAC PONNIYIL</t>
  </si>
  <si>
    <t>J-4787/25-26</t>
  </si>
  <si>
    <t>J-4788/25-26</t>
  </si>
  <si>
    <t>J-4789/25-26</t>
  </si>
  <si>
    <t>J-4790/25-26</t>
  </si>
  <si>
    <t>J-4791/25-26</t>
  </si>
  <si>
    <t>J-4792/25-26</t>
  </si>
  <si>
    <t>J-4793/25-26</t>
  </si>
  <si>
    <t>KHADER ATHANI</t>
  </si>
  <si>
    <t>J-4794/25-26</t>
  </si>
  <si>
    <t>J-4795/25-26</t>
  </si>
  <si>
    <t>J-4796/25-26</t>
  </si>
  <si>
    <t>ELDHO MANGALATHUNADA</t>
  </si>
  <si>
    <t>J-4797/25-26</t>
  </si>
  <si>
    <t>JU-770/25-26</t>
  </si>
  <si>
    <t>JU-771/25-26</t>
  </si>
  <si>
    <t>JU-772/25-26</t>
  </si>
  <si>
    <t>JU-773/25-26</t>
  </si>
  <si>
    <t>JU-774/25-26</t>
  </si>
  <si>
    <t>J-4798/25-26</t>
  </si>
  <si>
    <t>PAPPU  PATTIMATTOM</t>
  </si>
  <si>
    <t>J-4799/25-26</t>
  </si>
  <si>
    <t>J-4800/25-26</t>
  </si>
  <si>
    <t>J-4801/25-26</t>
  </si>
  <si>
    <t>J-4802/25-26</t>
  </si>
  <si>
    <t>J-4803/25-26</t>
  </si>
  <si>
    <t>J-4804/25-26</t>
  </si>
  <si>
    <t>J-4805/25-26</t>
  </si>
  <si>
    <t>J-4806/25-26</t>
  </si>
  <si>
    <t>J-4807/25-26</t>
  </si>
  <si>
    <t>J-4808/25-26</t>
  </si>
  <si>
    <t>J-4809/25-26</t>
  </si>
  <si>
    <t>J-4810/25-26</t>
  </si>
  <si>
    <t>J-4811/25-26</t>
  </si>
  <si>
    <t>J-4812/25-26</t>
  </si>
  <si>
    <t>J-4813/25-26</t>
  </si>
  <si>
    <t>J-4814/25-26</t>
  </si>
  <si>
    <t>J-4815/25-26</t>
  </si>
  <si>
    <t>J-4816/25-26</t>
  </si>
  <si>
    <t>J-4817/25-26</t>
  </si>
  <si>
    <t>KAILASAN PARAKKAL</t>
  </si>
  <si>
    <t>J-4818/25-26</t>
  </si>
  <si>
    <t>J-4819/25-26</t>
  </si>
  <si>
    <t>J-4820/25-26</t>
  </si>
  <si>
    <t>J-4821/25-26</t>
  </si>
  <si>
    <t>BINIL MANGALATHNADA</t>
  </si>
  <si>
    <t>J-4822/25-26</t>
  </si>
  <si>
    <t>J-4823/25-26</t>
  </si>
  <si>
    <t>J-4824/25-26</t>
  </si>
  <si>
    <t>SUNIL KILIKULAM</t>
  </si>
  <si>
    <t>J-4825/25-26</t>
  </si>
  <si>
    <t>J-4826/25-26</t>
  </si>
  <si>
    <t>J-4827/25-26</t>
  </si>
  <si>
    <t>CHOTTU BHAI</t>
  </si>
  <si>
    <t>J-4828/25-26</t>
  </si>
  <si>
    <t>J-4829/25-26</t>
  </si>
  <si>
    <t>J-4830/25-26</t>
  </si>
  <si>
    <t>J-4831/25-26</t>
  </si>
  <si>
    <t>J-4832/25-26</t>
  </si>
  <si>
    <t>REHMAN , PATTIMATTAM</t>
  </si>
  <si>
    <t>J-4833/25-26</t>
  </si>
  <si>
    <t>JU-775/25-26</t>
  </si>
  <si>
    <t>JU-776/25-26</t>
  </si>
  <si>
    <t>J-4834/25-26</t>
  </si>
  <si>
    <t>J-4835/25-26</t>
  </si>
  <si>
    <t>J-4836/25-26</t>
  </si>
  <si>
    <t>J-4837/25-26</t>
  </si>
  <si>
    <t>NAJEEB O.M</t>
  </si>
  <si>
    <t>J-4838/25-26</t>
  </si>
  <si>
    <t>DREAM STONE BUILDERS</t>
  </si>
  <si>
    <t>J-4839/25-26</t>
  </si>
  <si>
    <t>ABU PAINTER</t>
  </si>
  <si>
    <t>J-4840/25-26</t>
  </si>
  <si>
    <t>J-4841/25-26</t>
  </si>
  <si>
    <t>J-4842/25-26</t>
  </si>
  <si>
    <t>J-4843/25-26</t>
  </si>
  <si>
    <t>J-4844/25-26</t>
  </si>
  <si>
    <t>J-4845/25-26</t>
  </si>
  <si>
    <t>J-4846/25-26</t>
  </si>
  <si>
    <t>J-4847/25-26</t>
  </si>
  <si>
    <t>SANAL KUMMANODE</t>
  </si>
  <si>
    <t>J-4848/25-26</t>
  </si>
  <si>
    <t>JU-777/25-26</t>
  </si>
  <si>
    <t>J-4849/25-26</t>
  </si>
  <si>
    <t>J-4850/25-26</t>
  </si>
  <si>
    <t>J-4851/25-26</t>
  </si>
  <si>
    <t>J-4852/25-26</t>
  </si>
  <si>
    <t>J-4853/25-26</t>
  </si>
  <si>
    <t>J-4854/25-26</t>
  </si>
  <si>
    <t>J-4855/25-26</t>
  </si>
  <si>
    <t>DEEPU KUMMANODE</t>
  </si>
  <si>
    <t>J-4856/25-26</t>
  </si>
  <si>
    <t>PRADEEP MORAKKALA</t>
  </si>
  <si>
    <t>J-4857/25-26</t>
  </si>
  <si>
    <t>J-4858/25-26</t>
  </si>
  <si>
    <t>J-4859/25-26</t>
  </si>
  <si>
    <t>JU-778/25-26</t>
  </si>
  <si>
    <t>JU-779/25-26</t>
  </si>
  <si>
    <t>JU-780/25-26</t>
  </si>
  <si>
    <t>PAUL ALIAS</t>
  </si>
  <si>
    <t>JU-781/25-26</t>
  </si>
  <si>
    <t>J-4860/25-26</t>
  </si>
  <si>
    <t>J-4861/25-26</t>
  </si>
  <si>
    <t>J-4862/25-26</t>
  </si>
  <si>
    <t>J-4863/25-26</t>
  </si>
  <si>
    <t>J-4864/25-26</t>
  </si>
  <si>
    <t>J-4865/25-26</t>
  </si>
  <si>
    <t>J-4866/25-26</t>
  </si>
  <si>
    <t>J-4867/25-26</t>
  </si>
  <si>
    <t>J-4868/25-26</t>
  </si>
  <si>
    <t>J-4869/25-26</t>
  </si>
  <si>
    <t>J-4870/25-26</t>
  </si>
  <si>
    <t>J-4871/25-26</t>
  </si>
  <si>
    <t>ABDULKHADER THANDAKALA</t>
  </si>
  <si>
    <t>J-4872/25-26</t>
  </si>
  <si>
    <t>J-4873/25-26</t>
  </si>
  <si>
    <t>RAJESH RB GAS</t>
  </si>
  <si>
    <t>J-4874/25-26</t>
  </si>
  <si>
    <t>ABBAS RATION KADA ATHANI</t>
  </si>
  <si>
    <t>J-4875/25-26</t>
  </si>
  <si>
    <t>SAMAD ACE , KUZHIPPILLY</t>
  </si>
  <si>
    <t>J-4876/25-26</t>
  </si>
  <si>
    <t>REJI P MATHAI</t>
  </si>
  <si>
    <t>J-4877/25-26</t>
  </si>
  <si>
    <t>JU-782/25-26</t>
  </si>
  <si>
    <t>JU-783/25-26</t>
  </si>
  <si>
    <t>JU-784/25-26</t>
  </si>
  <si>
    <t>J-4878/25-26</t>
  </si>
  <si>
    <t>J-4879/25-26</t>
  </si>
  <si>
    <t>ALEN KUMMANODE</t>
  </si>
  <si>
    <t>J-4880/25-26</t>
  </si>
  <si>
    <t>J-4881/25-26</t>
  </si>
  <si>
    <t>J-4882/25-26</t>
  </si>
  <si>
    <t>J-4883/25-26</t>
  </si>
  <si>
    <t>BABY OTHARA</t>
  </si>
  <si>
    <t>J-4884/25-26</t>
  </si>
  <si>
    <t>J-4885/25-26</t>
  </si>
  <si>
    <t>J-4886/25-26</t>
  </si>
  <si>
    <t>J-4887/25-26</t>
  </si>
  <si>
    <t>J-4888/25-26</t>
  </si>
  <si>
    <t>J-4889/25-26</t>
  </si>
  <si>
    <t>J-4890/25-26</t>
  </si>
  <si>
    <t>J-4891/25-26</t>
  </si>
  <si>
    <t>J-4892/25-26</t>
  </si>
  <si>
    <t>J-4893/25-26</t>
  </si>
  <si>
    <t>JU-785/25-26</t>
  </si>
  <si>
    <t>J-4894/25-26</t>
  </si>
  <si>
    <t>J-4895/25-26</t>
  </si>
  <si>
    <t>J-4896/25-26</t>
  </si>
  <si>
    <t>J-4897/25-26</t>
  </si>
  <si>
    <t>J-4898/25-26</t>
  </si>
  <si>
    <t>J-4899/25-26</t>
  </si>
  <si>
    <t>J-4900/25-26</t>
  </si>
  <si>
    <t>J-4901/25-26</t>
  </si>
  <si>
    <t>J-4902/25-26</t>
  </si>
  <si>
    <t>J-4903/25-26</t>
  </si>
  <si>
    <t>J-4904/25-26</t>
  </si>
  <si>
    <t>J-4905/25-26</t>
  </si>
  <si>
    <t>J-4906/25-26</t>
  </si>
  <si>
    <t>J-4907/25-26</t>
  </si>
  <si>
    <t>J-4908/25-26</t>
  </si>
  <si>
    <t>J-4909/25-26</t>
  </si>
  <si>
    <t>J-4910/25-26</t>
  </si>
  <si>
    <t>J-4911/25-26</t>
  </si>
  <si>
    <t>J-4912/25-26</t>
  </si>
  <si>
    <t>J-4913/25-26</t>
  </si>
  <si>
    <t>GOKUL CHELAKULAM</t>
  </si>
  <si>
    <t>J-4914/25-26</t>
  </si>
  <si>
    <t>E.C SOLUTIONS TVM</t>
  </si>
  <si>
    <t>J-4915/25-26</t>
  </si>
  <si>
    <t>JU-786/25-26</t>
  </si>
  <si>
    <t>JU-787/25-26</t>
  </si>
  <si>
    <t>SNOWLAND COOLCONCEPTS AND INSULATIONS (P) LTD</t>
  </si>
  <si>
    <t>JU-788/25-26</t>
  </si>
  <si>
    <t>JU-789/25-26</t>
  </si>
  <si>
    <t>J-4916/25-26</t>
  </si>
  <si>
    <t>J-4917/25-26</t>
  </si>
  <si>
    <t>J-4918/25-26</t>
  </si>
  <si>
    <t>J-4919/25-26</t>
  </si>
  <si>
    <t>J-4920/25-26</t>
  </si>
  <si>
    <t>J-4921/25-26</t>
  </si>
  <si>
    <t>J-4922/25-26</t>
  </si>
  <si>
    <t>J-4923/25-26</t>
  </si>
  <si>
    <t>RATHEESH KILIKULAM</t>
  </si>
  <si>
    <t>J-4924/25-26</t>
  </si>
  <si>
    <t>J-4925/25-26</t>
  </si>
  <si>
    <t>J-4926/25-26</t>
  </si>
  <si>
    <t>J-4927/25-26</t>
  </si>
  <si>
    <t>J-4928/25-26</t>
  </si>
  <si>
    <t>J-4929/25-26</t>
  </si>
  <si>
    <t>J-4930/25-26</t>
  </si>
  <si>
    <t>J-4931/25-26</t>
  </si>
  <si>
    <t>J-4932/25-26</t>
  </si>
  <si>
    <t>J-4933/25-26</t>
  </si>
  <si>
    <t>J-4934/25-26</t>
  </si>
  <si>
    <t>J-4935/25-26</t>
  </si>
  <si>
    <t>RAMACHANDRAN  M G</t>
  </si>
  <si>
    <t>J-4936/25-26</t>
  </si>
  <si>
    <t>JOHN STAGE , KOLENCHERY</t>
  </si>
  <si>
    <t>J-4937/25-26</t>
  </si>
  <si>
    <t>J-4938/25-26</t>
  </si>
  <si>
    <t>J-4939/25-26</t>
  </si>
  <si>
    <t>JU-790/25-26</t>
  </si>
  <si>
    <t>JU-791/25-26</t>
  </si>
  <si>
    <t>JU-792/25-26</t>
  </si>
  <si>
    <t>JU-793/25-26</t>
  </si>
  <si>
    <t>TRISSUR SAND &amp;GRAVEL (P) LTD.</t>
  </si>
  <si>
    <t>JU-794/25-26</t>
  </si>
  <si>
    <t>J-4940/25-26</t>
  </si>
  <si>
    <t>J-4941/25-26</t>
  </si>
  <si>
    <t>J-4942/25-26</t>
  </si>
  <si>
    <t>J-4943/25-26</t>
  </si>
  <si>
    <t>J-4944/25-26</t>
  </si>
  <si>
    <t>SUBHADRA</t>
  </si>
  <si>
    <t>J-4945/25-26</t>
  </si>
  <si>
    <t>J-4946/25-26</t>
  </si>
  <si>
    <t>J-4947/25-26</t>
  </si>
  <si>
    <t>J-4948/25-26</t>
  </si>
  <si>
    <t>J-4949/25-26</t>
  </si>
  <si>
    <t>J-4950/25-26</t>
  </si>
  <si>
    <t>NIRAPPEL CONSTRUCTIONS</t>
  </si>
  <si>
    <t>J-4951/25-26</t>
  </si>
  <si>
    <t>SATHEESAN , CHOORAKKODU</t>
  </si>
  <si>
    <t>J-4952/25-26</t>
  </si>
  <si>
    <t>J-4953/25-26</t>
  </si>
  <si>
    <t>J-4954/25-26</t>
  </si>
  <si>
    <t>J-4955/25-26</t>
  </si>
  <si>
    <t>J-4956/25-26</t>
  </si>
  <si>
    <t>J-4957/25-26</t>
  </si>
  <si>
    <t>BABY NJARALLOOR</t>
  </si>
  <si>
    <t>J-4958/25-26</t>
  </si>
  <si>
    <t>J-4959/25-26</t>
  </si>
  <si>
    <t>MERIN ANN PAUL</t>
  </si>
  <si>
    <t>J-4960/25-26</t>
  </si>
  <si>
    <t>LENIN KILIKULAM</t>
  </si>
  <si>
    <t>J-4961/25-26</t>
  </si>
  <si>
    <t>JU-795/25-26</t>
  </si>
  <si>
    <t>JU-796/25-26</t>
  </si>
  <si>
    <t>JU-797/25-26</t>
  </si>
  <si>
    <t>J-4962/25-26</t>
  </si>
  <si>
    <t>SABEENA PATTIMATTOM</t>
  </si>
  <si>
    <t>J-4963/25-26</t>
  </si>
  <si>
    <t>J-4964/25-26</t>
  </si>
  <si>
    <t>J-4965/25-26</t>
  </si>
  <si>
    <t>J-4966/25-26</t>
  </si>
  <si>
    <t>J-4967/25-26</t>
  </si>
  <si>
    <t>J-4968/25-26</t>
  </si>
  <si>
    <t>J-4969/25-26</t>
  </si>
  <si>
    <t>J-4970/25-26</t>
  </si>
  <si>
    <t>J-4971/25-26</t>
  </si>
  <si>
    <t>J-4972/25-26</t>
  </si>
  <si>
    <t>ELDHOSE KANDANALI</t>
  </si>
  <si>
    <t>J-4973/25-26</t>
  </si>
  <si>
    <t>J-4974/25-26</t>
  </si>
  <si>
    <t>J-4975/25-26</t>
  </si>
  <si>
    <t>J-4976/25-26</t>
  </si>
  <si>
    <t>RADHAKRISHNAN.K</t>
  </si>
  <si>
    <t>J-4977/25-26</t>
  </si>
  <si>
    <t>VIJAYAN KAYYANIKKAL</t>
  </si>
  <si>
    <t>J-4978/25-26</t>
  </si>
  <si>
    <t>JU-798/25-26</t>
  </si>
  <si>
    <t>JU-799/25-26</t>
  </si>
  <si>
    <t>J-4979/25-26</t>
  </si>
  <si>
    <t>J-4980/25-26</t>
  </si>
  <si>
    <t>J-4981/25-26</t>
  </si>
  <si>
    <t>J-4982/25-26</t>
  </si>
  <si>
    <t>J-4983/25-26</t>
  </si>
  <si>
    <t>J-4984/25-26</t>
  </si>
  <si>
    <t>J-4985/25-26</t>
  </si>
  <si>
    <t>J-4986/25-26</t>
  </si>
  <si>
    <t>J-4987/25-26</t>
  </si>
  <si>
    <t>J-4988/25-26</t>
  </si>
  <si>
    <t>J-4989/25-26</t>
  </si>
  <si>
    <t>J-4990/25-26</t>
  </si>
  <si>
    <t>J-4991/25-26</t>
  </si>
  <si>
    <t>J-4992/25-26</t>
  </si>
  <si>
    <t>J-4993/25-26</t>
  </si>
  <si>
    <t>J-4994/25-26</t>
  </si>
  <si>
    <t>J-4995/25-26</t>
  </si>
  <si>
    <t>J-4996/25-26</t>
  </si>
  <si>
    <t>NISHAD MANGALATHUNADA</t>
  </si>
  <si>
    <t>J-4997/25-26</t>
  </si>
  <si>
    <t>J-4998/25-26</t>
  </si>
  <si>
    <t>JU-800/25-26</t>
  </si>
  <si>
    <t>SB ENGINEERING WORKS</t>
  </si>
  <si>
    <t>JU-801/25-26</t>
  </si>
  <si>
    <t>GULF ENGINEERING CONTRACTORS</t>
  </si>
  <si>
    <t>JU-802/25-26</t>
  </si>
  <si>
    <t>JU-803/25-26</t>
  </si>
  <si>
    <t>JU-804/25-26</t>
  </si>
  <si>
    <t>S AND S ENGINEERING WORKS</t>
  </si>
  <si>
    <t>JU-805/25-26</t>
  </si>
  <si>
    <t>J-4999/25-26</t>
  </si>
  <si>
    <t>J-5000/25-26</t>
  </si>
  <si>
    <t>J-5001/25-26</t>
  </si>
  <si>
    <t>J-5002/25-26</t>
  </si>
  <si>
    <t>ADITHYA KRISHNA</t>
  </si>
  <si>
    <t>J-5003/25-26</t>
  </si>
  <si>
    <t>J-5004/25-26</t>
  </si>
  <si>
    <t>J-5005/25-26</t>
  </si>
  <si>
    <t>J-5006/25-26</t>
  </si>
  <si>
    <t>J-5007/25-26</t>
  </si>
  <si>
    <t>J-5008/25-26</t>
  </si>
  <si>
    <t>J-5009/25-26</t>
  </si>
  <si>
    <t>J-5010/25-26</t>
  </si>
  <si>
    <t>J-5011/25-26</t>
  </si>
  <si>
    <t>J-5012/25-26</t>
  </si>
  <si>
    <t>J-5013/25-26</t>
  </si>
  <si>
    <t>DEEPU MANGALATHUNADA</t>
  </si>
  <si>
    <t>J-5014/25-26</t>
  </si>
  <si>
    <t>J-5015/25-26</t>
  </si>
  <si>
    <t>J-5016/25-26</t>
  </si>
  <si>
    <t>J-5017/25-26</t>
  </si>
  <si>
    <t>J-5018/25-26</t>
  </si>
  <si>
    <t>J-5019/25-26</t>
  </si>
  <si>
    <t>J-5020/25-26</t>
  </si>
  <si>
    <t>J-5021/25-26</t>
  </si>
  <si>
    <t>J-5022/25-26</t>
  </si>
  <si>
    <t>THANKACHAN KANJIRAKKADAN</t>
  </si>
  <si>
    <t>J-5023/25-26</t>
  </si>
  <si>
    <t>ROYAL GEORGE KILIKULAM</t>
  </si>
  <si>
    <t>J-5024/25-26</t>
  </si>
  <si>
    <t>JU-806/25-26</t>
  </si>
  <si>
    <t>JU-807/25-26</t>
  </si>
  <si>
    <t>JU-808/25-26</t>
  </si>
  <si>
    <t>BIJU S R</t>
  </si>
  <si>
    <t>J-5025/25-26</t>
  </si>
  <si>
    <t>J-5026/25-26</t>
  </si>
  <si>
    <t>J-5027/25-26</t>
  </si>
  <si>
    <t>J-5028/25-26</t>
  </si>
  <si>
    <t>J-5029/25-26</t>
  </si>
  <si>
    <t>J-5030/25-26</t>
  </si>
  <si>
    <t>J-5031/25-26</t>
  </si>
  <si>
    <t>J-5032/25-26</t>
  </si>
  <si>
    <t>J-5033/25-26</t>
  </si>
  <si>
    <t>REJI , CHENGARA</t>
  </si>
  <si>
    <t>J-5034/25-26</t>
  </si>
  <si>
    <t>J-5035/25-26</t>
  </si>
  <si>
    <t>J-5036/25-26</t>
  </si>
  <si>
    <t>J-5037/25-26</t>
  </si>
  <si>
    <t>J-5038/25-26</t>
  </si>
  <si>
    <t>J-5039/25-26</t>
  </si>
  <si>
    <t>J-5040/25-26</t>
  </si>
  <si>
    <t>J-5041/25-26</t>
  </si>
  <si>
    <t>J-5042/25-26</t>
  </si>
  <si>
    <t>J-5043/25-26</t>
  </si>
  <si>
    <t>J-5044/25-26</t>
  </si>
  <si>
    <t>J-5045/25-26</t>
  </si>
  <si>
    <t>SUNNY , PAZHAMTHOTTAM</t>
  </si>
  <si>
    <t>J-5046/25-26</t>
  </si>
  <si>
    <t>J-5047/25-26</t>
  </si>
  <si>
    <t>JU-809/25-26</t>
  </si>
  <si>
    <t>JU-810/25-26</t>
  </si>
  <si>
    <t>JU-811/25-26</t>
  </si>
  <si>
    <t>JU-812/25-26</t>
  </si>
  <si>
    <t>SUKU KILIKULAM</t>
  </si>
  <si>
    <t>J-5048/25-26</t>
  </si>
  <si>
    <t>J-5049/25-26</t>
  </si>
  <si>
    <t>ALIYAR</t>
  </si>
  <si>
    <t>J-5050/25-26</t>
  </si>
  <si>
    <t>J-5051/25-26</t>
  </si>
  <si>
    <t>J-5052/25-26</t>
  </si>
  <si>
    <t>J-5053/25-26</t>
  </si>
  <si>
    <t>J-5054/25-26</t>
  </si>
  <si>
    <t>J-5055/25-26</t>
  </si>
  <si>
    <t>J-5056/25-26</t>
  </si>
  <si>
    <t>J-5057/25-26</t>
  </si>
  <si>
    <t>J-5058/25-26</t>
  </si>
  <si>
    <t>J-5059/25-26</t>
  </si>
  <si>
    <t>J-5060/25-26</t>
  </si>
  <si>
    <t>J-5061/25-26</t>
  </si>
  <si>
    <t>J-5062/25-26</t>
  </si>
  <si>
    <t>J-5063/25-26</t>
  </si>
  <si>
    <t>J-5064/25-26</t>
  </si>
  <si>
    <t>J-5065/25-26</t>
  </si>
  <si>
    <t>J-5066/25-26</t>
  </si>
  <si>
    <t>J-5067/25-26</t>
  </si>
  <si>
    <t>ANEESH KIZHAKKAMBALAM</t>
  </si>
  <si>
    <t>J-5068/25-26</t>
  </si>
  <si>
    <t>J-5069/25-26</t>
  </si>
  <si>
    <t>J-5070/25-26</t>
  </si>
  <si>
    <t>J-5071/25-26</t>
  </si>
  <si>
    <t>J-5072/25-26</t>
  </si>
  <si>
    <t>J-5073/25-26</t>
  </si>
  <si>
    <t>J-5074/25-26</t>
  </si>
  <si>
    <t>J-5075/25-26</t>
  </si>
  <si>
    <t>J-5076/25-26</t>
  </si>
  <si>
    <t>J-5077/25-26</t>
  </si>
  <si>
    <t>J-5078/25-26</t>
  </si>
  <si>
    <t>J-5079/25-26</t>
  </si>
  <si>
    <t>JU-813/25-26</t>
  </si>
  <si>
    <t>JU-814/25-26</t>
  </si>
  <si>
    <t>JU-815/25-26</t>
  </si>
  <si>
    <t>JU-816/25-26</t>
  </si>
  <si>
    <t>JU-817/25-26</t>
  </si>
  <si>
    <t>JU-818/25-26</t>
  </si>
  <si>
    <t>JU-819/25-26</t>
  </si>
  <si>
    <t>JU-820/25-26</t>
  </si>
  <si>
    <t>JU-821/25-26</t>
  </si>
  <si>
    <t>VIMAL MANAKKAPADY</t>
  </si>
  <si>
    <t>J-5080/25-26</t>
  </si>
  <si>
    <t>J-5081/25-26</t>
  </si>
  <si>
    <t>J-5082/25-26</t>
  </si>
  <si>
    <t>J-5083/25-26</t>
  </si>
  <si>
    <t>MERLY JOSEPH</t>
  </si>
  <si>
    <t>J-5084/25-26</t>
  </si>
  <si>
    <t>J-5085/25-26</t>
  </si>
  <si>
    <t>J-5086/25-26</t>
  </si>
  <si>
    <t>J-5087/25-26</t>
  </si>
  <si>
    <t>J-5088/25-26</t>
  </si>
  <si>
    <t>J-5089/25-26</t>
  </si>
  <si>
    <t>SHAMEER , K.KUMMANODU</t>
  </si>
  <si>
    <t>J-5090/25-26</t>
  </si>
  <si>
    <t>J-5091/25-26</t>
  </si>
  <si>
    <t>JIJITH UNION</t>
  </si>
  <si>
    <t>J-5092/25-26</t>
  </si>
  <si>
    <t>J-5093/25-26</t>
  </si>
  <si>
    <t>J-5094/25-26</t>
  </si>
  <si>
    <t>J-5095/25-26</t>
  </si>
  <si>
    <t>J-5096/25-26</t>
  </si>
  <si>
    <t>ANEESH , PATTIMATTOM</t>
  </si>
  <si>
    <t>J-5097/25-26</t>
  </si>
  <si>
    <t>J-5098/25-26</t>
  </si>
  <si>
    <t>J-5099/25-26</t>
  </si>
  <si>
    <t>J-5100/25-26</t>
  </si>
  <si>
    <t>DEEPAK KADAYIRUPPU</t>
  </si>
  <si>
    <t>J-5101/25-26</t>
  </si>
  <si>
    <t>J-5102/25-26</t>
  </si>
  <si>
    <t>J-5103/25-26</t>
  </si>
  <si>
    <t>JU-822/25-26</t>
  </si>
  <si>
    <t>J-5104/25-26</t>
  </si>
  <si>
    <t>J-5105/25-26</t>
  </si>
  <si>
    <t>MUHAMMED</t>
  </si>
  <si>
    <t>J-5106/25-26</t>
  </si>
  <si>
    <t>J-5107/25-26</t>
  </si>
  <si>
    <t>J-5108/25-26</t>
  </si>
  <si>
    <t>J-5109/25-26</t>
  </si>
  <si>
    <t>J-5110/25-26</t>
  </si>
  <si>
    <t>J-5111/25-26</t>
  </si>
  <si>
    <t>J-5112/25-26</t>
  </si>
  <si>
    <t>JOBIN BABY</t>
  </si>
  <si>
    <t>J-5113/25-26</t>
  </si>
  <si>
    <t>J-5114/25-26</t>
  </si>
  <si>
    <t>J-5115/25-26</t>
  </si>
  <si>
    <t>ANIL , CHOORAKKODU</t>
  </si>
  <si>
    <t>J-5116/25-26</t>
  </si>
  <si>
    <t>JABBAR THOTTUNGAL</t>
  </si>
  <si>
    <t>J-5117/25-26</t>
  </si>
  <si>
    <t>J-5118/25-26</t>
  </si>
  <si>
    <t>J-5119/25-26</t>
  </si>
  <si>
    <t>AJI THATTAMUKAL</t>
  </si>
  <si>
    <t>J-5120/25-26</t>
  </si>
  <si>
    <t>J-5121/25-26</t>
  </si>
  <si>
    <t>J-5122/25-26</t>
  </si>
  <si>
    <t>J-5123/25-26</t>
  </si>
  <si>
    <t>JU-823/25-26</t>
  </si>
  <si>
    <t>J-5124/25-26</t>
  </si>
  <si>
    <t>J-5125/25-26</t>
  </si>
  <si>
    <t>J-5126/25-26</t>
  </si>
  <si>
    <t>J-5127/25-26</t>
  </si>
  <si>
    <t>J-5128/25-26</t>
  </si>
  <si>
    <t>PRADEEP ATHANI</t>
  </si>
  <si>
    <t>J-5129/25-26</t>
  </si>
  <si>
    <t>J-5130/25-26</t>
  </si>
  <si>
    <t>JAMAL PASSENGER</t>
  </si>
  <si>
    <t>J-5131/25-26</t>
  </si>
  <si>
    <t>J-5132/25-26</t>
  </si>
  <si>
    <t>J-5133/25-26</t>
  </si>
  <si>
    <t>SALIM PAINTER</t>
  </si>
  <si>
    <t>J-5134/25-26</t>
  </si>
  <si>
    <t>J-5135/25-26</t>
  </si>
  <si>
    <t>J-5136/25-26</t>
  </si>
  <si>
    <t>J-5137/25-26</t>
  </si>
  <si>
    <t>J-5138/25-26</t>
  </si>
  <si>
    <t>J-5139/25-26</t>
  </si>
  <si>
    <t>J-5140/25-26</t>
  </si>
  <si>
    <t>J-5141/25-26</t>
  </si>
  <si>
    <t>J-5142/25-26</t>
  </si>
  <si>
    <t>YADHU KRISHNA</t>
  </si>
  <si>
    <t>J-5143/25-26</t>
  </si>
  <si>
    <t>J-5144/25-26</t>
  </si>
  <si>
    <t>MOIDEEN KUZIPPILLY</t>
  </si>
  <si>
    <t>J-5145/25-26</t>
  </si>
  <si>
    <t>J-5146/25-26</t>
  </si>
  <si>
    <t>J-5147/25-26</t>
  </si>
  <si>
    <t>JOSE KAITHAKKADU</t>
  </si>
  <si>
    <t>J-5148/25-26</t>
  </si>
  <si>
    <t>J-5149/25-26</t>
  </si>
  <si>
    <t>J-5150/25-26</t>
  </si>
  <si>
    <t>J-5151/25-26</t>
  </si>
  <si>
    <t>KHALID CHELAKULAM</t>
  </si>
  <si>
    <t>J-5152/25-26</t>
  </si>
  <si>
    <t>J-5153/25-26</t>
  </si>
  <si>
    <t>J-5154/25-26</t>
  </si>
  <si>
    <t>J-5155/25-26</t>
  </si>
  <si>
    <t>JU-824/25-26</t>
  </si>
  <si>
    <t>JU-825/25-26</t>
  </si>
  <si>
    <t>JU-826/25-26</t>
  </si>
  <si>
    <t>JU-827/25-26</t>
  </si>
  <si>
    <t>J-5156/25-26</t>
  </si>
  <si>
    <t>J-5157/25-26</t>
  </si>
  <si>
    <t>J-5158/25-26</t>
  </si>
  <si>
    <t>J-5159/25-26</t>
  </si>
  <si>
    <t>J-5160/25-26</t>
  </si>
  <si>
    <t>J-5161/25-26</t>
  </si>
  <si>
    <t>J-5162/25-26</t>
  </si>
  <si>
    <t>J-5163/25-26</t>
  </si>
  <si>
    <t>J-5164/25-26</t>
  </si>
  <si>
    <t>J-5165/25-26</t>
  </si>
  <si>
    <t>J-5166/25-26</t>
  </si>
  <si>
    <t>J-5167/25-26</t>
  </si>
  <si>
    <t>J-5168/25-26</t>
  </si>
  <si>
    <t>GEORGE , ERAPPUMPARA</t>
  </si>
  <si>
    <t>J-5169/25-26</t>
  </si>
  <si>
    <t>J-5170/25-26</t>
  </si>
  <si>
    <t>J-5171/25-26</t>
  </si>
  <si>
    <t>J-5172/25-26</t>
  </si>
  <si>
    <t>J-5173/25-26</t>
  </si>
  <si>
    <t>J-5174/25-26</t>
  </si>
  <si>
    <t>J-5175/25-26</t>
  </si>
  <si>
    <t>J-5176/25-26</t>
  </si>
  <si>
    <t>J-5177/25-26</t>
  </si>
  <si>
    <t>KRISHNAN KUTTY</t>
  </si>
  <si>
    <t>J-5178/25-26</t>
  </si>
  <si>
    <t>J-5179/25-26</t>
  </si>
  <si>
    <t>J-5180/25-26</t>
  </si>
  <si>
    <t>J-5181/25-26</t>
  </si>
  <si>
    <t>J-5182/25-26</t>
  </si>
  <si>
    <t>J-5183/25-26</t>
  </si>
  <si>
    <t>J-5184/25-26</t>
  </si>
  <si>
    <t>BASIL ,CHOORAKKODE</t>
  </si>
  <si>
    <t>J-5185/25-26</t>
  </si>
  <si>
    <t>VIJAYAN EZHIPPURAM</t>
  </si>
  <si>
    <t>J-5186/25-26</t>
  </si>
  <si>
    <t>ALI , NARIKKUZHY</t>
  </si>
  <si>
    <t>J-5187/25-26</t>
  </si>
  <si>
    <t>KAIMAL PASSENGER</t>
  </si>
  <si>
    <t>J-5188/25-26</t>
  </si>
  <si>
    <t>JU-828/25-26</t>
  </si>
  <si>
    <t>J-5189/25-26</t>
  </si>
  <si>
    <t>J-5190/25-26</t>
  </si>
  <si>
    <t>J-5191/25-26</t>
  </si>
  <si>
    <t>J-5192/25-26</t>
  </si>
  <si>
    <t>J-5193/25-26</t>
  </si>
  <si>
    <t>J-5194/25-26</t>
  </si>
  <si>
    <t>J-5195/25-26</t>
  </si>
  <si>
    <t>J-5196/25-26</t>
  </si>
  <si>
    <t>J-5197/25-26</t>
  </si>
  <si>
    <t>SUNIL THATTAMUGAL</t>
  </si>
  <si>
    <t>J-5198/25-26</t>
  </si>
  <si>
    <t>J-5199/25-26</t>
  </si>
  <si>
    <t>J-5200/25-26</t>
  </si>
  <si>
    <t>J-5201/25-26</t>
  </si>
  <si>
    <t>J-5202/25-26</t>
  </si>
  <si>
    <t>J-5203/25-26</t>
  </si>
  <si>
    <t>J-5204/25-26</t>
  </si>
  <si>
    <t>J-5205/25-26</t>
  </si>
  <si>
    <t>J-5206/25-26</t>
  </si>
  <si>
    <t>IBRAHIM,</t>
  </si>
  <si>
    <t>J-5207/25-26</t>
  </si>
  <si>
    <t>J-5208/25-26</t>
  </si>
  <si>
    <t>SHAHAS DOUBLEPALAM</t>
  </si>
  <si>
    <t>J-5209/25-26</t>
  </si>
  <si>
    <t>JU-829/25-26</t>
  </si>
  <si>
    <t>ST.MARYS ENGINEERING WORKS</t>
  </si>
  <si>
    <t>JU-830/25-26</t>
  </si>
  <si>
    <t>J-5210/25-26</t>
  </si>
  <si>
    <t>J-5211/25-26</t>
  </si>
  <si>
    <t>ANZAR.....</t>
  </si>
  <si>
    <t>J-5212/25-26</t>
  </si>
  <si>
    <t>J-5213/25-26</t>
  </si>
  <si>
    <t>J-5214/25-26</t>
  </si>
  <si>
    <t>J-5215/25-26</t>
  </si>
  <si>
    <t>J-5216/25-26</t>
  </si>
  <si>
    <t>J-5217/25-26</t>
  </si>
  <si>
    <t>J-5218/25-26</t>
  </si>
  <si>
    <t>J-5219/25-26</t>
  </si>
  <si>
    <t>J-5220/25-26</t>
  </si>
  <si>
    <t>J-5221/25-26</t>
  </si>
  <si>
    <t>ELDHOSE KIZHAKKUMBAGAM</t>
  </si>
  <si>
    <t>J-5222/25-26</t>
  </si>
  <si>
    <t>J-5223/25-26</t>
  </si>
  <si>
    <t>J-5224/25-26</t>
  </si>
  <si>
    <t>J-5225/25-26</t>
  </si>
  <si>
    <t>JINOSH CHENGARA</t>
  </si>
  <si>
    <t>J-5226/25-26</t>
  </si>
  <si>
    <t>J-5227/25-26</t>
  </si>
  <si>
    <t>KUKKU , KUMMANODU</t>
  </si>
  <si>
    <t>J-5228/25-26</t>
  </si>
  <si>
    <t>J-5229/25-26</t>
  </si>
  <si>
    <t>J-5230/25-26</t>
  </si>
  <si>
    <t>J-5231/25-26</t>
  </si>
  <si>
    <t>J-5232/25-26</t>
  </si>
  <si>
    <t>J-5233/25-26</t>
  </si>
  <si>
    <t>J-5234/25-26</t>
  </si>
  <si>
    <t>KUNJU KURUMBAN</t>
  </si>
  <si>
    <t>J-5235/25-26</t>
  </si>
  <si>
    <t>JU-831/25-26</t>
  </si>
  <si>
    <t>JU-832/25-26</t>
  </si>
  <si>
    <t>JU-833/25-26</t>
  </si>
  <si>
    <t>JU-834/25-26</t>
  </si>
  <si>
    <t>JU-835/25-26</t>
  </si>
  <si>
    <t>SHINAJ CHENGARA</t>
  </si>
  <si>
    <t>J-5236/25-26</t>
  </si>
  <si>
    <t>J-5237/25-26</t>
  </si>
  <si>
    <t>J-5238/25-26</t>
  </si>
  <si>
    <t>J-5239/25-26</t>
  </si>
  <si>
    <t>J-5240/25-26</t>
  </si>
  <si>
    <t>J-5241/25-26</t>
  </si>
  <si>
    <t>J-5242/25-26</t>
  </si>
  <si>
    <t>J-5243/25-26</t>
  </si>
  <si>
    <t>J-5244/25-26</t>
  </si>
  <si>
    <t>J-5245/25-26</t>
  </si>
  <si>
    <t>J-5246/25-26</t>
  </si>
  <si>
    <t>J-5247/25-26</t>
  </si>
  <si>
    <t>NITHIN VALAMBOOR</t>
  </si>
  <si>
    <t>J-5248/25-26</t>
  </si>
  <si>
    <t>SAJI MON (ASK TYRES)</t>
  </si>
  <si>
    <t>J-5249/25-26</t>
  </si>
  <si>
    <t>J-5250/25-26</t>
  </si>
  <si>
    <t>J-5251/25-26</t>
  </si>
  <si>
    <t>J-5252/25-26</t>
  </si>
  <si>
    <t>J-5253/25-26</t>
  </si>
  <si>
    <t>PRIYA , EZHIPURAM</t>
  </si>
  <si>
    <t>J-5254/25-26</t>
  </si>
  <si>
    <t>JU-836/25-26</t>
  </si>
  <si>
    <t>JU-837/25-26</t>
  </si>
  <si>
    <t>JU-838/25-26</t>
  </si>
  <si>
    <t>JU-839/25-26</t>
  </si>
  <si>
    <t>J-5255/25-26</t>
  </si>
  <si>
    <t>J-5256/25-26</t>
  </si>
  <si>
    <t>J-5257/25-26</t>
  </si>
  <si>
    <t>J-5258/25-26</t>
  </si>
  <si>
    <t>J-5259/25-26</t>
  </si>
  <si>
    <t>IBRAHIM UNION</t>
  </si>
  <si>
    <t>J-5260/25-26</t>
  </si>
  <si>
    <t>J-5261/25-26</t>
  </si>
  <si>
    <t>J-5262/25-26</t>
  </si>
  <si>
    <t>J-5263/25-26</t>
  </si>
  <si>
    <t>J-5264/25-26</t>
  </si>
  <si>
    <t>J-5265/25-26</t>
  </si>
  <si>
    <t>J-5266/25-26</t>
  </si>
  <si>
    <t>J-5267/25-26</t>
  </si>
  <si>
    <t>J-5268/25-26</t>
  </si>
  <si>
    <t>J-5269/25-26</t>
  </si>
  <si>
    <t>J-5270/25-26</t>
  </si>
  <si>
    <t>SAJITH KOLAMKUDY</t>
  </si>
  <si>
    <t>J-5271/25-26</t>
  </si>
  <si>
    <t>ABIN BABU</t>
  </si>
  <si>
    <t>J-5272/25-26</t>
  </si>
  <si>
    <t>J-5273/25-26</t>
  </si>
  <si>
    <t>J-5274/25-26</t>
  </si>
  <si>
    <t>J-5275/25-26</t>
  </si>
  <si>
    <t>J-5276/25-26</t>
  </si>
  <si>
    <t>ABBAS ATHANI</t>
  </si>
  <si>
    <t>J-5277/25-26</t>
  </si>
  <si>
    <t>J-5278/25-26</t>
  </si>
  <si>
    <t>JU-840/25-26</t>
  </si>
  <si>
    <t>JU-841/25-26</t>
  </si>
  <si>
    <t>J-5279/25-26</t>
  </si>
  <si>
    <t>RAVI KILIKULAM</t>
  </si>
  <si>
    <t>J-5280/25-26</t>
  </si>
  <si>
    <t>PREJITH KAKKANAD</t>
  </si>
  <si>
    <t>J-5281/25-26</t>
  </si>
  <si>
    <t>J-5282/25-26</t>
  </si>
  <si>
    <t>J-5283/25-26</t>
  </si>
  <si>
    <t>J-5284/25-26</t>
  </si>
  <si>
    <t>J-5285/25-26</t>
  </si>
  <si>
    <t>J-5286/25-26</t>
  </si>
  <si>
    <t>Sidhique , Chengara</t>
  </si>
  <si>
    <t>J-5287/25-26</t>
  </si>
  <si>
    <t>J-5288/25-26</t>
  </si>
  <si>
    <t>J-5289/25-26</t>
  </si>
  <si>
    <t>J-5290/25-26</t>
  </si>
  <si>
    <t>J-5291/25-26</t>
  </si>
  <si>
    <t>J-5292/25-26</t>
  </si>
  <si>
    <t>J-5293/25-26</t>
  </si>
  <si>
    <t>J-5294/25-26</t>
  </si>
  <si>
    <t>J-5295/25-26</t>
  </si>
  <si>
    <t>FINE HARVEST FARAMS PATTIMATTOM</t>
  </si>
  <si>
    <t>J-5296/25-26</t>
  </si>
  <si>
    <t>J-5297/25-26</t>
  </si>
  <si>
    <t>J-5298/25-26</t>
  </si>
  <si>
    <t>J-5299/25-26</t>
  </si>
  <si>
    <t>J-5300/25-26</t>
  </si>
  <si>
    <t>J-5301/25-26</t>
  </si>
  <si>
    <t>J-5302/25-26</t>
  </si>
  <si>
    <t>J-5303/25-26</t>
  </si>
  <si>
    <t>J-5304/25-26</t>
  </si>
  <si>
    <t>JU-842/25-26</t>
  </si>
  <si>
    <t>JU-843/25-26</t>
  </si>
  <si>
    <t>JU-844/25-26</t>
  </si>
  <si>
    <t>JU-845/25-26</t>
  </si>
  <si>
    <t>JU-846/25-26</t>
  </si>
  <si>
    <t>J-5305/25-26</t>
  </si>
  <si>
    <t>J-5306/25-26</t>
  </si>
  <si>
    <t>J-5307/25-26</t>
  </si>
  <si>
    <t>J-5308/25-26</t>
  </si>
  <si>
    <t>J-5309/25-26</t>
  </si>
  <si>
    <t>J-5310/25-26</t>
  </si>
  <si>
    <t>J-5311/25-26</t>
  </si>
  <si>
    <t>ABBAS ALIYAR</t>
  </si>
  <si>
    <t>J-5312/25-26</t>
  </si>
  <si>
    <t>SABU OILICKAL</t>
  </si>
  <si>
    <t>J-5313/25-26</t>
  </si>
  <si>
    <t>J-5314/25-26</t>
  </si>
  <si>
    <t>J-5315/25-26</t>
  </si>
  <si>
    <t>J-5316/25-26</t>
  </si>
  <si>
    <t>J-5317/25-26</t>
  </si>
  <si>
    <t>J-5318/25-26</t>
  </si>
  <si>
    <t>J-5319/25-26</t>
  </si>
  <si>
    <t>J-5320/25-26</t>
  </si>
  <si>
    <t>J-5321/25-26</t>
  </si>
  <si>
    <t>J-5322/25-26</t>
  </si>
  <si>
    <t>J-5323/25-26</t>
  </si>
  <si>
    <t>J-5324/25-26</t>
  </si>
  <si>
    <t>JU-847/25-26</t>
  </si>
  <si>
    <t>JU-848/25-26</t>
  </si>
  <si>
    <t>JU-849/25-26</t>
  </si>
  <si>
    <t>JU-850/25-26</t>
  </si>
  <si>
    <t>JU-851/25-26</t>
  </si>
  <si>
    <t>JU-852/25-26</t>
  </si>
  <si>
    <t>JU-853/25-26</t>
  </si>
  <si>
    <t>JU-854/25-26</t>
  </si>
  <si>
    <t>JU-855/25-26</t>
  </si>
  <si>
    <t>LENIN MAZHUVANOOR</t>
  </si>
  <si>
    <t>J-5325/25-26</t>
  </si>
  <si>
    <t>J-5326/25-26</t>
  </si>
  <si>
    <t>J-5327/25-26</t>
  </si>
  <si>
    <t>SREEKANTH , ATHANI</t>
  </si>
  <si>
    <t>J-5328/25-26</t>
  </si>
  <si>
    <t>SIDHQUE CHENGARA</t>
  </si>
  <si>
    <t>J-5329/25-26</t>
  </si>
  <si>
    <t>J-5330/25-26</t>
  </si>
  <si>
    <t>J-5331/25-26</t>
  </si>
  <si>
    <t>J-5332/25-26</t>
  </si>
  <si>
    <t>J-5333/25-26</t>
  </si>
  <si>
    <t>J-5334/25-26</t>
  </si>
  <si>
    <t>JAYAN PATTIMATTOM</t>
  </si>
  <si>
    <t>J-5335/25-26</t>
  </si>
  <si>
    <t>MEERESH, PATTIMATTOM</t>
  </si>
  <si>
    <t>J-5336/25-26</t>
  </si>
  <si>
    <t>J-5337/25-26</t>
  </si>
  <si>
    <t>J-5338/25-26</t>
  </si>
  <si>
    <t>KURIAKOSE VILANGU</t>
  </si>
  <si>
    <t>J-5339/25-26</t>
  </si>
  <si>
    <t>J-5340/25-26</t>
  </si>
  <si>
    <t>JOY VARGHSESE MANGALATHUNADA</t>
  </si>
  <si>
    <t>J-5341/25-26</t>
  </si>
  <si>
    <t>J-5342/25-26</t>
  </si>
  <si>
    <t>J-5343/25-26</t>
  </si>
  <si>
    <t>J-5344/25-26</t>
  </si>
  <si>
    <t>J-5345/25-26</t>
  </si>
  <si>
    <t>J-5346/25-26</t>
  </si>
  <si>
    <t>SUJITH</t>
  </si>
  <si>
    <t>J-5347/25-26</t>
  </si>
  <si>
    <t>J-5348/25-26</t>
  </si>
  <si>
    <t>J-5349/25-26</t>
  </si>
  <si>
    <t>J-5350/25-26</t>
  </si>
  <si>
    <t>J-5351/25-26</t>
  </si>
  <si>
    <t>J-5352/25-26</t>
  </si>
  <si>
    <t>J-5353/25-26</t>
  </si>
  <si>
    <t>J-5354/25-26</t>
  </si>
  <si>
    <t>J-5355/25-26</t>
  </si>
  <si>
    <t>J-5356/25-26</t>
  </si>
  <si>
    <t>J-5357/25-26</t>
  </si>
  <si>
    <t>JU-856/25-26</t>
  </si>
  <si>
    <t>JU-857/25-26</t>
  </si>
  <si>
    <t>JU-858/25-26</t>
  </si>
  <si>
    <t>PERUMKULATHIL ALIAS BABY</t>
  </si>
  <si>
    <t>JU-859/25-26</t>
  </si>
  <si>
    <t>JU-860/25-26</t>
  </si>
  <si>
    <t>JU-861/25-26</t>
  </si>
  <si>
    <t>JU-862/25-26</t>
  </si>
  <si>
    <t>J-5358/25-26</t>
  </si>
  <si>
    <t>BABU , CHOORAKKODE</t>
  </si>
  <si>
    <t>J-5359/25-26</t>
  </si>
  <si>
    <t>J-5360/25-26</t>
  </si>
  <si>
    <t>J-5361/25-26</t>
  </si>
  <si>
    <t>J-5362/25-26</t>
  </si>
  <si>
    <t>J-5363/25-26</t>
  </si>
  <si>
    <t>J-5364/25-26</t>
  </si>
  <si>
    <t>J-5365/25-26</t>
  </si>
  <si>
    <t>J-5366/25-26</t>
  </si>
  <si>
    <t>J-5367/25-26</t>
  </si>
  <si>
    <t>PRAISE MATHEWS</t>
  </si>
  <si>
    <t>J-5368/25-26</t>
  </si>
  <si>
    <t>JOY KUMMANODE</t>
  </si>
  <si>
    <t>J-5369/25-26</t>
  </si>
  <si>
    <t>J-5370/25-26</t>
  </si>
  <si>
    <t>J-5371/25-26</t>
  </si>
  <si>
    <t>HABEEB</t>
  </si>
  <si>
    <t>J-5372/25-26</t>
  </si>
  <si>
    <t>J-5373/25-26</t>
  </si>
  <si>
    <t>SAIJU KARIMUGAL</t>
  </si>
  <si>
    <t>J-5374/25-26</t>
  </si>
  <si>
    <t>J-5375/25-26</t>
  </si>
  <si>
    <t>J-5376/25-26</t>
  </si>
  <si>
    <t>J-5377/25-26</t>
  </si>
  <si>
    <t>J-5378/25-26</t>
  </si>
  <si>
    <t>J-5379/25-26</t>
  </si>
  <si>
    <t>J-5380/25-26</t>
  </si>
  <si>
    <t>J-5381/25-26</t>
  </si>
  <si>
    <t>J-5382/25-26</t>
  </si>
  <si>
    <t>J-5383/25-26</t>
  </si>
  <si>
    <t>J-5384/25-26</t>
  </si>
  <si>
    <t>JU-863/25-26</t>
  </si>
  <si>
    <t>JU-864/25-26</t>
  </si>
  <si>
    <t>J-5385/25-26</t>
  </si>
  <si>
    <t>J-5386/25-26</t>
  </si>
  <si>
    <t>ASIF AKKAMBARA</t>
  </si>
  <si>
    <t>J-5387/25-26</t>
  </si>
  <si>
    <t>J-5388/25-26</t>
  </si>
  <si>
    <t>J-5389/25-26</t>
  </si>
  <si>
    <t>ABU PASSNEGER</t>
  </si>
  <si>
    <t>J-5390/25-26</t>
  </si>
  <si>
    <t>J-5391/25-26</t>
  </si>
  <si>
    <t>J-5392/25-26</t>
  </si>
  <si>
    <t>J-5393/25-26</t>
  </si>
  <si>
    <t>J-5394/25-26</t>
  </si>
  <si>
    <t>HYDROSE , MUNDEKUDY</t>
  </si>
  <si>
    <t>J-5395/25-26</t>
  </si>
  <si>
    <t>J-5396/25-26</t>
  </si>
  <si>
    <t>J-5397/25-26</t>
  </si>
  <si>
    <t>J-5398/25-26</t>
  </si>
  <si>
    <t>J-5399/25-26</t>
  </si>
  <si>
    <t>JINU , PATTIMATTAM</t>
  </si>
  <si>
    <t>J-5400/25-26</t>
  </si>
  <si>
    <t>J-5401/25-26</t>
  </si>
  <si>
    <t>J-5402/25-26</t>
  </si>
  <si>
    <t>J-5403/25-26</t>
  </si>
  <si>
    <t>J-5404/25-26</t>
  </si>
  <si>
    <t>J-5405/25-26</t>
  </si>
  <si>
    <t>DAUGHTERS OF ST. MARY OF LEUCA</t>
  </si>
  <si>
    <t>J-5406/25-26</t>
  </si>
  <si>
    <t>JU-865/25-26</t>
  </si>
  <si>
    <t>JU-866/25-26</t>
  </si>
  <si>
    <t>JU-867/25-26</t>
  </si>
  <si>
    <t>JU-868/25-26</t>
  </si>
  <si>
    <t>J-5407/25-26</t>
  </si>
  <si>
    <t>J-5408/25-26</t>
  </si>
  <si>
    <t>J-5409/25-26</t>
  </si>
  <si>
    <t>JINS VEMPILLY</t>
  </si>
  <si>
    <t>J-5410/25-26</t>
  </si>
  <si>
    <t>ANSAL ARACKKAPADY</t>
  </si>
  <si>
    <t>J-5411/25-26</t>
  </si>
  <si>
    <t>J-5412/25-26</t>
  </si>
  <si>
    <t>J-5413/25-26</t>
  </si>
  <si>
    <t>J-5414/25-26</t>
  </si>
  <si>
    <t>J-5415/25-26</t>
  </si>
  <si>
    <t>J-5416/25-26</t>
  </si>
  <si>
    <t>SAJEESH PATTIMATTOM</t>
  </si>
  <si>
    <t>J-5417/25-26</t>
  </si>
  <si>
    <t>J-5418/25-26</t>
  </si>
  <si>
    <t>PRABHAKARAN IRAPURAM</t>
  </si>
  <si>
    <t>J-5419/25-26</t>
  </si>
  <si>
    <t>J-5420/25-26</t>
  </si>
  <si>
    <t>JOY VEMPILLY</t>
  </si>
  <si>
    <t>J-5421/25-26</t>
  </si>
  <si>
    <t>J-5422/25-26</t>
  </si>
  <si>
    <t>J-5423/25-26</t>
  </si>
  <si>
    <t>J-5424/25-26</t>
  </si>
  <si>
    <t>J-5425/25-26</t>
  </si>
  <si>
    <t>J-5426/25-26</t>
  </si>
  <si>
    <t>JU-869/25-26</t>
  </si>
  <si>
    <t>JU-870/25-26</t>
  </si>
  <si>
    <t>PUTHUSSERY CONSTRUCTIONS</t>
  </si>
  <si>
    <t>JU-871/25-26</t>
  </si>
  <si>
    <t>JU-872/25-26</t>
  </si>
  <si>
    <t>JU-873/25-26</t>
  </si>
  <si>
    <t>KM ASSI</t>
  </si>
  <si>
    <t>JU-874/25-26</t>
  </si>
  <si>
    <t>V.MATHA CONSTRUCTIONS</t>
  </si>
  <si>
    <t>JU-875/25-26</t>
  </si>
  <si>
    <t>J-5427/25-26</t>
  </si>
  <si>
    <t>SIGNATURE AGENCIES</t>
  </si>
  <si>
    <t>J-5428/25-26</t>
  </si>
  <si>
    <t>SREEJITH PATTIMATTOM</t>
  </si>
  <si>
    <t>J-5429/25-26</t>
  </si>
  <si>
    <t>J-5430/25-26</t>
  </si>
  <si>
    <t>J-5431/25-26</t>
  </si>
  <si>
    <t>J-5432/25-26</t>
  </si>
  <si>
    <t>J-5433/25-26</t>
  </si>
  <si>
    <t>J-5434/25-26</t>
  </si>
  <si>
    <t>J-5435/25-26</t>
  </si>
  <si>
    <t>J-5436/25-26</t>
  </si>
  <si>
    <t>J-5437/25-26</t>
  </si>
  <si>
    <t>J-5438/25-26</t>
  </si>
  <si>
    <t>RADHAKRISHNA KURUPPU</t>
  </si>
  <si>
    <t>J-5439/25-26</t>
  </si>
  <si>
    <t>J-5440/25-26</t>
  </si>
  <si>
    <t>J-5441/25-26</t>
  </si>
  <si>
    <t>J-5442/25-26</t>
  </si>
  <si>
    <t>J-5443/25-26</t>
  </si>
  <si>
    <t>J-5444/25-26</t>
  </si>
  <si>
    <t>NANDANAN , CHENGARA</t>
  </si>
  <si>
    <t>J-5445/25-26</t>
  </si>
  <si>
    <t>J-5446/25-26</t>
  </si>
  <si>
    <t>J-5447/25-26</t>
  </si>
  <si>
    <t>J-5448/25-26</t>
  </si>
  <si>
    <t>AJMAL KUMMANODE</t>
  </si>
  <si>
    <t>J-5449/25-26</t>
  </si>
  <si>
    <t>J-5450/25-26</t>
  </si>
  <si>
    <t>J-5451/25-26</t>
  </si>
  <si>
    <t>J-5452/25-26</t>
  </si>
  <si>
    <t>J-5453/25-26</t>
  </si>
  <si>
    <t>KATHIK</t>
  </si>
  <si>
    <t>J-5454/25-26</t>
  </si>
  <si>
    <t>J-5455/25-26</t>
  </si>
  <si>
    <t>J-5456/25-26</t>
  </si>
  <si>
    <t>JU-876/25-26</t>
  </si>
  <si>
    <t>JU-877/25-26</t>
  </si>
  <si>
    <t>COMPUTECH COMPUTERS</t>
  </si>
  <si>
    <t>JU-878/25-26</t>
  </si>
  <si>
    <t>JU-879/25-26</t>
  </si>
  <si>
    <t>JU-880/25-26</t>
  </si>
  <si>
    <t>JU-881/25-26</t>
  </si>
  <si>
    <t>J-5457/25-26</t>
  </si>
  <si>
    <t>SANTHOSH(VS BAKERY)</t>
  </si>
  <si>
    <t>J-5458/25-26</t>
  </si>
  <si>
    <t>J-5459/25-26</t>
  </si>
  <si>
    <t>J-5460/25-26</t>
  </si>
  <si>
    <t>J-5461/25-26</t>
  </si>
  <si>
    <t>J-5462/25-26</t>
  </si>
  <si>
    <t>J-5463/25-26</t>
  </si>
  <si>
    <t>J-5464/25-26</t>
  </si>
  <si>
    <t>J-5465/25-26</t>
  </si>
  <si>
    <t>J-5466/25-26</t>
  </si>
  <si>
    <t>J-5467/25-26</t>
  </si>
  <si>
    <t>INPUT CAFE EDACHIRA</t>
  </si>
  <si>
    <t>J-5468/25-26</t>
  </si>
  <si>
    <t>J-5469/25-26</t>
  </si>
  <si>
    <t>LAKSHMI AYYAPPANKUTTY</t>
  </si>
  <si>
    <t>J-5470/25-26</t>
  </si>
  <si>
    <t>J-5471/25-26</t>
  </si>
  <si>
    <t>J-5472/25-26</t>
  </si>
  <si>
    <t>J-5473/25-26</t>
  </si>
  <si>
    <t>JU-882/25-26</t>
  </si>
  <si>
    <t>J-5474/25-26</t>
  </si>
  <si>
    <t>J-5475/25-26</t>
  </si>
  <si>
    <t>MUHAMMED PATTIMATTOM</t>
  </si>
  <si>
    <t>J-5476/25-26</t>
  </si>
  <si>
    <t>J-5477/25-26</t>
  </si>
  <si>
    <t>Customers</t>
  </si>
  <si>
    <t>LastPurchaseDate</t>
  </si>
  <si>
    <t>Sales</t>
  </si>
  <si>
    <t>Tier</t>
  </si>
  <si>
    <t>Sum of Total_Sales</t>
  </si>
  <si>
    <t>Gold</t>
  </si>
  <si>
    <t>Platinum</t>
  </si>
  <si>
    <t>Regular</t>
  </si>
  <si>
    <t>Silver</t>
  </si>
  <si>
    <t>Customer_Count</t>
  </si>
  <si>
    <t>Customer</t>
  </si>
  <si>
    <t>Total_Sales</t>
  </si>
  <si>
    <t>Gap to Next Tier</t>
  </si>
  <si>
    <t>Contribution</t>
  </si>
  <si>
    <t>Days Since Last Purchase</t>
  </si>
  <si>
    <t>Activity Status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</si>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</sst>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theme="1"/>
      <name val="Calibri"/>
      <family val="2"/>
      <scheme val="minor"/>
    </font>
    <font>
      <b/>
      <sz val="9"/>
      <color rgb="FF252525"/>
      <name val="Arial"/>
      <family val="2"/>
    </font>
    <font>
      <sz val="11"/>
      <color theme="1"/>
      <name val="Century Gothic"/>
    </font>
    <font>
      <b/>
      <sz val="22"/>
      <color theme="1"/>
      <name val="Century Gothic"/>
    </font>
    <font>
      <sz val="22"/>
      <color theme="1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left" vertical="top" indent="5"/>
    </xf>
    <xf numFmtId="0" fontId="1" fillId="2" borderId="0" xfId="0" applyFont="1" applyFill="1" applyAlignment="1">
      <alignment vertical="top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NumberFormat="1"/>
    <xf numFmtId="0" fontId="2" fillId="0" borderId="0" xfId="0" applyFont="1" applyBorder="1"/>
    <xf numFmtId="1" fontId="2" fillId="0" borderId="0" xfId="0" applyNumberFormat="1" applyFont="1" applyBorder="1"/>
    <xf numFmtId="0" fontId="2" fillId="0" borderId="1" xfId="0" applyFont="1" applyBorder="1"/>
    <xf numFmtId="10" fontId="2" fillId="0" borderId="0" xfId="0" applyNumberFormat="1" applyFont="1" applyBorder="1"/>
    <xf numFmtId="10" fontId="2" fillId="0" borderId="1" xfId="0" applyNumberFormat="1" applyFont="1" applyBorder="1"/>
    <xf numFmtId="166" fontId="2" fillId="0" borderId="0" xfId="0" applyNumberFormat="1" applyFont="1" applyBorder="1" applyAlignment="1">
      <alignment wrapText="1"/>
    </xf>
    <xf numFmtId="166" fontId="2" fillId="0" borderId="0" xfId="0" applyNumberFormat="1" applyFont="1" applyBorder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1" formatCode="0"/>
    </dxf>
    <dxf>
      <numFmt numFmtId="14" formatCode="0.00%"/>
    </dxf>
    <dxf>
      <numFmt numFmtId="0" formatCode="General"/>
    </dxf>
    <dxf>
      <numFmt numFmtId="0" formatCode="General"/>
    </dxf>
    <dxf>
      <numFmt numFmtId="1" formatCode="0"/>
    </dxf>
    <dxf>
      <numFmt numFmtId="164" formatCode="dd/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52525"/>
        <name val="Arial"/>
        <family val="2"/>
        <scheme val="none"/>
      </font>
      <fill>
        <patternFill patternType="solid">
          <fgColor rgb="FF5B9BD5"/>
          <bgColor rgb="FF5B9BD5"/>
        </patternFill>
      </fill>
      <alignment horizontal="right" vertical="top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Relations Dashboard.xlsx]Tier vs Sale!PivotTable2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ndara"/>
                  <a:ea typeface="Candara"/>
                  <a:cs typeface="Candara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'Tier vs Sale'!$B$3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ndara"/>
                    <a:ea typeface="Candara"/>
                    <a:cs typeface="Candara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'Tier vs Sale'!$A$4:$A$8</c:f>
              <c:strCache>
                <c:ptCount val="4"/>
                <c:pt idx="0">
                  <c:v>Gold</c:v>
                </c:pt>
                <c:pt idx="1">
                  <c:v>Platinum</c:v>
                </c:pt>
                <c:pt idx="2">
                  <c:v>Regular</c:v>
                </c:pt>
                <c:pt idx="3">
                  <c:v>Silver</c:v>
                </c:pt>
              </c:strCache>
            </c:strRef>
          </c:cat>
          <c:val>
            <c:numRef>
              <c:f>'Tier vs Sale'!$B$4:$B$8</c:f>
              <c:numCache>
                <c:formatCode>0</c:formatCode>
                <c:ptCount val="4"/>
                <c:pt idx="0">
                  <c:v>5612534</c:v>
                </c:pt>
                <c:pt idx="1">
                  <c:v>10342204.933</c:v>
                </c:pt>
                <c:pt idx="2">
                  <c:v>20159226.008000001</c:v>
                </c:pt>
                <c:pt idx="3">
                  <c:v>21143003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9-489A-A1AF-A9039B254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974663"/>
        <c:axId val="1779976711"/>
      </c:barChart>
      <c:catAx>
        <c:axId val="1779974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976711"/>
        <c:crosses val="autoZero"/>
        <c:auto val="1"/>
        <c:lblAlgn val="ctr"/>
        <c:lblOffset val="100"/>
        <c:noMultiLvlLbl val="0"/>
      </c:catAx>
      <c:valAx>
        <c:axId val="1779976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974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Relations Dashboard.xlsx]Tier vs Customer_Count!PivotTable3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"/>
                  <a:ea typeface="Century"/>
                  <a:cs typeface="Century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"/>
                  <a:ea typeface="Century"/>
                  <a:cs typeface="Century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"/>
                  <a:ea typeface="Century"/>
                  <a:cs typeface="Century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"/>
                  <a:ea typeface="Century"/>
                  <a:cs typeface="Century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"/>
                  <a:ea typeface="Century"/>
                  <a:cs typeface="Century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'Tier vs Customer_Count'!$B$3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45-43BF-A46E-E7269BF1F9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45-43BF-A46E-E7269BF1F9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45-43BF-A46E-E7269BF1F9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"/>
                    <a:ea typeface="Century"/>
                    <a:cs typeface="Century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'Tier vs Customer_Count'!$A$4:$A$7</c:f>
              <c:strCache>
                <c:ptCount val="3"/>
                <c:pt idx="0">
                  <c:v>Gold</c:v>
                </c:pt>
                <c:pt idx="1">
                  <c:v>Platinum</c:v>
                </c:pt>
                <c:pt idx="2">
                  <c:v>Silver</c:v>
                </c:pt>
              </c:strCache>
            </c:strRef>
          </c:cat>
          <c:val>
            <c:numRef>
              <c:f>'Tier vs Customer_Count'!$B$4:$B$7</c:f>
              <c:numCache>
                <c:formatCode>General</c:formatCode>
                <c:ptCount val="3"/>
                <c:pt idx="0">
                  <c:v>8</c:v>
                </c:pt>
                <c:pt idx="1">
                  <c:v>58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45-43BF-A46E-E7269BF1F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Relations Dashboard.xlsx]Tier vs Sale!PivotTable2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'Tier vs Sale'!$B$3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'Tier vs Sale'!$A$4:$A$8</c:f>
              <c:strCache>
                <c:ptCount val="4"/>
                <c:pt idx="0">
                  <c:v>Gold</c:v>
                </c:pt>
                <c:pt idx="1">
                  <c:v>Platinum</c:v>
                </c:pt>
                <c:pt idx="2">
                  <c:v>Regular</c:v>
                </c:pt>
                <c:pt idx="3">
                  <c:v>Silver</c:v>
                </c:pt>
              </c:strCache>
            </c:strRef>
          </c:cat>
          <c:val>
            <c:numRef>
              <c:f>'Tier vs Sale'!$B$4:$B$8</c:f>
              <c:numCache>
                <c:formatCode>0</c:formatCode>
                <c:ptCount val="4"/>
                <c:pt idx="0">
                  <c:v>5612534</c:v>
                </c:pt>
                <c:pt idx="1">
                  <c:v>10342204.933</c:v>
                </c:pt>
                <c:pt idx="2">
                  <c:v>20159226.008000001</c:v>
                </c:pt>
                <c:pt idx="3">
                  <c:v>21143003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5-4A60-95DD-F42E70507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974663"/>
        <c:axId val="1779976711"/>
      </c:barChart>
      <c:catAx>
        <c:axId val="1779974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976711"/>
        <c:crosses val="autoZero"/>
        <c:auto val="1"/>
        <c:lblAlgn val="ctr"/>
        <c:lblOffset val="100"/>
        <c:noMultiLvlLbl val="0"/>
      </c:catAx>
      <c:valAx>
        <c:axId val="1779976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974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Relations Dashboard.xlsx]Tier vs Customer_Count!PivotTable3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'Tier vs Customer_Count'!$B$3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'Tier vs Customer_Count'!$A$4:$A$7</c:f>
              <c:strCache>
                <c:ptCount val="3"/>
                <c:pt idx="0">
                  <c:v>Gold</c:v>
                </c:pt>
                <c:pt idx="1">
                  <c:v>Platinum</c:v>
                </c:pt>
                <c:pt idx="2">
                  <c:v>Silver</c:v>
                </c:pt>
              </c:strCache>
            </c:strRef>
          </c:cat>
          <c:val>
            <c:numRef>
              <c:f>'Tier vs Customer_Count'!$B$4:$B$7</c:f>
              <c:numCache>
                <c:formatCode>General</c:formatCode>
                <c:ptCount val="3"/>
                <c:pt idx="0">
                  <c:v>8</c:v>
                </c:pt>
                <c:pt idx="1">
                  <c:v>58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4-4ADA-A26D-1530C4B0C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866775</xdr:colOff>
      <xdr:row>0</xdr:row>
      <xdr:rowOff>142875</xdr:rowOff>
    </xdr:from>
    <xdr:to>
      <xdr:col>6</xdr:col>
      <xdr:colOff>333375</xdr:colOff>
      <xdr:row>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1E912-7C8B-5098-E21D-869A3A28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0" y="142875"/>
          <a:ext cx="3733800" cy="1857375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10</xdr:row>
      <xdr:rowOff>180975</xdr:rowOff>
    </xdr:from>
    <xdr:to>
      <xdr:col>1</xdr:col>
      <xdr:colOff>600075</xdr:colOff>
      <xdr:row>13</xdr:row>
      <xdr:rowOff>104775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A2D948-AF94-7846-BD1B-B17A9A91AF74}"/>
            </a:ext>
            <a:ext uri="{147F2762-F138-4A5C-976F-8EAC2B608ADB}">
              <a16:predDERef xmlns:a16="http://schemas.microsoft.com/office/drawing/2014/main" pred="{A881E912-7C8B-5098-E21D-869A3A28A1FF}"/>
            </a:ext>
          </a:extLst>
        </xdr:cNvPr>
        <xdr:cNvSpPr txBox="1"/>
      </xdr:nvSpPr>
      <xdr:spPr>
        <a:xfrm>
          <a:off x="104775" y="2066925"/>
          <a:ext cx="2190750" cy="495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KPI'S</a:t>
          </a:r>
        </a:p>
      </xdr:txBody>
    </xdr:sp>
    <xdr:clientData/>
  </xdr:twoCellAnchor>
  <xdr:twoCellAnchor>
    <xdr:from>
      <xdr:col>0</xdr:col>
      <xdr:colOff>0</xdr:colOff>
      <xdr:row>20</xdr:row>
      <xdr:rowOff>180975</xdr:rowOff>
    </xdr:from>
    <xdr:to>
      <xdr:col>3</xdr:col>
      <xdr:colOff>600075</xdr:colOff>
      <xdr:row>23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152EC4-E69A-46CB-95DC-ADE019E14F8E}"/>
            </a:ext>
            <a:ext uri="{147F2762-F138-4A5C-976F-8EAC2B608ADB}">
              <a16:predDERef xmlns:a16="http://schemas.microsoft.com/office/drawing/2014/main" pred="{20A2D948-AF94-7846-BD1B-B17A9A91AF74}"/>
            </a:ext>
          </a:extLst>
        </xdr:cNvPr>
        <xdr:cNvSpPr txBox="1"/>
      </xdr:nvSpPr>
      <xdr:spPr>
        <a:xfrm>
          <a:off x="0" y="4124325"/>
          <a:ext cx="6172200" cy="514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Revenue Risk / Concentration</a:t>
          </a:r>
        </a:p>
      </xdr:txBody>
    </xdr:sp>
    <xdr:clientData/>
  </xdr:twoCellAnchor>
  <xdr:twoCellAnchor>
    <xdr:from>
      <xdr:col>5</xdr:col>
      <xdr:colOff>400050</xdr:colOff>
      <xdr:row>10</xdr:row>
      <xdr:rowOff>152400</xdr:rowOff>
    </xdr:from>
    <xdr:to>
      <xdr:col>12</xdr:col>
      <xdr:colOff>476250</xdr:colOff>
      <xdr:row>13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C4E167-271E-491F-9CB6-9A88FD2C60F7}"/>
            </a:ext>
            <a:ext uri="{147F2762-F138-4A5C-976F-8EAC2B608ADB}">
              <a16:predDERef xmlns:a16="http://schemas.microsoft.com/office/drawing/2014/main" pred="{78152EC4-E69A-46CB-95DC-ADE019E14F8E}"/>
            </a:ext>
          </a:extLst>
        </xdr:cNvPr>
        <xdr:cNvSpPr txBox="1"/>
      </xdr:nvSpPr>
      <xdr:spPr>
        <a:xfrm>
          <a:off x="5362575" y="2247900"/>
          <a:ext cx="4343400" cy="514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Tier Distribution</a:t>
          </a:r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3</xdr:col>
      <xdr:colOff>600075</xdr:colOff>
      <xdr:row>31</xdr:row>
      <xdr:rowOff>95250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C8E8DD-CB95-4094-B0CB-059C591064CD}"/>
            </a:ext>
            <a:ext uri="{147F2762-F138-4A5C-976F-8EAC2B608ADB}">
              <a16:predDERef xmlns:a16="http://schemas.microsoft.com/office/drawing/2014/main" pred="{5BC4E167-271E-491F-9CB6-9A88FD2C60F7}"/>
            </a:ext>
          </a:extLst>
        </xdr:cNvPr>
        <xdr:cNvSpPr txBox="1"/>
      </xdr:nvSpPr>
      <xdr:spPr>
        <a:xfrm>
          <a:off x="0" y="5829300"/>
          <a:ext cx="6172200" cy="514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High Value Inactivity</a:t>
          </a:r>
        </a:p>
      </xdr:txBody>
    </xdr:sp>
    <xdr:clientData/>
  </xdr:twoCellAnchor>
  <xdr:twoCellAnchor>
    <xdr:from>
      <xdr:col>0</xdr:col>
      <xdr:colOff>0</xdr:colOff>
      <xdr:row>39</xdr:row>
      <xdr:rowOff>0</xdr:rowOff>
    </xdr:from>
    <xdr:to>
      <xdr:col>3</xdr:col>
      <xdr:colOff>600075</xdr:colOff>
      <xdr:row>41</xdr:row>
      <xdr:rowOff>95250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1A7C051-A77F-48B7-BF12-57EF74744212}"/>
            </a:ext>
            <a:ext uri="{147F2762-F138-4A5C-976F-8EAC2B608ADB}">
              <a16:predDERef xmlns:a16="http://schemas.microsoft.com/office/drawing/2014/main" pred="{A1C8E8DD-CB95-4094-B0CB-059C591064CD}"/>
            </a:ext>
          </a:extLst>
        </xdr:cNvPr>
        <xdr:cNvSpPr txBox="1"/>
      </xdr:nvSpPr>
      <xdr:spPr>
        <a:xfrm>
          <a:off x="0" y="7924800"/>
          <a:ext cx="6172200" cy="514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B2B/B2C</a:t>
          </a:r>
        </a:p>
      </xdr:txBody>
    </xdr:sp>
    <xdr:clientData/>
  </xdr:twoCellAnchor>
  <xdr:twoCellAnchor>
    <xdr:from>
      <xdr:col>4</xdr:col>
      <xdr:colOff>104775</xdr:colOff>
      <xdr:row>17</xdr:row>
      <xdr:rowOff>47625</xdr:rowOff>
    </xdr:from>
    <xdr:to>
      <xdr:col>8</xdr:col>
      <xdr:colOff>428625</xdr:colOff>
      <xdr:row>27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65BE3E-FF72-4842-BDA3-38BE3807EE3F}"/>
            </a:ext>
            <a:ext uri="{147F2762-F138-4A5C-976F-8EAC2B608ADB}">
              <a16:predDERef xmlns:a16="http://schemas.microsoft.com/office/drawing/2014/main" pred="{21A7C051-A77F-48B7-BF12-57EF74744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371475</xdr:colOff>
      <xdr:row>17</xdr:row>
      <xdr:rowOff>0</xdr:rowOff>
    </xdr:from>
    <xdr:to>
      <xdr:col>15</xdr:col>
      <xdr:colOff>581025</xdr:colOff>
      <xdr:row>27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A3BE7A9-A999-456B-9E7C-4B3CE3E273D5}"/>
            </a:ext>
            <a:ext uri="{147F2762-F138-4A5C-976F-8EAC2B608ADB}">
              <a16:predDERef xmlns:a16="http://schemas.microsoft.com/office/drawing/2014/main" pred="{2E65BE3E-FF72-4842-BDA3-38BE3807E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114300</xdr:rowOff>
    </xdr:from>
    <xdr:to>
      <xdr:col>26</xdr:col>
      <xdr:colOff>57150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8E3DD-483D-31B8-4C8D-9EFB4D731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4</xdr:row>
      <xdr:rowOff>171450</xdr:rowOff>
    </xdr:from>
    <xdr:to>
      <xdr:col>15</xdr:col>
      <xdr:colOff>409575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C7E8D-7707-33BB-6B84-7B7F6D1B5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ry Mambakkadan" refreshedDate="46082.001339699076" createdVersion="8" refreshedVersion="8" minRefreshableVersion="3" recordCount="6359" xr:uid="{40FEB98B-4B9F-4A5A-960B-287D74AA4031}">
  <cacheSource type="worksheet">
    <worksheetSource name="Table1"/>
  </cacheSource>
  <cacheFields count="6">
    <cacheField name="Date" numFmtId="15">
      <sharedItems containsSemiMixedTypes="0" containsNonDate="0" containsDate="1" containsString="0" minDate="2025-04-01T00:00:00" maxDate="2026-03-01T00:00:00"/>
    </cacheField>
    <cacheField name="Customer_name" numFmtId="0">
      <sharedItems containsBlank="1" count="1427">
        <s v="KERALA STEELS"/>
        <s v="SUNIL NJARALLOOR"/>
        <s v="MANOJ (CURRY SHOP)"/>
        <s v="SHIJO AUTO  CONSULTANT"/>
        <s v="VASU SRISHITY"/>
        <s v="JOBY THATTAMUGAL"/>
        <s v="JAYAN KUNNAKKAL"/>
        <s v="MOHANAN PANCODE"/>
        <s v="BINU KOLETH TRUSS"/>
        <s v="BHASKARAN PATTIMATTOM"/>
        <s v="NIJU TRUSS , PATTIMATTAM"/>
        <s v="Cash"/>
        <s v="MANU PATTIMATTOM"/>
        <s v="SONEUR ENERGY PRIVATE LTD."/>
        <s v="FLAVOURFAVE (P) LTD"/>
        <s v="AUGUR COMPUTERS PVT LTD"/>
        <s v="KOTTARAM BUILDERS AND DEVELOPERS"/>
        <s v="SUDHEER KAREKKATTIL"/>
        <s v="ANOOP PATTIMATTOM"/>
        <s v="ASIF PATTIMATTOM"/>
        <s v="RASHEED TRUSS ,  CHENGARA"/>
        <s v="AMAZING GRACE MINISTIRES RELIGOUS &amp;CHARITABLE TRUST"/>
        <s v="SAJI PADINJAREKUDY"/>
        <s v="JAYAPRAKASH"/>
        <s v="ANOOP KADAYIRUPPU"/>
        <s v="JIJO TRUSS"/>
        <s v="SURESH KUMAR P C"/>
        <s v="VASUDHEVAN"/>
        <s v="SHAMBO MAHADEVA"/>
        <s v="SUBASH  , BHAGAVATHY AMMA"/>
        <s v="TUTTU CHANDRA"/>
        <s v="ELDHO PAUL(MARIYA STEEL)"/>
        <s v="GRACE ENGINEERING WORKS"/>
        <s v="SHIHAB ATHANI"/>
        <s v="PAUL ISSAC"/>
        <s v="JOHNY KALLENKOORIYIL"/>
        <s v="SANTHOSH THOTTAPPILLY"/>
        <s v="DINIL VALMBOOR"/>
        <s v="SIGNATURE REALTIES"/>
        <s v="PRASAD VALAMBOOR"/>
        <s v="AVARACHAN VALAMBOOR"/>
        <s v="LINK MANAGEMENT SOLUTIONS PVT.LTD."/>
        <s v="SHALBIN , SURYA OPTICALS"/>
        <s v="VISHNU VALAYANCHRANGARA"/>
        <s v="ABDUL NAZEER"/>
        <s v="MANI , AIRAPURAM"/>
        <s v="SHAJI MUNNAS VILANGU"/>
        <s v="PRASANNAN TRUSS"/>
        <s v="AKHIL"/>
        <s v="PRESS CLUB KOLENCHERY"/>
        <s v="THOMAS ALEX"/>
        <s v="ALDEN ENGINEERS"/>
        <s v="VOLGA ENGINEERS AND CONTRACTORS"/>
        <s v="JACOB K M"/>
        <s v="VARGHESE ASHRAYA"/>
        <s v="BASIL TRUSS"/>
        <s v="JACOB T I"/>
        <s v="YOHANNAN MECHANGARA"/>
        <s v="BINU , JANAKY"/>
        <s v="SURYA"/>
        <s v="RAJESH VALAMBOOR"/>
        <s v="ROY MYLATTUMOLAYIL"/>
        <s v="YESSAR GREEN POWER SOLUTIONS"/>
        <s v="A S ASSOCIATES"/>
        <s v="PARACKAL METAL CRUSHERS LLP"/>
        <s v="S R GROUP OF COMPANIES"/>
        <s v="KIRAN NJARALLOOR"/>
        <s v="SHIHAB MUHAMMED"/>
        <s v="NADARAJAN CHAKKASSERY"/>
        <s v="ANOOP SOPANAM"/>
        <s v="ST.THOMAS MAR THOMA CHURCH"/>
        <s v="ULLAS , DAUBLEPALAM"/>
        <s v="RAJAMMA"/>
        <s v="MANEESH MADANAN"/>
        <s v="MILMA SHOPPE"/>
        <s v="SREEKUMAR KANINAD"/>
        <s v="SREEKANTH VALMBOOR"/>
        <s v="INTERGLIDE AUTO CONTROLS"/>
        <s v="ANEESH M A"/>
        <s v="NAUSHAD , NJATTUMKALAYIL APE"/>
        <s v="VINU MAMBAKKADAN"/>
        <s v="ANEESH  KILIKILAM"/>
        <s v="VARGHESE THATTAMUGAL"/>
        <s v="SUNEER , CHENGARA"/>
        <s v="PADMAN"/>
        <s v="HASSAN KUZHIPPILLY"/>
        <s v="KANDANADAN TRADERS"/>
        <s v="HI TECH COMPANY"/>
        <s v="BABU CHOLLAPPILLY"/>
        <s v="SAKKEER PLAPPILLY APE"/>
        <s v="JOY MAMBAKKADAN"/>
        <s v="ST.ANTONY'S FORANE CHURCH"/>
        <s v="USHA RAMAKRISHNAN"/>
        <s v="ALEX VITY THOMAS"/>
        <s v="CLETUS.P.J"/>
        <s v="JITHIN KUMMANODE"/>
        <s v="AYYAPPAN CNTR"/>
        <s v="BENNY VALAMBOOR"/>
        <s v="VINOD RAMAKRISHNAN"/>
        <s v="MATHEW"/>
        <s v="MOHANAN CHEENIKUZY"/>
        <s v="LALU , CHENGARA"/>
        <s v="JIJO KUNNAKKAL"/>
        <s v="ANOOP MORAKKALA"/>
        <s v="JOHN THANNIKKODAN"/>
        <s v="VIBIN ALLAPPARA"/>
        <s v="MARIYA STEELS"/>
        <s v="PAULOSE VALAMBOOR"/>
        <s v="JOHNY KANDANALIL"/>
        <s v="AKSHAI IRAPURAM"/>
        <s v="BIJU ALINCHUVADU"/>
        <s v="ABDULSALAM KORALIYADAN"/>
        <s v="ARUN VIJAYAVILASAM VIJAYAN"/>
        <s v="SUNNY GEORGE"/>
        <s v="ROSHAN VARGHSESE KUMMMANODE"/>
        <s v="SUNIL KANDOTH"/>
        <s v="RATHEESH ,MAZHUVANNOOR"/>
        <s v="SMINAL PATTIMATTOM"/>
        <s v="JAYAN A.V"/>
        <s v="RAVI K K"/>
        <s v="ANAND PATTIMATTOM"/>
        <s v="ABY MAZHUVANNOR"/>
        <s v="JIMMY, CHUNAMGAMVELY"/>
        <s v="ARJUN CHENGARA"/>
        <s v="ASLAM P MUSTHAFA"/>
        <s v="SHAMSUDHEEN C.P"/>
        <s v="JOBIN JOSE"/>
        <s v="SHINOY TRUSS , AKKAMBARA"/>
        <s v="BIJU , KADAYIRUPPU"/>
        <s v="JIJI KOLOTHUMKUDY"/>
        <s v="JAYAN VENGOLA"/>
        <s v="SIJU KOLANKUDY"/>
        <s v="AKASH FLAVOURFAV"/>
        <s v="SIDHUN MANGALATHUNADA"/>
        <s v="HUSSAIN"/>
        <s v="JOHN VALAMBOOR"/>
        <s v="ESS BEE PLYWOOD INDUSTRIES"/>
        <s v="U K ENGINEERING AND POWDER COATING"/>
        <s v="(cancelled)"/>
        <s v="ASHARAF VEGETABLE SHOP 1"/>
        <s v="SAJI , TRUSS KILIKULAM"/>
        <s v="SUNIL SEBASTIAN"/>
        <s v="JOHNSON NJARALLOOR"/>
        <s v="NAVAS THANDAKKALA (CATERING)"/>
        <s v="SABU MYLATTUMUGAL"/>
        <s v="NIJAS MUVATTUPUZHA"/>
        <s v="MIDHUN VALAMBOOR"/>
        <s v="BIJU PURUSHOTHAMAN"/>
        <s v="VELAYUDHAN K K"/>
        <s v="VARGHESE MAZHUVANNOOR"/>
        <s v="ELDHOSE PANTHANAMOLAYIL"/>
        <s v="ARUN IRAPURAM"/>
        <s v="BENNY CHOORAKKODU"/>
        <s v="MATHAI P P"/>
        <s v="KAITHAKKADU MAHAVISHNU TEMPLE"/>
        <s v="JABIR VATHIMATTOM"/>
        <s v="RENJITH TRUSS PATTIMATTOM"/>
        <s v="MOITHEEN NJATTUMKALA"/>
        <s v="M S TECH ENGINEERING INDUSTRIES"/>
        <s v="JAMAL MANNAMKUZHY"/>
        <s v="VIZAG ARAKKAPADY"/>
        <s v="SUNNY KUPPAKKADAN"/>
        <s v="DR.DIVAKARAN NAIR"/>
        <s v="PRASANTH NAIR"/>
        <s v="THAMPI MATHEW"/>
        <s v="SHIBU THATTAMUGAL"/>
        <s v="BIJU , NJARALLOOR"/>
        <s v="AKBAR PASSENGER"/>
        <s v="ECO RUBBER PRODUCTS"/>
        <s v="SABU MARIYIL"/>
        <s v="ELDHO CHILLIRIKKAL"/>
        <s v="SIJU KURIAN"/>
        <s v="FAIZAL N.P"/>
        <s v="JOHNY WORKSHOP"/>
        <s v="ABOOBAKKER"/>
        <s v="ANEESH"/>
        <s v="GREGAREY SUNNY"/>
        <s v="ANSON"/>
        <s v="MANIKANDAN CHOORAKKODE"/>
        <s v="NISHAD IBRAHIM"/>
        <s v="JOE EQUIPEMENT"/>
        <s v="ARUN A R"/>
        <s v="SAJI , VALAMBOOR"/>
        <s v="BASHEER PARAMKUDY"/>
        <s v="JOMON MOOSARIPADY"/>
        <s v="MAMALI CHELAKULAM"/>
        <s v="JOICE"/>
        <s v="ALIF KUMMANODE"/>
        <s v="SAJI THANKAPPAN"/>
        <s v="SIJU KADAYIRUPPU"/>
        <s v="MAR COORILOSE MEMMORIAL HIGHER SECONDARY SCHOOL"/>
        <s v="SINDHU NJARALLOOR"/>
        <s v="BIJU , CHOORAKODU"/>
        <s v="SUBAIR , MECHANIC"/>
        <s v="REHIM TRUSS"/>
        <s v="BASIL"/>
        <s v="SUBASH K K"/>
        <s v="Alex , Punchaputhussery"/>
        <s v="ANOOP VALAMBOOR"/>
        <s v="SHAJI APE"/>
        <s v="SAMAD CHELAKULAM"/>
        <s v="SAJEEV K K"/>
        <s v="DHANOOP VALAMBOOR"/>
        <s v="SAJI PASSENGER"/>
        <s v="BABU PATHROSE"/>
        <s v="MARTIN ERAPPUMPARA"/>
        <s v="HASSAN , THANDAKKALA"/>
        <s v="JACOB CHEENIKUZHI"/>
        <s v="KRED ENERGY LTD"/>
        <s v="ARUN KUMAR K"/>
        <s v="FAROOQ N P"/>
        <s v="ST.GEORGE JACOBITE CHURCH, CHOORAKODU"/>
        <s v="SEEGA SOLAR"/>
        <s v="JAYESH K JAMES, MAZHUVANNOOR"/>
        <s v="AJAYKOSH VALAMBOOR"/>
        <s v="ELDHO DANIEL"/>
        <s v="SAJEEVAN VALAMBOOR"/>
        <s v="ZION BRICKS"/>
        <s v="SHIBU P K"/>
        <s v="AFSAL PAREETH TRUSS"/>
        <s v="SHAMEER P.S"/>
        <s v="RAFEEQ KUMMANODE"/>
        <s v="HASSAN MUNDEKUDY"/>
        <s v="RAJALASKSHMI CHENGARA"/>
        <s v="BASIL KADAYIRUPPU"/>
        <s v="KABEER VISMAYA"/>
        <s v="ELDHO BABY"/>
        <s v="JAMAL TRUSS"/>
        <s v="SANDEEP CHOORAKODE"/>
        <s v="VINOD HITACHI"/>
        <s v="MAMMALI CRICKET"/>
        <s v="SAITHU , CITY FURNITURE"/>
        <s v="ASHRAF T A"/>
        <s v="NEWCREST VENTURES"/>
        <s v="JUSTIN PALLATH"/>
        <s v="HIVE SOLAR POWER SOLUTIONS"/>
        <s v="SOMAN THOTTAPPILLY"/>
        <s v="SANDEEP KRISHNAN"/>
        <s v="BENNY VAYALIPARAMBIL"/>
        <s v="SPACE ASSOCIATE"/>
        <s v="CODUS GLOBAL TRADERS"/>
        <s v="JITHIN V J"/>
        <s v="PRAMOD KADAYIRUPPU"/>
        <s v="SIVASAKTHI CABLES"/>
        <s v="KAKKANATTU CONTRACTORS"/>
        <s v="CHANDRAN DOUBLE PALAM"/>
        <s v="ALI KOLENCHERY"/>
        <s v="SHAJI , KILIKULAM"/>
        <s v="AJI TRUSS"/>
        <s v="SHAJI WORKSHOP"/>
        <s v="DEVARAJAN"/>
        <s v="BAIJU VENGOLA"/>
        <s v="DIJU (DEEPA HARDWARES)"/>
        <s v="PAREETH KUNJU K S E B"/>
        <s v="JOHNY PASSENGER"/>
        <s v="ST.JOSEPH CHURCH"/>
        <s v="DAMODARAN NAMBOORI"/>
        <s v="HAMEED TRUSS"/>
        <s v="MASTER SHEF PATTIMATTOM"/>
        <s v="SUBHASH NEDUMBALLY"/>
        <s v="JOSHY PUTHENPURACKAL"/>
        <s v="JOY KANDANALY"/>
        <s v="SAJI M K"/>
        <s v="RAMACHANDRAN ARACKAPADY"/>
        <s v="PTECH BUILDERS AND DEVELOPERS PVT LTD"/>
        <s v="KURIAN VARGHESE"/>
        <s v="CHANDRASEKHAR M S"/>
        <s v="MUBEENA"/>
        <s v="ALEX KIZHAKKAMBALAM"/>
        <s v="MANI VALAMBOOR"/>
        <s v="BASIL MARADY"/>
        <s v="RUPA ENTERPRISES"/>
        <s v="SURESH PATTIMATTAM"/>
        <s v="PADMANABHAN VALAMBOOR"/>
        <s v="MOHANAN VALAMBOOR"/>
        <s v="KANNAN CHENGARA"/>
        <s v="SUMESH CHATTANATTUPARAMBU"/>
        <s v="SHYJU MAMBAKKADAN"/>
        <s v="REJITH P S"/>
        <s v="SANOJ RAVINDRA"/>
        <s v="ESTHAPANOSE , PATTIMATTAM"/>
        <s v="SOJAN KUMMANOD"/>
        <s v="KALESH , NANDANAM"/>
        <s v="BASIL PAUL"/>
        <s v="ELDHOPAUL PAILY"/>
        <s v="SURESH ACE"/>
        <s v="SANTHOSH PUKKATTUPADY"/>
        <s v="VISHNU"/>
        <s v="OLIVE INDUSTRIES"/>
        <s v="JOHNY P V"/>
        <s v="DE FRAMES"/>
        <s v="ST.THOMAS CHURCH"/>
        <s v="SHAJI PASSENGER"/>
        <s v="BIJU KUMMANODE"/>
        <s v="SUPRAN  AKKAMPARA"/>
        <s v="BABU THATTAMUGAL"/>
        <s v="MUJEEB , PATTIMATTOM"/>
        <s v="PRADEEP HARIDAS"/>
        <s v="LAIJU KADAYIRUPPU"/>
        <s v="MIDHUN PATTIMATTOM"/>
        <s v="SUNIL CHENGARA"/>
        <s v="JOBY JOSEPH"/>
        <s v="SAJU E.N"/>
        <s v="JAYESH, ERUMATHADATHIL"/>
        <s v="MATHAI"/>
        <s v="ABDUL SAMAD"/>
        <s v="FLAVOURNEST PRIVATE LIMITED"/>
        <s v="VISMAYA CONSTRUCTION"/>
        <s v="PRAVEEN PUNNORKKODE"/>
        <s v="JENY SAJEEV"/>
        <s v="JOY MECHANGARA"/>
        <s v="SUBAIR , CHELAKKULAM"/>
        <s v="SASI THATTAMUKAL"/>
        <s v="HAREESH VALAMBOOR KURIZ"/>
        <s v="VINU NARAYANAN"/>
        <s v="SAIJU PAUL"/>
        <s v="JOHN DANIEL"/>
        <s v="SREEJITH ARACKAPADY"/>
        <s v="AUGUSTINE AIRAPURAM"/>
        <s v="SUKUMARAN KAITHAKKAD"/>
        <s v="ELITE INDUSTIRES"/>
        <s v="NAREEKUZHY  TRADERS"/>
        <s v="BABU P GOPAL"/>
        <s v="Bakker Mundekudy"/>
        <s v="ADV: ALIAS MAMBAKKADAN"/>
        <s v="AKHIL EZHIPPURAM"/>
        <s v="SUKUMARAN CHENGARA"/>
        <s v="VINOD CHOORAKODE"/>
        <s v="KURIAKOSE THATTAMUGAL"/>
        <s v="VIJAYAMMA KILIKULAM"/>
        <s v="SALIM MUNDEKUDY"/>
        <s v="ZON ASSOCIATES"/>
        <s v="KUNJUMON TRUSS"/>
        <s v="SHAJI AMBALATHUMKUDY"/>
        <s v="SIRAJ ARACKKAPADY"/>
        <s v="KURIAKOSE KIZHAKKAMBALAM"/>
        <s v="MOITHEEN MUNDEKUDY ABOOBAKAR"/>
        <s v="AKKAMPARA ANGANVADY"/>
        <s v="RAJAN AIRAPURAM"/>
        <s v="MUKUNDAN , KAITHAKKADU"/>
        <s v="PRAVEEN MAZHUVANNOOR"/>
        <s v="SHYJAN VADAVUCODE"/>
        <s v="GK POWERTRONICS"/>
        <s v="ETHICS AGENCIES"/>
        <s v="JANATHA TRADERS"/>
        <s v="RAJU P.C VALAMBOOR"/>
        <s v="VINOD KIZHAKKAMBALAM"/>
        <s v="SHEREEF PATTIMATTOM"/>
        <s v="KICHU K RAVI"/>
        <s v="THAMPI KILIKULAM"/>
        <s v="BINOY JOSEPH"/>
        <s v="ROY PANCODE"/>
        <s v="SHAJI VALETHUPADY"/>
        <s v="SAJI VILLAGE CHENGARA"/>
        <s v="SOLAMAN , CHOORAKKODU"/>
        <s v="KABEER, PATTIMATTOM"/>
        <s v="ELDHO , PATTIMATTAM"/>
        <s v="RATHEESH VALAMBOOR"/>
        <s v="SATHAR ACE"/>
        <s v="RAVI M K"/>
        <s v="RAJEEVAN PATTIMATTOM"/>
        <s v="ABY"/>
        <s v="BINI PATTIMATTOM"/>
        <s v="YUSAF PALLIKKARA"/>
        <s v="ALAN PAUL"/>
        <s v="SUBRAMANIAN"/>
        <s v="MALABAR SPICES"/>
        <s v="EBRAHIM DOUBLEPALAM"/>
        <s v="SUBEESH PALAKUZHA"/>
        <s v="RIJU PAZHAMTHOTTAM"/>
        <s v="RAJENDRAN.P.K"/>
        <s v="AJI . P.D"/>
        <s v="BASIL KILIKULAM"/>
        <s v="KALESH, VALAMBOOR"/>
        <s v="PRABHU KUMMANODE"/>
        <s v="CHANDRAN , PANCODU"/>
        <s v="HYDROSE VALAMBOOR"/>
        <s v="FIBI"/>
        <s v="JOHNSON PATTIMATTOM"/>
        <s v="THOMSON KZHM"/>
        <s v="SUKUMARAN PULINCHODE"/>
        <s v="PBJ INDUSTRIES"/>
        <s v="SUNRISE BLOCKS &amp; PAVERS"/>
        <s v="SURENDRAN KUMMANODE"/>
        <s v="BIJU , PATTIMATTOM"/>
        <s v="SHIBIN THURUTHEPARAMBU"/>
        <s v="JINS PATTIMATTOM"/>
        <s v="RENJITH DAYARAPADY"/>
        <s v="ABU  , CHENGARA"/>
        <s v="ABY KOORACHI"/>
        <s v="VIJAYAN UNION"/>
        <s v="M S EQUIPMENTS"/>
        <s v="DOYD INTERIORS AND CONTRACTORS"/>
        <s v="REHIM BIKE"/>
        <s v="NISSAR , PASSENGER"/>
        <s v="GOVT.U P SCHOOL NORTH MAZHUVANNOOR"/>
        <s v="AKHIL KILIKULAM"/>
        <s v="ROSHID S PILLA"/>
        <s v="MURSHID DOUBLEPALAM"/>
        <s v="BINDHU G NAIR"/>
        <s v="BIJU MAZHUVANNOOR"/>
        <s v="JOHN PAREPEEDIKA"/>
        <s v="JOSE PATTIMATTOM"/>
        <s v="BASIL PAZHAMTHOTTAM"/>
        <s v="ALIYAR PAREMKUDY"/>
        <s v="DILEEP PATTIMATTOM"/>
        <s v="AJFAR PATTIMATTOM"/>
        <s v="SHEKEER PATTIMATTOM"/>
        <s v="AMAL MANGALATHUNADA"/>
        <s v="ELDHO UTHARA"/>
        <s v="KERAWA EVENTS"/>
        <s v="AFZAL , DOUBLEPALM"/>
        <s v="SONA PATTIMATTOM"/>
        <s v="ANOOP KUMMANODE"/>
        <s v="CHUNKS BAKERY"/>
        <s v="ELDHO KOKKAT, KUMMANODE"/>
        <s v="LIJU,THATTAMUGAL"/>
        <s v="SHIBU KALLUNGAL"/>
        <s v="BIJU ARACKKAPADY"/>
        <s v="JOBY DOUBLE PALM"/>
        <s v="AFZAL"/>
        <s v="M.P.RAJU"/>
        <s v="PRASAD KADAYIRUPPU"/>
        <s v="ATHUL KADAYIRUPPU"/>
        <s v="RAMESH VALAMBOOR"/>
        <s v="E TECH INDUSTRIES"/>
        <s v="EMIYA FAB"/>
        <s v="JITHIN PATTIMATTOM"/>
        <s v="SHUKOOR ARACKKAPADY"/>
        <s v="PAREETH DOUBLEPALM"/>
        <s v="DRONIMAGINATION"/>
        <s v="SANGEETHA PRASAD"/>
        <s v="DE THREE BUILDERS"/>
        <s v="DRONIMAGINATION PRIVATE LIMITED"/>
        <s v="SANTHOSH"/>
        <s v="VISHNU PATTIMATTOM"/>
        <s v="JOSE VADAKKAN"/>
        <s v="MOITHEEN DOUBLEPALAM"/>
        <s v="ELDHO ABRAHAM"/>
        <s v="SIVASAKTHI CABLE TV NET WORK"/>
        <s v="JIMMY KANIYAMKUDY"/>
        <s v="SHARON PATTIMATTOM"/>
        <s v="AJAYAN"/>
        <s v="LAKSHMI FOODS"/>
        <s v="ABBAS BISMI"/>
        <s v="RAJU EMBASSERY"/>
        <s v="KURUPPASAN , VALAMBOOR"/>
        <s v="SARATH PATTIMATTOM"/>
        <s v="BASIL VALAMBOOR"/>
        <s v="PLATINUM DEVELOPERS"/>
        <s v="APPU PULIKAYATH"/>
        <s v="MOHANAN MECHERY"/>
        <s v="SEBIN CHERIYAN"/>
        <s v="ROUBLE , KUMMANODE"/>
        <s v="MATHAI PERUMANI"/>
        <s v="SIJESH"/>
        <s v="PEBBLE OF TRADING"/>
        <s v="AMEERKHAN K P"/>
        <s v="BONY KURIAN"/>
        <s v="SHIHAB"/>
        <s v="SAJI , CHENGARA"/>
        <s v="VINOD EMBASSERY"/>
        <s v="BIJU MATHEW"/>
        <s v="MOOLANS PATTIMATTOM"/>
        <s v="KANNAN , SARARO"/>
        <s v="PERFUMES INDIA"/>
        <s v="THAMPI , PATTIMATTAM"/>
        <s v="NAJEEB DOUBLE PALAM"/>
        <s v="LAKSHMANAN EZHIPPURAM"/>
        <s v="M J JOY &amp; COMPANY"/>
        <s v="LENIN VALAMBORR"/>
        <s v="PRAMOJ NJARALLOOR"/>
        <s v="SIVAKUMAR KUMMANODE"/>
        <s v="BHASKARAN"/>
        <s v="AMEER , CHOORAKKODE"/>
        <s v="ST.GEORGE INDUSTRY"/>
        <s v="MUKUNDAN PATTIMATTOM"/>
        <s v="RENJITH NJARALLOOR"/>
        <s v="ILLIYAS MEPRATHUPADY"/>
        <s v="SATHAR , KUMMANODU"/>
        <s v="RENVOLT ENERGY SOLUTIONSPRIVATE LIMITED"/>
        <s v="SHIHAB, PATTIMATTOM"/>
        <s v="IMPERIAL EXTRACTS"/>
        <s v="LINTO KZM"/>
        <s v="KALHARAM PATTIMATTOM"/>
        <s v="RENJITH CHENGARA"/>
        <s v="SAJAN VALAMBOOR"/>
        <s v="RAMACHANDRAN VALAMBOOR"/>
        <s v="UNNIKRISHNAN THATTAMUGAL"/>
        <s v="SEBAS PRODUCTS"/>
        <s v="WALLMAX PAINTS PVT LTD"/>
        <s v="AABIM ENTERPRISES"/>
        <s v="ASHARAF THADAKKALA"/>
        <s v="AVARACHAN NJATTUMKALA"/>
        <s v="JOY VACHERY"/>
        <s v="VYSALI JEWELLERY"/>
        <s v="ALIYAR BISMI"/>
        <s v="ST.THOMAS JACOBITE SYRIAN CHURCH"/>
        <s v="AJIN VALAMBOOR"/>
        <s v="DARUL HUSNA ARABIC COLLEGE"/>
        <s v="ROYAL COLLECTIONS"/>
        <s v="YACOB , PATTIMATTOM"/>
        <s v="PAREETH TRUSS"/>
        <s v="SANOJ VALAMBOOR"/>
        <s v="SINESH.K"/>
        <s v="LINTO , KUMMANODU"/>
        <s v="JAYAKRISHNAN"/>
        <s v="AJI MATHAI"/>
        <s v="PAREETH K M P"/>
        <s v="BIJU MATHEW - 9947439674"/>
        <s v="BIJU TRUSS VALAMBOOR"/>
        <s v="MASJID AMAN CHELAKULAM"/>
        <s v="UNNIKRISHNAN VILANGU"/>
        <s v="ELDO PAPPARIL VARKEY"/>
        <s v="SIVAN MAZHUVANNOOR"/>
        <s v="ARUN DAS"/>
        <s v="Paul Peter"/>
        <s v="RAHANA AYYAPPENKUTTY"/>
        <s v="SIGIN"/>
        <s v="REJI MATHEW"/>
        <s v="ABIN ALINCHUVADU"/>
        <s v="SYAM PATTIMATTOM"/>
        <s v="PAZINO INFOTECH PVT.LTD"/>
        <s v="N S S KARAYOGAM VALMBOOR"/>
        <s v="PRADEEP PULICKAN"/>
        <s v="SAJEEVAN"/>
        <s v="JASSEL MANNAMKUZHY"/>
        <s v="BABU MAZHUVANNOOR"/>
        <s v="ARUN  MAZHUVANNOOR"/>
        <s v="PAZINO INFOTECH"/>
        <s v="MOHANAN KIZHAKKAMBALAM"/>
        <s v="JABBAR PATTIMATTOM"/>
        <s v="SHIJO ,AKKAMBARA"/>
        <s v="LIJU TRUSS"/>
        <s v="AJITH KAITHAKKADU"/>
        <s v="ABHILASH MAZHUVANNOOR"/>
        <s v="ANI CHOONDY"/>
        <s v="SANDEEP KUMMANODE"/>
        <s v="SATHEESH VENGACHUVATTIL"/>
        <s v="JAWAD"/>
        <s v="SUDHEESH KOLENCHERY"/>
        <s v="SABU S I"/>
        <s v="ESSA INNOVATIONS"/>
        <s v="ALTHAF THATTAMUGAL"/>
        <s v="NAVAS CHENGARA"/>
        <s v="RAMAKRISNAN VALAMBOOR"/>
        <s v="GOPALAKRISHNAN KADAYIRUPPU"/>
        <s v="NIBU RAMAKRISHNAN"/>
        <s v="SAJAD, KAMMATTOM"/>
        <s v="MURALI KADAYATHU"/>
        <s v="SIRAJ TRUSS ,  DOUBLEPALM"/>
        <s v="ANIL KILIKULAM"/>
        <s v="JITHU PATTIMATTOM"/>
        <s v="SELBIN AKKAMPARA"/>
        <s v="SURESH MEMBER"/>
        <s v="GEORGE PATTIMATTOM"/>
        <s v="SURESH KANINAD"/>
        <s v="ARUN , VALAMBOOR"/>
        <s v="ANTONY JOSEPH"/>
        <s v="CHANDRA CHOODAN"/>
        <s v="VARKEY , PAZHAMPILLY"/>
        <s v="BUILDWARE ZONE"/>
        <s v="KUNJUMON THEYYAMPURATH"/>
        <s v="JAMES GEORGE"/>
        <s v="KURIAKOSE SILVERSTEP"/>
        <s v="RANJU THOMAS"/>
        <s v="ANIL KOLENCHERY"/>
        <s v="ADARSH HOTEL THATTAMUGAL"/>
        <s v="SUDHEER TRUSS"/>
        <s v="GEETHA PATTIMATTOM"/>
        <s v="ASWIN THATTAMUGAL"/>
        <s v="MATHEW KURUMOLATH VARKEY"/>
        <s v="AJAMAL , CHOORAKKODU"/>
        <s v="NIRMAL PATTIMATTOM"/>
        <s v="UMMER COCHIN SALOON"/>
        <s v="ALAVU"/>
        <s v="UNIQUE ENTERPRISES"/>
        <s v="ABDUL LAIZ (BREEZ)"/>
        <s v="MOHANAN NJARALLOOR"/>
        <s v="RAMAKRISHNAN"/>
        <s v="RATHEESH MANGALATHUNADA"/>
        <s v="SM TECH ENGINEERING COMPANY"/>
        <s v="NIYAS APE"/>
        <s v="SHAMEER , KERALA BAKERY"/>
        <s v="THOMAS , ASPIRE VILLA"/>
        <s v="EBY PUNNACHALIL"/>
        <s v="Sunil Kumar"/>
        <s v="SIBU"/>
        <s v="J K ENGINEERING WORKS"/>
        <s v="SHINU"/>
        <s v="SUKUMARAN CHAYKOTH"/>
        <s v="JOSEPH CHACKO"/>
        <s v="ELDHO PAUL, AKKAMBARA"/>
        <s v="PAULOSE PARAYANCHERY"/>
        <s v="SUDHEER THANDAKALA"/>
        <s v="ANSAR , THANDAKKALA"/>
        <s v="ST.MARY'S CHURCH VALAMBOOR"/>
        <s v="LINO AKKAMBARA"/>
        <s v="BENZ KADAYIRUPPU"/>
        <s v="MOHANAKRISHNAN"/>
        <s v="UNNI MOONELIL CNTR"/>
        <s v="HARI PRASAD"/>
        <s v="COSE VARGHESE"/>
        <s v="MANI RUBBER PARK, IRAPURAM"/>
        <s v="MUHAMMED AJFER"/>
        <s v="SHIBU , MOONELIMUGAL"/>
        <s v="MADHU CNTR, PALLIKKARA"/>
        <s v="AYYANKAVU TEMPLE"/>
        <s v="LAL KADAYIRUPPU"/>
        <s v="VALLUVASSERY BUILDERS PVT. LTD"/>
        <s v="ANOOP"/>
        <s v="SOMAN PILLA"/>
        <s v="Siju"/>
        <s v="NANDHU"/>
        <s v="BINU KIZHAKKAMBALAM"/>
        <s v="KINGSEYE TECHNOLOGIES"/>
        <s v="V.K.ENGINEERING , PAZHAMTHOTTAM"/>
        <s v="CLASSIC INDUSTRIES"/>
        <s v="NAUSHAD PATTIMATTOM"/>
        <s v="NAZER CHELAKULAM"/>
        <s v="BASHEER (ROYAL BAKERY)"/>
        <s v="VIJEESH (RASHEED TRUSS)"/>
        <s v="PAULOSE MEPPURATH"/>
        <s v="SIDHIQUE , HITECH"/>
        <s v="BIJU.M.GEORGE"/>
        <s v="RAVI KEDHARAM"/>
        <s v="SREEKUMAR KILIKULAM"/>
        <s v="ANOOP CHENGRA"/>
        <s v="JACOB MAZHUVANNOOR"/>
        <s v="PRATHEESH"/>
        <s v="RAHUL JOSEPH"/>
        <s v="RASAK PATTIMATTOM"/>
        <s v="SIYAD PASSENGER"/>
        <s v="AJITH VIJAYAN"/>
        <s v="JOSE , KOTTAYIL"/>
        <s v="ELIYAS MANNOOR"/>
        <s v="JALAL PATTIMATTOM"/>
        <s v="REJI PPK"/>
        <s v="RAMACHANDRAN AIRAPURAM"/>
        <s v="SAM PATTIMATTOM"/>
        <s v="DAISY VARGHESE"/>
        <s v="RINSHAD PATTIMATTOM"/>
        <s v="SANTHOSH, CHENGARA"/>
        <s v="AJMAL , PATTIMATTAM"/>
        <s v="MUHAMMED EDASSERIKUDI"/>
        <s v="NISHAD"/>
        <s v="KUNJUMUHAMMAD THANDAKKALA"/>
        <s v="SHANKARA NARAYANAN"/>
        <s v="PRADEEP PATTIMATTOM"/>
        <s v="VIBIN CHENGARA"/>
        <s v="REJI VALAMBOOR"/>
        <s v="MOHANAN AREEKKAL"/>
        <s v="DAS ARACKAPPADY"/>
        <s v="ELDHO JOSEPH"/>
        <s v="PAULOSE K"/>
        <s v="ALIAS"/>
        <s v="ANIL , CHENGARA"/>
        <s v="ANJALI"/>
        <s v="SCARLET"/>
        <s v="THE LEGENDRY MOTORS"/>
        <s v="VINCENT VILLA"/>
        <s v="SUBIRE ARAKKAPADY"/>
        <s v="VIJAY VARGHESE"/>
        <s v="SUMITH PANCODE"/>
        <s v="MANOJ KILIKULM"/>
        <s v="SUMANRAJ, KUMMANODE"/>
        <s v="SUKUMARAN THOTTATHIKUDY"/>
        <s v="SUDHEER CITY"/>
        <s v="RAJAN , VALAMBOOR"/>
        <s v="ALI ANCHAMILEPALAM"/>
        <s v="CARE AND CARE ASSOCIATES AND BUILDERS"/>
        <s v="MUJEEB .O.M."/>
        <s v="KUTTY"/>
        <s v="ABDHUL KHADER PASSENGER"/>
        <s v="NAZEER PATTIMATTOM"/>
        <s v="ALEXANDER A V"/>
        <s v="MUTHU KOTHELY"/>
        <s v="MADHU VALAMBOOR"/>
        <s v="BIJU PANGODE"/>
        <s v="MALAYIDUMTHURUTHU PRATHYASHA BHAVAN"/>
        <s v="PRINCE VARGHESE"/>
        <s v="MADATHIKUDY PATHROSE JACOB"/>
        <s v="SULAIMAN CNTR"/>
        <s v="SREELAL PALLIKKARA"/>
        <s v="BINI INNOVATION DOUBLEPALAM"/>
        <s v="SAIJU PALLIKKARA"/>
        <s v="GEORGE PAZHAMPILLY"/>
        <s v="MADHUSUDHANAN"/>
        <s v="SAKKEER APE (VIJAYAN)"/>
        <s v="DREEM DECOR COCHIN"/>
        <s v="WVA CONSULTING ENGINEERIS PVT LTD"/>
        <s v="PRINCE STEEL FABRICATION"/>
        <s v="KRISHNADAS"/>
        <s v="JASEETHA PATTIMATTOM"/>
        <s v="VIJESH T V"/>
        <s v="CHAVARAMKUZHY BHAGAWATHI TEMPLE"/>
        <s v="MANOJ M THOMAS"/>
        <s v="AZIZ PATTIMATTOM"/>
        <s v="P V GEORGE"/>
        <s v="UMMER CHENGARA"/>
        <s v="GEORGE NJATTUMKALA"/>
        <s v="RIYAS, PATTIMATTOM"/>
        <s v="NEETHU GANGADHARAN"/>
        <s v="RAMESH E.S"/>
        <s v="SUNNY MANGALATHUNADA"/>
        <s v="REJI (9526267826) TRUSS"/>
        <s v="THULASIDAS"/>
        <s v="ANAS , ANJAMILEPALAM"/>
        <s v="SLEEBA PAREPPEDIKA"/>
        <s v="AJAYGHOSH V A"/>
        <s v="OMEGA ADVERTISING  &amp; SALES PROMOTION"/>
        <s v="RAPHEL PATTIMATTOM"/>
        <s v="AKBAR CHENGARA"/>
        <s v="CHRISTY KUMMANODE"/>
        <s v="THAMPI , VALAMBOOR"/>
        <s v="SREEDEVI CHEENIKUZHY"/>
        <s v="MURALI (GAYATHRI)"/>
        <s v="KALLU BHAI CNTR"/>
        <s v="PALLAKKU ARTS"/>
        <s v="ARSHAD VALAMBOOR"/>
        <s v="ASWATHY"/>
        <s v="JOHNY PERUMANI"/>
        <s v="MAKKAR.M.P"/>
        <s v="LIJI , VALAMBOOR"/>
        <s v="OH MY CAKE"/>
        <s v="SANTU NJARALLOOR"/>
        <s v="BABU NJARALLOOR"/>
        <s v="SHAJIL ALLAPPARA"/>
        <s v="MANOJ KADAYIRUPPU"/>
        <s v="MILLY JACOB"/>
        <s v="MINI NJARALLOOR"/>
        <s v="ELDHO VARIAMPURAM"/>
        <s v="ELDHO VALAMBOOR"/>
        <s v="Mathai Passenger"/>
        <s v="VINSON KURIAN"/>
        <s v="JOY TRUSS"/>
        <s v="ST. GEORGE JACOBITE CHURCH"/>
        <s v="LEELA PATHROSE"/>
        <s v="MELETH POULOSE JOLLY"/>
        <s v="RB ACE"/>
        <s v="ELDHO VALMBOOR"/>
        <s v="ANIL PATTIMATTOM"/>
        <s v="ARUN KUMAR , KILIKULAM"/>
        <s v="SURESH BABU"/>
        <s v="SURENDRAN K C"/>
        <s v="BAIJU C PAUL"/>
        <s v="SELVARAJ"/>
        <s v="ALI TRUSS"/>
        <s v="DOCTORS CHOICE HEALTHY COCONUT OIL"/>
        <s v="TITTU KANINAD"/>
        <s v="VINU KIZHAKKAMBALAM"/>
        <s v="SHAJI , VALAMBOOR"/>
        <s v="REJI PANCODE"/>
        <s v="JOLLY ABRAHAM (QULITY PULINCHODE)"/>
        <s v="CHANDRALAL VALAMBOOR"/>
        <s v="GEORGE KIZHAKKAMBALAM"/>
        <s v="ST.MARYS ORTHODOX CHURCH"/>
        <s v="BINU SARARO"/>
        <s v="JAIMON"/>
        <s v="MOHANAN PATTIMATTOM"/>
        <s v="MECHERIYIL CONSTRUCTIONS"/>
        <s v="ARUN KUMMANODE"/>
        <s v="SURAJ KADAYATH"/>
        <s v="AJEESH KUNNAKKAL"/>
        <s v="KUTTAI NAVAS PATTIMATTOM"/>
        <s v="JOMET MAZHUVANNOOR"/>
        <s v="SASINDRAN NERIYAMPARAMBATH"/>
        <s v="KANNAN"/>
        <s v="ATHUL BIJU PATTIMATTOM"/>
        <s v="KANNAPPAN"/>
        <s v="RAMAKRISHNAN KUMMANODE"/>
        <s v="SHAJI NJATTUMKALAYIL"/>
        <s v="RAHUL PATTIMATTOM"/>
        <s v="PAUL CHACHAN"/>
        <s v="BINI INNOVATIONS"/>
        <s v="KAREEM PATTIMATTOM"/>
        <s v="BALI , ALAPPUZHA"/>
        <s v="DILEEP VALAMBOOR"/>
        <s v="SABU PULINCHODE"/>
        <s v="DASAN KOLANKUDY"/>
        <s v="RAJAN , DEYARAPADY"/>
        <s v="BABY KUNNATHUKUDY"/>
        <s v="ST. MARYS CHRISTIAN ASSOCIATION"/>
        <s v="MANU VARGHESE"/>
        <s v="JINS,KAITHAKAD"/>
        <s v="GEORGE , THADIYAN"/>
        <s v="KAREEM KAVUNGAPARAMBU"/>
        <s v="AMAL PANCODE"/>
        <s v="MANOJ PATTIMATTOM"/>
        <s v="SANDEEP NJARALLOOR"/>
        <s v="VARGHESE MANGALATHUNADA"/>
        <s v="SAJI PULINCHODE"/>
        <s v="SHIJU"/>
        <s v="ROBIN RAVI"/>
        <s v="APPU MECHERY"/>
        <s v="KURIAKOSE POTTAKKAN"/>
        <s v="POTTAKKAN KRUZE"/>
        <s v="RAHUL ARACKAPADY"/>
        <s v="WILSON , THEYYAMPURAM"/>
        <s v="SHAJAS MANAKKAPADY"/>
        <s v="PRAJESH MANNOOR"/>
        <s v="SUJITH CHENGARA"/>
        <s v="RAJESH KADAYIRUPPU"/>
        <s v="RAJAN NJARALLOOR"/>
        <s v="ABY THOMAS"/>
        <s v="ANSAR ONAKKARA"/>
        <s v="HASHIM"/>
        <s v="SAMON K A"/>
        <s v="MANOJ POYYAKUNNAM"/>
        <s v="AYYAPPAN"/>
        <s v="SURESH EDATHIKKARA"/>
        <s v="DILEEP AIRAPURAM"/>
        <s v="ROYAL ENGINEERING WORKS"/>
        <s v="LEELA, K.KUMMANODE"/>
        <s v="KESAVAN , KOLANKUDY"/>
        <s v="PAILY  VALAMBOOR"/>
        <s v="VELAYUDHAN VEMPILLY"/>
        <s v="SKARIYA PULINCHODE"/>
        <s v="FUTORE.NXT SYSTEMS LLP"/>
        <s v="SARATH CHENGARA"/>
        <s v="SHIYAS KUMMANODE"/>
        <s v="SANOOP MAZHUVANNOOR"/>
        <s v="DILEEP PANCODE"/>
        <s v="SHYJU , PATTIMATTAM"/>
        <s v="VISHNU DOUBLEPALAM"/>
        <s v="MUHAMMED M.A"/>
        <s v="KUTTAI PALLIKKARA"/>
        <s v="VINOD , CHENGARA"/>
        <s v="UNNIKRISHNAN  KARTHA T K"/>
        <s v="ABBAS CHELAKULAM"/>
        <s v="BONY DANIEL"/>
        <s v="SHAJI IRAPURAM"/>
        <s v="ROBIN"/>
        <s v="BASHEER PADAKKAM"/>
        <s v="AJAS PATTIMATTOM"/>
        <s v="N J CONSTRUCTION"/>
        <s v="MIDHUN MANGALATHUNADA"/>
        <s v="ARUN PATTIMATTOM"/>
        <s v="SANEESH KADAYIRUPPU"/>
        <s v="GEORGE , MECHENGARA"/>
        <s v="JINEESH KUMMANODE"/>
        <s v="JINU CHELAKULAM"/>
        <s v="ABU APE"/>
        <s v="RATHEESH VEMBILLY"/>
        <s v="BAIJU TRUSS PANCODE"/>
        <s v="SULAIMAN ,MANAKKAPADY"/>
        <s v="SHINU HANDRAIL (ROYALENGINEERING)"/>
        <s v="SANEESH TRUSS OORAMANA"/>
        <s v="MARY KUMMANODE"/>
        <s v="DR.BABY PAZHAMPILLY"/>
        <s v="BINDU MANI"/>
        <s v="MOHANAN , PULINCHUVADU"/>
        <s v="ALIAS C.I"/>
        <s v="BABU TRUSS"/>
        <s v="ABHILASH, PATTIMATTOM"/>
        <s v="ANURAJ"/>
        <s v="VIVEK"/>
        <s v="ARUN AIRAPURAM"/>
        <s v="RENJITH KILIKULAM"/>
        <s v="AAYISHA POLYMERS"/>
        <s v="NAVAS KUZHIPPILLY"/>
        <s v="JOY VALAMBOOR"/>
        <s v="VARGHESE KUTTY"/>
        <s v="MANI KADAYIRUPPU"/>
        <s v="RASHEED CHELAKULAM"/>
        <s v="VINU PATTIMATTOM"/>
        <s v="PATTIMATTOM KUCS LTD"/>
        <s v="AFSAL K M"/>
        <s v="NARAYANAN GOPI.V"/>
        <s v="KRISHNAN CNTR"/>
        <s v="BINU PERUMANI"/>
        <s v="AKHIL PUNNORKODE"/>
        <s v="GOPALAKRISHNAN MAZHUVANNOOR"/>
        <s v="MAJEED CHELAKULAM"/>
        <s v="VINAYAN"/>
        <s v="ELDHO NJARALLOOR"/>
        <s v="NAUFAL KUMMANODE"/>
        <s v="BENNY 9847361933"/>
        <s v="JBS RICE MILL"/>
        <s v="SASI VALAMBOOR"/>
        <s v="MANOJ , THATTAMUKAL"/>
        <s v="VASU KADAKKANAD"/>
        <s v="SHEMEER CHELAKUALM"/>
        <s v="BINU PULINCHODE"/>
        <s v="SURESHKUMAR"/>
        <s v="ANSARI KUMMANODE"/>
        <s v="ANEESH KUNNAKKAL"/>
        <s v="SULAIMAN PASSENGER"/>
        <s v="VINU , CHENGARA"/>
        <s v="SHAMEER MORAKKALA"/>
        <s v="EBY PUTHENPURAKKAL"/>
        <s v="SANDEEP DOUBLEPALAM"/>
        <s v="SAKKEER APE NEW AUTO"/>
        <s v="BASHEER DOUBLEPALAM"/>
        <s v="AJI MORIA"/>
        <s v="SHAFI , ATHANI"/>
        <s v="MAITHEEN TRUSS"/>
        <s v="ASHOKAN PAINTER"/>
        <s v="ABHIJITH PUNNOORKODE"/>
        <s v="BINU THOMAS"/>
        <s v="MAKKAR ACE PATTIMATTOM"/>
        <s v="NISHAD PATTIMATTOM"/>
        <s v="MATTAKKATTIL FUELS"/>
        <s v="BABU , PATTIMATTOM"/>
        <s v="SAMAD PATTIMATTOM"/>
        <s v="AJEESH KADAYIRYPPU"/>
        <s v="AZIZ APE"/>
        <s v="RATHEESH RAMAKRISHNAN"/>
        <s v="JINTO , VALAMBOOR"/>
        <s v="ISMAIL CNTR"/>
        <s v="CHANDRAN TRUSS"/>
        <s v="ELDHOSE , MANGALATHUNADA"/>
        <s v="NELSON MATHEW"/>
        <s v="JIBU K.P"/>
        <s v="ALIAS MATHAI"/>
        <s v="JOMON , KUMMANODU"/>
        <s v="PRANAVAM HOTELS"/>
        <s v="SASIDHARAN.P.G"/>
        <s v="MANOJ"/>
        <s v="MANU DRIVER KUMMANODE"/>
        <s v="KURIAKOSE PAREPEEDIKA"/>
        <s v="AMBUJAN"/>
        <s v="SABU"/>
        <s v="RAMAKRISHNAN EDATHIKKARA"/>
        <s v="SINI BINU"/>
        <s v="LALU PATTIMATTOM"/>
        <s v="O.K MEETHEEN KUNJU"/>
        <s v="SALIM MANNOOPARAMBIL"/>
        <s v="ARADHANA ,CHOORAKODE"/>
        <s v="RAVI PATTIMATTOM"/>
        <s v="VIBIN NJARALLOOR"/>
        <s v="BABU KADAYIRUPPU"/>
        <s v="PRAKASH CHENGARA"/>
        <s v="SUN POWER SYSTEM"/>
        <s v="BENNY JOSEPH (BROOK SIDE)"/>
        <s v="SUNIL , ERAPPUMPARA"/>
        <s v="FAIZAL"/>
        <s v="SURESH THEROPARAMBIL"/>
        <s v="BENNY PULINCHODE"/>
        <s v="AJESH PAREKKATTIL"/>
        <s v="RAVINDRAN THATTAMUGAL"/>
        <s v="MADHU NJARALLOOR"/>
        <s v="JOY NJATTUMKALA , VALAMBOOR"/>
        <s v="BIJO ,KURIAN"/>
        <s v="BIJU BAKERY"/>
        <s v="V &amp; V ENTERPRISES"/>
        <s v="ELDHOSE AIRAPURAM"/>
        <s v="ANWAR SCARP"/>
        <s v="NAUSHAD DOUBLEPALAM"/>
        <s v="ELDHO THATTAMUGAL"/>
        <s v="FRANCIS DAYARAPADY"/>
        <s v="RATHEESH ERAPPUMPARA"/>
        <s v="MAHESH VALAMBOOR"/>
        <s v="SARAVANAN"/>
        <s v="JAYAN KAITHAKKAD"/>
        <s v="ANIL KUMAR"/>
        <s v="ASHIF - 9562979002"/>
        <s v="SREENIVASAN DOUBLEPALAM"/>
        <s v="GLAZE INTERIO"/>
        <s v="AJMAL.P.P"/>
        <s v="AGUL MAZHUVANOOR"/>
        <s v="HOTEL VRINDHAVAN"/>
        <s v="PAREETH"/>
        <s v="BALU CHELAKUALM"/>
        <s v="SATHYAN , PAZHAMTHOTTAM"/>
        <s v="YUNGSTERS"/>
        <s v="JOSE VILANGU"/>
        <s v="SREEJITH KOCHIKKA"/>
        <s v="RAJESH KUMMANODE"/>
        <s v="SIVAN APE"/>
        <s v="RADHIKA KUMMANODE"/>
        <s v="KAITHAKKADU JUMA MAZJID"/>
        <s v="SUDEEP PATTIMATTOM"/>
        <s v="ANANDU , MAZHUVANNOOR"/>
        <s v="THOUFEEQUE KUZHIPPILLY"/>
        <s v="BABU DOUBLEPALAM"/>
        <s v="DILEEP , KILIKULAM"/>
        <s v="M K CHACKO"/>
        <s v="PREMJI THATTAMUGAL"/>
        <s v="JOBY JOHNY"/>
        <s v="ALI THANDAKALA"/>
        <s v="DHANEESH PATTIMATTOM"/>
        <s v="JENOVA SOLAR HYBRID UPS SYSTEMS"/>
        <s v="SHAJI PARAKKAL"/>
        <s v="SIVAN"/>
        <s v="RENEESH KUMMANODE"/>
        <s v="YUSAF , VALAMBOOR"/>
        <s v="RENJITH ARACKKAPADY"/>
        <s v="DR.SREENATH"/>
        <s v="KHADER PASSENGER"/>
        <s v="ROBIN GEORGE ATHANI"/>
        <s v="SUSEELAN KOLENCHERY"/>
        <s v="UMA SANKAR"/>
        <s v="SOMARAJAN"/>
        <s v="J K ANNA NATURAL RUBBERS"/>
        <s v="REGHU KUMMANODE"/>
        <s v="SAKEER PATTIMATTOM"/>
        <s v="SHINOJ VALAMBOOR"/>
        <s v="BENNY KSEB"/>
        <s v="AJITH K T"/>
        <s v="RAFEEK TRUSS"/>
        <s v="ABDUL KHADAR"/>
        <s v="HABITATE HARMONIE VENTURES"/>
        <s v="SIYAR PANAYAPPILLY"/>
        <s v="ANIL KUMAR IRAPURAM"/>
        <s v="BANANSO IRAPURAM"/>
        <s v="ECO POWER SOLUTIONS"/>
        <s v="BIBIN VALAMBOOR"/>
        <s v="VARGHESE PANCODE"/>
        <s v="P V PAILY"/>
        <s v="ARTEC INDUSTRIES"/>
        <s v="GOVT UP SCHOOL KUNNAKURUDY"/>
        <s v="BABU , PALLIKKARA"/>
        <s v="PAULOSE PAZHAMTHOTTAM"/>
        <s v="RAJESH , PATTIMATTAM"/>
        <s v="BETA SOLAR SYSTEMS"/>
        <s v="SHIBU CREATIVE"/>
        <s v="JOY , THATTAMUGAL"/>
        <s v="SIDHQUE BISMI"/>
        <s v="ASHRAF BAKERY"/>
        <s v="SAJEEV KILIKULAM"/>
        <s v="ANIL ASHARIKUDY"/>
        <s v="FAIZAL KUMMANODE"/>
        <s v="SREENI PATTIMATTOM"/>
        <s v="MOHANAN MAZHUVANNOOR"/>
        <s v="ELDHO ALIAS"/>
        <s v="SAVADH KAITHAKKAD"/>
        <s v="SIYAD , DAUBLEPALAM"/>
        <s v="SUKUMARAN KILIKUALM"/>
        <s v="MATHAI PULINCHODE"/>
        <s v="ANJU ANTONY"/>
        <s v="ANTONY KILIKULAM"/>
        <s v="BINU KURIAN"/>
        <s v="SAJU KATTIKUDIYIL"/>
        <s v="VINCY TOMY"/>
        <s v="NEENA VINOD"/>
        <s v="HOME TECH TRADERS"/>
        <s v="S K TOOLS"/>
        <s v="NEELAMBARAN"/>
        <s v="CHANDRA MOHAN VALAMBOOR"/>
        <s v="SUKUMARAN VALAMBOOR"/>
        <s v="FRAMEZ ARCHITECTURAL CONSTRUCTIONS"/>
        <s v="INDWARE HARDWARE STEEL"/>
        <s v="DARSHAN"/>
        <s v="RENJITH TRUSS"/>
        <s v="BABU PULINCHODE"/>
        <s v="NISHAD PLAPPILLY HOME"/>
        <s v="SONY VALAMBOOR"/>
        <s v="RAJEEV KOLANKUDY"/>
        <s v="RAYAN ENGINEERING"/>
        <s v="TIJO KANINAD"/>
        <s v="KUNNATHUNADU SERVICE CO-OPERATIVE BANK"/>
        <s v="ASHTAMI PRINTERS"/>
        <s v="TONY ERAPUMPPARA"/>
        <s v="JUSTIN"/>
        <s v="SHEJIL M JACOB"/>
        <s v="AJAYAN A"/>
        <s v="GEORGE"/>
        <s v="CHOLLAPPILLY SPICES"/>
        <s v="SAJI THATTAMUGAL"/>
        <s v="NISAR SI"/>
        <s v="SONA KURIAKOSE"/>
        <s v="PAVITHRAN KOTTAMALA"/>
        <s v="ANSAR CHELAKULAM"/>
        <s v="PRINCE VEMBILLY"/>
        <s v="N-FAB"/>
        <s v="JAYABHARATH LIBRARY"/>
        <s v="ELJO PAUL"/>
        <s v="GURU PRASAD"/>
        <s v="HARI ATHANI"/>
        <s v="RAPHEL, THATTAMUGAL"/>
        <s v="SATHEESH KUMAR"/>
        <s v="ABU WORKSHOP"/>
        <s v="TONY PATTIMATTOM"/>
        <s v="ASHLIN MAZHAUVANNOOR"/>
        <s v="TJN CONCTRUCTIONS"/>
        <s v="SHYJU KURIAKOSE"/>
        <s v="SAJU MYLATTUMOLAYIL"/>
        <s v="ROOPESH PASSENGER"/>
        <s v="BIJU DAIVASAHAYAM ACE"/>
        <s v="RAKESH KAITHAKKAD"/>
        <s v="SATHEESH, AMEYA BHAVAN"/>
        <s v="ABOOBEKKER"/>
        <s v="GOPI.K.N"/>
        <s v="BIJU MARIYIL PASSENGER"/>
        <s v="SAJI THANKAPPAN ,VALAMBOOR"/>
        <s v="SAMAD PERINGALA"/>
        <s v="RIA ENTERPRISES"/>
        <s v="ABBAS TRUSS"/>
        <s v="GEORGE VALAYIL"/>
        <s v="JEBY THATTAMUGAL"/>
        <s v="ST.THOMAS CHAPPEL"/>
        <s v="ALI PATTIMATTOM"/>
        <s v="SATHEESH CHEENIKUZY"/>
        <s v="AZEES CHELAKKULAM"/>
        <s v="BABU , SAITHALY"/>
        <s v="JINTO AKKAMPARA"/>
        <s v="SUNNEX"/>
        <s v="ARUN NV"/>
        <s v="DILLY FURNITURE MART VALAMBOOR"/>
        <s v="ROY VALAMBOOR"/>
        <s v="Biju , Thattamukal"/>
        <s v="ABY MANGALATHUNADA"/>
        <s v="PRADEEP, CHENAGARA"/>
        <s v="KHADAR THANDAKKALA"/>
        <s v="SUNIL DOUBLEPALAM"/>
        <s v="ATHUL M S"/>
        <s v="MASTERFIX ENGINEERING SOLUTIONS"/>
        <s v="RENJITH DYFI"/>
        <s v="GOPI.V.K"/>
        <s v="NAVEEN PAULOSE"/>
        <s v="EBIN KURIAN"/>
        <s v="PRAJIN PATTIMATTOM"/>
        <s v="ANU V NAIR"/>
        <s v="VINEETH"/>
        <s v="SHIBU PATTIMATTOM"/>
        <s v="SAJAN GEORGE"/>
        <s v="ANU DAS"/>
        <s v="MATHAI MECHANGARA"/>
        <s v="RAJU"/>
        <s v="SURENDRAN CHOLLAPPILLY"/>
        <s v="ALBIN TEXAS VILLAS"/>
        <s v="ELDHO ABRAHAM ARACKKAPADY"/>
        <s v="CHAKKAPPAN"/>
        <s v="REMESH EXCECUTIVE"/>
        <s v="BABY , MELETH"/>
        <s v="YADU DAMODARAN NAMBOORI"/>
        <s v="A.K. ABDUL SALAM, CONTRACTOR"/>
        <s v="RAJESH NAIR CHENGARA"/>
        <s v="SLOMO VARGHESE"/>
        <s v="REJI MANJANAD"/>
        <s v="STEPHEN VARGHESE"/>
        <s v="AJ SOLID BRICKS"/>
        <s v="JOE ANTONY"/>
        <s v="ST THOMAS EVANGALICAL CHURCH"/>
        <s v="ELDHO KANDANALY"/>
        <s v="ABU KUMMANODE"/>
        <s v="ANISH ARACKKAPADY"/>
        <s v="SABU VALAMBOOR"/>
        <s v="ROY THATTARA"/>
        <s v="S J STEEL FURNITURE"/>
        <s v="SREEJITH , VALAMBOOR"/>
        <s v="VINEETH.V"/>
        <s v="BASHEER KALAPPURACKAL"/>
        <s v="SREEJITH MAZHUVANNOOR"/>
        <s v="SREEKAUSTHUBHAM TEMPLE ARCHITECTURE &amp; SCULPTURER"/>
        <s v="BIJU JOHN"/>
        <s v="ANANDHU PATTIMATTOM"/>
        <s v="SIJU PETER"/>
        <s v="SIVAN MANGALATHUNADA"/>
        <s v="THOMAS AKKABARA"/>
        <s v="SREEKUMAR VALETHUPADY"/>
        <s v="SAJI VARGHESE , CHENGARAKUDIYIL"/>
        <s v="ASWIN DEV"/>
        <s v="ELDHOSE VALAMBOOR"/>
        <s v="SAJU PAPPALIL"/>
        <s v="SREEKUMAR , PANCODU"/>
        <s v="RAMAN TRUSS"/>
        <s v="JINESH , VALAMBOOR"/>
        <s v="RAJESH, CHENGARA"/>
        <s v="MAJEED"/>
        <s v="BAVA MANNACHERRY"/>
        <s v="PAPPACHAN , KUZHIKKADU"/>
        <s v="SREEJITH C"/>
        <s v="ANOOP CHINUS"/>
        <s v="ARUN HARIDAS"/>
        <s v="JOSHY AIRAPURAM"/>
        <s v="SHANAVAS KIZHAKAMURI"/>
        <s v="NAZER , THAILAN"/>
        <s v="IDEAL CONSTRUCTION"/>
        <s v="KAREEM ACE"/>
        <s v="VISHNU VENNIPARAMBIL"/>
        <s v="EBIN PULINCHODE"/>
        <s v="SAJU KOCHAKKAN"/>
        <s v="ANIL TRUSS  MANGALATHUNADA"/>
        <s v="SUJI TRUSS"/>
        <s v="SAJEEVAN (SIVASAKTHI)"/>
        <s v="BABY , PATTIMATTOM"/>
        <s v="BIJU MECHANIC"/>
        <s v="SUNIL EZIPURAM"/>
        <s v="JOBY BABY"/>
        <s v="JOSEPH MYLATTUMOLAYIL"/>
        <s v="SIBI ALIAS"/>
        <s v="RAJAN K K"/>
        <s v="SHYJU VALAMBOOR"/>
        <s v="N &amp; S CONSTRUCTIONS"/>
        <s v="ABY KUMMANODE"/>
        <s v="Aji , Pottakkan"/>
        <s v="SUNNY , VALAMBOOR CRUIZE"/>
        <s v="MAZ ENGINEERING"/>
        <s v="BEERAN , THANDAKKALA"/>
        <s v="AFSAL APE"/>
        <s v="VARGHESE CHOORAKKODU"/>
        <s v="AJAYAN VALAMBOOR"/>
        <s v="VARKEY KUNNATHUKUDY"/>
        <s v="VISWAMBARAN , DAUBLEPALAM"/>
        <s v="VARGHESE PAUL"/>
        <s v="SAJU , THENGANAL"/>
        <s v="BIJU , 9947703676"/>
        <s v="JIJO MATHEW"/>
        <s v="JOBIN KOLAMKUDY"/>
        <s v="ARUN C THATTAMUGAL"/>
        <s v="SHAJI KANICHERY"/>
        <s v="ANANDHU CHELAKULAM"/>
        <s v="GEORGE , VATTAPPARA"/>
        <s v="SHYJU KOLAMKUDY"/>
        <s v="ELDHO GEORGE"/>
        <s v="SANAL KOLANKUDY"/>
        <s v="BALACHANDRAN ANISSERIMARIYIL"/>
        <s v="ST.GEORGE SIMHASANA CHAPPEL"/>
        <s v="VIJAYAN ERAPPUMPARA"/>
        <s v="BAVASONS ENTERPRISES"/>
        <s v="ROBIN KIZHAKKAMBALAM"/>
        <s v="VIJAYAN,  AIRAPURAM"/>
        <s v="PRAMODH"/>
        <s v="ADS N ART"/>
        <s v="JOY NJARALLOOR"/>
        <s v="SANAL , VALAMBOOR"/>
        <s v="SALIM UNIVERSAL"/>
        <s v="JITHU"/>
        <s v="BABU , VALETH"/>
        <s v="SRS ELECTRICALS"/>
        <s v="SHAMEER C.P"/>
        <s v="NAUSHAD EARVADY APE"/>
        <s v="VETTIKKAL TEMPLE"/>
        <s v="SAJU PARAYIL"/>
        <s v="SIVADAS KUMMANODE"/>
        <s v="SIJU CHOORAKKODE"/>
        <s v="ZAYED DEVELOPERS"/>
        <s v="GEORGE KEERANKUZHY"/>
        <s v="JAYAN TRUSS, PAZHAMTHOTTAM"/>
        <s v="SAJAN PAUL"/>
        <s v="JOBY NJARALLOOR"/>
        <s v="UNNIKRISHNAN"/>
        <s v="AJITH VALETHUPADY"/>
        <s v="SAJU , VALAMBOOR"/>
        <s v="NAUFAL ARAKKAPADY"/>
        <s v="TITUS KURIAKOSE"/>
        <s v="AVARACHAN KANJIRAVELIL"/>
        <s v="AJU VALAMBOOR"/>
        <s v="AYISHA CONSTRUCTIONS"/>
        <s v="AJESH PAZHAMPILLY"/>
        <s v="ANWAR PATTIMATTOM"/>
        <s v="AJIL PATTIMATTOM"/>
        <s v="AJI MANAKALMARY"/>
        <s v="BOLDTECH INTERIORS &amp; DEVELOPERS LLP"/>
        <s v="BROOKESIDE CLUB"/>
        <s v="VISWAN CHENGRA"/>
        <s v="JINESH KUMMANODE"/>
        <s v="VAIGA ENGINEERING"/>
        <s v="THOMAS T M"/>
        <s v="BIBIN GEORGE"/>
        <s v="BINU VALAMBOOR"/>
        <s v="PAREETH KEEPETH"/>
        <s v="KADMUR SOLUTIONS PRIVATE LIMITED"/>
        <s v="SOLARGATE"/>
        <s v="BAVA  THOTTUNGAL"/>
        <s v="ABDULKHADER KOTTALIKUDY"/>
        <s v="ALI.K.P"/>
        <s v="RAJI , PATHAMILE"/>
        <s v="ELDHO MATHAI , ERAPPUMPARA"/>
        <s v="ANEESH P PAULOSE"/>
        <s v="PRABHU CHENGARA"/>
        <s v="JOHNSON ERAPPUMPARA"/>
        <s v="SETHU"/>
        <s v="NIHAS .E.M"/>
        <s v="VISHNU NJARALLOOR"/>
        <s v="VIJAYAN PATTIMATTOM"/>
        <s v="SURESH MAZVANOOR"/>
        <s v="NAVAS K M"/>
        <s v="JAWA SOLAR LLP_x000d__x000a__x000d__x000a_"/>
        <s v="HEAVEN PAPER PRODUCTS"/>
        <s v="SAJI EZHIPURAM"/>
        <s v="TAHIR , KUMMANODU"/>
        <s v="VISHNU MAZHUVANNOOR"/>
        <s v="SHAJAN KANINAD"/>
        <s v="SAJI , MORAKKALA"/>
        <s v="AJI , N.V"/>
        <s v="AJIKUMR VALAMBOOR"/>
        <s v="AJAS K A"/>
        <s v="R.SAJIKUMAR"/>
        <s v="BREAKTHROUGH ENGINEERING"/>
        <s v="BENNY POKKATTILL"/>
        <s v="GOPI MAZHUVANNOOR"/>
        <s v="SANDEEP PANAKKAL"/>
        <s v="SANTHOSH MAZHUVANOOR"/>
        <s v="KEMI VENEERS"/>
        <s v="ELDHO ISSAC PONNIYIL"/>
        <s v="KHADER ATHANI"/>
        <s v="ELDHO MANGALATHUNADA"/>
        <s v="PAPPU  PATTIMATTOM"/>
        <s v="KAILASAN PARAKKAL"/>
        <s v="BINIL MANGALATHNADA"/>
        <s v="SUNIL KILIKULAM"/>
        <s v="CHOTTU BHAI"/>
        <s v="REHMAN , PATTIMATTAM"/>
        <s v="NAJEEB O.M"/>
        <s v="DREAM STONE BUILDERS"/>
        <s v="ABU PAINTER"/>
        <s v="SANAL KUMMANODE"/>
        <s v="DEEPU KUMMANODE"/>
        <s v="PRADEEP MORAKKALA"/>
        <s v="PAUL ALIAS"/>
        <s v="ABDULKHADER THANDAKALA"/>
        <s v="RAJESH RB GAS"/>
        <s v="ABBAS RATION KADA ATHANI"/>
        <s v="SAMAD ACE , KUZHIPPILLY"/>
        <s v="REJI P MATHAI"/>
        <s v="ALEN KUMMANODE"/>
        <s v="BABY OTHARA"/>
        <s v="GOKUL CHELAKULAM"/>
        <s v="E.C SOLUTIONS TVM"/>
        <s v="SNOWLAND COOLCONCEPTS AND INSULATIONS (P) LTD"/>
        <s v="RATHEESH KILIKULAM"/>
        <s v="RAMACHANDRAN  M G"/>
        <s v="JOHN STAGE , KOLENCHERY"/>
        <s v="TRISSUR SAND &amp;GRAVEL (P) LTD."/>
        <s v="SUBHADRA"/>
        <s v="NIRAPPEL CONSTRUCTIONS"/>
        <s v="SATHEESAN , CHOORAKKODU"/>
        <s v="BABY NJARALLOOR"/>
        <s v="MERIN ANN PAUL"/>
        <s v="LENIN KILIKULAM"/>
        <s v="SABEENA PATTIMATTOM"/>
        <s v="ELDHOSE KANDANALI"/>
        <s v="RADHAKRISHNAN.K"/>
        <s v="VIJAYAN KAYYANIKKAL"/>
        <s v="NISHAD MANGALATHUNADA"/>
        <s v="SB ENGINEERING WORKS"/>
        <s v="GULF ENGINEERING CONTRACTORS"/>
        <s v="S AND S ENGINEERING WORKS"/>
        <s v="ADITHYA KRISHNA"/>
        <s v="DEEPU MANGALATHUNADA"/>
        <s v="THANKACHAN KANJIRAKKADAN"/>
        <s v="ROYAL GEORGE KILIKULAM"/>
        <s v="BIJU S R"/>
        <s v="REJI , CHENGARA"/>
        <s v="SUNNY , PAZHAMTHOTTAM"/>
        <s v="SUKU KILIKULAM"/>
        <s v="ALIYAR"/>
        <s v="ANEESH KIZHAKKAMBALAM"/>
        <s v="VIMAL MANAKKAPADY"/>
        <s v="MERLY JOSEPH"/>
        <s v="SHAMEER , K.KUMMANODU"/>
        <s v="JIJITH UNION"/>
        <s v="ANEESH , PATTIMATTOM"/>
        <s v="DEEPAK KADAYIRUPPU"/>
        <s v="MUHAMMED"/>
        <s v="JOBIN BABY"/>
        <s v="ANIL , CHOORAKKODU"/>
        <s v="JABBAR THOTTUNGAL"/>
        <s v="AJI THATTAMUKAL"/>
        <s v="PRADEEP ATHANI"/>
        <s v="JAMAL PASSENGER"/>
        <s v="SALIM PAINTER"/>
        <s v="YADHU KRISHNA"/>
        <s v="MOIDEEN KUZIPPILLY"/>
        <s v="JOSE KAITHAKKADU"/>
        <s v="KHALID CHELAKULAM"/>
        <s v="GEORGE , ERAPPUMPARA"/>
        <s v="KRISHNAN KUTTY"/>
        <s v="BASIL ,CHOORAKKODE"/>
        <s v="VIJAYAN EZHIPPURAM"/>
        <s v="ALI , NARIKKUZHY"/>
        <s v="KAIMAL PASSENGER"/>
        <s v="SUNIL THATTAMUGAL"/>
        <s v="IBRAHIM,"/>
        <s v="SHAHAS DOUBLEPALAM"/>
        <s v="ST.MARYS ENGINEERING WORKS"/>
        <s v="ANZAR....."/>
        <s v="ELDHOSE KIZHAKKUMBAGAM"/>
        <s v="JINOSH CHENGARA"/>
        <s v="KUKKU , KUMMANODU"/>
        <s v="KUNJU KURUMBAN"/>
        <s v="SHINAJ CHENGARA"/>
        <s v="NITHIN VALAMBOOR"/>
        <s v="SAJI MON (ASK TYRES)"/>
        <s v="PRIYA , EZHIPURAM"/>
        <s v="IBRAHIM UNION"/>
        <s v="SAJITH KOLAMKUDY"/>
        <s v="ABIN BABU"/>
        <s v="ABBAS ATHANI"/>
        <s v="RAVI KILIKULAM"/>
        <s v="PREJITH KAKKANAD"/>
        <s v="Sidhique , Chengara"/>
        <s v="FINE HARVEST FARAMS PATTIMATTOM"/>
        <s v="ABBAS ALIYAR"/>
        <s v="SABU OILICKAL"/>
        <s v="LENIN MAZHUVANOOR"/>
        <s v="SREEKANTH , ATHANI"/>
        <s v="SIDHQUE CHENGARA"/>
        <s v="JAYAN PATTIMATTOM"/>
        <s v="MEERESH, PATTIMATTOM"/>
        <s v="KURIAKOSE VILANGU"/>
        <s v="JOY VARGHSESE MANGALATHUNADA"/>
        <s v="SUJITH"/>
        <s v="PERUMKULATHIL ALIAS BABY"/>
        <s v="BABU , CHOORAKKODE"/>
        <s v="PRAISE MATHEWS"/>
        <s v="JOY KUMMANODE"/>
        <s v="HABEEB"/>
        <s v="SAIJU KARIMUGAL"/>
        <s v="ASIF AKKAMBARA"/>
        <s v="ABU PASSNEGER"/>
        <s v="HYDROSE , MUNDEKUDY"/>
        <s v="JINU , PATTIMATTAM"/>
        <s v="DAUGHTERS OF ST. MARY OF LEUCA"/>
        <s v="JINS VEMPILLY"/>
        <s v="ANSAL ARACKKAPADY"/>
        <s v="SAJEESH PATTIMATTOM"/>
        <s v="PRABHAKARAN IRAPURAM"/>
        <s v="JOY VEMPILLY"/>
        <s v="PUTHUSSERY CONSTRUCTIONS"/>
        <s v="KM ASSI"/>
        <s v="V.MATHA CONSTRUCTIONS"/>
        <s v="SIGNATURE AGENCIES"/>
        <s v="SREEJITH PATTIMATTOM"/>
        <s v="RADHAKRISHNA KURUPPU"/>
        <s v="NANDANAN , CHENGARA"/>
        <s v="AJMAL KUMMANODE"/>
        <s v="KATHIK"/>
        <s v="COMPUTECH COMPUTERS"/>
        <s v="SANTHOSH(VS BAKERY)"/>
        <s v="INPUT CAFE EDACHIRA"/>
        <s v="LAKSHMI AYYAPPANKUTTY"/>
        <s v="MUHAMMED PATTIMATTOM"/>
        <m u="1"/>
      </sharedItems>
    </cacheField>
    <cacheField name="Vch Type" numFmtId="0">
      <sharedItems count="2">
        <s v="B2B"/>
        <s v="B2C"/>
      </sharedItems>
    </cacheField>
    <cacheField name="Vch No." numFmtId="0">
      <sharedItems/>
    </cacheField>
    <cacheField name="Sales Amount" numFmtId="0">
      <sharedItems containsString="0" containsBlank="1" containsNumber="1" minValue="1" maxValue="751745"/>
    </cacheField>
    <cacheField name="Cred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2.123415856484" createdVersion="8" refreshedVersion="8" minRefreshableVersion="3" recordCount="1476" xr:uid="{9FE83DED-7DBB-41EA-AD2C-6745BE03CEDC}">
  <cacheSource type="worksheet">
    <worksheetSource name="Customer_Tiers"/>
  </cacheSource>
  <cacheFields count="8">
    <cacheField name="Customer" numFmtId="0">
      <sharedItems containsMixedTypes="1" containsNumber="1" containsInteger="1" minValue="0" maxValue="0"/>
    </cacheField>
    <cacheField name="Total_Sales" numFmtId="1">
      <sharedItems containsMixedTypes="1" containsNumber="1" minValue="10" maxValue="1760156" count="1256">
        <n v="1760156"/>
        <n v="1686991"/>
        <n v="1625575"/>
        <n v="1483378"/>
        <n v="1425127.933"/>
        <n v="1279923"/>
        <n v="1081054"/>
        <n v="912480"/>
        <n v="815695"/>
        <n v="811009"/>
        <n v="721570"/>
        <n v="648248"/>
        <n v="601571"/>
        <n v="562664"/>
        <n v="539297"/>
        <n v="476063"/>
        <n v="468205"/>
        <n v="451761"/>
        <n v="441866"/>
        <n v="433572"/>
        <n v="425797"/>
        <n v="404375"/>
        <n v="389539"/>
        <n v="377414"/>
        <n v="352968"/>
        <n v="350294"/>
        <n v="346083"/>
        <n v="339562"/>
        <n v="338318"/>
        <n v="333506"/>
        <n v="326992"/>
        <n v="306772"/>
        <n v="305932"/>
        <n v="296255"/>
        <n v="296054"/>
        <n v="291010"/>
        <n v="285627"/>
        <n v="281844"/>
        <n v="264609"/>
        <n v="256712"/>
        <n v="252500"/>
        <n v="249930"/>
        <n v="245177"/>
        <n v="231365"/>
        <n v="227789"/>
        <n v="225907"/>
        <n v="223524"/>
        <n v="222459"/>
        <n v="218545"/>
        <n v="217909"/>
        <n v="203857"/>
        <n v="203264"/>
        <n v="202081"/>
        <n v="198500"/>
        <n v="194587"/>
        <n v="193048"/>
        <n v="192293"/>
        <n v="186549"/>
        <n v="182624"/>
        <n v="178894"/>
        <n v="178378"/>
        <n v="177607"/>
        <n v="175822"/>
        <n v="174117"/>
        <n v="172994"/>
        <n v="172285"/>
        <n v="169002"/>
        <n v="164871"/>
        <n v="164237"/>
        <n v="162143"/>
        <n v="161161"/>
        <n v="160539"/>
        <n v="160256"/>
        <n v="159441"/>
        <n v="157380"/>
        <n v="154036"/>
        <n v="151390"/>
        <n v="146057"/>
        <n v="145256"/>
        <n v="144232"/>
        <n v="143956"/>
        <n v="143584"/>
        <n v="143428"/>
        <n v="141297"/>
        <n v="140539"/>
        <n v="140404"/>
        <n v="137668"/>
        <n v="134431"/>
        <n v="133319"/>
        <n v="132291"/>
        <n v="130231"/>
        <n v="127237"/>
        <n v="126772"/>
        <n v="126205"/>
        <n v="125168"/>
        <n v="123485"/>
        <n v="123324"/>
        <n v="122906"/>
        <n v="121917"/>
        <n v="116800"/>
        <n v="116672"/>
        <n v="115636"/>
        <n v="114394"/>
        <n v="113848"/>
        <n v="113130"/>
        <n v="112741"/>
        <n v="111858"/>
        <n v="111576"/>
        <n v="111072"/>
        <n v="109694"/>
        <n v="108415"/>
        <n v="106813"/>
        <n v="105615"/>
        <n v="103582"/>
        <n v="103445"/>
        <n v="103075"/>
        <n v="101277"/>
        <n v="101108"/>
        <n v="100776"/>
        <n v="100178"/>
        <n v="98989"/>
        <n v="98149"/>
        <n v="97963"/>
        <n v="97701"/>
        <n v="97640"/>
        <n v="97371"/>
        <n v="96748"/>
        <n v="96587"/>
        <n v="95830"/>
        <n v="95483"/>
        <n v="95454"/>
        <n v="95208"/>
        <n v="95031"/>
        <n v="94602"/>
        <n v="91861"/>
        <n v="90358"/>
        <n v="88005"/>
        <n v="87985"/>
        <n v="86598"/>
        <n v="86547"/>
        <n v="86056"/>
        <n v="85893"/>
        <n v="85551"/>
        <n v="83591"/>
        <n v="83158"/>
        <n v="83005"/>
        <n v="82875"/>
        <n v="82364"/>
        <n v="80484"/>
        <n v="79714"/>
        <n v="79120"/>
        <n v="78704"/>
        <n v="78349"/>
        <n v="78231"/>
        <n v="77517"/>
        <n v="76616"/>
        <n v="76285"/>
        <n v="76258"/>
        <n v="75872"/>
        <n v="74481"/>
        <n v="72987"/>
        <n v="72702"/>
        <n v="71335"/>
        <n v="71102"/>
        <n v="70183"/>
        <n v="69866"/>
        <n v="69660"/>
        <n v="69120"/>
        <n v="68731"/>
        <n v="68000"/>
        <n v="67704"/>
        <n v="67417"/>
        <n v="67290"/>
        <n v="67243"/>
        <n v="66793"/>
        <n v="66429"/>
        <n v="66004"/>
        <n v="65084"/>
        <n v="64689"/>
        <n v="64573"/>
        <n v="64276"/>
        <n v="63557"/>
        <n v="63554"/>
        <n v="63524"/>
        <n v="63257"/>
        <n v="63011"/>
        <n v="62732"/>
        <n v="62722"/>
        <n v="62695"/>
        <n v="62646"/>
        <n v="62630"/>
        <n v="62045"/>
        <n v="61925"/>
        <n v="61880"/>
        <n v="61604"/>
        <n v="61506"/>
        <n v="61259"/>
        <n v="61254"/>
        <n v="60813"/>
        <n v="60484"/>
        <n v="60234"/>
        <n v="60152"/>
        <n v="60005"/>
        <n v="60000"/>
        <n v="59913"/>
        <n v="59870"/>
        <n v="59765"/>
        <n v="59603"/>
        <n v="59595"/>
        <n v="59008"/>
        <n v="58984"/>
        <n v="58824"/>
        <n v="58756"/>
        <n v="58706"/>
        <n v="58182"/>
        <n v="58036"/>
        <n v="57530"/>
        <n v="57132"/>
        <n v="57128"/>
        <n v="56069"/>
        <n v="55259"/>
        <n v="55173"/>
        <n v="55066"/>
        <n v="54131"/>
        <n v="54120"/>
        <n v="54036"/>
        <n v="53478"/>
        <n v="53383"/>
        <n v="53135"/>
        <n v="52391"/>
        <n v="52074"/>
        <n v="52037"/>
        <n v="51747"/>
        <n v="51723"/>
        <n v="51575"/>
        <n v="51460"/>
        <n v="50190"/>
        <n v="49912"/>
        <n v="49643"/>
        <n v="49309"/>
        <n v="49304"/>
        <n v="48640"/>
        <n v="48332"/>
        <n v="47825"/>
        <n v="46476"/>
        <n v="46108"/>
        <n v="45886"/>
        <n v="45549"/>
        <n v="45072"/>
        <n v="44996"/>
        <n v="43796"/>
        <n v="43776"/>
        <n v="43501"/>
        <n v="43307"/>
        <n v="43163"/>
        <n v="42850"/>
        <n v="42791"/>
        <n v="42785"/>
        <n v="42561"/>
        <n v="42219"/>
        <n v="41848"/>
        <n v="41712"/>
        <n v="41603"/>
        <n v="41563"/>
        <n v="41392"/>
        <n v="41175"/>
        <n v="41069"/>
        <n v="40925"/>
        <n v="40913"/>
        <n v="40839"/>
        <n v="40554"/>
        <n v="40507"/>
        <n v="40359"/>
        <n v="40180"/>
        <n v="39948"/>
        <n v="39500"/>
        <n v="39481"/>
        <n v="39183"/>
        <n v="38955"/>
        <n v="38641"/>
        <n v="38521"/>
        <n v="38032"/>
        <n v="37518"/>
        <n v="37501"/>
        <n v="37353"/>
        <n v="37194"/>
        <n v="36989"/>
        <n v="36855"/>
        <n v="36733"/>
        <n v="36484"/>
        <n v="36361"/>
        <n v="36287"/>
        <n v="36130"/>
        <n v="36112"/>
        <n v="35772"/>
        <n v="35608"/>
        <n v="35593"/>
        <n v="35524"/>
        <n v="35499"/>
        <n v="35375"/>
        <n v="35340"/>
        <n v="35280"/>
        <n v="35129"/>
        <n v="34921"/>
        <n v="34803"/>
        <n v="34652"/>
        <n v="34545"/>
        <n v="34403"/>
        <n v="33921"/>
        <n v="33874"/>
        <n v="33863"/>
        <n v="33856"/>
        <n v="33673"/>
        <n v="33513"/>
        <n v="33435"/>
        <n v="33257"/>
        <n v="33232"/>
        <n v="33003"/>
        <n v="32980"/>
        <n v="32955"/>
        <n v="32900"/>
        <n v="32677"/>
        <n v="32650"/>
        <n v="32568"/>
        <n v="32177"/>
        <n v="31867"/>
        <n v="31661"/>
        <n v="31600"/>
        <n v="31164"/>
        <n v="30750"/>
        <n v="30686"/>
        <n v="30453"/>
        <n v="30291"/>
        <n v="30058"/>
        <n v="30000"/>
        <n v="29877"/>
        <n v="29781"/>
        <n v="29765"/>
        <n v="29750"/>
        <n v="29695"/>
        <n v="29694"/>
        <n v="29594"/>
        <n v="29498"/>
        <n v="29200"/>
        <n v="29173"/>
        <n v="29134"/>
        <n v="29132"/>
        <n v="28986"/>
        <n v="28975"/>
        <n v="28855"/>
        <n v="28787"/>
        <n v="28743"/>
        <n v="28525"/>
        <n v="28500"/>
        <n v="28407"/>
        <n v="28057"/>
        <n v="28007"/>
        <n v="28000"/>
        <n v="27911"/>
        <n v="27832"/>
        <n v="27804"/>
        <n v="27797"/>
        <n v="27786"/>
        <n v="27473"/>
        <n v="27330"/>
        <n v="27315"/>
        <n v="27298"/>
        <n v="27191"/>
        <n v="27162"/>
        <n v="27151"/>
        <n v="27130"/>
        <n v="27011"/>
        <n v="27000"/>
        <n v="26960"/>
        <n v="26665"/>
        <n v="26420"/>
        <n v="26272"/>
        <n v="26156"/>
        <n v="26154"/>
        <n v="26050"/>
        <n v="26004"/>
        <n v="25994"/>
        <n v="25940"/>
        <n v="25764"/>
        <n v="25626"/>
        <n v="25590"/>
        <n v="25434"/>
        <n v="25388"/>
        <n v="25357"/>
        <n v="25320"/>
        <n v="25290"/>
        <n v="25275"/>
        <n v="25252"/>
        <n v="25243"/>
        <n v="25160"/>
        <n v="25070"/>
        <n v="24830"/>
        <n v="24799"/>
        <n v="24636"/>
        <n v="24547"/>
        <n v="24530"/>
        <n v="24395"/>
        <n v="24297"/>
        <n v="24267"/>
        <n v="24252"/>
        <n v="24134"/>
        <n v="24064"/>
        <n v="23945"/>
        <n v="23790"/>
        <n v="23673"/>
        <n v="23642"/>
        <n v="23593"/>
        <n v="23574"/>
        <n v="23304"/>
        <n v="23160"/>
        <n v="23144"/>
        <n v="23120"/>
        <n v="23052"/>
        <n v="22924"/>
        <n v="22917"/>
        <n v="22910"/>
        <n v="22843"/>
        <n v="22682"/>
        <n v="22600"/>
        <n v="22250"/>
        <n v="22237"/>
        <n v="22186"/>
        <n v="22185"/>
        <n v="22143"/>
        <n v="22046"/>
        <n v="21982"/>
        <n v="21807"/>
        <n v="21450"/>
        <n v="21443"/>
        <n v="21433"/>
        <n v="21328"/>
        <n v="21298"/>
        <n v="21291"/>
        <n v="21286"/>
        <n v="21267"/>
        <n v="21266"/>
        <n v="21173"/>
        <n v="21052"/>
        <n v="21015"/>
        <n v="20976"/>
        <n v="20804"/>
        <n v="20785"/>
        <n v="20703"/>
        <n v="20677"/>
        <n v="20617"/>
        <n v="20512"/>
        <n v="20390"/>
        <n v="20380"/>
        <n v="20373"/>
        <n v="20266"/>
        <n v="20215"/>
        <n v="20164"/>
        <n v="20133"/>
        <n v="20121"/>
        <n v="20037"/>
        <n v="20003"/>
        <n v="19954"/>
        <n v="19949"/>
        <n v="19867"/>
        <n v="19800"/>
        <n v="19650"/>
        <n v="19391"/>
        <n v="19031"/>
        <n v="18855"/>
        <n v="18843"/>
        <n v="18827"/>
        <n v="18820"/>
        <n v="18750"/>
        <n v="18740"/>
        <n v="18631"/>
        <n v="18622"/>
        <n v="18610"/>
        <n v="18531"/>
        <n v="18520"/>
        <n v="18496"/>
        <n v="18486"/>
        <n v="18238"/>
        <n v="18182"/>
        <n v="18085"/>
        <n v="18020"/>
        <n v="17951"/>
        <n v="17886"/>
        <n v="17795"/>
        <n v="17755"/>
        <n v="17663"/>
        <n v="17638"/>
        <n v="17617"/>
        <n v="17468"/>
        <n v="17440"/>
        <n v="17308"/>
        <n v="17098"/>
        <n v="17054"/>
        <n v="17005"/>
        <n v="16982"/>
        <n v="16836"/>
        <n v="16831"/>
        <n v="16777"/>
        <n v="16762"/>
        <n v="16714"/>
        <n v="16655"/>
        <n v="16498"/>
        <n v="16454"/>
        <n v="16437"/>
        <n v="16352"/>
        <n v="16310"/>
        <n v="16215"/>
        <n v="16152"/>
        <n v="16110"/>
        <n v="15990"/>
        <n v="15927"/>
        <n v="15915"/>
        <n v="15874"/>
        <n v="15821"/>
        <n v="15806"/>
        <n v="15790"/>
        <n v="15726"/>
        <n v="15715"/>
        <n v="15672"/>
        <n v="15652"/>
        <n v="15582"/>
        <n v="15520"/>
        <n v="15500"/>
        <n v="15480"/>
        <n v="15458"/>
        <n v="15457"/>
        <n v="15415"/>
        <n v="15366"/>
        <n v="15336"/>
        <n v="15307"/>
        <n v="15296"/>
        <n v="15274"/>
        <n v="15271"/>
        <n v="15253"/>
        <n v="15217"/>
        <n v="14797"/>
        <n v="14670"/>
        <n v="14664"/>
        <n v="14650"/>
        <n v="14643"/>
        <n v="14555"/>
        <n v="14528"/>
        <n v="14486"/>
        <n v="14477"/>
        <n v="14460"/>
        <n v="14430"/>
        <n v="14405"/>
        <n v="14366"/>
        <n v="14356"/>
        <n v="14320"/>
        <n v="14310"/>
        <n v="14213"/>
        <n v="14193"/>
        <n v="14180"/>
        <n v="14129"/>
        <n v="14094"/>
        <n v="14000"/>
        <n v="13869"/>
        <n v="13770"/>
        <n v="13697"/>
        <n v="13452"/>
        <n v="13448"/>
        <n v="13430"/>
        <n v="13354"/>
        <n v="13285"/>
        <n v="13136"/>
        <n v="13090"/>
        <n v="13081"/>
        <n v="13075"/>
        <n v="13063"/>
        <n v="13032"/>
        <n v="12890"/>
        <n v="12845"/>
        <n v="12838"/>
        <n v="12814"/>
        <n v="12812"/>
        <n v="12790"/>
        <n v="12788"/>
        <n v="12760"/>
        <n v="12594"/>
        <n v="12513"/>
        <n v="12389"/>
        <n v="12326"/>
        <n v="12287"/>
        <n v="12283"/>
        <n v="12261"/>
        <n v="12254"/>
        <n v="12244"/>
        <n v="12235"/>
        <n v="12164"/>
        <n v="12118"/>
        <n v="12090"/>
        <n v="12089.008"/>
        <n v="12005"/>
        <n v="12000"/>
        <n v="11950"/>
        <n v="11922"/>
        <n v="11920"/>
        <n v="11893"/>
        <n v="11864"/>
        <n v="11831"/>
        <n v="11812"/>
        <n v="11690"/>
        <n v="11653"/>
        <n v="11636"/>
        <n v="11613"/>
        <n v="11492"/>
        <n v="11486"/>
        <n v="11456"/>
        <n v="11396"/>
        <n v="11345"/>
        <n v="11237"/>
        <n v="11220"/>
        <n v="11200"/>
        <n v="11182"/>
        <n v="11100"/>
        <n v="11061"/>
        <n v="10966"/>
        <n v="10786"/>
        <n v="10760"/>
        <n v="10743"/>
        <n v="10742"/>
        <n v="10691"/>
        <n v="10667"/>
        <n v="10620"/>
        <n v="10550"/>
        <n v="10500"/>
        <n v="10431"/>
        <n v="10415"/>
        <n v="10368"/>
        <n v="10350"/>
        <n v="10348"/>
        <n v="10301"/>
        <n v="10156"/>
        <n v="10152"/>
        <n v="10150"/>
        <n v="10120"/>
        <n v="10074"/>
        <n v="10027"/>
        <n v="10010"/>
        <n v="9970"/>
        <n v="9801"/>
        <n v="9689"/>
        <n v="9663"/>
        <n v="9659"/>
        <n v="9600"/>
        <n v="9597"/>
        <n v="9588"/>
        <n v="9585"/>
        <n v="9575"/>
        <n v="9560"/>
        <n v="9491"/>
        <n v="9482"/>
        <n v="9450"/>
        <n v="9257"/>
        <n v="9250"/>
        <n v="9230"/>
        <n v="9162"/>
        <n v="9156"/>
        <n v="9135"/>
        <n v="9129"/>
        <n v="9090"/>
        <n v="9074"/>
        <n v="9072"/>
        <n v="9064"/>
        <n v="9042"/>
        <n v="9027"/>
        <n v="8985"/>
        <n v="8977"/>
        <n v="8965"/>
        <n v="8880"/>
        <n v="8838"/>
        <n v="8723"/>
        <n v="8720"/>
        <n v="8678"/>
        <n v="8670"/>
        <n v="8667"/>
        <n v="8664"/>
        <n v="8634"/>
        <n v="8630"/>
        <n v="8609"/>
        <n v="8560"/>
        <n v="8436"/>
        <n v="8433"/>
        <n v="8425"/>
        <n v="8400"/>
        <n v="8397"/>
        <n v="8356"/>
        <n v="8318"/>
        <n v="8308"/>
        <n v="8251"/>
        <n v="8250"/>
        <n v="8199"/>
        <n v="8190"/>
        <n v="8170"/>
        <n v="8130"/>
        <n v="8056"/>
        <n v="8052"/>
        <n v="8040"/>
        <n v="8015"/>
        <n v="7995"/>
        <n v="7930"/>
        <n v="7888"/>
        <n v="7793"/>
        <n v="7753"/>
        <n v="7737"/>
        <n v="7700"/>
        <n v="7631"/>
        <n v="7610"/>
        <n v="7608"/>
        <n v="7600"/>
        <n v="7573"/>
        <n v="7532"/>
        <n v="7513"/>
        <n v="7495"/>
        <n v="7477"/>
        <n v="7465"/>
        <n v="7455"/>
        <n v="7429"/>
        <n v="7400"/>
        <n v="7393"/>
        <n v="7360"/>
        <n v="7354"/>
        <n v="7300"/>
        <n v="7296"/>
        <n v="7165"/>
        <n v="7115"/>
        <n v="7112"/>
        <n v="7055"/>
        <n v="7029"/>
        <n v="7001"/>
        <n v="6920"/>
        <n v="6900"/>
        <n v="6878"/>
        <n v="6875"/>
        <n v="6871"/>
        <n v="6830"/>
        <n v="6804"/>
        <n v="6800"/>
        <n v="6780"/>
        <n v="6720"/>
        <n v="6680"/>
        <n v="6637"/>
        <n v="6630"/>
        <n v="6610"/>
        <n v="6535"/>
        <n v="6518"/>
        <n v="6502"/>
        <n v="6500"/>
        <n v="6470"/>
        <n v="6456"/>
        <n v="6430"/>
        <n v="6403"/>
        <n v="6400"/>
        <n v="6365"/>
        <n v="6360"/>
        <n v="6337"/>
        <n v="6320"/>
        <n v="6283"/>
        <n v="6277"/>
        <n v="6264"/>
        <n v="6258"/>
        <n v="6256"/>
        <n v="6250"/>
        <n v="6222"/>
        <n v="6208"/>
        <n v="6202"/>
        <n v="6151"/>
        <n v="6117"/>
        <n v="6110"/>
        <n v="6080"/>
        <n v="6062"/>
        <n v="6061"/>
        <n v="6054"/>
        <n v="6046"/>
        <n v="6035"/>
        <n v="6031"/>
        <n v="5960"/>
        <n v="5939"/>
        <n v="5905"/>
        <n v="5902"/>
        <n v="5896"/>
        <n v="5894"/>
        <n v="5853"/>
        <n v="5803"/>
        <n v="5772"/>
        <n v="5760"/>
        <n v="5745"/>
        <n v="5717"/>
        <n v="5700"/>
        <n v="5682"/>
        <n v="5664"/>
        <n v="5639"/>
        <n v="5613"/>
        <n v="5575"/>
        <n v="5574"/>
        <n v="5567"/>
        <n v="5516"/>
        <n v="5507"/>
        <n v="5503"/>
        <n v="5500"/>
        <n v="5373"/>
        <n v="5345"/>
        <n v="5340"/>
        <n v="5317"/>
        <n v="5290"/>
        <n v="5284"/>
        <n v="5277"/>
        <n v="5263"/>
        <n v="5201"/>
        <n v="5191"/>
        <n v="5154"/>
        <n v="5140"/>
        <n v="5136"/>
        <n v="5093"/>
        <n v="4967"/>
        <n v="4959"/>
        <n v="4937"/>
        <n v="4933"/>
        <n v="4920"/>
        <n v="4892"/>
        <n v="4891"/>
        <n v="4880"/>
        <n v="4830"/>
        <n v="4824"/>
        <n v="4811"/>
        <n v="4810"/>
        <n v="4800"/>
        <n v="4700"/>
        <n v="4696"/>
        <n v="4694"/>
        <n v="4677"/>
        <n v="4650"/>
        <n v="4640"/>
        <n v="4602"/>
        <n v="4595"/>
        <n v="4591"/>
        <n v="4552"/>
        <n v="4514"/>
        <n v="4512"/>
        <n v="4490"/>
        <n v="4487"/>
        <n v="4450"/>
        <n v="4443"/>
        <n v="4440"/>
        <n v="4432"/>
        <n v="4424"/>
        <n v="4422"/>
        <n v="4418"/>
        <n v="4358"/>
        <n v="4355"/>
        <n v="4352"/>
        <n v="4303"/>
        <n v="4299"/>
        <n v="4250"/>
        <n v="4245"/>
        <n v="4240"/>
        <n v="4190"/>
        <n v="4160"/>
        <n v="4150"/>
        <n v="4143"/>
        <n v="4100"/>
        <n v="4096"/>
        <n v="4090"/>
        <n v="4084"/>
        <n v="4080"/>
        <n v="4065"/>
        <n v="4052"/>
        <n v="4032"/>
        <n v="4014"/>
        <n v="3987"/>
        <n v="3968"/>
        <n v="3945"/>
        <n v="3935"/>
        <n v="3933"/>
        <n v="3930"/>
        <n v="3883"/>
        <n v="3882"/>
        <n v="3881"/>
        <n v="3860"/>
        <n v="3847"/>
        <n v="3843"/>
        <n v="3802"/>
        <n v="3790"/>
        <n v="3700"/>
        <n v="3690"/>
        <n v="3645"/>
        <n v="3627"/>
        <n v="3600"/>
        <n v="3580"/>
        <n v="3577"/>
        <n v="3543"/>
        <n v="3537"/>
        <n v="3530"/>
        <n v="3500"/>
        <n v="3480"/>
        <n v="3460"/>
        <n v="3456"/>
        <n v="3450"/>
        <n v="3448"/>
        <n v="3445"/>
        <n v="3431"/>
        <n v="3400"/>
        <n v="3351"/>
        <n v="3342"/>
        <n v="3321"/>
        <n v="3306"/>
        <n v="3296"/>
        <n v="3277"/>
        <n v="3274"/>
        <n v="3262"/>
        <n v="3258"/>
        <n v="3237"/>
        <n v="3234"/>
        <n v="3230"/>
        <n v="3200"/>
        <n v="3192"/>
        <n v="3177"/>
        <n v="3162"/>
        <n v="3150"/>
        <n v="3124"/>
        <n v="3123"/>
        <n v="3106"/>
        <n v="3100"/>
        <n v="3082"/>
        <n v="3080"/>
        <n v="3060"/>
        <n v="3048"/>
        <n v="3044"/>
        <n v="3041"/>
        <n v="3019"/>
        <n v="3018"/>
        <n v="3016"/>
        <n v="2982"/>
        <n v="2981"/>
        <n v="2980"/>
        <n v="2960"/>
        <n v="2931"/>
        <n v="2906"/>
        <n v="2870"/>
        <n v="2847"/>
        <n v="2823"/>
        <n v="2800"/>
        <n v="2792"/>
        <n v="2790"/>
        <n v="2772"/>
        <n v="2760"/>
        <n v="2740"/>
        <n v="2717"/>
        <n v="2697"/>
        <n v="2680"/>
        <n v="2660"/>
        <n v="2631"/>
        <n v="2621"/>
        <n v="2618"/>
        <n v="2617"/>
        <n v="2608"/>
        <n v="2580"/>
        <n v="2576"/>
        <n v="2553"/>
        <n v="2543"/>
        <n v="2530"/>
        <n v="2505"/>
        <n v="2490"/>
        <n v="2463"/>
        <n v="2446"/>
        <n v="2435"/>
        <n v="2420"/>
        <n v="2387"/>
        <n v="2354"/>
        <n v="2350"/>
        <n v="2340"/>
        <n v="2333"/>
        <n v="2327"/>
        <n v="2320"/>
        <n v="2280"/>
        <n v="2234"/>
        <n v="2228"/>
        <n v="2220"/>
        <n v="2205"/>
        <n v="2200"/>
        <n v="2190"/>
        <n v="2174"/>
        <n v="2160"/>
        <n v="2158"/>
        <n v="2137"/>
        <n v="2125"/>
        <n v="2120"/>
        <n v="2100"/>
        <n v="2085"/>
        <n v="2080"/>
        <n v="2065"/>
        <n v="2060"/>
        <n v="2055"/>
        <n v="2025"/>
        <n v="2020"/>
        <n v="2000"/>
        <n v="1997"/>
        <n v="1980"/>
        <n v="1966"/>
        <n v="1957"/>
        <n v="1947"/>
        <n v="1920"/>
        <n v="1900"/>
        <n v="1896"/>
        <n v="1883"/>
        <n v="1862"/>
        <n v="1860"/>
        <n v="1850"/>
        <n v="1842"/>
        <n v="1840"/>
        <n v="1836"/>
        <n v="1833"/>
        <n v="1800"/>
        <n v="1788"/>
        <n v="1782"/>
        <n v="1771"/>
        <n v="1750"/>
        <n v="1746"/>
        <n v="1737"/>
        <n v="1720"/>
        <n v="1712"/>
        <n v="1702"/>
        <n v="1700"/>
        <n v="1699"/>
        <n v="1677"/>
        <n v="1607"/>
        <n v="1600"/>
        <n v="1593"/>
        <n v="1590"/>
        <n v="1580"/>
        <n v="1578"/>
        <n v="1575"/>
        <n v="1573"/>
        <n v="1568"/>
        <n v="1560"/>
        <n v="1550"/>
        <n v="1547"/>
        <n v="1540"/>
        <n v="1538"/>
        <n v="1536"/>
        <n v="1535"/>
        <n v="1521"/>
        <n v="1516"/>
        <n v="1495"/>
        <n v="1486"/>
        <n v="1480"/>
        <n v="1478"/>
        <n v="1476"/>
        <n v="1465"/>
        <n v="1452"/>
        <n v="1451"/>
        <n v="1450"/>
        <n v="1440"/>
        <n v="1438"/>
        <n v="1436"/>
        <n v="1420"/>
        <n v="1411"/>
        <n v="1402"/>
        <n v="1400"/>
        <n v="1396"/>
        <n v="1390"/>
        <n v="1360"/>
        <n v="1357"/>
        <n v="1350"/>
        <n v="1334"/>
        <n v="1327"/>
        <n v="1326"/>
        <n v="1305"/>
        <n v="1300"/>
        <n v="1295"/>
        <n v="1293"/>
        <n v="1283"/>
        <n v="1280"/>
        <n v="1264"/>
        <n v="1254"/>
        <n v="1250"/>
        <n v="1240"/>
        <n v="1227"/>
        <n v="1224"/>
        <n v="1211"/>
        <n v="1200"/>
        <n v="1194"/>
        <n v="1184"/>
        <n v="1162"/>
        <n v="1161"/>
        <n v="1157"/>
        <n v="1155"/>
        <n v="1150"/>
        <n v="1146"/>
        <n v="1141"/>
        <n v="1139"/>
        <n v="1137"/>
        <n v="1130"/>
        <n v="1123"/>
        <n v="1120"/>
        <n v="1110"/>
        <n v="1090"/>
        <n v="1080"/>
        <n v="1070"/>
        <n v="1065"/>
        <n v="1060"/>
        <n v="1056"/>
        <n v="1050"/>
        <n v="1046"/>
        <n v="1043"/>
        <n v="1035"/>
        <n v="1030"/>
        <n v="1025"/>
        <n v="1021"/>
        <n v="1020"/>
        <n v="1011"/>
        <n v="1000"/>
        <n v="985"/>
        <n v="980"/>
        <n v="960"/>
        <n v="948"/>
        <n v="940"/>
        <n v="928"/>
        <n v="921"/>
        <n v="920"/>
        <n v="917"/>
        <n v="916"/>
        <n v="914"/>
        <n v="900"/>
        <n v="888"/>
        <n v="874"/>
        <n v="873"/>
        <n v="866"/>
        <n v="863"/>
        <n v="850"/>
        <n v="839"/>
        <n v="829"/>
        <n v="825"/>
        <n v="802"/>
        <n v="800"/>
        <n v="786"/>
        <n v="770"/>
        <n v="760"/>
        <n v="745"/>
        <n v="740"/>
        <n v="733"/>
        <n v="725"/>
        <n v="720"/>
        <n v="710"/>
        <n v="700"/>
        <n v="690"/>
        <n v="686"/>
        <n v="680"/>
        <n v="666"/>
        <n v="644"/>
        <n v="640"/>
        <n v="635"/>
        <n v="630"/>
        <n v="620"/>
        <n v="606"/>
        <n v="601"/>
        <n v="600"/>
        <n v="591"/>
        <n v="590"/>
        <n v="588"/>
        <n v="586"/>
        <n v="581"/>
        <n v="572"/>
        <n v="565"/>
        <n v="562"/>
        <n v="561"/>
        <n v="557"/>
        <n v="555"/>
        <n v="550"/>
        <n v="520"/>
        <n v="513"/>
        <n v="506"/>
        <n v="500"/>
        <n v="495"/>
        <n v="484"/>
        <n v="470"/>
        <n v="465"/>
        <n v="460"/>
        <n v="456"/>
        <n v="454"/>
        <n v="450"/>
        <n v="440"/>
        <n v="425"/>
        <n v="420"/>
        <n v="410"/>
        <n v="405"/>
        <n v="400"/>
        <n v="395"/>
        <n v="390"/>
        <n v="385"/>
        <n v="383"/>
        <n v="380"/>
        <n v="377"/>
        <n v="370"/>
        <n v="368"/>
        <n v="360"/>
        <n v="352"/>
        <n v="350"/>
        <n v="340"/>
        <n v="330"/>
        <n v="324"/>
        <n v="322"/>
        <n v="320"/>
        <n v="310"/>
        <n v="300"/>
        <n v="297"/>
        <n v="290"/>
        <n v="286"/>
        <n v="280"/>
        <n v="265"/>
        <n v="264"/>
        <n v="260"/>
        <n v="250"/>
        <n v="225"/>
        <n v="221"/>
        <n v="210"/>
        <n v="205"/>
        <n v="200"/>
        <n v="190"/>
        <n v="188"/>
        <n v="185"/>
        <n v="180"/>
        <n v="165"/>
        <n v="160"/>
        <n v="150"/>
        <n v="140"/>
        <n v="130"/>
        <n v="121"/>
        <n v="120"/>
        <n v="110"/>
        <n v="101"/>
        <n v="100"/>
        <n v="90"/>
        <n v="80"/>
        <n v="75"/>
        <n v="72"/>
        <n v="70"/>
        <n v="65"/>
        <n v="64"/>
        <n v="60"/>
        <n v="57"/>
        <n v="55"/>
        <n v="50"/>
        <n v="40"/>
        <n v="39"/>
        <n v="30"/>
        <n v="24"/>
        <n v="20"/>
        <n v="12"/>
        <n v="10"/>
        <s v=""/>
      </sharedItems>
    </cacheField>
    <cacheField name="Tier" numFmtId="0">
      <sharedItems count="4">
        <s v="Platinum"/>
        <s v="Gold"/>
        <s v="Silver"/>
        <s v="Regular"/>
      </sharedItems>
    </cacheField>
    <cacheField name="Gap to Next Tier" numFmtId="0">
      <sharedItems containsSemiMixedTypes="0" containsString="0" containsNumber="1" minValue="0" maxValue="460703"/>
    </cacheField>
    <cacheField name="Contribution" numFmtId="10">
      <sharedItems containsMixedTypes="1" containsNumber="1" minValue="1.7465123214880017E-7" maxValue="3.0741341417410351E-2"/>
    </cacheField>
    <cacheField name="Days Since Last Purchase" numFmtId="1">
      <sharedItems containsMixedTypes="1" containsNumber="1" containsInteger="1" minValue="1" maxValue="334"/>
    </cacheField>
    <cacheField name="Activity Status" numFmtId="0">
      <sharedItems count="4">
        <s v="Active"/>
        <s v="At Risk"/>
        <s v="Inactive"/>
        <e v="#REF!"/>
      </sharedItems>
    </cacheField>
    <cacheField name="Rank" numFmtId="0">
      <sharedItems containsMixedTypes="1" containsNumber="1" containsInteger="1" minValue="1" maxValue="1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59">
  <r>
    <d v="2025-04-01T00:00:00"/>
    <x v="0"/>
    <x v="0"/>
    <s v="JU-1/25-26"/>
    <n v="7055"/>
    <m/>
  </r>
  <r>
    <d v="2025-04-01T00:00:00"/>
    <x v="1"/>
    <x v="1"/>
    <s v="J-1/25-26"/>
    <n v="2380"/>
    <m/>
  </r>
  <r>
    <d v="2025-04-01T00:00:00"/>
    <x v="2"/>
    <x v="1"/>
    <s v="J-2/25-26"/>
    <n v="680"/>
    <m/>
  </r>
  <r>
    <d v="2025-04-01T00:00:00"/>
    <x v="3"/>
    <x v="1"/>
    <s v="J-3/25-26"/>
    <n v="4776"/>
    <m/>
  </r>
  <r>
    <d v="2025-04-01T00:00:00"/>
    <x v="4"/>
    <x v="1"/>
    <s v="J-4/25-26"/>
    <n v="2073"/>
    <m/>
  </r>
  <r>
    <d v="2025-04-01T00:00:00"/>
    <x v="5"/>
    <x v="1"/>
    <s v="J-5/25-26"/>
    <n v="1300"/>
    <m/>
  </r>
  <r>
    <d v="2025-04-01T00:00:00"/>
    <x v="6"/>
    <x v="1"/>
    <s v="J-6/25-26"/>
    <n v="6800"/>
    <m/>
  </r>
  <r>
    <d v="2025-04-01T00:00:00"/>
    <x v="7"/>
    <x v="1"/>
    <s v="J-7/25-26"/>
    <n v="30855"/>
    <m/>
  </r>
  <r>
    <d v="2025-04-01T00:00:00"/>
    <x v="8"/>
    <x v="1"/>
    <s v="J-8/25-26"/>
    <n v="2218"/>
    <m/>
  </r>
  <r>
    <d v="2025-04-01T00:00:00"/>
    <x v="9"/>
    <x v="1"/>
    <s v="J-9/25-26"/>
    <n v="1329"/>
    <m/>
  </r>
  <r>
    <d v="2025-04-01T00:00:00"/>
    <x v="8"/>
    <x v="1"/>
    <s v="J-10/25-26"/>
    <n v="748"/>
    <m/>
  </r>
  <r>
    <d v="2025-04-01T00:00:00"/>
    <x v="10"/>
    <x v="1"/>
    <s v="J-11/25-26"/>
    <n v="19570"/>
    <m/>
  </r>
  <r>
    <d v="2025-04-01T00:00:00"/>
    <x v="11"/>
    <x v="1"/>
    <s v="J-12/25-26"/>
    <n v="12"/>
    <m/>
  </r>
  <r>
    <d v="2025-04-01T00:00:00"/>
    <x v="12"/>
    <x v="1"/>
    <s v="J-13/25-26"/>
    <n v="126"/>
    <m/>
  </r>
  <r>
    <d v="2025-04-02T00:00:00"/>
    <x v="13"/>
    <x v="0"/>
    <s v="JU-2/25-26"/>
    <n v="36001"/>
    <m/>
  </r>
  <r>
    <d v="2025-04-02T00:00:00"/>
    <x v="14"/>
    <x v="0"/>
    <s v="JU-3/25-26"/>
    <n v="1232"/>
    <m/>
  </r>
  <r>
    <d v="2025-04-02T00:00:00"/>
    <x v="15"/>
    <x v="0"/>
    <s v="JU-4/25-26"/>
    <n v="3332"/>
    <m/>
  </r>
  <r>
    <d v="2025-04-02T00:00:00"/>
    <x v="16"/>
    <x v="0"/>
    <s v="JU-5/25-26"/>
    <n v="12524"/>
    <m/>
  </r>
  <r>
    <d v="2025-04-02T00:00:00"/>
    <x v="17"/>
    <x v="1"/>
    <s v="J-14/25-26"/>
    <n v="9458"/>
    <m/>
  </r>
  <r>
    <d v="2025-04-02T00:00:00"/>
    <x v="18"/>
    <x v="1"/>
    <s v="J-15/25-26"/>
    <n v="78814"/>
    <m/>
  </r>
  <r>
    <d v="2025-04-02T00:00:00"/>
    <x v="19"/>
    <x v="1"/>
    <s v="J-16/25-26"/>
    <n v="229"/>
    <m/>
  </r>
  <r>
    <d v="2025-04-02T00:00:00"/>
    <x v="20"/>
    <x v="1"/>
    <s v="J-17/25-26"/>
    <n v="5893"/>
    <m/>
  </r>
  <r>
    <d v="2025-04-02T00:00:00"/>
    <x v="20"/>
    <x v="1"/>
    <s v="J-18/25-26"/>
    <n v="6830"/>
    <m/>
  </r>
  <r>
    <d v="2025-04-02T00:00:00"/>
    <x v="11"/>
    <x v="1"/>
    <s v="J-19/25-26"/>
    <n v="70"/>
    <m/>
  </r>
  <r>
    <d v="2025-04-02T00:00:00"/>
    <x v="21"/>
    <x v="1"/>
    <s v="J-20/25-26"/>
    <n v="7115"/>
    <m/>
  </r>
  <r>
    <d v="2025-04-02T00:00:00"/>
    <x v="22"/>
    <x v="1"/>
    <s v="J-21/25-26"/>
    <n v="1540"/>
    <m/>
  </r>
  <r>
    <d v="2025-04-02T00:00:00"/>
    <x v="23"/>
    <x v="1"/>
    <s v="J-22/25-26"/>
    <n v="216185"/>
    <m/>
  </r>
  <r>
    <d v="2025-04-02T00:00:00"/>
    <x v="11"/>
    <x v="1"/>
    <s v="J-23/25-26"/>
    <n v="261"/>
    <m/>
  </r>
  <r>
    <d v="2025-04-02T00:00:00"/>
    <x v="24"/>
    <x v="1"/>
    <s v="J-24/25-26"/>
    <n v="2694"/>
    <m/>
  </r>
  <r>
    <d v="2025-04-02T00:00:00"/>
    <x v="25"/>
    <x v="1"/>
    <s v="J-25/25-26"/>
    <n v="225"/>
    <m/>
  </r>
  <r>
    <d v="2025-04-02T00:00:00"/>
    <x v="26"/>
    <x v="1"/>
    <s v="J-26/25-26"/>
    <n v="1400"/>
    <m/>
  </r>
  <r>
    <d v="2025-04-02T00:00:00"/>
    <x v="27"/>
    <x v="1"/>
    <s v="J-27/25-26"/>
    <n v="7930"/>
    <m/>
  </r>
  <r>
    <d v="2025-04-02T00:00:00"/>
    <x v="28"/>
    <x v="1"/>
    <s v="J-28/25-26"/>
    <n v="3700"/>
    <m/>
  </r>
  <r>
    <d v="2025-04-02T00:00:00"/>
    <x v="29"/>
    <x v="1"/>
    <s v="J-29/25-26"/>
    <n v="2040"/>
    <m/>
  </r>
  <r>
    <d v="2025-04-02T00:00:00"/>
    <x v="24"/>
    <x v="1"/>
    <s v="J-30/25-26"/>
    <n v="1540"/>
    <m/>
  </r>
  <r>
    <d v="2025-04-02T00:00:00"/>
    <x v="30"/>
    <x v="1"/>
    <s v="J-31/25-26"/>
    <n v="545"/>
    <m/>
  </r>
  <r>
    <d v="2025-04-03T00:00:00"/>
    <x v="31"/>
    <x v="0"/>
    <s v="JU-6/25-26"/>
    <n v="12516"/>
    <m/>
  </r>
  <r>
    <d v="2025-04-03T00:00:00"/>
    <x v="32"/>
    <x v="0"/>
    <s v="JU-7/25-26"/>
    <n v="3980"/>
    <m/>
  </r>
  <r>
    <d v="2025-04-03T00:00:00"/>
    <x v="33"/>
    <x v="1"/>
    <s v="J-32/25-26"/>
    <n v="680"/>
    <m/>
  </r>
  <r>
    <d v="2025-04-03T00:00:00"/>
    <x v="34"/>
    <x v="1"/>
    <s v="J-33/25-26"/>
    <n v="3388"/>
    <m/>
  </r>
  <r>
    <d v="2025-04-03T00:00:00"/>
    <x v="35"/>
    <x v="1"/>
    <s v="J-34/25-26"/>
    <n v="3400"/>
    <m/>
  </r>
  <r>
    <d v="2025-04-03T00:00:00"/>
    <x v="17"/>
    <x v="1"/>
    <s v="J-35/25-26"/>
    <n v="34975"/>
    <m/>
  </r>
  <r>
    <d v="2025-04-03T00:00:00"/>
    <x v="11"/>
    <x v="1"/>
    <s v="J-36/25-26"/>
    <n v="40"/>
    <m/>
  </r>
  <r>
    <d v="2025-04-03T00:00:00"/>
    <x v="20"/>
    <x v="1"/>
    <s v="J-37/25-26"/>
    <n v="15277"/>
    <m/>
  </r>
  <r>
    <d v="2025-04-03T00:00:00"/>
    <x v="36"/>
    <x v="1"/>
    <s v="J-38/25-26"/>
    <n v="3868"/>
    <m/>
  </r>
  <r>
    <d v="2025-04-03T00:00:00"/>
    <x v="28"/>
    <x v="1"/>
    <s v="J-39/25-26"/>
    <n v="1265"/>
    <m/>
  </r>
  <r>
    <d v="2025-04-03T00:00:00"/>
    <x v="37"/>
    <x v="1"/>
    <s v="J-40/25-26"/>
    <n v="1250"/>
    <m/>
  </r>
  <r>
    <d v="2025-04-03T00:00:00"/>
    <x v="38"/>
    <x v="1"/>
    <s v="J-41/25-26"/>
    <n v="34948"/>
    <m/>
  </r>
  <r>
    <d v="2025-04-03T00:00:00"/>
    <x v="11"/>
    <x v="1"/>
    <s v="J-42/25-26"/>
    <n v="12"/>
    <m/>
  </r>
  <r>
    <d v="2025-04-03T00:00:00"/>
    <x v="39"/>
    <x v="1"/>
    <s v="J-43/25-26"/>
    <n v="4937"/>
    <m/>
  </r>
  <r>
    <d v="2025-04-03T00:00:00"/>
    <x v="40"/>
    <x v="1"/>
    <s v="J-44/25-26"/>
    <n v="10090"/>
    <m/>
  </r>
  <r>
    <d v="2025-04-03T00:00:00"/>
    <x v="20"/>
    <x v="1"/>
    <s v="J-45/25-26"/>
    <n v="2037"/>
    <m/>
  </r>
  <r>
    <d v="2025-04-04T00:00:00"/>
    <x v="41"/>
    <x v="0"/>
    <s v="JU-8/25-26"/>
    <n v="1947"/>
    <m/>
  </r>
  <r>
    <d v="2025-04-04T00:00:00"/>
    <x v="42"/>
    <x v="1"/>
    <s v="J-46/25-26"/>
    <n v="3148"/>
    <m/>
  </r>
  <r>
    <d v="2025-04-04T00:00:00"/>
    <x v="43"/>
    <x v="1"/>
    <s v="J-47/25-26"/>
    <n v="12846"/>
    <m/>
  </r>
  <r>
    <d v="2025-04-04T00:00:00"/>
    <x v="23"/>
    <x v="1"/>
    <s v="J-48/25-26"/>
    <n v="450"/>
    <m/>
  </r>
  <r>
    <d v="2025-04-04T00:00:00"/>
    <x v="44"/>
    <x v="1"/>
    <s v="J-49/25-26"/>
    <n v="450"/>
    <m/>
  </r>
  <r>
    <d v="2025-04-04T00:00:00"/>
    <x v="45"/>
    <x v="1"/>
    <s v="J-50/25-26"/>
    <n v="4400"/>
    <m/>
  </r>
  <r>
    <d v="2025-04-04T00:00:00"/>
    <x v="46"/>
    <x v="1"/>
    <s v="J-51/25-26"/>
    <n v="7320"/>
    <m/>
  </r>
  <r>
    <d v="2025-04-04T00:00:00"/>
    <x v="42"/>
    <x v="1"/>
    <s v="J-52/25-26"/>
    <n v="3400"/>
    <m/>
  </r>
  <r>
    <d v="2025-04-04T00:00:00"/>
    <x v="26"/>
    <x v="1"/>
    <s v="J-53/25-26"/>
    <n v="85"/>
    <m/>
  </r>
  <r>
    <d v="2025-04-04T00:00:00"/>
    <x v="47"/>
    <x v="1"/>
    <s v="J-54/25-26"/>
    <n v="617"/>
    <m/>
  </r>
  <r>
    <d v="2025-04-04T00:00:00"/>
    <x v="48"/>
    <x v="1"/>
    <s v="J-55/25-26"/>
    <n v="31"/>
    <m/>
  </r>
  <r>
    <d v="2025-04-04T00:00:00"/>
    <x v="17"/>
    <x v="1"/>
    <s v="J-56/25-26"/>
    <n v="8500"/>
    <m/>
  </r>
  <r>
    <d v="2025-04-04T00:00:00"/>
    <x v="47"/>
    <x v="1"/>
    <s v="J-57/25-26"/>
    <n v="1323"/>
    <m/>
  </r>
  <r>
    <d v="2025-04-04T00:00:00"/>
    <x v="49"/>
    <x v="1"/>
    <s v="J-58/25-26"/>
    <n v="600"/>
    <m/>
  </r>
  <r>
    <d v="2025-04-04T00:00:00"/>
    <x v="50"/>
    <x v="1"/>
    <s v="J-59/25-26"/>
    <n v="45620"/>
    <m/>
  </r>
  <r>
    <d v="2025-04-05T00:00:00"/>
    <x v="51"/>
    <x v="0"/>
    <s v="JU-9/25-26"/>
    <n v="6365"/>
    <m/>
  </r>
  <r>
    <d v="2025-04-05T00:00:00"/>
    <x v="52"/>
    <x v="0"/>
    <s v="JU-10/25-26"/>
    <n v="25472"/>
    <m/>
  </r>
  <r>
    <d v="2025-04-05T00:00:00"/>
    <x v="52"/>
    <x v="0"/>
    <s v="JU-11/25-26"/>
    <n v="4662"/>
    <m/>
  </r>
  <r>
    <d v="2025-04-05T00:00:00"/>
    <x v="36"/>
    <x v="1"/>
    <s v="J-60/25-26"/>
    <n v="5450"/>
    <m/>
  </r>
  <r>
    <d v="2025-04-05T00:00:00"/>
    <x v="53"/>
    <x v="1"/>
    <s v="J-61/25-26"/>
    <n v="1936"/>
    <m/>
  </r>
  <r>
    <d v="2025-04-05T00:00:00"/>
    <x v="10"/>
    <x v="1"/>
    <s v="J-62/25-26"/>
    <n v="5427"/>
    <m/>
  </r>
  <r>
    <d v="2025-04-05T00:00:00"/>
    <x v="54"/>
    <x v="1"/>
    <s v="J-63/25-26"/>
    <n v="4140"/>
    <m/>
  </r>
  <r>
    <d v="2025-04-05T00:00:00"/>
    <x v="55"/>
    <x v="1"/>
    <s v="J-64/25-26"/>
    <n v="2470"/>
    <m/>
  </r>
  <r>
    <d v="2025-04-05T00:00:00"/>
    <x v="56"/>
    <x v="1"/>
    <s v="J-65/25-26"/>
    <n v="15307"/>
    <m/>
  </r>
  <r>
    <d v="2025-04-05T00:00:00"/>
    <x v="23"/>
    <x v="1"/>
    <s v="J-66/25-26"/>
    <n v="3788"/>
    <m/>
  </r>
  <r>
    <d v="2025-04-05T00:00:00"/>
    <x v="3"/>
    <x v="1"/>
    <s v="J-67/25-26"/>
    <n v="680"/>
    <m/>
  </r>
  <r>
    <d v="2025-04-05T00:00:00"/>
    <x v="11"/>
    <x v="1"/>
    <s v="J-68/25-26"/>
    <n v="12"/>
    <m/>
  </r>
  <r>
    <d v="2025-04-05T00:00:00"/>
    <x v="57"/>
    <x v="1"/>
    <s v="J-69/25-26"/>
    <n v="9000"/>
    <m/>
  </r>
  <r>
    <d v="2025-04-05T00:00:00"/>
    <x v="3"/>
    <x v="1"/>
    <s v="J-70/25-26"/>
    <n v="680"/>
    <m/>
  </r>
  <r>
    <d v="2025-04-05T00:00:00"/>
    <x v="1"/>
    <x v="1"/>
    <s v="J-71/25-26"/>
    <n v="1700"/>
    <m/>
  </r>
  <r>
    <d v="2025-04-05T00:00:00"/>
    <x v="11"/>
    <x v="1"/>
    <s v="J-72/25-26"/>
    <n v="350"/>
    <m/>
  </r>
  <r>
    <d v="2025-04-05T00:00:00"/>
    <x v="58"/>
    <x v="1"/>
    <s v="J-73/25-26"/>
    <n v="340"/>
    <m/>
  </r>
  <r>
    <d v="2025-04-05T00:00:00"/>
    <x v="59"/>
    <x v="1"/>
    <s v="J-74/25-26"/>
    <n v="225"/>
    <m/>
  </r>
  <r>
    <d v="2025-04-05T00:00:00"/>
    <x v="60"/>
    <x v="1"/>
    <s v="J-75/25-26"/>
    <n v="32120"/>
    <m/>
  </r>
  <r>
    <d v="2025-04-05T00:00:00"/>
    <x v="61"/>
    <x v="1"/>
    <s v="J-76/25-26"/>
    <n v="680"/>
    <m/>
  </r>
  <r>
    <d v="2025-04-07T00:00:00"/>
    <x v="62"/>
    <x v="0"/>
    <s v="JU-12/25-26"/>
    <n v="19803"/>
    <m/>
  </r>
  <r>
    <d v="2025-04-07T00:00:00"/>
    <x v="63"/>
    <x v="0"/>
    <s v="JU-13/25-26"/>
    <n v="290"/>
    <m/>
  </r>
  <r>
    <d v="2025-04-07T00:00:00"/>
    <x v="64"/>
    <x v="0"/>
    <s v="JU-14/25-26"/>
    <n v="1533"/>
    <m/>
  </r>
  <r>
    <d v="2025-04-07T00:00:00"/>
    <x v="65"/>
    <x v="0"/>
    <s v="JU-15/25-26"/>
    <n v="25070"/>
    <m/>
  </r>
  <r>
    <d v="2025-04-07T00:00:00"/>
    <x v="66"/>
    <x v="1"/>
    <s v="J-77/25-26"/>
    <n v="340"/>
    <m/>
  </r>
  <r>
    <d v="2025-04-07T00:00:00"/>
    <x v="11"/>
    <x v="1"/>
    <s v="J-78/25-26"/>
    <n v="12"/>
    <m/>
  </r>
  <r>
    <d v="2025-04-07T00:00:00"/>
    <x v="20"/>
    <x v="1"/>
    <s v="J-79/25-26"/>
    <n v="27644"/>
    <m/>
  </r>
  <r>
    <d v="2025-04-07T00:00:00"/>
    <x v="67"/>
    <x v="1"/>
    <s v="J-80/25-26"/>
    <n v="2465"/>
    <m/>
  </r>
  <r>
    <d v="2025-04-07T00:00:00"/>
    <x v="30"/>
    <x v="1"/>
    <s v="J-81/25-26"/>
    <n v="100"/>
    <m/>
  </r>
  <r>
    <d v="2025-04-07T00:00:00"/>
    <x v="68"/>
    <x v="1"/>
    <s v="J-82/25-26"/>
    <n v="780"/>
    <m/>
  </r>
  <r>
    <d v="2025-04-07T00:00:00"/>
    <x v="69"/>
    <x v="1"/>
    <s v="J-83/25-26"/>
    <n v="4320"/>
    <m/>
  </r>
  <r>
    <d v="2025-04-07T00:00:00"/>
    <x v="70"/>
    <x v="1"/>
    <s v="J-84/25-26"/>
    <n v="114675"/>
    <m/>
  </r>
  <r>
    <d v="2025-04-07T00:00:00"/>
    <x v="71"/>
    <x v="1"/>
    <s v="J-85/25-26"/>
    <n v="2380"/>
    <m/>
  </r>
  <r>
    <d v="2025-04-07T00:00:00"/>
    <x v="17"/>
    <x v="1"/>
    <s v="J-86/25-26"/>
    <n v="455"/>
    <m/>
  </r>
  <r>
    <d v="2025-04-07T00:00:00"/>
    <x v="72"/>
    <x v="1"/>
    <s v="J-87/25-26"/>
    <n v="2040"/>
    <m/>
  </r>
  <r>
    <d v="2025-04-07T00:00:00"/>
    <x v="40"/>
    <x v="1"/>
    <s v="J-88/25-26"/>
    <n v="7415"/>
    <m/>
  </r>
  <r>
    <d v="2025-04-07T00:00:00"/>
    <x v="73"/>
    <x v="1"/>
    <s v="J-89/25-26"/>
    <n v="6010"/>
    <m/>
  </r>
  <r>
    <d v="2025-04-07T00:00:00"/>
    <x v="74"/>
    <x v="1"/>
    <s v="J-90/25-26"/>
    <n v="20855"/>
    <m/>
  </r>
  <r>
    <d v="2025-04-07T00:00:00"/>
    <x v="11"/>
    <x v="1"/>
    <s v="J-91/25-26"/>
    <n v="4587"/>
    <m/>
  </r>
  <r>
    <d v="2025-04-07T00:00:00"/>
    <x v="8"/>
    <x v="1"/>
    <s v="J-92/25-26"/>
    <n v="14776"/>
    <m/>
  </r>
  <r>
    <d v="2025-04-07T00:00:00"/>
    <x v="11"/>
    <x v="1"/>
    <s v="J-93/25-26"/>
    <n v="14150"/>
    <m/>
  </r>
  <r>
    <d v="2025-04-07T00:00:00"/>
    <x v="54"/>
    <x v="1"/>
    <s v="J-94/25-26"/>
    <n v="300"/>
    <m/>
  </r>
  <r>
    <d v="2025-04-07T00:00:00"/>
    <x v="11"/>
    <x v="1"/>
    <s v="J-95/25-26"/>
    <n v="340"/>
    <m/>
  </r>
  <r>
    <d v="2025-04-07T00:00:00"/>
    <x v="75"/>
    <x v="1"/>
    <s v="J-96/25-26"/>
    <n v="15822"/>
    <m/>
  </r>
  <r>
    <d v="2025-04-07T00:00:00"/>
    <x v="76"/>
    <x v="1"/>
    <s v="J-97/25-26"/>
    <n v="21328"/>
    <m/>
  </r>
  <r>
    <d v="2025-04-08T00:00:00"/>
    <x v="77"/>
    <x v="0"/>
    <s v="JU-16/25-26"/>
    <n v="1253"/>
    <m/>
  </r>
  <r>
    <d v="2025-04-08T00:00:00"/>
    <x v="14"/>
    <x v="0"/>
    <s v="JU-17/25-26"/>
    <n v="43610"/>
    <m/>
  </r>
  <r>
    <d v="2025-04-08T00:00:00"/>
    <x v="52"/>
    <x v="0"/>
    <s v="JU-18/25-26"/>
    <n v="2221"/>
    <m/>
  </r>
  <r>
    <d v="2025-04-08T00:00:00"/>
    <x v="78"/>
    <x v="1"/>
    <s v="J-98/25-26"/>
    <n v="4993"/>
    <m/>
  </r>
  <r>
    <d v="2025-04-08T00:00:00"/>
    <x v="79"/>
    <x v="1"/>
    <s v="J-99/25-26"/>
    <n v="330"/>
    <m/>
  </r>
  <r>
    <d v="2025-04-08T00:00:00"/>
    <x v="80"/>
    <x v="1"/>
    <s v="J-100/25-26"/>
    <n v="154"/>
    <m/>
  </r>
  <r>
    <d v="2025-04-08T00:00:00"/>
    <x v="20"/>
    <x v="1"/>
    <s v="J-101/25-26"/>
    <n v="4990"/>
    <m/>
  </r>
  <r>
    <d v="2025-04-08T00:00:00"/>
    <x v="8"/>
    <x v="1"/>
    <s v="J-102/25-26"/>
    <n v="560"/>
    <m/>
  </r>
  <r>
    <d v="2025-04-08T00:00:00"/>
    <x v="81"/>
    <x v="1"/>
    <s v="J-103/25-26"/>
    <n v="12790"/>
    <m/>
  </r>
  <r>
    <d v="2025-04-08T00:00:00"/>
    <x v="17"/>
    <x v="1"/>
    <s v="J-104/25-26"/>
    <n v="6516"/>
    <m/>
  </r>
  <r>
    <d v="2025-04-08T00:00:00"/>
    <x v="82"/>
    <x v="1"/>
    <s v="J-105/25-26"/>
    <n v="324"/>
    <m/>
  </r>
  <r>
    <d v="2025-04-08T00:00:00"/>
    <x v="60"/>
    <x v="1"/>
    <s v="J-106/25-26"/>
    <n v="10124"/>
    <m/>
  </r>
  <r>
    <d v="2025-04-08T00:00:00"/>
    <x v="34"/>
    <x v="1"/>
    <s v="J-107/25-26"/>
    <n v="842"/>
    <m/>
  </r>
  <r>
    <d v="2025-04-08T00:00:00"/>
    <x v="36"/>
    <x v="1"/>
    <s v="J-108/25-26"/>
    <n v="690"/>
    <m/>
  </r>
  <r>
    <d v="2025-04-08T00:00:00"/>
    <x v="83"/>
    <x v="1"/>
    <s v="J-109/25-26"/>
    <n v="1146"/>
    <m/>
  </r>
  <r>
    <d v="2025-04-08T00:00:00"/>
    <x v="11"/>
    <x v="1"/>
    <s v="J-110/25-26"/>
    <n v="1360"/>
    <m/>
  </r>
  <r>
    <d v="2025-04-08T00:00:00"/>
    <x v="84"/>
    <x v="1"/>
    <s v="J-111/25-26"/>
    <n v="290"/>
    <m/>
  </r>
  <r>
    <d v="2025-04-08T00:00:00"/>
    <x v="85"/>
    <x v="1"/>
    <s v="J-112/25-26"/>
    <n v="340"/>
    <m/>
  </r>
  <r>
    <d v="2025-04-08T00:00:00"/>
    <x v="24"/>
    <x v="1"/>
    <s v="J-113/25-26"/>
    <n v="460"/>
    <m/>
  </r>
  <r>
    <d v="2025-04-09T00:00:00"/>
    <x v="86"/>
    <x v="0"/>
    <s v="JU-19/25-26"/>
    <n v="23790"/>
    <m/>
  </r>
  <r>
    <d v="2025-04-09T00:00:00"/>
    <x v="87"/>
    <x v="0"/>
    <s v="JU-20/25-26"/>
    <n v="2630"/>
    <m/>
  </r>
  <r>
    <d v="2025-04-09T00:00:00"/>
    <x v="15"/>
    <x v="0"/>
    <s v="JU-21/25-26"/>
    <n v="1124"/>
    <m/>
  </r>
  <r>
    <d v="2025-04-09T00:00:00"/>
    <x v="31"/>
    <x v="0"/>
    <s v="JU-22/25-26"/>
    <n v="3248"/>
    <m/>
  </r>
  <r>
    <d v="2025-04-09T00:00:00"/>
    <x v="20"/>
    <x v="1"/>
    <s v="J-114/25-26"/>
    <n v="29462"/>
    <m/>
  </r>
  <r>
    <d v="2025-04-09T00:00:00"/>
    <x v="20"/>
    <x v="1"/>
    <s v="J-115/25-26"/>
    <n v="16673"/>
    <m/>
  </r>
  <r>
    <d v="2025-04-09T00:00:00"/>
    <x v="88"/>
    <x v="1"/>
    <s v="J-116/25-26"/>
    <n v="16960"/>
    <m/>
  </r>
  <r>
    <d v="2025-04-09T00:00:00"/>
    <x v="89"/>
    <x v="1"/>
    <s v="J-117/25-26"/>
    <n v="680"/>
    <m/>
  </r>
  <r>
    <d v="2025-04-09T00:00:00"/>
    <x v="11"/>
    <x v="1"/>
    <s v="J-118/25-26"/>
    <n v="1757"/>
    <m/>
  </r>
  <r>
    <d v="2025-04-09T00:00:00"/>
    <x v="68"/>
    <x v="1"/>
    <s v="J-119/25-26"/>
    <n v="340"/>
    <m/>
  </r>
  <r>
    <d v="2025-04-09T00:00:00"/>
    <x v="20"/>
    <x v="1"/>
    <s v="J-120/25-26"/>
    <n v="135"/>
    <m/>
  </r>
  <r>
    <d v="2025-04-09T00:00:00"/>
    <x v="71"/>
    <x v="1"/>
    <s v="J-121/25-26"/>
    <n v="1020"/>
    <m/>
  </r>
  <r>
    <d v="2025-04-09T00:00:00"/>
    <x v="90"/>
    <x v="1"/>
    <s v="J-122/25-26"/>
    <n v="15480"/>
    <m/>
  </r>
  <r>
    <d v="2025-04-09T00:00:00"/>
    <x v="23"/>
    <x v="1"/>
    <s v="J-123/25-26"/>
    <n v="4590"/>
    <m/>
  </r>
  <r>
    <d v="2025-04-09T00:00:00"/>
    <x v="60"/>
    <x v="1"/>
    <s v="J-124/25-26"/>
    <n v="523"/>
    <m/>
  </r>
  <r>
    <d v="2025-04-09T00:00:00"/>
    <x v="11"/>
    <x v="1"/>
    <s v="J-125/25-26"/>
    <n v="783"/>
    <m/>
  </r>
  <r>
    <d v="2025-04-09T00:00:00"/>
    <x v="91"/>
    <x v="1"/>
    <s v="J-126/25-26"/>
    <n v="18250"/>
    <m/>
  </r>
  <r>
    <d v="2025-04-09T00:00:00"/>
    <x v="34"/>
    <x v="1"/>
    <s v="J-127/25-26"/>
    <n v="485"/>
    <m/>
  </r>
  <r>
    <d v="2025-04-09T00:00:00"/>
    <x v="17"/>
    <x v="1"/>
    <s v="J-128/25-26"/>
    <n v="185"/>
    <m/>
  </r>
  <r>
    <d v="2025-04-09T00:00:00"/>
    <x v="3"/>
    <x v="1"/>
    <s v="J-129/25-26"/>
    <n v="680"/>
    <m/>
  </r>
  <r>
    <d v="2025-04-09T00:00:00"/>
    <x v="92"/>
    <x v="1"/>
    <s v="J-130/25-26"/>
    <n v="11182"/>
    <m/>
  </r>
  <r>
    <d v="2025-04-09T00:00:00"/>
    <x v="93"/>
    <x v="1"/>
    <s v="J-131/25-26"/>
    <n v="2435"/>
    <m/>
  </r>
  <r>
    <d v="2025-04-09T00:00:00"/>
    <x v="71"/>
    <x v="1"/>
    <s v="J-132/25-26"/>
    <n v="340"/>
    <m/>
  </r>
  <r>
    <d v="2025-04-09T00:00:00"/>
    <x v="18"/>
    <x v="1"/>
    <s v="J-133/25-26"/>
    <n v="300"/>
    <m/>
  </r>
  <r>
    <d v="2025-04-09T00:00:00"/>
    <x v="11"/>
    <x v="1"/>
    <s v="J-134/25-26"/>
    <n v="12"/>
    <m/>
  </r>
  <r>
    <d v="2025-04-09T00:00:00"/>
    <x v="12"/>
    <x v="1"/>
    <s v="J-135/25-26"/>
    <n v="8250"/>
    <m/>
  </r>
  <r>
    <d v="2025-04-09T00:00:00"/>
    <x v="11"/>
    <x v="1"/>
    <s v="J-136/25-26"/>
    <n v="12"/>
    <m/>
  </r>
  <r>
    <d v="2025-04-09T00:00:00"/>
    <x v="60"/>
    <x v="1"/>
    <s v="J-137/25-26"/>
    <n v="7338"/>
    <m/>
  </r>
  <r>
    <d v="2025-04-10T00:00:00"/>
    <x v="87"/>
    <x v="0"/>
    <s v="JU-23/25-26"/>
    <n v="1360"/>
    <m/>
  </r>
  <r>
    <d v="2025-04-10T00:00:00"/>
    <x v="77"/>
    <x v="0"/>
    <s v="JU-24/25-26"/>
    <n v="904"/>
    <m/>
  </r>
  <r>
    <d v="2025-04-10T00:00:00"/>
    <x v="94"/>
    <x v="0"/>
    <s v="JU-25/25-26"/>
    <n v="4950"/>
    <m/>
  </r>
  <r>
    <d v="2025-04-10T00:00:00"/>
    <x v="23"/>
    <x v="1"/>
    <s v="J-138/25-26"/>
    <n v="1360"/>
    <m/>
  </r>
  <r>
    <d v="2025-04-10T00:00:00"/>
    <x v="95"/>
    <x v="1"/>
    <s v="J-139/25-26"/>
    <n v="2415"/>
    <m/>
  </r>
  <r>
    <d v="2025-04-10T00:00:00"/>
    <x v="96"/>
    <x v="1"/>
    <s v="J-140/25-26"/>
    <n v="2310"/>
    <m/>
  </r>
  <r>
    <d v="2025-04-10T00:00:00"/>
    <x v="61"/>
    <x v="1"/>
    <s v="J-141/25-26"/>
    <n v="340"/>
    <m/>
  </r>
  <r>
    <d v="2025-04-10T00:00:00"/>
    <x v="97"/>
    <x v="1"/>
    <s v="J-142/25-26"/>
    <n v="2110"/>
    <m/>
  </r>
  <r>
    <d v="2025-04-10T00:00:00"/>
    <x v="10"/>
    <x v="1"/>
    <s v="J-143/25-26"/>
    <n v="34182"/>
    <m/>
  </r>
  <r>
    <d v="2025-04-10T00:00:00"/>
    <x v="98"/>
    <x v="1"/>
    <s v="J-144/25-26"/>
    <n v="1740"/>
    <m/>
  </r>
  <r>
    <d v="2025-04-10T00:00:00"/>
    <x v="28"/>
    <x v="1"/>
    <s v="J-145/25-26"/>
    <n v="58683"/>
    <m/>
  </r>
  <r>
    <d v="2025-04-10T00:00:00"/>
    <x v="99"/>
    <x v="1"/>
    <s v="J-146/25-26"/>
    <n v="1240"/>
    <m/>
  </r>
  <r>
    <d v="2025-04-10T00:00:00"/>
    <x v="100"/>
    <x v="1"/>
    <s v="J-147/25-26"/>
    <n v="4122"/>
    <m/>
  </r>
  <r>
    <d v="2025-04-10T00:00:00"/>
    <x v="101"/>
    <x v="1"/>
    <s v="J-148/25-26"/>
    <n v="1020"/>
    <m/>
  </r>
  <r>
    <d v="2025-04-10T00:00:00"/>
    <x v="17"/>
    <x v="1"/>
    <s v="J-149/25-26"/>
    <n v="8500"/>
    <m/>
  </r>
  <r>
    <d v="2025-04-10T00:00:00"/>
    <x v="35"/>
    <x v="1"/>
    <s v="J-150/25-26"/>
    <n v="614"/>
    <m/>
  </r>
  <r>
    <d v="2025-04-10T00:00:00"/>
    <x v="71"/>
    <x v="1"/>
    <s v="J-151/25-26"/>
    <n v="680"/>
    <m/>
  </r>
  <r>
    <d v="2025-04-10T00:00:00"/>
    <x v="60"/>
    <x v="1"/>
    <s v="J-152/25-26"/>
    <n v="2158"/>
    <m/>
  </r>
  <r>
    <d v="2025-04-10T00:00:00"/>
    <x v="18"/>
    <x v="1"/>
    <s v="J-153/25-26"/>
    <n v="670"/>
    <m/>
  </r>
  <r>
    <d v="2025-04-10T00:00:00"/>
    <x v="102"/>
    <x v="1"/>
    <s v="J-154/25-26"/>
    <n v="33513"/>
    <m/>
  </r>
  <r>
    <d v="2025-04-10T00:00:00"/>
    <x v="103"/>
    <x v="1"/>
    <s v="J-155/25-26"/>
    <n v="35375"/>
    <m/>
  </r>
  <r>
    <d v="2025-04-10T00:00:00"/>
    <x v="60"/>
    <x v="1"/>
    <s v="J-156/25-26"/>
    <n v="14980"/>
    <m/>
  </r>
  <r>
    <d v="2025-04-10T00:00:00"/>
    <x v="68"/>
    <x v="1"/>
    <s v="J-157/25-26"/>
    <n v="340"/>
    <m/>
  </r>
  <r>
    <d v="2025-04-10T00:00:00"/>
    <x v="20"/>
    <x v="1"/>
    <s v="J-158/25-26"/>
    <n v="16350"/>
    <m/>
  </r>
  <r>
    <d v="2025-04-10T00:00:00"/>
    <x v="3"/>
    <x v="1"/>
    <s v="J-159/25-26"/>
    <n v="680"/>
    <m/>
  </r>
  <r>
    <d v="2025-04-11T00:00:00"/>
    <x v="87"/>
    <x v="0"/>
    <s v="JU-26/25-26"/>
    <n v="9344"/>
    <m/>
  </r>
  <r>
    <d v="2025-04-11T00:00:00"/>
    <x v="104"/>
    <x v="1"/>
    <s v="J-160/25-26"/>
    <n v="680"/>
    <m/>
  </r>
  <r>
    <d v="2025-04-11T00:00:00"/>
    <x v="105"/>
    <x v="1"/>
    <s v="J-161/25-26"/>
    <n v="7513"/>
    <m/>
  </r>
  <r>
    <d v="2025-04-11T00:00:00"/>
    <x v="79"/>
    <x v="1"/>
    <s v="J-162/25-26"/>
    <n v="3400"/>
    <m/>
  </r>
  <r>
    <d v="2025-04-11T00:00:00"/>
    <x v="106"/>
    <x v="1"/>
    <s v="J-163/25-26"/>
    <n v="1383"/>
    <m/>
  </r>
  <r>
    <d v="2025-04-11T00:00:00"/>
    <x v="11"/>
    <x v="1"/>
    <s v="J-164/25-26"/>
    <n v="2720"/>
    <m/>
  </r>
  <r>
    <d v="2025-04-11T00:00:00"/>
    <x v="28"/>
    <x v="1"/>
    <s v="J-165/25-26"/>
    <n v="744"/>
    <m/>
  </r>
  <r>
    <d v="2025-04-11T00:00:00"/>
    <x v="11"/>
    <x v="1"/>
    <s v="J-166/25-26"/>
    <n v="12"/>
    <m/>
  </r>
  <r>
    <d v="2025-04-11T00:00:00"/>
    <x v="23"/>
    <x v="1"/>
    <s v="J-167/25-26"/>
    <n v="2750"/>
    <m/>
  </r>
  <r>
    <d v="2025-04-11T00:00:00"/>
    <x v="107"/>
    <x v="1"/>
    <s v="J-168/25-26"/>
    <n v="15680"/>
    <m/>
  </r>
  <r>
    <d v="2025-04-11T00:00:00"/>
    <x v="89"/>
    <x v="1"/>
    <s v="J-169/25-26"/>
    <n v="680"/>
    <m/>
  </r>
  <r>
    <d v="2025-04-11T00:00:00"/>
    <x v="29"/>
    <x v="1"/>
    <s v="J-170/25-26"/>
    <n v="3510"/>
    <m/>
  </r>
  <r>
    <d v="2025-04-11T00:00:00"/>
    <x v="108"/>
    <x v="1"/>
    <s v="J-171/25-26"/>
    <n v="967"/>
    <m/>
  </r>
  <r>
    <d v="2025-04-11T00:00:00"/>
    <x v="28"/>
    <x v="1"/>
    <s v="J-172/25-26"/>
    <n v="1020"/>
    <m/>
  </r>
  <r>
    <d v="2025-04-11T00:00:00"/>
    <x v="109"/>
    <x v="1"/>
    <s v="J-173/25-26"/>
    <n v="50"/>
    <m/>
  </r>
  <r>
    <d v="2025-04-11T00:00:00"/>
    <x v="110"/>
    <x v="1"/>
    <s v="J-174/25-26"/>
    <n v="320"/>
    <m/>
  </r>
  <r>
    <d v="2025-04-12T00:00:00"/>
    <x v="15"/>
    <x v="0"/>
    <s v="JU-27/25-26"/>
    <n v="5686"/>
    <m/>
  </r>
  <r>
    <d v="2025-04-12T00:00:00"/>
    <x v="14"/>
    <x v="0"/>
    <s v="JU-28/25-26"/>
    <n v="27860"/>
    <m/>
  </r>
  <r>
    <d v="2025-04-12T00:00:00"/>
    <x v="94"/>
    <x v="0"/>
    <s v="JU-29/25-26"/>
    <n v="3400"/>
    <m/>
  </r>
  <r>
    <d v="2025-04-12T00:00:00"/>
    <x v="14"/>
    <x v="0"/>
    <s v="JU-30/25-26"/>
    <n v="5360"/>
    <m/>
  </r>
  <r>
    <d v="2025-04-12T00:00:00"/>
    <x v="15"/>
    <x v="0"/>
    <s v="JU-31/25-26"/>
    <n v="9564"/>
    <m/>
  </r>
  <r>
    <d v="2025-04-12T00:00:00"/>
    <x v="111"/>
    <x v="0"/>
    <s v="JU-32/25-26"/>
    <n v="68000"/>
    <m/>
  </r>
  <r>
    <d v="2025-04-12T00:00:00"/>
    <x v="112"/>
    <x v="0"/>
    <s v="JU-33/25-26"/>
    <n v="21000"/>
    <m/>
  </r>
  <r>
    <d v="2025-04-12T00:00:00"/>
    <x v="100"/>
    <x v="1"/>
    <s v="J-175/25-26"/>
    <n v="7383"/>
    <m/>
  </r>
  <r>
    <d v="2025-04-12T00:00:00"/>
    <x v="23"/>
    <x v="1"/>
    <s v="J-176/25-26"/>
    <n v="325"/>
    <m/>
  </r>
  <r>
    <d v="2025-04-12T00:00:00"/>
    <x v="66"/>
    <x v="1"/>
    <s v="J-177/25-26"/>
    <n v="340"/>
    <m/>
  </r>
  <r>
    <d v="2025-04-12T00:00:00"/>
    <x v="8"/>
    <x v="1"/>
    <s v="J-178/25-26"/>
    <n v="9683"/>
    <m/>
  </r>
  <r>
    <d v="2025-04-12T00:00:00"/>
    <x v="113"/>
    <x v="1"/>
    <s v="J-179/25-26"/>
    <n v="1476"/>
    <m/>
  </r>
  <r>
    <d v="2025-04-12T00:00:00"/>
    <x v="2"/>
    <x v="1"/>
    <s v="J-180/25-26"/>
    <n v="8285"/>
    <m/>
  </r>
  <r>
    <d v="2025-04-12T00:00:00"/>
    <x v="20"/>
    <x v="1"/>
    <s v="J-181/25-26"/>
    <n v="5326"/>
    <m/>
  </r>
  <r>
    <d v="2025-04-12T00:00:00"/>
    <x v="20"/>
    <x v="1"/>
    <s v="J-182/25-26"/>
    <n v="180"/>
    <m/>
  </r>
  <r>
    <d v="2025-04-12T00:00:00"/>
    <x v="75"/>
    <x v="1"/>
    <s v="J-183/25-26"/>
    <n v="220"/>
    <m/>
  </r>
  <r>
    <d v="2025-04-12T00:00:00"/>
    <x v="9"/>
    <x v="1"/>
    <s v="J-184/25-26"/>
    <n v="5130"/>
    <m/>
  </r>
  <r>
    <d v="2025-04-12T00:00:00"/>
    <x v="114"/>
    <x v="1"/>
    <s v="J-185/25-26"/>
    <n v="6310"/>
    <m/>
  </r>
  <r>
    <d v="2025-04-12T00:00:00"/>
    <x v="115"/>
    <x v="1"/>
    <s v="J-186/25-26"/>
    <n v="17912"/>
    <m/>
  </r>
  <r>
    <d v="2025-04-12T00:00:00"/>
    <x v="11"/>
    <x v="1"/>
    <s v="J-187/25-26"/>
    <n v="7850"/>
    <m/>
  </r>
  <r>
    <d v="2025-04-12T00:00:00"/>
    <x v="53"/>
    <x v="1"/>
    <s v="J-188/25-26"/>
    <n v="1138"/>
    <m/>
  </r>
  <r>
    <d v="2025-04-12T00:00:00"/>
    <x v="11"/>
    <x v="1"/>
    <s v="J-189/25-26"/>
    <n v="340"/>
    <m/>
  </r>
  <r>
    <d v="2025-04-12T00:00:00"/>
    <x v="116"/>
    <x v="1"/>
    <s v="J-190/25-26"/>
    <n v="1700"/>
    <m/>
  </r>
  <r>
    <d v="2025-04-12T00:00:00"/>
    <x v="54"/>
    <x v="1"/>
    <s v="J-191/25-26"/>
    <n v="940"/>
    <m/>
  </r>
  <r>
    <d v="2025-04-12T00:00:00"/>
    <x v="20"/>
    <x v="1"/>
    <s v="J-192/25-26"/>
    <n v="5440"/>
    <m/>
  </r>
  <r>
    <d v="2025-04-12T00:00:00"/>
    <x v="26"/>
    <x v="1"/>
    <s v="J-193/25-26"/>
    <n v="450"/>
    <m/>
  </r>
  <r>
    <d v="2025-04-12T00:00:00"/>
    <x v="117"/>
    <x v="1"/>
    <s v="J-194/25-26"/>
    <n v="700"/>
    <m/>
  </r>
  <r>
    <d v="2025-04-12T00:00:00"/>
    <x v="10"/>
    <x v="1"/>
    <s v="J-195/25-26"/>
    <n v="12940"/>
    <m/>
  </r>
  <r>
    <d v="2025-04-12T00:00:00"/>
    <x v="28"/>
    <x v="1"/>
    <s v="J-196/25-26"/>
    <n v="2471"/>
    <m/>
  </r>
  <r>
    <d v="2025-04-12T00:00:00"/>
    <x v="47"/>
    <x v="1"/>
    <s v="J-197/25-26"/>
    <n v="3225"/>
    <m/>
  </r>
  <r>
    <d v="2025-04-12T00:00:00"/>
    <x v="118"/>
    <x v="1"/>
    <s v="J-198/25-26"/>
    <n v="2964"/>
    <m/>
  </r>
  <r>
    <d v="2025-04-12T00:00:00"/>
    <x v="3"/>
    <x v="1"/>
    <s v="J-199/25-26"/>
    <n v="680"/>
    <m/>
  </r>
  <r>
    <d v="2025-04-12T00:00:00"/>
    <x v="119"/>
    <x v="1"/>
    <s v="J-200/25-26"/>
    <n v="680"/>
    <m/>
  </r>
  <r>
    <d v="2025-04-12T00:00:00"/>
    <x v="20"/>
    <x v="1"/>
    <s v="J-201/25-26"/>
    <n v="2670"/>
    <m/>
  </r>
  <r>
    <d v="2025-04-12T00:00:00"/>
    <x v="28"/>
    <x v="1"/>
    <s v="J-202/25-26"/>
    <n v="1360"/>
    <m/>
  </r>
  <r>
    <d v="2025-04-12T00:00:00"/>
    <x v="25"/>
    <x v="1"/>
    <s v="J-203/25-26"/>
    <n v="34967"/>
    <m/>
  </r>
  <r>
    <d v="2025-04-12T00:00:00"/>
    <x v="25"/>
    <x v="1"/>
    <s v="J-204/25-26"/>
    <n v="368"/>
    <m/>
  </r>
  <r>
    <d v="2025-04-12T00:00:00"/>
    <x v="53"/>
    <x v="1"/>
    <s v="J-205/25-26"/>
    <n v="503"/>
    <m/>
  </r>
  <r>
    <d v="2025-04-12T00:00:00"/>
    <x v="120"/>
    <x v="1"/>
    <s v="J-206/25-26"/>
    <n v="4875"/>
    <m/>
  </r>
  <r>
    <d v="2025-04-12T00:00:00"/>
    <x v="120"/>
    <x v="1"/>
    <s v="J-207/25-26"/>
    <n v="84"/>
    <m/>
  </r>
  <r>
    <d v="2025-04-12T00:00:00"/>
    <x v="75"/>
    <x v="1"/>
    <s v="J-208/25-26"/>
    <n v="38440"/>
    <m/>
  </r>
  <r>
    <d v="2025-04-12T00:00:00"/>
    <x v="50"/>
    <x v="1"/>
    <s v="J-209/25-26"/>
    <n v="12730"/>
    <m/>
  </r>
  <r>
    <d v="2025-04-12T00:00:00"/>
    <x v="11"/>
    <x v="1"/>
    <s v="J-210/25-26"/>
    <n v="3182"/>
    <m/>
  </r>
  <r>
    <d v="2025-04-12T00:00:00"/>
    <x v="11"/>
    <x v="1"/>
    <s v="J-211/25-26"/>
    <n v="346"/>
    <m/>
  </r>
  <r>
    <d v="2025-04-14T00:00:00"/>
    <x v="28"/>
    <x v="1"/>
    <s v="J-212/25-26"/>
    <n v="8160"/>
    <m/>
  </r>
  <r>
    <d v="2025-04-14T00:00:00"/>
    <x v="11"/>
    <x v="1"/>
    <s v="J-213/25-26"/>
    <n v="50"/>
    <m/>
  </r>
  <r>
    <d v="2025-04-14T00:00:00"/>
    <x v="23"/>
    <x v="1"/>
    <s v="J-214/25-26"/>
    <n v="1700"/>
    <m/>
  </r>
  <r>
    <d v="2025-04-14T00:00:00"/>
    <x v="121"/>
    <x v="1"/>
    <s v="J-215/25-26"/>
    <n v="4443"/>
    <m/>
  </r>
  <r>
    <d v="2025-04-14T00:00:00"/>
    <x v="11"/>
    <x v="1"/>
    <s v="J-216/25-26"/>
    <n v="680"/>
    <m/>
  </r>
  <r>
    <d v="2025-04-14T00:00:00"/>
    <x v="122"/>
    <x v="1"/>
    <s v="J-217/25-26"/>
    <n v="2025"/>
    <m/>
  </r>
  <r>
    <d v="2025-04-14T00:00:00"/>
    <x v="11"/>
    <x v="1"/>
    <s v="J-218/25-26"/>
    <n v="12"/>
    <m/>
  </r>
  <r>
    <d v="2025-04-14T00:00:00"/>
    <x v="28"/>
    <x v="1"/>
    <s v="J-219/25-26"/>
    <n v="340"/>
    <m/>
  </r>
  <r>
    <d v="2025-04-14T00:00:00"/>
    <x v="123"/>
    <x v="1"/>
    <s v="J-220/25-26"/>
    <n v="914"/>
    <m/>
  </r>
  <r>
    <d v="2025-04-14T00:00:00"/>
    <x v="124"/>
    <x v="1"/>
    <s v="J-221/25-26"/>
    <n v="50"/>
    <m/>
  </r>
  <r>
    <d v="2025-04-14T00:00:00"/>
    <x v="125"/>
    <x v="1"/>
    <s v="J-222/25-26"/>
    <n v="340"/>
    <m/>
  </r>
  <r>
    <d v="2025-04-15T00:00:00"/>
    <x v="77"/>
    <x v="0"/>
    <s v="JU-34/25-26"/>
    <n v="2783"/>
    <m/>
  </r>
  <r>
    <d v="2025-04-15T00:00:00"/>
    <x v="11"/>
    <x v="1"/>
    <s v="J-223/25-26"/>
    <n v="340"/>
    <m/>
  </r>
  <r>
    <d v="2025-04-15T00:00:00"/>
    <x v="126"/>
    <x v="1"/>
    <s v="J-224/25-26"/>
    <n v="375"/>
    <m/>
  </r>
  <r>
    <d v="2025-04-15T00:00:00"/>
    <x v="127"/>
    <x v="1"/>
    <s v="J-225/25-26"/>
    <n v="513"/>
    <m/>
  </r>
  <r>
    <d v="2025-04-15T00:00:00"/>
    <x v="25"/>
    <x v="1"/>
    <s v="J-226/25-26"/>
    <n v="105"/>
    <m/>
  </r>
  <r>
    <d v="2025-04-15T00:00:00"/>
    <x v="25"/>
    <x v="1"/>
    <s v="J-227/25-26"/>
    <n v="283"/>
    <m/>
  </r>
  <r>
    <d v="2025-04-15T00:00:00"/>
    <x v="23"/>
    <x v="1"/>
    <s v="J-228/25-26"/>
    <n v="175"/>
    <m/>
  </r>
  <r>
    <d v="2025-04-15T00:00:00"/>
    <x v="128"/>
    <x v="1"/>
    <s v="J-229/25-26"/>
    <n v="3537"/>
    <m/>
  </r>
  <r>
    <d v="2025-04-15T00:00:00"/>
    <x v="129"/>
    <x v="1"/>
    <s v="J-230/25-26"/>
    <n v="3400"/>
    <m/>
  </r>
  <r>
    <d v="2025-04-15T00:00:00"/>
    <x v="130"/>
    <x v="1"/>
    <s v="J-231/25-26"/>
    <n v="340"/>
    <m/>
  </r>
  <r>
    <d v="2025-04-15T00:00:00"/>
    <x v="11"/>
    <x v="1"/>
    <s v="J-232/25-26"/>
    <n v="12"/>
    <m/>
  </r>
  <r>
    <d v="2025-04-15T00:00:00"/>
    <x v="46"/>
    <x v="1"/>
    <s v="J-233/25-26"/>
    <n v="9235"/>
    <m/>
  </r>
  <r>
    <d v="2025-04-15T00:00:00"/>
    <x v="89"/>
    <x v="1"/>
    <s v="J-234/25-26"/>
    <n v="340"/>
    <m/>
  </r>
  <r>
    <d v="2025-04-15T00:00:00"/>
    <x v="131"/>
    <x v="1"/>
    <s v="J-235/25-26"/>
    <n v="1400"/>
    <m/>
  </r>
  <r>
    <d v="2025-04-15T00:00:00"/>
    <x v="4"/>
    <x v="1"/>
    <s v="J-236/25-26"/>
    <n v="8367"/>
    <m/>
  </r>
  <r>
    <d v="2025-04-15T00:00:00"/>
    <x v="107"/>
    <x v="1"/>
    <s v="J-237/25-26"/>
    <n v="3862"/>
    <m/>
  </r>
  <r>
    <d v="2025-04-15T00:00:00"/>
    <x v="132"/>
    <x v="1"/>
    <s v="J-238/25-26"/>
    <n v="25590"/>
    <m/>
  </r>
  <r>
    <d v="2025-04-15T00:00:00"/>
    <x v="18"/>
    <x v="1"/>
    <s v="J-239/25-26"/>
    <n v="88780"/>
    <m/>
  </r>
  <r>
    <d v="2025-04-15T00:00:00"/>
    <x v="11"/>
    <x v="1"/>
    <s v="J-240/25-26"/>
    <n v="12"/>
    <m/>
  </r>
  <r>
    <d v="2025-04-15T00:00:00"/>
    <x v="107"/>
    <x v="1"/>
    <s v="J-241/25-26"/>
    <n v="33147"/>
    <m/>
  </r>
  <r>
    <d v="2025-04-15T00:00:00"/>
    <x v="23"/>
    <x v="1"/>
    <s v="J-242/25-26"/>
    <n v="450"/>
    <m/>
  </r>
  <r>
    <d v="2025-04-15T00:00:00"/>
    <x v="133"/>
    <x v="1"/>
    <s v="J-243/25-26"/>
    <n v="11690"/>
    <m/>
  </r>
  <r>
    <d v="2025-04-15T00:00:00"/>
    <x v="134"/>
    <x v="1"/>
    <s v="J-244/25-26"/>
    <n v="733"/>
    <m/>
  </r>
  <r>
    <d v="2025-04-15T00:00:00"/>
    <x v="135"/>
    <x v="1"/>
    <s v="J-245/25-26"/>
    <n v="4696"/>
    <m/>
  </r>
  <r>
    <d v="2025-04-16T00:00:00"/>
    <x v="64"/>
    <x v="0"/>
    <s v="JU-35/25-26"/>
    <n v="13920"/>
    <m/>
  </r>
  <r>
    <d v="2025-04-16T00:00:00"/>
    <x v="136"/>
    <x v="0"/>
    <s v="JU-36/25-26"/>
    <n v="112257"/>
    <m/>
  </r>
  <r>
    <d v="2025-04-16T00:00:00"/>
    <x v="137"/>
    <x v="0"/>
    <s v="JU-37/25-26"/>
    <n v="1293"/>
    <m/>
  </r>
  <r>
    <d v="2025-04-16T00:00:00"/>
    <x v="15"/>
    <x v="0"/>
    <s v="JU-38/25-26"/>
    <n v="10374"/>
    <m/>
  </r>
  <r>
    <d v="2025-04-16T00:00:00"/>
    <x v="138"/>
    <x v="0"/>
    <s v="JU-39/25-26"/>
    <m/>
    <m/>
  </r>
  <r>
    <d v="2025-04-16T00:00:00"/>
    <x v="89"/>
    <x v="1"/>
    <s v="J-246/25-26"/>
    <n v="1050"/>
    <m/>
  </r>
  <r>
    <d v="2025-04-16T00:00:00"/>
    <x v="57"/>
    <x v="1"/>
    <s v="J-247/25-26"/>
    <n v="12637"/>
    <m/>
  </r>
  <r>
    <d v="2025-04-16T00:00:00"/>
    <x v="115"/>
    <x v="1"/>
    <s v="J-248/25-26"/>
    <n v="20165"/>
    <m/>
  </r>
  <r>
    <d v="2025-04-16T00:00:00"/>
    <x v="139"/>
    <x v="1"/>
    <s v="J-249/25-26"/>
    <n v="7573"/>
    <m/>
  </r>
  <r>
    <d v="2025-04-16T00:00:00"/>
    <x v="140"/>
    <x v="1"/>
    <s v="J-250/25-26"/>
    <n v="316"/>
    <m/>
  </r>
  <r>
    <d v="2025-04-16T00:00:00"/>
    <x v="141"/>
    <x v="1"/>
    <s v="J-251/25-26"/>
    <n v="764"/>
    <m/>
  </r>
  <r>
    <d v="2025-04-16T00:00:00"/>
    <x v="11"/>
    <x v="1"/>
    <s v="J-252/25-26"/>
    <n v="12"/>
    <m/>
  </r>
  <r>
    <d v="2025-04-16T00:00:00"/>
    <x v="142"/>
    <x v="1"/>
    <s v="J-253/25-26"/>
    <n v="350"/>
    <m/>
  </r>
  <r>
    <d v="2025-04-16T00:00:00"/>
    <x v="8"/>
    <x v="1"/>
    <s v="J-254/25-26"/>
    <n v="734"/>
    <m/>
  </r>
  <r>
    <d v="2025-04-16T00:00:00"/>
    <x v="143"/>
    <x v="1"/>
    <s v="J-255/25-26"/>
    <n v="100"/>
    <m/>
  </r>
  <r>
    <d v="2025-04-16T00:00:00"/>
    <x v="144"/>
    <x v="1"/>
    <s v="J-256/25-26"/>
    <n v="495"/>
    <m/>
  </r>
  <r>
    <d v="2025-04-16T00:00:00"/>
    <x v="145"/>
    <x v="1"/>
    <s v="J-257/25-26"/>
    <n v="7737"/>
    <m/>
  </r>
  <r>
    <d v="2025-04-16T00:00:00"/>
    <x v="143"/>
    <x v="1"/>
    <s v="J-258/25-26"/>
    <n v="100"/>
    <m/>
  </r>
  <r>
    <d v="2025-04-16T00:00:00"/>
    <x v="146"/>
    <x v="1"/>
    <s v="J-259/25-26"/>
    <n v="3710"/>
    <m/>
  </r>
  <r>
    <d v="2025-04-17T00:00:00"/>
    <x v="64"/>
    <x v="0"/>
    <s v="JU-40/25-26"/>
    <n v="1840"/>
    <m/>
  </r>
  <r>
    <d v="2025-04-17T00:00:00"/>
    <x v="23"/>
    <x v="1"/>
    <s v="J-260/25-26"/>
    <n v="1750"/>
    <m/>
  </r>
  <r>
    <d v="2025-04-17T00:00:00"/>
    <x v="147"/>
    <x v="1"/>
    <s v="J-261/25-26"/>
    <n v="3500"/>
    <m/>
  </r>
  <r>
    <d v="2025-04-17T00:00:00"/>
    <x v="115"/>
    <x v="1"/>
    <s v="J-262/25-26"/>
    <n v="27090"/>
    <m/>
  </r>
  <r>
    <d v="2025-04-17T00:00:00"/>
    <x v="146"/>
    <x v="1"/>
    <s v="J-263/25-26"/>
    <n v="866"/>
    <m/>
  </r>
  <r>
    <d v="2025-04-17T00:00:00"/>
    <x v="11"/>
    <x v="1"/>
    <s v="J-264/25-26"/>
    <n v="350"/>
    <m/>
  </r>
  <r>
    <d v="2025-04-17T00:00:00"/>
    <x v="148"/>
    <x v="1"/>
    <s v="J-265/25-26"/>
    <n v="25357"/>
    <m/>
  </r>
  <r>
    <d v="2025-04-17T00:00:00"/>
    <x v="149"/>
    <x v="1"/>
    <s v="J-266/25-26"/>
    <n v="4235"/>
    <m/>
  </r>
  <r>
    <d v="2025-04-17T00:00:00"/>
    <x v="150"/>
    <x v="1"/>
    <s v="J-267/25-26"/>
    <n v="12870"/>
    <m/>
  </r>
  <r>
    <d v="2025-04-17T00:00:00"/>
    <x v="151"/>
    <x v="1"/>
    <s v="J-268/25-26"/>
    <n v="50"/>
    <m/>
  </r>
  <r>
    <d v="2025-04-17T00:00:00"/>
    <x v="43"/>
    <x v="1"/>
    <s v="J-269/25-26"/>
    <n v="3500"/>
    <m/>
  </r>
  <r>
    <d v="2025-04-17T00:00:00"/>
    <x v="152"/>
    <x v="1"/>
    <s v="J-270/25-26"/>
    <n v="350"/>
    <m/>
  </r>
  <r>
    <d v="2025-04-17T00:00:00"/>
    <x v="23"/>
    <x v="1"/>
    <s v="J-271/25-26"/>
    <n v="8603"/>
    <m/>
  </r>
  <r>
    <d v="2025-04-17T00:00:00"/>
    <x v="18"/>
    <x v="1"/>
    <s v="J-272/25-26"/>
    <n v="60"/>
    <m/>
  </r>
  <r>
    <d v="2025-04-17T00:00:00"/>
    <x v="11"/>
    <x v="1"/>
    <s v="J-273/25-26"/>
    <n v="1954"/>
    <m/>
  </r>
  <r>
    <d v="2025-04-17T00:00:00"/>
    <x v="153"/>
    <x v="1"/>
    <s v="J-274/25-26"/>
    <n v="8040"/>
    <m/>
  </r>
  <r>
    <d v="2025-04-17T00:00:00"/>
    <x v="30"/>
    <x v="1"/>
    <s v="J-275/25-26"/>
    <n v="1000"/>
    <m/>
  </r>
  <r>
    <d v="2025-04-17T00:00:00"/>
    <x v="154"/>
    <x v="1"/>
    <s v="J-276/25-26"/>
    <n v="3150"/>
    <m/>
  </r>
  <r>
    <d v="2025-04-17T00:00:00"/>
    <x v="11"/>
    <x v="1"/>
    <s v="J-277/25-26"/>
    <n v="12"/>
    <m/>
  </r>
  <r>
    <d v="2025-04-17T00:00:00"/>
    <x v="4"/>
    <x v="1"/>
    <s v="J-278/25-26"/>
    <n v="4782"/>
    <m/>
  </r>
  <r>
    <d v="2025-04-17T00:00:00"/>
    <x v="115"/>
    <x v="1"/>
    <s v="J-279/25-26"/>
    <n v="9939"/>
    <m/>
  </r>
  <r>
    <d v="2025-04-17T00:00:00"/>
    <x v="155"/>
    <x v="1"/>
    <s v="J-280/25-26"/>
    <n v="20390"/>
    <m/>
  </r>
  <r>
    <d v="2025-04-17T00:00:00"/>
    <x v="73"/>
    <x v="1"/>
    <s v="J-281/25-26"/>
    <n v="700"/>
    <m/>
  </r>
  <r>
    <d v="2025-04-17T00:00:00"/>
    <x v="156"/>
    <x v="1"/>
    <s v="J-282/25-26"/>
    <n v="25700"/>
    <m/>
  </r>
  <r>
    <d v="2025-04-17T00:00:00"/>
    <x v="157"/>
    <x v="1"/>
    <s v="J-283/25-26"/>
    <n v="1072"/>
    <m/>
  </r>
  <r>
    <d v="2025-04-17T00:00:00"/>
    <x v="156"/>
    <x v="1"/>
    <s v="J-284/25-26"/>
    <n v="350"/>
    <m/>
  </r>
  <r>
    <d v="2025-04-19T00:00:00"/>
    <x v="158"/>
    <x v="0"/>
    <s v="JU-41/25-26"/>
    <n v="14552"/>
    <m/>
  </r>
  <r>
    <d v="2025-04-19T00:00:00"/>
    <x v="87"/>
    <x v="0"/>
    <s v="JU-42/25-26"/>
    <n v="1077"/>
    <m/>
  </r>
  <r>
    <d v="2025-04-19T00:00:00"/>
    <x v="159"/>
    <x v="1"/>
    <s v="J-285/25-26"/>
    <n v="14471"/>
    <m/>
  </r>
  <r>
    <d v="2025-04-19T00:00:00"/>
    <x v="160"/>
    <x v="1"/>
    <s v="J-286/25-26"/>
    <n v="10940"/>
    <m/>
  </r>
  <r>
    <d v="2025-04-19T00:00:00"/>
    <x v="147"/>
    <x v="1"/>
    <s v="J-287/25-26"/>
    <n v="3600"/>
    <m/>
  </r>
  <r>
    <d v="2025-04-19T00:00:00"/>
    <x v="3"/>
    <x v="1"/>
    <s v="J-288/25-26"/>
    <n v="360"/>
    <m/>
  </r>
  <r>
    <d v="2025-04-19T00:00:00"/>
    <x v="161"/>
    <x v="1"/>
    <s v="J-289/25-26"/>
    <n v="670"/>
    <m/>
  </r>
  <r>
    <d v="2025-04-19T00:00:00"/>
    <x v="8"/>
    <x v="1"/>
    <s v="J-290/25-26"/>
    <n v="2096"/>
    <m/>
  </r>
  <r>
    <d v="2025-04-19T00:00:00"/>
    <x v="162"/>
    <x v="1"/>
    <s v="J-291/25-26"/>
    <n v="9027"/>
    <m/>
  </r>
  <r>
    <d v="2025-04-19T00:00:00"/>
    <x v="159"/>
    <x v="1"/>
    <s v="J-292/25-26"/>
    <n v="2025"/>
    <m/>
  </r>
  <r>
    <d v="2025-04-19T00:00:00"/>
    <x v="11"/>
    <x v="1"/>
    <s v="J-293/25-26"/>
    <n v="507"/>
    <m/>
  </r>
  <r>
    <d v="2025-04-19T00:00:00"/>
    <x v="11"/>
    <x v="1"/>
    <s v="J-294/25-26"/>
    <n v="12"/>
    <m/>
  </r>
  <r>
    <d v="2025-04-19T00:00:00"/>
    <x v="163"/>
    <x v="1"/>
    <s v="J-295/25-26"/>
    <n v="8293"/>
    <m/>
  </r>
  <r>
    <d v="2025-04-19T00:00:00"/>
    <x v="164"/>
    <x v="1"/>
    <s v="J-296/25-26"/>
    <n v="932"/>
    <m/>
  </r>
  <r>
    <d v="2025-04-19T00:00:00"/>
    <x v="165"/>
    <x v="1"/>
    <s v="J-297/25-26"/>
    <n v="10120"/>
    <m/>
  </r>
  <r>
    <d v="2025-04-19T00:00:00"/>
    <x v="162"/>
    <x v="1"/>
    <s v="J-298/25-26"/>
    <n v="1900"/>
    <m/>
  </r>
  <r>
    <d v="2025-04-19T00:00:00"/>
    <x v="17"/>
    <x v="1"/>
    <s v="J-299/25-26"/>
    <n v="350"/>
    <m/>
  </r>
  <r>
    <d v="2025-04-19T00:00:00"/>
    <x v="10"/>
    <x v="1"/>
    <s v="J-300/25-26"/>
    <n v="1381"/>
    <m/>
  </r>
  <r>
    <d v="2025-04-19T00:00:00"/>
    <x v="23"/>
    <x v="1"/>
    <s v="J-301/25-26"/>
    <n v="404"/>
    <m/>
  </r>
  <r>
    <d v="2025-04-19T00:00:00"/>
    <x v="166"/>
    <x v="1"/>
    <s v="J-302/25-26"/>
    <n v="7606"/>
    <m/>
  </r>
  <r>
    <d v="2025-04-19T00:00:00"/>
    <x v="161"/>
    <x v="1"/>
    <s v="J-303/25-26"/>
    <n v="411"/>
    <m/>
  </r>
  <r>
    <d v="2025-04-19T00:00:00"/>
    <x v="160"/>
    <x v="1"/>
    <s v="J-304/25-26"/>
    <n v="10522"/>
    <m/>
  </r>
  <r>
    <d v="2025-04-19T00:00:00"/>
    <x v="134"/>
    <x v="1"/>
    <s v="J-305/25-26"/>
    <n v="4337"/>
    <m/>
  </r>
  <r>
    <d v="2025-04-19T00:00:00"/>
    <x v="167"/>
    <x v="1"/>
    <s v="J-306/25-26"/>
    <n v="3500"/>
    <m/>
  </r>
  <r>
    <d v="2025-04-21T00:00:00"/>
    <x v="168"/>
    <x v="0"/>
    <s v="JU-43/25-26"/>
    <n v="96700"/>
    <m/>
  </r>
  <r>
    <d v="2025-04-21T00:00:00"/>
    <x v="168"/>
    <x v="0"/>
    <s v="JU-44/25-26"/>
    <n v="95022"/>
    <m/>
  </r>
  <r>
    <d v="2025-04-21T00:00:00"/>
    <x v="169"/>
    <x v="1"/>
    <s v="J-307/25-26"/>
    <n v="3000"/>
    <m/>
  </r>
  <r>
    <d v="2025-04-21T00:00:00"/>
    <x v="159"/>
    <x v="1"/>
    <s v="J-308/25-26"/>
    <n v="1800"/>
    <m/>
  </r>
  <r>
    <d v="2025-04-21T00:00:00"/>
    <x v="8"/>
    <x v="1"/>
    <s v="J-309/25-26"/>
    <n v="6685"/>
    <m/>
  </r>
  <r>
    <d v="2025-04-21T00:00:00"/>
    <x v="61"/>
    <x v="1"/>
    <s v="J-310/25-26"/>
    <n v="100"/>
    <m/>
  </r>
  <r>
    <d v="2025-04-21T00:00:00"/>
    <x v="115"/>
    <x v="1"/>
    <s v="J-311/25-26"/>
    <n v="21716"/>
    <m/>
  </r>
  <r>
    <d v="2025-04-21T00:00:00"/>
    <x v="11"/>
    <x v="1"/>
    <s v="J-312/25-26"/>
    <n v="12"/>
    <m/>
  </r>
  <r>
    <d v="2025-04-21T00:00:00"/>
    <x v="11"/>
    <x v="1"/>
    <s v="J-313/25-26"/>
    <n v="12"/>
    <m/>
  </r>
  <r>
    <d v="2025-04-21T00:00:00"/>
    <x v="29"/>
    <x v="1"/>
    <s v="J-314/25-26"/>
    <n v="1087"/>
    <m/>
  </r>
  <r>
    <d v="2025-04-21T00:00:00"/>
    <x v="159"/>
    <x v="1"/>
    <s v="J-315/25-26"/>
    <n v="302"/>
    <m/>
  </r>
  <r>
    <d v="2025-04-21T00:00:00"/>
    <x v="8"/>
    <x v="1"/>
    <s v="J-316/25-26"/>
    <n v="1430"/>
    <m/>
  </r>
  <r>
    <d v="2025-04-21T00:00:00"/>
    <x v="170"/>
    <x v="1"/>
    <s v="J-317/25-26"/>
    <n v="4967"/>
    <m/>
  </r>
  <r>
    <d v="2025-04-21T00:00:00"/>
    <x v="171"/>
    <x v="1"/>
    <s v="J-318/25-26"/>
    <n v="131383"/>
    <m/>
  </r>
  <r>
    <d v="2025-04-21T00:00:00"/>
    <x v="159"/>
    <x v="1"/>
    <s v="J-319/25-26"/>
    <n v="3600"/>
    <m/>
  </r>
  <r>
    <d v="2025-04-21T00:00:00"/>
    <x v="11"/>
    <x v="1"/>
    <s v="J-320/25-26"/>
    <n v="10000"/>
    <m/>
  </r>
  <r>
    <d v="2025-04-21T00:00:00"/>
    <x v="172"/>
    <x v="1"/>
    <s v="J-321/25-26"/>
    <n v="6725"/>
    <m/>
  </r>
  <r>
    <d v="2025-04-21T00:00:00"/>
    <x v="8"/>
    <x v="1"/>
    <s v="J-322/25-26"/>
    <n v="935"/>
    <m/>
  </r>
  <r>
    <d v="2025-04-21T00:00:00"/>
    <x v="173"/>
    <x v="1"/>
    <s v="J-323/25-26"/>
    <n v="1066"/>
    <m/>
  </r>
  <r>
    <d v="2025-04-21T00:00:00"/>
    <x v="170"/>
    <x v="1"/>
    <s v="J-324/25-26"/>
    <n v="357"/>
    <m/>
  </r>
  <r>
    <d v="2025-04-21T00:00:00"/>
    <x v="163"/>
    <x v="1"/>
    <s v="J-325/25-26"/>
    <n v="189"/>
    <m/>
  </r>
  <r>
    <d v="2025-04-21T00:00:00"/>
    <x v="174"/>
    <x v="1"/>
    <s v="J-326/25-26"/>
    <n v="50"/>
    <m/>
  </r>
  <r>
    <d v="2025-04-21T00:00:00"/>
    <x v="170"/>
    <x v="1"/>
    <s v="J-327/25-26"/>
    <n v="2714"/>
    <m/>
  </r>
  <r>
    <d v="2025-04-21T00:00:00"/>
    <x v="11"/>
    <x v="1"/>
    <s v="J-328/25-26"/>
    <n v="12"/>
    <m/>
  </r>
  <r>
    <d v="2025-04-21T00:00:00"/>
    <x v="147"/>
    <x v="1"/>
    <s v="J-329/25-26"/>
    <n v="360"/>
    <m/>
  </r>
  <r>
    <d v="2025-04-21T00:00:00"/>
    <x v="175"/>
    <x v="1"/>
    <s v="J-330/25-26"/>
    <n v="608"/>
    <m/>
  </r>
  <r>
    <d v="2025-04-21T00:00:00"/>
    <x v="160"/>
    <x v="1"/>
    <s v="J-331/25-26"/>
    <n v="3600"/>
    <m/>
  </r>
  <r>
    <d v="2025-04-21T00:00:00"/>
    <x v="176"/>
    <x v="1"/>
    <s v="J-332/25-26"/>
    <n v="80"/>
    <m/>
  </r>
  <r>
    <d v="2025-04-21T00:00:00"/>
    <x v="177"/>
    <x v="1"/>
    <s v="J-333/25-26"/>
    <n v="200"/>
    <m/>
  </r>
  <r>
    <d v="2025-04-21T00:00:00"/>
    <x v="178"/>
    <x v="1"/>
    <s v="J-334/25-26"/>
    <n v="44183"/>
    <m/>
  </r>
  <r>
    <d v="2025-04-22T00:00:00"/>
    <x v="77"/>
    <x v="0"/>
    <s v="JU-45/25-26"/>
    <n v="3338"/>
    <m/>
  </r>
  <r>
    <d v="2025-04-22T00:00:00"/>
    <x v="15"/>
    <x v="0"/>
    <s v="JU-46/25-26"/>
    <n v="1231"/>
    <m/>
  </r>
  <r>
    <d v="2025-04-22T00:00:00"/>
    <x v="179"/>
    <x v="0"/>
    <s v="JU-47/25-26"/>
    <n v="3600"/>
    <m/>
  </r>
  <r>
    <d v="2025-04-22T00:00:00"/>
    <x v="180"/>
    <x v="0"/>
    <s v="JU-48/25-26"/>
    <n v="46064"/>
    <m/>
  </r>
  <r>
    <d v="2025-04-22T00:00:00"/>
    <x v="71"/>
    <x v="1"/>
    <s v="J-335/25-26"/>
    <n v="245"/>
    <m/>
  </r>
  <r>
    <d v="2025-04-22T00:00:00"/>
    <x v="181"/>
    <x v="1"/>
    <s v="J-336/25-26"/>
    <n v="2534"/>
    <m/>
  </r>
  <r>
    <d v="2025-04-22T00:00:00"/>
    <x v="4"/>
    <x v="1"/>
    <s v="J-337/25-26"/>
    <n v="22868"/>
    <m/>
  </r>
  <r>
    <d v="2025-04-22T00:00:00"/>
    <x v="115"/>
    <x v="1"/>
    <s v="J-338/25-26"/>
    <n v="5940"/>
    <m/>
  </r>
  <r>
    <d v="2025-04-22T00:00:00"/>
    <x v="182"/>
    <x v="1"/>
    <s v="J-339/25-26"/>
    <n v="12984"/>
    <m/>
  </r>
  <r>
    <d v="2025-04-22T00:00:00"/>
    <x v="183"/>
    <x v="1"/>
    <s v="J-340/25-26"/>
    <n v="8062"/>
    <m/>
  </r>
  <r>
    <d v="2025-04-22T00:00:00"/>
    <x v="66"/>
    <x v="1"/>
    <s v="J-341/25-26"/>
    <n v="1800"/>
    <m/>
  </r>
  <r>
    <d v="2025-04-22T00:00:00"/>
    <x v="9"/>
    <x v="1"/>
    <s v="J-342/25-26"/>
    <n v="893"/>
    <m/>
  </r>
  <r>
    <d v="2025-04-22T00:00:00"/>
    <x v="184"/>
    <x v="1"/>
    <s v="J-343/25-26"/>
    <n v="997"/>
    <m/>
  </r>
  <r>
    <d v="2025-04-22T00:00:00"/>
    <x v="185"/>
    <x v="1"/>
    <s v="J-344/25-26"/>
    <n v="4602"/>
    <m/>
  </r>
  <r>
    <d v="2025-04-22T00:00:00"/>
    <x v="186"/>
    <x v="1"/>
    <s v="J-345/25-26"/>
    <n v="800"/>
    <m/>
  </r>
  <r>
    <d v="2025-04-22T00:00:00"/>
    <x v="187"/>
    <x v="1"/>
    <s v="J-346/25-26"/>
    <n v="1050"/>
    <m/>
  </r>
  <r>
    <d v="2025-04-22T00:00:00"/>
    <x v="188"/>
    <x v="1"/>
    <s v="J-347/25-26"/>
    <n v="10800"/>
    <m/>
  </r>
  <r>
    <d v="2025-04-22T00:00:00"/>
    <x v="115"/>
    <x v="1"/>
    <s v="J-348/25-26"/>
    <n v="50"/>
    <m/>
  </r>
  <r>
    <d v="2025-04-22T00:00:00"/>
    <x v="183"/>
    <x v="1"/>
    <s v="J-349/25-26"/>
    <n v="3131"/>
    <m/>
  </r>
  <r>
    <d v="2025-04-22T00:00:00"/>
    <x v="11"/>
    <x v="1"/>
    <s v="J-350/25-26"/>
    <n v="12"/>
    <m/>
  </r>
  <r>
    <d v="2025-04-22T00:00:00"/>
    <x v="11"/>
    <x v="1"/>
    <s v="J-351/25-26"/>
    <n v="1326"/>
    <m/>
  </r>
  <r>
    <d v="2025-04-22T00:00:00"/>
    <x v="11"/>
    <x v="1"/>
    <s v="J-352/25-26"/>
    <n v="11"/>
    <m/>
  </r>
  <r>
    <d v="2025-04-23T00:00:00"/>
    <x v="181"/>
    <x v="1"/>
    <s v="J-353/25-26"/>
    <n v="3234"/>
    <m/>
  </r>
  <r>
    <d v="2025-04-23T00:00:00"/>
    <x v="189"/>
    <x v="1"/>
    <s v="J-354/25-26"/>
    <n v="71335"/>
    <m/>
  </r>
  <r>
    <d v="2025-04-23T00:00:00"/>
    <x v="190"/>
    <x v="1"/>
    <s v="J-355/25-26"/>
    <n v="1080"/>
    <m/>
  </r>
  <r>
    <d v="2025-04-23T00:00:00"/>
    <x v="172"/>
    <x v="1"/>
    <s v="J-356/25-26"/>
    <n v="1409"/>
    <m/>
  </r>
  <r>
    <d v="2025-04-23T00:00:00"/>
    <x v="100"/>
    <x v="1"/>
    <s v="J-357/25-26"/>
    <n v="1525"/>
    <m/>
  </r>
  <r>
    <d v="2025-04-23T00:00:00"/>
    <x v="18"/>
    <x v="1"/>
    <s v="J-358/25-26"/>
    <n v="2158"/>
    <m/>
  </r>
  <r>
    <d v="2025-04-23T00:00:00"/>
    <x v="191"/>
    <x v="1"/>
    <s v="J-359/25-26"/>
    <n v="1702"/>
    <m/>
  </r>
  <r>
    <d v="2025-04-23T00:00:00"/>
    <x v="192"/>
    <x v="1"/>
    <s v="J-360/25-26"/>
    <n v="215"/>
    <m/>
  </r>
  <r>
    <d v="2025-04-23T00:00:00"/>
    <x v="193"/>
    <x v="1"/>
    <s v="J-361/25-26"/>
    <n v="1551"/>
    <m/>
  </r>
  <r>
    <d v="2025-04-23T00:00:00"/>
    <x v="11"/>
    <x v="1"/>
    <s v="J-362/25-26"/>
    <n v="12"/>
    <m/>
  </r>
  <r>
    <d v="2025-04-23T00:00:00"/>
    <x v="74"/>
    <x v="1"/>
    <s v="J-363/25-26"/>
    <n v="1330"/>
    <m/>
  </r>
  <r>
    <d v="2025-04-23T00:00:00"/>
    <x v="117"/>
    <x v="1"/>
    <s v="J-364/25-26"/>
    <n v="85"/>
    <m/>
  </r>
  <r>
    <d v="2025-04-23T00:00:00"/>
    <x v="172"/>
    <x v="1"/>
    <s v="J-365/25-26"/>
    <n v="360"/>
    <m/>
  </r>
  <r>
    <d v="2025-04-23T00:00:00"/>
    <x v="20"/>
    <x v="1"/>
    <s v="J-366/25-26"/>
    <n v="9083"/>
    <m/>
  </r>
  <r>
    <d v="2025-04-23T00:00:00"/>
    <x v="159"/>
    <x v="1"/>
    <s v="J-367/25-26"/>
    <n v="1260"/>
    <m/>
  </r>
  <r>
    <d v="2025-04-24T00:00:00"/>
    <x v="15"/>
    <x v="0"/>
    <s v="JU-49/25-26"/>
    <n v="4914"/>
    <m/>
  </r>
  <r>
    <d v="2025-04-24T00:00:00"/>
    <x v="94"/>
    <x v="0"/>
    <s v="JU-50/25-26"/>
    <n v="3600"/>
    <m/>
  </r>
  <r>
    <d v="2025-04-24T00:00:00"/>
    <x v="10"/>
    <x v="1"/>
    <s v="J-368/25-26"/>
    <n v="17362"/>
    <m/>
  </r>
  <r>
    <d v="2025-04-24T00:00:00"/>
    <x v="66"/>
    <x v="1"/>
    <s v="J-369/25-26"/>
    <n v="1783"/>
    <m/>
  </r>
  <r>
    <d v="2025-04-24T00:00:00"/>
    <x v="194"/>
    <x v="1"/>
    <s v="J-370/25-26"/>
    <n v="644"/>
    <m/>
  </r>
  <r>
    <d v="2025-04-24T00:00:00"/>
    <x v="195"/>
    <x v="1"/>
    <s v="J-371/25-26"/>
    <n v="256"/>
    <m/>
  </r>
  <r>
    <d v="2025-04-24T00:00:00"/>
    <x v="196"/>
    <x v="1"/>
    <s v="J-372/25-26"/>
    <n v="9257"/>
    <m/>
  </r>
  <r>
    <d v="2025-04-24T00:00:00"/>
    <x v="9"/>
    <x v="1"/>
    <s v="J-373/25-26"/>
    <n v="2052"/>
    <m/>
  </r>
  <r>
    <d v="2025-04-24T00:00:00"/>
    <x v="197"/>
    <x v="1"/>
    <s v="J-374/25-26"/>
    <n v="1638"/>
    <m/>
  </r>
  <r>
    <d v="2025-04-24T00:00:00"/>
    <x v="11"/>
    <x v="1"/>
    <s v="J-375/25-26"/>
    <n v="55"/>
    <m/>
  </r>
  <r>
    <d v="2025-04-24T00:00:00"/>
    <x v="79"/>
    <x v="1"/>
    <s v="J-376/25-26"/>
    <n v="1080"/>
    <m/>
  </r>
  <r>
    <d v="2025-04-24T00:00:00"/>
    <x v="11"/>
    <x v="1"/>
    <s v="J-377/25-26"/>
    <n v="360"/>
    <m/>
  </r>
  <r>
    <d v="2025-04-24T00:00:00"/>
    <x v="11"/>
    <x v="1"/>
    <s v="J-378/25-26"/>
    <n v="23597"/>
    <m/>
  </r>
  <r>
    <d v="2025-04-24T00:00:00"/>
    <x v="198"/>
    <x v="1"/>
    <s v="J-379/25-26"/>
    <n v="7344"/>
    <m/>
  </r>
  <r>
    <d v="2025-04-24T00:00:00"/>
    <x v="11"/>
    <x v="1"/>
    <s v="J-380/25-26"/>
    <n v="12"/>
    <m/>
  </r>
  <r>
    <d v="2025-04-24T00:00:00"/>
    <x v="199"/>
    <x v="1"/>
    <s v="J-381/25-26"/>
    <n v="4011"/>
    <m/>
  </r>
  <r>
    <d v="2025-04-24T00:00:00"/>
    <x v="200"/>
    <x v="1"/>
    <s v="J-382/25-26"/>
    <n v="797"/>
    <m/>
  </r>
  <r>
    <d v="2025-04-24T00:00:00"/>
    <x v="25"/>
    <x v="1"/>
    <s v="J-383/25-26"/>
    <n v="3790"/>
    <m/>
  </r>
  <r>
    <d v="2025-04-24T00:00:00"/>
    <x v="159"/>
    <x v="1"/>
    <s v="J-384/25-26"/>
    <n v="1800"/>
    <m/>
  </r>
  <r>
    <d v="2025-04-24T00:00:00"/>
    <x v="201"/>
    <x v="1"/>
    <s v="J-385/25-26"/>
    <n v="24830"/>
    <m/>
  </r>
  <r>
    <d v="2025-04-24T00:00:00"/>
    <x v="18"/>
    <x v="1"/>
    <s v="J-386/25-26"/>
    <n v="1503"/>
    <m/>
  </r>
  <r>
    <d v="2025-04-24T00:00:00"/>
    <x v="184"/>
    <x v="1"/>
    <s v="J-387/25-26"/>
    <n v="5030"/>
    <m/>
  </r>
  <r>
    <d v="2025-04-24T00:00:00"/>
    <x v="202"/>
    <x v="1"/>
    <s v="J-388/25-26"/>
    <n v="1540"/>
    <m/>
  </r>
  <r>
    <d v="2025-04-24T00:00:00"/>
    <x v="178"/>
    <x v="1"/>
    <s v="J-389/25-26"/>
    <n v="1925"/>
    <m/>
  </r>
  <r>
    <d v="2025-04-24T00:00:00"/>
    <x v="191"/>
    <x v="1"/>
    <s v="J-390/25-26"/>
    <n v="140"/>
    <m/>
  </r>
  <r>
    <d v="2025-04-24T00:00:00"/>
    <x v="203"/>
    <x v="1"/>
    <s v="J-391/25-26"/>
    <n v="1782"/>
    <m/>
  </r>
  <r>
    <d v="2025-04-25T00:00:00"/>
    <x v="179"/>
    <x v="0"/>
    <s v="JU-51/25-26"/>
    <n v="2160"/>
    <m/>
  </r>
  <r>
    <d v="2025-04-25T00:00:00"/>
    <x v="14"/>
    <x v="0"/>
    <s v="JU-52/25-26"/>
    <n v="54918"/>
    <m/>
  </r>
  <r>
    <d v="2025-04-25T00:00:00"/>
    <x v="204"/>
    <x v="0"/>
    <s v="JU-53/25-26"/>
    <n v="3700"/>
    <m/>
  </r>
  <r>
    <d v="2025-04-25T00:00:00"/>
    <x v="170"/>
    <x v="1"/>
    <s v="J-392/25-26"/>
    <n v="22864"/>
    <m/>
  </r>
  <r>
    <d v="2025-04-25T00:00:00"/>
    <x v="170"/>
    <x v="1"/>
    <s v="J-393/25-26"/>
    <n v="3857"/>
    <m/>
  </r>
  <r>
    <d v="2025-04-25T00:00:00"/>
    <x v="147"/>
    <x v="1"/>
    <s v="J-394/25-26"/>
    <n v="8792"/>
    <m/>
  </r>
  <r>
    <d v="2025-04-25T00:00:00"/>
    <x v="20"/>
    <x v="1"/>
    <s v="J-395/25-26"/>
    <n v="684"/>
    <m/>
  </r>
  <r>
    <d v="2025-04-25T00:00:00"/>
    <x v="20"/>
    <x v="1"/>
    <s v="J-396/25-26"/>
    <n v="1200"/>
    <m/>
  </r>
  <r>
    <d v="2025-04-25T00:00:00"/>
    <x v="205"/>
    <x v="1"/>
    <s v="J-397/25-26"/>
    <n v="932"/>
    <m/>
  </r>
  <r>
    <d v="2025-04-25T00:00:00"/>
    <x v="147"/>
    <x v="1"/>
    <s v="J-398/25-26"/>
    <n v="3600"/>
    <m/>
  </r>
  <r>
    <d v="2025-04-25T00:00:00"/>
    <x v="206"/>
    <x v="1"/>
    <s v="J-399/25-26"/>
    <n v="14308"/>
    <m/>
  </r>
  <r>
    <d v="2025-04-25T00:00:00"/>
    <x v="8"/>
    <x v="1"/>
    <s v="J-400/25-26"/>
    <n v="3186"/>
    <m/>
  </r>
  <r>
    <d v="2025-04-25T00:00:00"/>
    <x v="207"/>
    <x v="1"/>
    <s v="J-401/25-26"/>
    <n v="1784"/>
    <m/>
  </r>
  <r>
    <d v="2025-04-25T00:00:00"/>
    <x v="205"/>
    <x v="1"/>
    <s v="J-402/25-26"/>
    <n v="978"/>
    <m/>
  </r>
  <r>
    <d v="2025-04-25T00:00:00"/>
    <x v="10"/>
    <x v="1"/>
    <s v="J-403/25-26"/>
    <n v="15918"/>
    <m/>
  </r>
  <r>
    <d v="2025-04-25T00:00:00"/>
    <x v="12"/>
    <x v="1"/>
    <s v="J-404/25-26"/>
    <n v="7960"/>
    <m/>
  </r>
  <r>
    <d v="2025-04-25T00:00:00"/>
    <x v="11"/>
    <x v="1"/>
    <s v="J-405/25-26"/>
    <n v="12"/>
    <m/>
  </r>
  <r>
    <d v="2025-04-25T00:00:00"/>
    <x v="8"/>
    <x v="1"/>
    <s v="J-406/25-26"/>
    <n v="35064"/>
    <m/>
  </r>
  <r>
    <d v="2025-04-25T00:00:00"/>
    <x v="206"/>
    <x v="1"/>
    <s v="J-407/25-26"/>
    <n v="802"/>
    <m/>
  </r>
  <r>
    <d v="2025-04-25T00:00:00"/>
    <x v="11"/>
    <x v="1"/>
    <s v="J-408/25-26"/>
    <n v="3033"/>
    <m/>
  </r>
  <r>
    <d v="2025-04-25T00:00:00"/>
    <x v="206"/>
    <x v="1"/>
    <s v="J-409/25-26"/>
    <n v="305"/>
    <m/>
  </r>
  <r>
    <d v="2025-04-25T00:00:00"/>
    <x v="11"/>
    <x v="1"/>
    <s v="J-410/25-26"/>
    <n v="12"/>
    <m/>
  </r>
  <r>
    <d v="2025-04-26T00:00:00"/>
    <x v="208"/>
    <x v="0"/>
    <s v="JU-54/25-26"/>
    <n v="873"/>
    <m/>
  </r>
  <r>
    <d v="2025-04-26T00:00:00"/>
    <x v="14"/>
    <x v="0"/>
    <s v="JU-55/25-26"/>
    <n v="2975"/>
    <m/>
  </r>
  <r>
    <d v="2025-04-26T00:00:00"/>
    <x v="179"/>
    <x v="0"/>
    <s v="JU-56/25-26"/>
    <n v="2160"/>
    <m/>
  </r>
  <r>
    <d v="2025-04-26T00:00:00"/>
    <x v="168"/>
    <x v="0"/>
    <s v="JU-57/25-26"/>
    <n v="12497"/>
    <m/>
  </r>
  <r>
    <d v="2025-04-26T00:00:00"/>
    <x v="209"/>
    <x v="0"/>
    <s v="JU-58/25-26"/>
    <n v="9673"/>
    <m/>
  </r>
  <r>
    <d v="2025-04-26T00:00:00"/>
    <x v="11"/>
    <x v="1"/>
    <s v="J-411/25-26"/>
    <n v="360"/>
    <m/>
  </r>
  <r>
    <d v="2025-04-26T00:00:00"/>
    <x v="210"/>
    <x v="1"/>
    <s v="J-412/25-26"/>
    <n v="720"/>
    <m/>
  </r>
  <r>
    <d v="2025-04-26T00:00:00"/>
    <x v="107"/>
    <x v="1"/>
    <s v="J-413/25-26"/>
    <n v="3562"/>
    <m/>
  </r>
  <r>
    <d v="2025-04-26T00:00:00"/>
    <x v="211"/>
    <x v="1"/>
    <s v="J-414/25-26"/>
    <n v="26392"/>
    <m/>
  </r>
  <r>
    <d v="2025-04-26T00:00:00"/>
    <x v="11"/>
    <x v="1"/>
    <s v="J-415/25-26"/>
    <n v="24"/>
    <m/>
  </r>
  <r>
    <d v="2025-04-26T00:00:00"/>
    <x v="212"/>
    <x v="1"/>
    <s v="J-416/25-26"/>
    <n v="2154"/>
    <m/>
  </r>
  <r>
    <d v="2025-04-26T00:00:00"/>
    <x v="213"/>
    <x v="1"/>
    <s v="J-417/25-26"/>
    <n v="13090"/>
    <m/>
  </r>
  <r>
    <d v="2025-04-26T00:00:00"/>
    <x v="159"/>
    <x v="1"/>
    <s v="J-418/25-26"/>
    <n v="3687"/>
    <m/>
  </r>
  <r>
    <d v="2025-04-26T00:00:00"/>
    <x v="159"/>
    <x v="1"/>
    <s v="J-419/25-26"/>
    <n v="11900"/>
    <m/>
  </r>
  <r>
    <d v="2025-04-26T00:00:00"/>
    <x v="159"/>
    <x v="1"/>
    <s v="J-420/25-26"/>
    <n v="6196"/>
    <m/>
  </r>
  <r>
    <d v="2025-04-26T00:00:00"/>
    <x v="159"/>
    <x v="1"/>
    <s v="J-421/25-26"/>
    <n v="23344"/>
    <m/>
  </r>
  <r>
    <d v="2025-04-26T00:00:00"/>
    <x v="11"/>
    <x v="1"/>
    <s v="J-422/25-26"/>
    <n v="16921"/>
    <m/>
  </r>
  <r>
    <d v="2025-04-26T00:00:00"/>
    <x v="214"/>
    <x v="1"/>
    <s v="J-423/25-26"/>
    <n v="720"/>
    <m/>
  </r>
  <r>
    <d v="2025-04-26T00:00:00"/>
    <x v="215"/>
    <x v="1"/>
    <s v="J-424/25-26"/>
    <n v="38000"/>
    <m/>
  </r>
  <r>
    <d v="2025-04-26T00:00:00"/>
    <x v="215"/>
    <x v="1"/>
    <s v="J-425/25-26"/>
    <n v="7000"/>
    <m/>
  </r>
  <r>
    <d v="2025-04-26T00:00:00"/>
    <x v="46"/>
    <x v="1"/>
    <s v="J-426/25-26"/>
    <n v="6900"/>
    <m/>
  </r>
  <r>
    <d v="2025-04-26T00:00:00"/>
    <x v="216"/>
    <x v="1"/>
    <s v="J-427/25-26"/>
    <n v="14000"/>
    <m/>
  </r>
  <r>
    <d v="2025-04-26T00:00:00"/>
    <x v="115"/>
    <x v="1"/>
    <s v="J-428/25-26"/>
    <n v="3752"/>
    <m/>
  </r>
  <r>
    <d v="2025-04-26T00:00:00"/>
    <x v="115"/>
    <x v="1"/>
    <s v="J-429/25-26"/>
    <n v="11503"/>
    <m/>
  </r>
  <r>
    <d v="2025-04-26T00:00:00"/>
    <x v="160"/>
    <x v="1"/>
    <s v="J-430/25-26"/>
    <n v="2160"/>
    <m/>
  </r>
  <r>
    <d v="2025-04-28T00:00:00"/>
    <x v="209"/>
    <x v="0"/>
    <s v="JU-59/25-26"/>
    <n v="428"/>
    <m/>
  </r>
  <r>
    <d v="2025-04-28T00:00:00"/>
    <x v="217"/>
    <x v="0"/>
    <s v="JU-60/25-26"/>
    <n v="9500"/>
    <m/>
  </r>
  <r>
    <d v="2025-04-28T00:00:00"/>
    <x v="70"/>
    <x v="1"/>
    <s v="J-431/25-26"/>
    <n v="18880"/>
    <m/>
  </r>
  <r>
    <d v="2025-04-28T00:00:00"/>
    <x v="218"/>
    <x v="1"/>
    <s v="J-432/25-26"/>
    <n v="5400"/>
    <m/>
  </r>
  <r>
    <d v="2025-04-28T00:00:00"/>
    <x v="11"/>
    <x v="1"/>
    <s v="J-433/25-26"/>
    <n v="12"/>
    <m/>
  </r>
  <r>
    <d v="2025-04-28T00:00:00"/>
    <x v="219"/>
    <x v="1"/>
    <s v="J-434/25-26"/>
    <n v="3137"/>
    <m/>
  </r>
  <r>
    <d v="2025-04-28T00:00:00"/>
    <x v="220"/>
    <x v="1"/>
    <s v="J-435/25-26"/>
    <n v="36855"/>
    <m/>
  </r>
  <r>
    <d v="2025-04-28T00:00:00"/>
    <x v="170"/>
    <x v="1"/>
    <s v="J-436/25-26"/>
    <n v="275"/>
    <m/>
  </r>
  <r>
    <d v="2025-04-28T00:00:00"/>
    <x v="221"/>
    <x v="1"/>
    <s v="J-437/25-26"/>
    <n v="4131"/>
    <m/>
  </r>
  <r>
    <d v="2025-04-28T00:00:00"/>
    <x v="221"/>
    <x v="1"/>
    <s v="J-438/25-26"/>
    <n v="360"/>
    <m/>
  </r>
  <r>
    <d v="2025-04-28T00:00:00"/>
    <x v="222"/>
    <x v="1"/>
    <s v="J-439/25-26"/>
    <n v="2780"/>
    <m/>
  </r>
  <r>
    <d v="2025-04-28T00:00:00"/>
    <x v="17"/>
    <x v="1"/>
    <s v="J-440/25-26"/>
    <n v="425"/>
    <m/>
  </r>
  <r>
    <d v="2025-04-28T00:00:00"/>
    <x v="223"/>
    <x v="1"/>
    <s v="J-441/25-26"/>
    <n v="306"/>
    <m/>
  </r>
  <r>
    <d v="2025-04-28T00:00:00"/>
    <x v="159"/>
    <x v="1"/>
    <s v="J-442/25-26"/>
    <n v="1800"/>
    <m/>
  </r>
  <r>
    <d v="2025-04-28T00:00:00"/>
    <x v="26"/>
    <x v="1"/>
    <s v="J-443/25-26"/>
    <n v="9793"/>
    <m/>
  </r>
  <r>
    <d v="2025-04-28T00:00:00"/>
    <x v="224"/>
    <x v="1"/>
    <s v="J-444/25-26"/>
    <n v="7005"/>
    <m/>
  </r>
  <r>
    <d v="2025-04-28T00:00:00"/>
    <x v="225"/>
    <x v="1"/>
    <s v="J-445/25-26"/>
    <n v="70"/>
    <m/>
  </r>
  <r>
    <d v="2025-04-29T00:00:00"/>
    <x v="14"/>
    <x v="0"/>
    <s v="JU-61/25-26"/>
    <n v="890"/>
    <m/>
  </r>
  <r>
    <d v="2025-04-29T00:00:00"/>
    <x v="15"/>
    <x v="0"/>
    <s v="JU-62/25-26"/>
    <n v="4535"/>
    <m/>
  </r>
  <r>
    <d v="2025-04-29T00:00:00"/>
    <x v="209"/>
    <x v="0"/>
    <s v="JU-63/25-26"/>
    <n v="590"/>
    <m/>
  </r>
  <r>
    <d v="2025-04-29T00:00:00"/>
    <x v="226"/>
    <x v="1"/>
    <s v="J-446/25-26"/>
    <n v="4440"/>
    <m/>
  </r>
  <r>
    <d v="2025-04-29T00:00:00"/>
    <x v="227"/>
    <x v="1"/>
    <s v="J-447/25-26"/>
    <n v="5420"/>
    <m/>
  </r>
  <r>
    <d v="2025-04-29T00:00:00"/>
    <x v="34"/>
    <x v="1"/>
    <s v="J-448/25-26"/>
    <n v="22052"/>
    <m/>
  </r>
  <r>
    <d v="2025-04-29T00:00:00"/>
    <x v="171"/>
    <x v="1"/>
    <s v="J-449/25-26"/>
    <n v="2040"/>
    <m/>
  </r>
  <r>
    <d v="2025-04-29T00:00:00"/>
    <x v="11"/>
    <x v="1"/>
    <s v="J-450/25-26"/>
    <n v="12"/>
    <m/>
  </r>
  <r>
    <d v="2025-04-29T00:00:00"/>
    <x v="4"/>
    <x v="1"/>
    <s v="J-451/25-26"/>
    <n v="18127"/>
    <m/>
  </r>
  <r>
    <d v="2025-04-29T00:00:00"/>
    <x v="162"/>
    <x v="1"/>
    <s v="J-452/25-26"/>
    <n v="2456"/>
    <m/>
  </r>
  <r>
    <d v="2025-04-29T00:00:00"/>
    <x v="11"/>
    <x v="1"/>
    <s v="J-453/25-26"/>
    <n v="12"/>
    <m/>
  </r>
  <r>
    <d v="2025-04-29T00:00:00"/>
    <x v="228"/>
    <x v="1"/>
    <s v="J-454/25-26"/>
    <n v="450"/>
    <m/>
  </r>
  <r>
    <d v="2025-04-29T00:00:00"/>
    <x v="70"/>
    <x v="1"/>
    <s v="J-455/25-26"/>
    <n v="4870"/>
    <m/>
  </r>
  <r>
    <d v="2025-04-29T00:00:00"/>
    <x v="229"/>
    <x v="1"/>
    <s v="J-456/25-26"/>
    <n v="3390"/>
    <m/>
  </r>
  <r>
    <d v="2025-04-29T00:00:00"/>
    <x v="11"/>
    <x v="1"/>
    <s v="J-457/25-26"/>
    <n v="12"/>
    <m/>
  </r>
  <r>
    <d v="2025-04-29T00:00:00"/>
    <x v="34"/>
    <x v="1"/>
    <s v="J-458/25-26"/>
    <n v="20888"/>
    <m/>
  </r>
  <r>
    <d v="2025-04-29T00:00:00"/>
    <x v="230"/>
    <x v="1"/>
    <s v="J-459/25-26"/>
    <n v="360"/>
    <m/>
  </r>
  <r>
    <d v="2025-04-29T00:00:00"/>
    <x v="17"/>
    <x v="1"/>
    <s v="J-460/25-26"/>
    <n v="260"/>
    <m/>
  </r>
  <r>
    <d v="2025-04-29T00:00:00"/>
    <x v="231"/>
    <x v="1"/>
    <s v="J-461/25-26"/>
    <n v="35168"/>
    <m/>
  </r>
  <r>
    <d v="2025-04-30T00:00:00"/>
    <x v="232"/>
    <x v="0"/>
    <s v="JU-64/25-26"/>
    <n v="18000"/>
    <m/>
  </r>
  <r>
    <d v="2025-04-30T00:00:00"/>
    <x v="112"/>
    <x v="0"/>
    <s v="JU-65/25-26"/>
    <n v="17110"/>
    <m/>
  </r>
  <r>
    <d v="2025-04-30T00:00:00"/>
    <x v="233"/>
    <x v="0"/>
    <s v="JU-66/25-26"/>
    <n v="9725"/>
    <m/>
  </r>
  <r>
    <d v="2025-04-30T00:00:00"/>
    <x v="15"/>
    <x v="0"/>
    <s v="JU-67/25-26"/>
    <n v="771"/>
    <m/>
  </r>
  <r>
    <d v="2025-04-30T00:00:00"/>
    <x v="72"/>
    <x v="1"/>
    <s v="J-462/25-26"/>
    <n v="1440"/>
    <m/>
  </r>
  <r>
    <d v="2025-04-30T00:00:00"/>
    <x v="234"/>
    <x v="1"/>
    <s v="J-463/25-26"/>
    <n v="14356"/>
    <m/>
  </r>
  <r>
    <d v="2025-04-30T00:00:00"/>
    <x v="11"/>
    <x v="1"/>
    <s v="J-464/25-26"/>
    <n v="12"/>
    <m/>
  </r>
  <r>
    <d v="2025-04-30T00:00:00"/>
    <x v="235"/>
    <x v="1"/>
    <s v="J-465/25-26"/>
    <n v="100"/>
    <m/>
  </r>
  <r>
    <d v="2025-04-30T00:00:00"/>
    <x v="11"/>
    <x v="1"/>
    <s v="J-466/25-26"/>
    <n v="12"/>
    <m/>
  </r>
  <r>
    <d v="2025-04-30T00:00:00"/>
    <x v="11"/>
    <x v="1"/>
    <s v="J-467/25-26"/>
    <n v="12"/>
    <m/>
  </r>
  <r>
    <d v="2025-04-30T00:00:00"/>
    <x v="231"/>
    <x v="1"/>
    <s v="J-468/25-26"/>
    <n v="360"/>
    <m/>
  </r>
  <r>
    <d v="2025-04-30T00:00:00"/>
    <x v="110"/>
    <x v="1"/>
    <s v="J-469/25-26"/>
    <n v="750"/>
    <m/>
  </r>
  <r>
    <d v="2025-04-30T00:00:00"/>
    <x v="236"/>
    <x v="1"/>
    <s v="J-470/25-26"/>
    <n v="3354"/>
    <m/>
  </r>
  <r>
    <d v="2025-04-30T00:00:00"/>
    <x v="142"/>
    <x v="1"/>
    <s v="J-471/25-26"/>
    <n v="720"/>
    <m/>
  </r>
  <r>
    <d v="2025-04-30T00:00:00"/>
    <x v="237"/>
    <x v="1"/>
    <s v="J-472/25-26"/>
    <n v="17735"/>
    <m/>
  </r>
  <r>
    <d v="2025-04-30T00:00:00"/>
    <x v="188"/>
    <x v="1"/>
    <s v="J-473/25-26"/>
    <n v="1800"/>
    <m/>
  </r>
  <r>
    <d v="2025-04-30T00:00:00"/>
    <x v="207"/>
    <x v="1"/>
    <s v="J-474/25-26"/>
    <n v="2657"/>
    <m/>
  </r>
  <r>
    <d v="2025-04-30T00:00:00"/>
    <x v="11"/>
    <x v="1"/>
    <s v="J-475/25-26"/>
    <n v="12"/>
    <m/>
  </r>
  <r>
    <d v="2025-04-30T00:00:00"/>
    <x v="25"/>
    <x v="1"/>
    <s v="J-476/25-26"/>
    <n v="670"/>
    <m/>
  </r>
  <r>
    <d v="2025-04-30T00:00:00"/>
    <x v="238"/>
    <x v="1"/>
    <s v="J-477/25-26"/>
    <n v="456"/>
    <m/>
  </r>
  <r>
    <d v="2025-04-30T00:00:00"/>
    <x v="231"/>
    <x v="1"/>
    <s v="J-478/25-26"/>
    <n v="14896"/>
    <m/>
  </r>
  <r>
    <d v="2025-04-30T00:00:00"/>
    <x v="184"/>
    <x v="1"/>
    <s v="J-479/25-26"/>
    <n v="823"/>
    <m/>
  </r>
  <r>
    <d v="2025-05-01T00:00:00"/>
    <x v="239"/>
    <x v="0"/>
    <s v="JU-68/25-26"/>
    <n v="4312"/>
    <m/>
  </r>
  <r>
    <d v="2025-05-01T00:00:00"/>
    <x v="240"/>
    <x v="0"/>
    <s v="JU-69/25-26"/>
    <n v="9482"/>
    <m/>
  </r>
  <r>
    <d v="2025-05-01T00:00:00"/>
    <x v="15"/>
    <x v="0"/>
    <s v="JU-70/25-26"/>
    <n v="9150"/>
    <m/>
  </r>
  <r>
    <d v="2025-05-01T00:00:00"/>
    <x v="241"/>
    <x v="1"/>
    <s v="J-480/25-26"/>
    <n v="7400"/>
    <m/>
  </r>
  <r>
    <d v="2025-05-01T00:00:00"/>
    <x v="17"/>
    <x v="1"/>
    <s v="J-481/25-26"/>
    <n v="39434"/>
    <m/>
  </r>
  <r>
    <d v="2025-05-01T00:00:00"/>
    <x v="11"/>
    <x v="1"/>
    <s v="J-482/25-26"/>
    <n v="65"/>
    <m/>
  </r>
  <r>
    <d v="2025-05-01T00:00:00"/>
    <x v="163"/>
    <x v="1"/>
    <s v="J-483/25-26"/>
    <n v="260"/>
    <m/>
  </r>
  <r>
    <d v="2025-05-01T00:00:00"/>
    <x v="159"/>
    <x v="1"/>
    <s v="J-484/25-26"/>
    <n v="6247"/>
    <m/>
  </r>
  <r>
    <d v="2025-05-01T00:00:00"/>
    <x v="159"/>
    <x v="1"/>
    <s v="J-485/25-26"/>
    <n v="1338"/>
    <m/>
  </r>
  <r>
    <d v="2025-05-01T00:00:00"/>
    <x v="115"/>
    <x v="1"/>
    <s v="J-486/25-26"/>
    <n v="4852"/>
    <m/>
  </r>
  <r>
    <d v="2025-05-01T00:00:00"/>
    <x v="242"/>
    <x v="1"/>
    <s v="J-487/25-26"/>
    <n v="3600"/>
    <m/>
  </r>
  <r>
    <d v="2025-05-01T00:00:00"/>
    <x v="147"/>
    <x v="1"/>
    <s v="J-488/25-26"/>
    <n v="14167"/>
    <m/>
  </r>
  <r>
    <d v="2025-05-01T00:00:00"/>
    <x v="8"/>
    <x v="1"/>
    <s v="J-489/25-26"/>
    <n v="3668"/>
    <m/>
  </r>
  <r>
    <d v="2025-05-01T00:00:00"/>
    <x v="11"/>
    <x v="1"/>
    <s v="J-490/25-26"/>
    <n v="153"/>
    <m/>
  </r>
  <r>
    <d v="2025-05-01T00:00:00"/>
    <x v="20"/>
    <x v="1"/>
    <s v="J-491/25-26"/>
    <n v="26070"/>
    <m/>
  </r>
  <r>
    <d v="2025-05-01T00:00:00"/>
    <x v="11"/>
    <x v="1"/>
    <s v="J-492/25-26"/>
    <n v="12"/>
    <m/>
  </r>
  <r>
    <d v="2025-05-01T00:00:00"/>
    <x v="20"/>
    <x v="1"/>
    <s v="J-493/25-26"/>
    <n v="5859"/>
    <m/>
  </r>
  <r>
    <d v="2025-05-01T00:00:00"/>
    <x v="11"/>
    <x v="1"/>
    <s v="J-494/25-26"/>
    <n v="3202"/>
    <m/>
  </r>
  <r>
    <d v="2025-05-01T00:00:00"/>
    <x v="11"/>
    <x v="1"/>
    <s v="J-495/25-26"/>
    <n v="1575"/>
    <m/>
  </r>
  <r>
    <d v="2025-05-01T00:00:00"/>
    <x v="243"/>
    <x v="1"/>
    <s v="J-496/25-26"/>
    <n v="1150"/>
    <m/>
  </r>
  <r>
    <d v="2025-05-02T00:00:00"/>
    <x v="232"/>
    <x v="0"/>
    <s v="JU-71/25-26"/>
    <n v="18000"/>
    <m/>
  </r>
  <r>
    <d v="2025-05-02T00:00:00"/>
    <x v="232"/>
    <x v="0"/>
    <s v="JU-72/25-26"/>
    <n v="18000"/>
    <m/>
  </r>
  <r>
    <d v="2025-05-02T00:00:00"/>
    <x v="217"/>
    <x v="0"/>
    <s v="JU-73/25-26"/>
    <n v="6630"/>
    <m/>
  </r>
  <r>
    <d v="2025-05-02T00:00:00"/>
    <x v="244"/>
    <x v="0"/>
    <s v="JU-74/25-26"/>
    <n v="19800"/>
    <m/>
  </r>
  <r>
    <d v="2025-05-02T00:00:00"/>
    <x v="17"/>
    <x v="1"/>
    <s v="J-497/25-26"/>
    <n v="360"/>
    <m/>
  </r>
  <r>
    <d v="2025-05-02T00:00:00"/>
    <x v="47"/>
    <x v="1"/>
    <s v="J-498/25-26"/>
    <n v="2744"/>
    <m/>
  </r>
  <r>
    <d v="2025-05-02T00:00:00"/>
    <x v="245"/>
    <x v="1"/>
    <s v="J-499/25-26"/>
    <n v="1080"/>
    <m/>
  </r>
  <r>
    <d v="2025-05-02T00:00:00"/>
    <x v="11"/>
    <x v="1"/>
    <s v="J-500/25-26"/>
    <n v="12"/>
    <m/>
  </r>
  <r>
    <d v="2025-05-02T00:00:00"/>
    <x v="79"/>
    <x v="1"/>
    <s v="J-501/25-26"/>
    <n v="1800"/>
    <m/>
  </r>
  <r>
    <d v="2025-05-02T00:00:00"/>
    <x v="246"/>
    <x v="1"/>
    <s v="J-502/25-26"/>
    <n v="2760"/>
    <m/>
  </r>
  <r>
    <d v="2025-05-02T00:00:00"/>
    <x v="8"/>
    <x v="1"/>
    <s v="J-503/25-26"/>
    <n v="1332"/>
    <m/>
  </r>
  <r>
    <d v="2025-05-02T00:00:00"/>
    <x v="11"/>
    <x v="1"/>
    <s v="J-504/25-26"/>
    <n v="12"/>
    <m/>
  </r>
  <r>
    <d v="2025-05-02T00:00:00"/>
    <x v="11"/>
    <x v="1"/>
    <s v="J-505/25-26"/>
    <n v="585"/>
    <m/>
  </r>
  <r>
    <d v="2025-05-02T00:00:00"/>
    <x v="127"/>
    <x v="1"/>
    <s v="J-506/25-26"/>
    <n v="460"/>
    <m/>
  </r>
  <r>
    <d v="2025-05-02T00:00:00"/>
    <x v="247"/>
    <x v="1"/>
    <s v="J-507/25-26"/>
    <n v="1060"/>
    <m/>
  </r>
  <r>
    <d v="2025-05-02T00:00:00"/>
    <x v="248"/>
    <x v="1"/>
    <s v="J-508/25-26"/>
    <n v="1566"/>
    <m/>
  </r>
  <r>
    <d v="2025-05-02T00:00:00"/>
    <x v="181"/>
    <x v="1"/>
    <s v="J-509/25-26"/>
    <n v="12704"/>
    <m/>
  </r>
  <r>
    <d v="2025-05-02T00:00:00"/>
    <x v="249"/>
    <x v="1"/>
    <s v="J-510/25-26"/>
    <n v="1120"/>
    <m/>
  </r>
  <r>
    <d v="2025-05-02T00:00:00"/>
    <x v="26"/>
    <x v="1"/>
    <s v="J-511/25-26"/>
    <n v="705"/>
    <m/>
  </r>
  <r>
    <d v="2025-05-02T00:00:00"/>
    <x v="250"/>
    <x v="1"/>
    <s v="J-512/25-26"/>
    <n v="6720"/>
    <m/>
  </r>
  <r>
    <d v="2025-05-02T00:00:00"/>
    <x v="11"/>
    <x v="1"/>
    <s v="J-513/25-26"/>
    <n v="12"/>
    <m/>
  </r>
  <r>
    <d v="2025-05-02T00:00:00"/>
    <x v="11"/>
    <x v="1"/>
    <s v="J-514/25-26"/>
    <n v="82"/>
    <m/>
  </r>
  <r>
    <d v="2025-05-02T00:00:00"/>
    <x v="251"/>
    <x v="1"/>
    <s v="J-515/25-26"/>
    <n v="9597"/>
    <m/>
  </r>
  <r>
    <d v="2025-05-02T00:00:00"/>
    <x v="252"/>
    <x v="1"/>
    <s v="J-516/25-26"/>
    <n v="1699"/>
    <m/>
  </r>
  <r>
    <d v="2025-05-02T00:00:00"/>
    <x v="253"/>
    <x v="1"/>
    <s v="J-517/25-26"/>
    <n v="8312"/>
    <m/>
  </r>
  <r>
    <d v="2025-05-02T00:00:00"/>
    <x v="241"/>
    <x v="1"/>
    <s v="J-518/25-26"/>
    <n v="1125"/>
    <m/>
  </r>
  <r>
    <d v="2025-05-02T00:00:00"/>
    <x v="254"/>
    <x v="1"/>
    <s v="J-519/25-26"/>
    <n v="1800"/>
    <m/>
  </r>
  <r>
    <d v="2025-05-02T00:00:00"/>
    <x v="255"/>
    <x v="1"/>
    <s v="J-520/25-26"/>
    <n v="1087"/>
    <m/>
  </r>
  <r>
    <d v="2025-05-02T00:00:00"/>
    <x v="4"/>
    <x v="1"/>
    <s v="J-521/25-26"/>
    <n v="3525"/>
    <m/>
  </r>
  <r>
    <d v="2025-05-02T00:00:00"/>
    <x v="173"/>
    <x v="1"/>
    <s v="J-522/25-26"/>
    <n v="1717"/>
    <m/>
  </r>
  <r>
    <d v="2025-05-02T00:00:00"/>
    <x v="8"/>
    <x v="1"/>
    <s v="J-523/25-26"/>
    <n v="5060"/>
    <m/>
  </r>
  <r>
    <d v="2025-05-02T00:00:00"/>
    <x v="89"/>
    <x v="1"/>
    <s v="J-524/25-26"/>
    <n v="7100"/>
    <m/>
  </r>
  <r>
    <d v="2025-05-02T00:00:00"/>
    <x v="160"/>
    <x v="1"/>
    <s v="J-525/25-26"/>
    <n v="9150"/>
    <m/>
  </r>
  <r>
    <d v="2025-05-02T00:00:00"/>
    <x v="160"/>
    <x v="1"/>
    <s v="J-526/25-26"/>
    <n v="725"/>
    <m/>
  </r>
  <r>
    <d v="2025-05-02T00:00:00"/>
    <x v="23"/>
    <x v="1"/>
    <s v="J-527/25-26"/>
    <n v="295776"/>
    <m/>
  </r>
  <r>
    <d v="2025-05-03T00:00:00"/>
    <x v="138"/>
    <x v="0"/>
    <s v="JU-75/25-26"/>
    <m/>
    <m/>
  </r>
  <r>
    <d v="2025-05-03T00:00:00"/>
    <x v="16"/>
    <x v="0"/>
    <s v="JU-76/25-26"/>
    <n v="13557"/>
    <m/>
  </r>
  <r>
    <d v="2025-05-03T00:00:00"/>
    <x v="14"/>
    <x v="0"/>
    <s v="JU-77/25-26"/>
    <n v="6270"/>
    <m/>
  </r>
  <r>
    <d v="2025-05-03T00:00:00"/>
    <x v="256"/>
    <x v="1"/>
    <s v="J-528/25-26"/>
    <n v="5400"/>
    <m/>
  </r>
  <r>
    <d v="2025-05-03T00:00:00"/>
    <x v="26"/>
    <x v="1"/>
    <s v="J-529/25-26"/>
    <n v="1490"/>
    <m/>
  </r>
  <r>
    <d v="2025-05-03T00:00:00"/>
    <x v="181"/>
    <x v="1"/>
    <s v="J-530/25-26"/>
    <n v="16598"/>
    <m/>
  </r>
  <r>
    <d v="2025-05-03T00:00:00"/>
    <x v="245"/>
    <x v="1"/>
    <s v="J-531/25-26"/>
    <n v="720"/>
    <m/>
  </r>
  <r>
    <d v="2025-05-03T00:00:00"/>
    <x v="257"/>
    <x v="1"/>
    <s v="J-532/25-26"/>
    <n v="6440"/>
    <m/>
  </r>
  <r>
    <d v="2025-05-03T00:00:00"/>
    <x v="11"/>
    <x v="1"/>
    <s v="J-533/25-26"/>
    <n v="12"/>
    <m/>
  </r>
  <r>
    <d v="2025-05-03T00:00:00"/>
    <x v="20"/>
    <x v="1"/>
    <s v="J-534/25-26"/>
    <n v="2220"/>
    <m/>
  </r>
  <r>
    <d v="2025-05-03T00:00:00"/>
    <x v="173"/>
    <x v="1"/>
    <s v="J-535/25-26"/>
    <n v="20890"/>
    <m/>
  </r>
  <r>
    <d v="2025-05-03T00:00:00"/>
    <x v="248"/>
    <x v="1"/>
    <s v="J-536/25-26"/>
    <n v="9734"/>
    <m/>
  </r>
  <r>
    <d v="2025-05-03T00:00:00"/>
    <x v="161"/>
    <x v="1"/>
    <s v="J-537/25-26"/>
    <n v="55390"/>
    <m/>
  </r>
  <r>
    <d v="2025-05-03T00:00:00"/>
    <x v="142"/>
    <x v="1"/>
    <s v="J-538/25-26"/>
    <n v="720"/>
    <m/>
  </r>
  <r>
    <d v="2025-05-03T00:00:00"/>
    <x v="258"/>
    <x v="1"/>
    <s v="J-539/25-26"/>
    <n v="48310"/>
    <m/>
  </r>
  <r>
    <d v="2025-05-03T00:00:00"/>
    <x v="17"/>
    <x v="1"/>
    <s v="J-540/25-26"/>
    <n v="3050"/>
    <m/>
  </r>
  <r>
    <d v="2025-05-03T00:00:00"/>
    <x v="17"/>
    <x v="1"/>
    <s v="J-541/25-26"/>
    <n v="25200"/>
    <m/>
  </r>
  <r>
    <d v="2025-05-03T00:00:00"/>
    <x v="11"/>
    <x v="1"/>
    <s v="J-542/25-26"/>
    <n v="360"/>
    <m/>
  </r>
  <r>
    <d v="2025-05-03T00:00:00"/>
    <x v="20"/>
    <x v="1"/>
    <s v="J-543/25-26"/>
    <n v="560"/>
    <m/>
  </r>
  <r>
    <d v="2025-05-03T00:00:00"/>
    <x v="12"/>
    <x v="1"/>
    <s v="J-544/25-26"/>
    <n v="3600"/>
    <m/>
  </r>
  <r>
    <d v="2025-05-03T00:00:00"/>
    <x v="259"/>
    <x v="1"/>
    <s v="J-545/25-26"/>
    <n v="320"/>
    <m/>
  </r>
  <r>
    <d v="2025-05-03T00:00:00"/>
    <x v="245"/>
    <x v="1"/>
    <s v="J-546/25-26"/>
    <n v="720"/>
    <m/>
  </r>
  <r>
    <d v="2025-05-03T00:00:00"/>
    <x v="260"/>
    <x v="1"/>
    <s v="J-547/25-26"/>
    <n v="4890"/>
    <m/>
  </r>
  <r>
    <d v="2025-05-03T00:00:00"/>
    <x v="256"/>
    <x v="1"/>
    <s v="J-548/25-26"/>
    <n v="7200"/>
    <m/>
  </r>
  <r>
    <d v="2025-05-03T00:00:00"/>
    <x v="57"/>
    <x v="1"/>
    <s v="J-549/25-26"/>
    <n v="14475"/>
    <m/>
  </r>
  <r>
    <d v="2025-05-03T00:00:00"/>
    <x v="25"/>
    <x v="1"/>
    <s v="J-550/25-26"/>
    <n v="20513"/>
    <m/>
  </r>
  <r>
    <d v="2025-05-03T00:00:00"/>
    <x v="261"/>
    <x v="1"/>
    <s v="J-551/25-26"/>
    <n v="23686"/>
    <m/>
  </r>
  <r>
    <d v="2025-05-03T00:00:00"/>
    <x v="11"/>
    <x v="1"/>
    <s v="J-552/25-26"/>
    <n v="12"/>
    <m/>
  </r>
  <r>
    <d v="2025-05-03T00:00:00"/>
    <x v="4"/>
    <x v="1"/>
    <s v="J-553/25-26"/>
    <n v="28236"/>
    <m/>
  </r>
  <r>
    <d v="2025-05-03T00:00:00"/>
    <x v="262"/>
    <x v="1"/>
    <s v="J-554/25-26"/>
    <n v="360"/>
    <m/>
  </r>
  <r>
    <d v="2025-05-03T00:00:00"/>
    <x v="263"/>
    <x v="1"/>
    <s v="J-555/25-26"/>
    <n v="720"/>
    <m/>
  </r>
  <r>
    <d v="2025-05-05T00:00:00"/>
    <x v="264"/>
    <x v="0"/>
    <s v="JU-78/25-26"/>
    <n v="40359"/>
    <m/>
  </r>
  <r>
    <d v="2025-05-05T00:00:00"/>
    <x v="13"/>
    <x v="0"/>
    <s v="JU-79/25-26"/>
    <n v="47467"/>
    <m/>
  </r>
  <r>
    <d v="2025-05-05T00:00:00"/>
    <x v="13"/>
    <x v="0"/>
    <s v="JU-80/25-26"/>
    <n v="22147"/>
    <m/>
  </r>
  <r>
    <d v="2025-05-05T00:00:00"/>
    <x v="265"/>
    <x v="0"/>
    <s v="JU-81/25-26"/>
    <n v="40263"/>
    <m/>
  </r>
  <r>
    <d v="2025-05-05T00:00:00"/>
    <x v="15"/>
    <x v="0"/>
    <s v="JU-82/25-26"/>
    <n v="1965"/>
    <m/>
  </r>
  <r>
    <d v="2025-05-05T00:00:00"/>
    <x v="80"/>
    <x v="1"/>
    <s v="J-556/25-26"/>
    <n v="360"/>
    <m/>
  </r>
  <r>
    <d v="2025-05-05T00:00:00"/>
    <x v="159"/>
    <x v="1"/>
    <s v="J-557/25-26"/>
    <n v="1080"/>
    <m/>
  </r>
  <r>
    <d v="2025-05-05T00:00:00"/>
    <x v="266"/>
    <x v="1"/>
    <s v="J-558/25-26"/>
    <n v="806"/>
    <m/>
  </r>
  <r>
    <d v="2025-05-05T00:00:00"/>
    <x v="8"/>
    <x v="1"/>
    <s v="J-559/25-26"/>
    <n v="9203"/>
    <m/>
  </r>
  <r>
    <d v="2025-05-05T00:00:00"/>
    <x v="241"/>
    <x v="1"/>
    <s v="J-560/25-26"/>
    <n v="39923"/>
    <m/>
  </r>
  <r>
    <d v="2025-05-05T00:00:00"/>
    <x v="80"/>
    <x v="1"/>
    <s v="J-561/25-26"/>
    <n v="360"/>
    <m/>
  </r>
  <r>
    <d v="2025-05-05T00:00:00"/>
    <x v="20"/>
    <x v="1"/>
    <s v="J-562/25-26"/>
    <n v="668"/>
    <m/>
  </r>
  <r>
    <d v="2025-05-05T00:00:00"/>
    <x v="115"/>
    <x v="1"/>
    <s v="J-563/25-26"/>
    <n v="4886"/>
    <m/>
  </r>
  <r>
    <d v="2025-05-05T00:00:00"/>
    <x v="267"/>
    <x v="1"/>
    <s v="J-564/25-26"/>
    <n v="1176"/>
    <m/>
  </r>
  <r>
    <d v="2025-05-05T00:00:00"/>
    <x v="25"/>
    <x v="1"/>
    <s v="J-565/25-26"/>
    <n v="1222"/>
    <m/>
  </r>
  <r>
    <d v="2025-05-05T00:00:00"/>
    <x v="268"/>
    <x v="1"/>
    <s v="J-566/25-26"/>
    <n v="3445"/>
    <m/>
  </r>
  <r>
    <d v="2025-05-05T00:00:00"/>
    <x v="20"/>
    <x v="1"/>
    <s v="J-567/25-26"/>
    <n v="21865"/>
    <m/>
  </r>
  <r>
    <d v="2025-05-05T00:00:00"/>
    <x v="115"/>
    <x v="1"/>
    <s v="J-568/25-26"/>
    <n v="1110"/>
    <m/>
  </r>
  <r>
    <d v="2025-05-05T00:00:00"/>
    <x v="146"/>
    <x v="1"/>
    <s v="J-569/25-26"/>
    <n v="12200"/>
    <m/>
  </r>
  <r>
    <d v="2025-05-05T00:00:00"/>
    <x v="4"/>
    <x v="1"/>
    <s v="J-570/25-26"/>
    <n v="12653"/>
    <m/>
  </r>
  <r>
    <d v="2025-05-05T00:00:00"/>
    <x v="4"/>
    <x v="1"/>
    <s v="J-571/25-26"/>
    <n v="15645"/>
    <m/>
  </r>
  <r>
    <d v="2025-05-05T00:00:00"/>
    <x v="269"/>
    <x v="1"/>
    <s v="J-572/25-26"/>
    <n v="11486"/>
    <m/>
  </r>
  <r>
    <d v="2025-05-05T00:00:00"/>
    <x v="147"/>
    <x v="1"/>
    <s v="J-573/25-26"/>
    <n v="21357"/>
    <m/>
  </r>
  <r>
    <d v="2025-05-05T00:00:00"/>
    <x v="270"/>
    <x v="1"/>
    <s v="J-574/25-26"/>
    <n v="1123"/>
    <m/>
  </r>
  <r>
    <d v="2025-05-06T00:00:00"/>
    <x v="15"/>
    <x v="0"/>
    <s v="JU-83/25-26"/>
    <n v="12186"/>
    <m/>
  </r>
  <r>
    <d v="2025-05-06T00:00:00"/>
    <x v="271"/>
    <x v="0"/>
    <s v="JU-84/25-26"/>
    <n v="4431"/>
    <m/>
  </r>
  <r>
    <d v="2025-05-06T00:00:00"/>
    <x v="180"/>
    <x v="0"/>
    <s v="JU-85/25-26"/>
    <n v="30271"/>
    <m/>
  </r>
  <r>
    <d v="2025-05-06T00:00:00"/>
    <x v="180"/>
    <x v="0"/>
    <s v="JU-86/25-26"/>
    <n v="20950"/>
    <m/>
  </r>
  <r>
    <d v="2025-05-06T00:00:00"/>
    <x v="14"/>
    <x v="0"/>
    <s v="JU-87/25-26"/>
    <n v="5518"/>
    <m/>
  </r>
  <r>
    <d v="2025-05-06T00:00:00"/>
    <x v="179"/>
    <x v="0"/>
    <s v="JU-88/25-26"/>
    <n v="11257"/>
    <m/>
  </r>
  <r>
    <d v="2025-05-06T00:00:00"/>
    <x v="272"/>
    <x v="1"/>
    <s v="J-575/25-26"/>
    <n v="130"/>
    <m/>
  </r>
  <r>
    <d v="2025-05-06T00:00:00"/>
    <x v="46"/>
    <x v="1"/>
    <s v="J-576/25-26"/>
    <n v="2855"/>
    <m/>
  </r>
  <r>
    <d v="2025-05-06T00:00:00"/>
    <x v="47"/>
    <x v="1"/>
    <s v="J-577/25-26"/>
    <n v="668"/>
    <m/>
  </r>
  <r>
    <d v="2025-05-06T00:00:00"/>
    <x v="89"/>
    <x v="1"/>
    <s v="J-578/25-26"/>
    <n v="2520"/>
    <m/>
  </r>
  <r>
    <d v="2025-05-06T00:00:00"/>
    <x v="171"/>
    <x v="1"/>
    <s v="J-579/25-26"/>
    <n v="3140"/>
    <m/>
  </r>
  <r>
    <d v="2025-05-06T00:00:00"/>
    <x v="11"/>
    <x v="1"/>
    <s v="J-580/25-26"/>
    <n v="12"/>
    <m/>
  </r>
  <r>
    <d v="2025-05-06T00:00:00"/>
    <x v="273"/>
    <x v="1"/>
    <s v="J-581/25-26"/>
    <n v="17805"/>
    <m/>
  </r>
  <r>
    <d v="2025-05-06T00:00:00"/>
    <x v="274"/>
    <x v="1"/>
    <s v="J-582/25-26"/>
    <n v="2200"/>
    <m/>
  </r>
  <r>
    <d v="2025-05-06T00:00:00"/>
    <x v="46"/>
    <x v="1"/>
    <s v="J-583/25-26"/>
    <n v="410"/>
    <m/>
  </r>
  <r>
    <d v="2025-05-06T00:00:00"/>
    <x v="26"/>
    <x v="1"/>
    <s v="J-584/25-26"/>
    <n v="1562"/>
    <m/>
  </r>
  <r>
    <d v="2025-05-06T00:00:00"/>
    <x v="7"/>
    <x v="1"/>
    <s v="J-585/25-26"/>
    <n v="30020"/>
    <m/>
  </r>
  <r>
    <d v="2025-05-06T00:00:00"/>
    <x v="258"/>
    <x v="1"/>
    <s v="J-586/25-26"/>
    <n v="1774"/>
    <m/>
  </r>
  <r>
    <d v="2025-05-06T00:00:00"/>
    <x v="47"/>
    <x v="1"/>
    <s v="J-587/25-26"/>
    <n v="1800"/>
    <m/>
  </r>
  <r>
    <d v="2025-05-06T00:00:00"/>
    <x v="275"/>
    <x v="1"/>
    <s v="J-588/25-26"/>
    <n v="1920"/>
    <m/>
  </r>
  <r>
    <d v="2025-05-06T00:00:00"/>
    <x v="141"/>
    <x v="1"/>
    <s v="J-589/25-26"/>
    <n v="38191"/>
    <m/>
  </r>
  <r>
    <d v="2025-05-06T00:00:00"/>
    <x v="257"/>
    <x v="1"/>
    <s v="J-590/25-26"/>
    <n v="28354"/>
    <m/>
  </r>
  <r>
    <d v="2025-05-06T00:00:00"/>
    <x v="276"/>
    <x v="1"/>
    <s v="J-591/25-26"/>
    <n v="720"/>
    <m/>
  </r>
  <r>
    <d v="2025-05-06T00:00:00"/>
    <x v="11"/>
    <x v="1"/>
    <s v="J-592/25-26"/>
    <n v="222"/>
    <m/>
  </r>
  <r>
    <d v="2025-05-06T00:00:00"/>
    <x v="277"/>
    <x v="1"/>
    <s v="J-593/25-26"/>
    <n v="32"/>
    <m/>
  </r>
  <r>
    <d v="2025-05-06T00:00:00"/>
    <x v="75"/>
    <x v="1"/>
    <s v="J-594/25-26"/>
    <n v="5563"/>
    <m/>
  </r>
  <r>
    <d v="2025-05-06T00:00:00"/>
    <x v="4"/>
    <x v="1"/>
    <s v="J-595/25-26"/>
    <n v="2950"/>
    <m/>
  </r>
  <r>
    <d v="2025-05-06T00:00:00"/>
    <x v="47"/>
    <x v="1"/>
    <s v="J-596/25-26"/>
    <n v="6265"/>
    <m/>
  </r>
  <r>
    <d v="2025-05-06T00:00:00"/>
    <x v="25"/>
    <x v="1"/>
    <s v="J-597/25-26"/>
    <n v="13324"/>
    <m/>
  </r>
  <r>
    <d v="2025-05-06T00:00:00"/>
    <x v="8"/>
    <x v="1"/>
    <s v="J-598/25-26"/>
    <n v="760"/>
    <m/>
  </r>
  <r>
    <d v="2025-05-06T00:00:00"/>
    <x v="11"/>
    <x v="1"/>
    <s v="J-599/25-26"/>
    <n v="1100"/>
    <m/>
  </r>
  <r>
    <d v="2025-05-06T00:00:00"/>
    <x v="11"/>
    <x v="1"/>
    <s v="J-600/25-26"/>
    <n v="541"/>
    <m/>
  </r>
  <r>
    <d v="2025-05-07T00:00:00"/>
    <x v="14"/>
    <x v="0"/>
    <s v="JU-89/25-26"/>
    <n v="12064"/>
    <m/>
  </r>
  <r>
    <d v="2025-05-07T00:00:00"/>
    <x v="77"/>
    <x v="0"/>
    <s v="JU-90/25-26"/>
    <n v="12350"/>
    <m/>
  </r>
  <r>
    <d v="2025-05-07T00:00:00"/>
    <x v="179"/>
    <x v="0"/>
    <s v="JU-91/25-26"/>
    <n v="9903"/>
    <m/>
  </r>
  <r>
    <d v="2025-05-07T00:00:00"/>
    <x v="16"/>
    <x v="0"/>
    <s v="JU-92/25-26"/>
    <n v="2556"/>
    <m/>
  </r>
  <r>
    <d v="2025-05-07T00:00:00"/>
    <x v="232"/>
    <x v="0"/>
    <s v="JU-93/25-26"/>
    <n v="360"/>
    <m/>
  </r>
  <r>
    <d v="2025-05-07T00:00:00"/>
    <x v="171"/>
    <x v="1"/>
    <s v="J-601/25-26"/>
    <n v="174591"/>
    <m/>
  </r>
  <r>
    <d v="2025-05-07T00:00:00"/>
    <x v="160"/>
    <x v="1"/>
    <s v="J-602/25-26"/>
    <n v="7141"/>
    <m/>
  </r>
  <r>
    <d v="2025-05-07T00:00:00"/>
    <x v="278"/>
    <x v="1"/>
    <s v="J-603/25-26"/>
    <n v="2010"/>
    <m/>
  </r>
  <r>
    <d v="2025-05-07T00:00:00"/>
    <x v="11"/>
    <x v="1"/>
    <s v="J-604/25-26"/>
    <n v="3281"/>
    <m/>
  </r>
  <r>
    <d v="2025-05-07T00:00:00"/>
    <x v="115"/>
    <x v="1"/>
    <s v="J-605/25-26"/>
    <n v="31629"/>
    <m/>
  </r>
  <r>
    <d v="2025-05-07T00:00:00"/>
    <x v="279"/>
    <x v="1"/>
    <s v="J-606/25-26"/>
    <n v="10800"/>
    <m/>
  </r>
  <r>
    <d v="2025-05-07T00:00:00"/>
    <x v="280"/>
    <x v="1"/>
    <s v="J-607/25-26"/>
    <n v="360"/>
    <m/>
  </r>
  <r>
    <d v="2025-05-07T00:00:00"/>
    <x v="281"/>
    <x v="1"/>
    <s v="J-608/25-26"/>
    <n v="9193"/>
    <m/>
  </r>
  <r>
    <d v="2025-05-07T00:00:00"/>
    <x v="256"/>
    <x v="1"/>
    <s v="J-609/25-26"/>
    <n v="3600"/>
    <m/>
  </r>
  <r>
    <d v="2025-05-07T00:00:00"/>
    <x v="241"/>
    <x v="1"/>
    <s v="J-610/25-26"/>
    <n v="1556"/>
    <m/>
  </r>
  <r>
    <d v="2025-05-07T00:00:00"/>
    <x v="4"/>
    <x v="1"/>
    <s v="J-611/25-26"/>
    <n v="2136"/>
    <m/>
  </r>
  <r>
    <d v="2025-05-07T00:00:00"/>
    <x v="282"/>
    <x v="1"/>
    <s v="J-612/25-26"/>
    <n v="18750"/>
    <m/>
  </r>
  <r>
    <d v="2025-05-07T00:00:00"/>
    <x v="283"/>
    <x v="1"/>
    <s v="J-613/25-26"/>
    <n v="7495"/>
    <m/>
  </r>
  <r>
    <d v="2025-05-07T00:00:00"/>
    <x v="258"/>
    <x v="1"/>
    <s v="J-614/25-26"/>
    <n v="2900"/>
    <m/>
  </r>
  <r>
    <d v="2025-05-07T00:00:00"/>
    <x v="91"/>
    <x v="1"/>
    <s v="J-615/25-26"/>
    <n v="1600"/>
    <m/>
  </r>
  <r>
    <d v="2025-05-07T00:00:00"/>
    <x v="4"/>
    <x v="1"/>
    <s v="J-616/25-26"/>
    <n v="3664"/>
    <m/>
  </r>
  <r>
    <d v="2025-05-08T00:00:00"/>
    <x v="15"/>
    <x v="0"/>
    <s v="JU-94/25-26"/>
    <n v="17852"/>
    <m/>
  </r>
  <r>
    <d v="2025-05-08T00:00:00"/>
    <x v="284"/>
    <x v="0"/>
    <s v="JU-95/25-26"/>
    <n v="3640"/>
    <m/>
  </r>
  <r>
    <d v="2025-05-08T00:00:00"/>
    <x v="179"/>
    <x v="0"/>
    <s v="JU-96/25-26"/>
    <n v="1800"/>
    <m/>
  </r>
  <r>
    <d v="2025-05-08T00:00:00"/>
    <x v="11"/>
    <x v="1"/>
    <s v="J-617/25-26"/>
    <n v="12"/>
    <m/>
  </r>
  <r>
    <d v="2025-05-08T00:00:00"/>
    <x v="159"/>
    <x v="1"/>
    <s v="J-618/25-26"/>
    <n v="203"/>
    <m/>
  </r>
  <r>
    <d v="2025-05-08T00:00:00"/>
    <x v="285"/>
    <x v="1"/>
    <s v="J-619/25-26"/>
    <n v="1800"/>
    <m/>
  </r>
  <r>
    <d v="2025-05-08T00:00:00"/>
    <x v="42"/>
    <x v="1"/>
    <s v="J-620/25-26"/>
    <n v="3600"/>
    <m/>
  </r>
  <r>
    <d v="2025-05-08T00:00:00"/>
    <x v="170"/>
    <x v="1"/>
    <s v="J-621/25-26"/>
    <n v="18522"/>
    <m/>
  </r>
  <r>
    <d v="2025-05-08T00:00:00"/>
    <x v="286"/>
    <x v="1"/>
    <s v="J-622/25-26"/>
    <n v="3860"/>
    <m/>
  </r>
  <r>
    <d v="2025-05-08T00:00:00"/>
    <x v="47"/>
    <x v="1"/>
    <s v="J-623/25-26"/>
    <n v="1423"/>
    <m/>
  </r>
  <r>
    <d v="2025-05-08T00:00:00"/>
    <x v="146"/>
    <x v="1"/>
    <s v="J-624/25-26"/>
    <n v="7860"/>
    <m/>
  </r>
  <r>
    <d v="2025-05-08T00:00:00"/>
    <x v="79"/>
    <x v="1"/>
    <s v="J-625/25-26"/>
    <n v="3081"/>
    <m/>
  </r>
  <r>
    <d v="2025-05-08T00:00:00"/>
    <x v="253"/>
    <x v="1"/>
    <s v="J-626/25-26"/>
    <n v="1956"/>
    <m/>
  </r>
  <r>
    <d v="2025-05-08T00:00:00"/>
    <x v="207"/>
    <x v="1"/>
    <s v="J-627/25-26"/>
    <n v="3380"/>
    <m/>
  </r>
  <r>
    <d v="2025-05-08T00:00:00"/>
    <x v="47"/>
    <x v="1"/>
    <s v="J-628/25-26"/>
    <n v="630"/>
    <m/>
  </r>
  <r>
    <d v="2025-05-08T00:00:00"/>
    <x v="159"/>
    <x v="1"/>
    <s v="J-629/25-26"/>
    <n v="6938"/>
    <m/>
  </r>
  <r>
    <d v="2025-05-08T00:00:00"/>
    <x v="287"/>
    <x v="1"/>
    <s v="J-630/25-26"/>
    <n v="342"/>
    <m/>
  </r>
  <r>
    <d v="2025-05-08T00:00:00"/>
    <x v="195"/>
    <x v="1"/>
    <s v="J-631/25-26"/>
    <n v="6488"/>
    <m/>
  </r>
  <r>
    <d v="2025-05-09T00:00:00"/>
    <x v="288"/>
    <x v="0"/>
    <s v="JU-97/25-26"/>
    <n v="6317"/>
    <m/>
  </r>
  <r>
    <d v="2025-05-09T00:00:00"/>
    <x v="179"/>
    <x v="0"/>
    <s v="JU-98/25-26"/>
    <n v="26645"/>
    <m/>
  </r>
  <r>
    <d v="2025-05-09T00:00:00"/>
    <x v="289"/>
    <x v="0"/>
    <s v="JU-99/25-26"/>
    <n v="4514"/>
    <m/>
  </r>
  <r>
    <d v="2025-05-09T00:00:00"/>
    <x v="14"/>
    <x v="0"/>
    <s v="JU-100/25-26"/>
    <n v="103578"/>
    <m/>
  </r>
  <r>
    <d v="2025-05-09T00:00:00"/>
    <x v="136"/>
    <x v="0"/>
    <s v="JU-101/25-26"/>
    <n v="3379"/>
    <m/>
  </r>
  <r>
    <d v="2025-05-09T00:00:00"/>
    <x v="290"/>
    <x v="0"/>
    <s v="JU-102/25-26"/>
    <n v="42893"/>
    <m/>
  </r>
  <r>
    <d v="2025-05-09T00:00:00"/>
    <x v="291"/>
    <x v="1"/>
    <s v="J-632/25-26"/>
    <n v="5754"/>
    <m/>
  </r>
  <r>
    <d v="2025-05-09T00:00:00"/>
    <x v="241"/>
    <x v="1"/>
    <s v="J-633/25-26"/>
    <n v="3810"/>
    <m/>
  </r>
  <r>
    <d v="2025-05-09T00:00:00"/>
    <x v="23"/>
    <x v="1"/>
    <s v="J-634/25-26"/>
    <n v="1800"/>
    <m/>
  </r>
  <r>
    <d v="2025-05-09T00:00:00"/>
    <x v="256"/>
    <x v="1"/>
    <s v="J-635/25-26"/>
    <n v="1080"/>
    <m/>
  </r>
  <r>
    <d v="2025-05-09T00:00:00"/>
    <x v="256"/>
    <x v="1"/>
    <s v="J-636/25-26"/>
    <n v="22315"/>
    <m/>
  </r>
  <r>
    <d v="2025-05-09T00:00:00"/>
    <x v="281"/>
    <x v="1"/>
    <s v="J-637/25-26"/>
    <n v="531"/>
    <m/>
  </r>
  <r>
    <d v="2025-05-09T00:00:00"/>
    <x v="292"/>
    <x v="1"/>
    <s v="J-638/25-26"/>
    <n v="2333"/>
    <m/>
  </r>
  <r>
    <d v="2025-05-09T00:00:00"/>
    <x v="115"/>
    <x v="1"/>
    <s v="J-639/25-26"/>
    <n v="40300"/>
    <m/>
  </r>
  <r>
    <d v="2025-05-09T00:00:00"/>
    <x v="293"/>
    <x v="1"/>
    <s v="J-640/25-26"/>
    <n v="8617"/>
    <m/>
  </r>
  <r>
    <d v="2025-05-09T00:00:00"/>
    <x v="294"/>
    <x v="1"/>
    <s v="J-641/25-26"/>
    <n v="370"/>
    <m/>
  </r>
  <r>
    <d v="2025-05-09T00:00:00"/>
    <x v="38"/>
    <x v="1"/>
    <s v="J-642/25-26"/>
    <n v="7613"/>
    <m/>
  </r>
  <r>
    <d v="2025-05-09T00:00:00"/>
    <x v="295"/>
    <x v="1"/>
    <s v="J-643/25-26"/>
    <n v="2036"/>
    <m/>
  </r>
  <r>
    <d v="2025-05-09T00:00:00"/>
    <x v="278"/>
    <x v="1"/>
    <s v="J-644/25-26"/>
    <n v="8482"/>
    <m/>
  </r>
  <r>
    <d v="2025-05-09T00:00:00"/>
    <x v="278"/>
    <x v="1"/>
    <s v="J-645/25-26"/>
    <n v="1960"/>
    <m/>
  </r>
  <r>
    <d v="2025-05-09T00:00:00"/>
    <x v="115"/>
    <x v="1"/>
    <s v="J-646/25-26"/>
    <n v="75"/>
    <m/>
  </r>
  <r>
    <d v="2025-05-09T00:00:00"/>
    <x v="256"/>
    <x v="1"/>
    <s v="J-647/25-26"/>
    <n v="230"/>
    <m/>
  </r>
  <r>
    <d v="2025-05-09T00:00:00"/>
    <x v="47"/>
    <x v="1"/>
    <s v="J-648/25-26"/>
    <n v="720"/>
    <m/>
  </r>
  <r>
    <d v="2025-05-09T00:00:00"/>
    <x v="296"/>
    <x v="1"/>
    <s v="J-649/25-26"/>
    <n v="1224"/>
    <m/>
  </r>
  <r>
    <d v="2025-05-09T00:00:00"/>
    <x v="297"/>
    <x v="1"/>
    <s v="J-650/25-26"/>
    <n v="8232"/>
    <m/>
  </r>
  <r>
    <d v="2025-05-10T00:00:00"/>
    <x v="179"/>
    <x v="0"/>
    <s v="JU-103/25-26"/>
    <n v="5400"/>
    <m/>
  </r>
  <r>
    <d v="2025-05-10T00:00:00"/>
    <x v="257"/>
    <x v="1"/>
    <s v="J-651/25-26"/>
    <n v="4396"/>
    <m/>
  </r>
  <r>
    <d v="2025-05-10T00:00:00"/>
    <x v="170"/>
    <x v="1"/>
    <s v="J-652/25-26"/>
    <n v="7467"/>
    <m/>
  </r>
  <r>
    <d v="2025-05-10T00:00:00"/>
    <x v="159"/>
    <x v="1"/>
    <s v="J-653/25-26"/>
    <n v="307"/>
    <m/>
  </r>
  <r>
    <d v="2025-05-10T00:00:00"/>
    <x v="11"/>
    <x v="1"/>
    <s v="J-654/25-26"/>
    <n v="134"/>
    <m/>
  </r>
  <r>
    <d v="2025-05-10T00:00:00"/>
    <x v="23"/>
    <x v="1"/>
    <s v="J-655/25-26"/>
    <n v="5620"/>
    <m/>
  </r>
  <r>
    <d v="2025-05-10T00:00:00"/>
    <x v="298"/>
    <x v="1"/>
    <s v="J-656/25-26"/>
    <n v="553"/>
    <m/>
  </r>
  <r>
    <d v="2025-05-10T00:00:00"/>
    <x v="299"/>
    <x v="1"/>
    <s v="J-657/25-26"/>
    <n v="1062"/>
    <m/>
  </r>
  <r>
    <d v="2025-05-10T00:00:00"/>
    <x v="300"/>
    <x v="1"/>
    <s v="J-658/25-26"/>
    <n v="20"/>
    <m/>
  </r>
  <r>
    <d v="2025-05-10T00:00:00"/>
    <x v="301"/>
    <x v="1"/>
    <s v="J-659/25-26"/>
    <n v="1800"/>
    <m/>
  </r>
  <r>
    <d v="2025-05-10T00:00:00"/>
    <x v="171"/>
    <x v="1"/>
    <s v="J-660/25-26"/>
    <n v="1350"/>
    <m/>
  </r>
  <r>
    <d v="2025-05-10T00:00:00"/>
    <x v="159"/>
    <x v="1"/>
    <s v="J-661/25-26"/>
    <n v="26668"/>
    <m/>
  </r>
  <r>
    <d v="2025-05-10T00:00:00"/>
    <x v="302"/>
    <x v="1"/>
    <s v="J-662/25-26"/>
    <n v="1850"/>
    <m/>
  </r>
  <r>
    <d v="2025-05-10T00:00:00"/>
    <x v="8"/>
    <x v="1"/>
    <s v="J-663/25-26"/>
    <n v="32452"/>
    <m/>
  </r>
  <r>
    <d v="2025-05-10T00:00:00"/>
    <x v="303"/>
    <x v="1"/>
    <s v="J-664/25-26"/>
    <n v="20167"/>
    <m/>
  </r>
  <r>
    <d v="2025-05-10T00:00:00"/>
    <x v="171"/>
    <x v="1"/>
    <s v="J-665/25-26"/>
    <n v="810"/>
    <m/>
  </r>
  <r>
    <d v="2025-05-10T00:00:00"/>
    <x v="304"/>
    <x v="1"/>
    <s v="J-666/25-26"/>
    <n v="2597"/>
    <m/>
  </r>
  <r>
    <d v="2025-05-10T00:00:00"/>
    <x v="236"/>
    <x v="1"/>
    <s v="J-667/25-26"/>
    <n v="360"/>
    <m/>
  </r>
  <r>
    <d v="2025-05-10T00:00:00"/>
    <x v="241"/>
    <x v="1"/>
    <s v="J-668/25-26"/>
    <n v="720"/>
    <m/>
  </r>
  <r>
    <d v="2025-05-10T00:00:00"/>
    <x v="115"/>
    <x v="1"/>
    <s v="J-669/25-26"/>
    <n v="460"/>
    <m/>
  </r>
  <r>
    <d v="2025-05-12T00:00:00"/>
    <x v="305"/>
    <x v="0"/>
    <s v="JU-104/25-26"/>
    <n v="720"/>
    <m/>
  </r>
  <r>
    <d v="2025-05-12T00:00:00"/>
    <x v="306"/>
    <x v="0"/>
    <s v="JU-105/25-26"/>
    <n v="10182"/>
    <m/>
  </r>
  <r>
    <d v="2025-05-12T00:00:00"/>
    <x v="31"/>
    <x v="0"/>
    <s v="JU-106/25-26"/>
    <n v="39900"/>
    <m/>
  </r>
  <r>
    <d v="2025-05-12T00:00:00"/>
    <x v="31"/>
    <x v="0"/>
    <s v="JU-107/25-26"/>
    <n v="3160"/>
    <m/>
  </r>
  <r>
    <d v="2025-05-12T00:00:00"/>
    <x v="307"/>
    <x v="0"/>
    <s v="JU-108/25-26"/>
    <n v="7600"/>
    <m/>
  </r>
  <r>
    <d v="2025-05-12T00:00:00"/>
    <x v="159"/>
    <x v="1"/>
    <s v="J-670/25-26"/>
    <n v="1200"/>
    <m/>
  </r>
  <r>
    <d v="2025-05-12T00:00:00"/>
    <x v="20"/>
    <x v="1"/>
    <s v="J-671/25-26"/>
    <n v="3440"/>
    <m/>
  </r>
  <r>
    <d v="2025-05-12T00:00:00"/>
    <x v="140"/>
    <x v="1"/>
    <s v="J-672/25-26"/>
    <n v="48183"/>
    <m/>
  </r>
  <r>
    <d v="2025-05-12T00:00:00"/>
    <x v="11"/>
    <x v="1"/>
    <s v="J-673/25-26"/>
    <n v="370"/>
    <m/>
  </r>
  <r>
    <d v="2025-05-12T00:00:00"/>
    <x v="89"/>
    <x v="1"/>
    <s v="J-674/25-26"/>
    <n v="170"/>
    <m/>
  </r>
  <r>
    <d v="2025-05-12T00:00:00"/>
    <x v="308"/>
    <x v="1"/>
    <s v="J-675/25-26"/>
    <n v="4450"/>
    <m/>
  </r>
  <r>
    <d v="2025-05-12T00:00:00"/>
    <x v="11"/>
    <x v="1"/>
    <s v="J-676/25-26"/>
    <n v="12"/>
    <m/>
  </r>
  <r>
    <d v="2025-05-12T00:00:00"/>
    <x v="11"/>
    <x v="1"/>
    <s v="J-677/25-26"/>
    <n v="370"/>
    <m/>
  </r>
  <r>
    <d v="2025-05-12T00:00:00"/>
    <x v="11"/>
    <x v="1"/>
    <s v="J-678/25-26"/>
    <n v="380"/>
    <m/>
  </r>
  <r>
    <d v="2025-05-12T00:00:00"/>
    <x v="309"/>
    <x v="1"/>
    <s v="J-679/25-26"/>
    <n v="39500"/>
    <m/>
  </r>
  <r>
    <d v="2025-05-12T00:00:00"/>
    <x v="4"/>
    <x v="1"/>
    <s v="J-680/25-26"/>
    <n v="23570"/>
    <m/>
  </r>
  <r>
    <d v="2025-05-12T00:00:00"/>
    <x v="73"/>
    <x v="1"/>
    <s v="J-681/25-26"/>
    <n v="370"/>
    <m/>
  </r>
  <r>
    <d v="2025-05-12T00:00:00"/>
    <x v="89"/>
    <x v="1"/>
    <s v="J-682/25-26"/>
    <n v="2800"/>
    <m/>
  </r>
  <r>
    <d v="2025-05-12T00:00:00"/>
    <x v="310"/>
    <x v="1"/>
    <s v="J-683/25-26"/>
    <n v="33786"/>
    <m/>
  </r>
  <r>
    <d v="2025-05-12T00:00:00"/>
    <x v="261"/>
    <x v="1"/>
    <s v="J-684/25-26"/>
    <n v="622"/>
    <m/>
  </r>
  <r>
    <d v="2025-05-12T00:00:00"/>
    <x v="207"/>
    <x v="1"/>
    <s v="J-685/25-26"/>
    <n v="1262"/>
    <m/>
  </r>
  <r>
    <d v="2025-05-12T00:00:00"/>
    <x v="311"/>
    <x v="1"/>
    <s v="J-686/25-26"/>
    <n v="700"/>
    <m/>
  </r>
  <r>
    <d v="2025-05-12T00:00:00"/>
    <x v="312"/>
    <x v="1"/>
    <s v="J-687/25-26"/>
    <n v="50"/>
    <m/>
  </r>
  <r>
    <d v="2025-05-12T00:00:00"/>
    <x v="313"/>
    <x v="1"/>
    <s v="J-688/25-26"/>
    <n v="4900"/>
    <m/>
  </r>
  <r>
    <d v="2025-05-12T00:00:00"/>
    <x v="314"/>
    <x v="1"/>
    <s v="J-689/25-26"/>
    <n v="850"/>
    <m/>
  </r>
  <r>
    <d v="2025-05-13T00:00:00"/>
    <x v="179"/>
    <x v="0"/>
    <s v="JU-109/25-26"/>
    <n v="39077"/>
    <m/>
  </r>
  <r>
    <d v="2025-05-13T00:00:00"/>
    <x v="112"/>
    <x v="0"/>
    <s v="JU-110/25-26"/>
    <n v="6016"/>
    <m/>
  </r>
  <r>
    <d v="2025-05-13T00:00:00"/>
    <x v="305"/>
    <x v="0"/>
    <s v="JU-111/25-26"/>
    <n v="1110"/>
    <m/>
  </r>
  <r>
    <d v="2025-05-13T00:00:00"/>
    <x v="15"/>
    <x v="0"/>
    <s v="JU-112/25-26"/>
    <n v="3530"/>
    <m/>
  </r>
  <r>
    <d v="2025-05-13T00:00:00"/>
    <x v="266"/>
    <x v="1"/>
    <s v="J-690/25-26"/>
    <n v="5625"/>
    <m/>
  </r>
  <r>
    <d v="2025-05-13T00:00:00"/>
    <x v="84"/>
    <x v="1"/>
    <s v="J-691/25-26"/>
    <n v="10079"/>
    <m/>
  </r>
  <r>
    <d v="2025-05-13T00:00:00"/>
    <x v="278"/>
    <x v="1"/>
    <s v="J-692/25-26"/>
    <n v="641"/>
    <m/>
  </r>
  <r>
    <d v="2025-05-13T00:00:00"/>
    <x v="261"/>
    <x v="1"/>
    <s v="J-693/25-26"/>
    <n v="44112"/>
    <m/>
  </r>
  <r>
    <d v="2025-05-13T00:00:00"/>
    <x v="315"/>
    <x v="1"/>
    <s v="J-694/25-26"/>
    <n v="50190"/>
    <m/>
  </r>
  <r>
    <d v="2025-05-13T00:00:00"/>
    <x v="207"/>
    <x v="1"/>
    <s v="J-695/25-26"/>
    <n v="2015"/>
    <m/>
  </r>
  <r>
    <d v="2025-05-13T00:00:00"/>
    <x v="298"/>
    <x v="1"/>
    <s v="J-696/25-26"/>
    <n v="9118"/>
    <m/>
  </r>
  <r>
    <d v="2025-05-13T00:00:00"/>
    <x v="55"/>
    <x v="1"/>
    <s v="J-697/25-26"/>
    <n v="2751"/>
    <m/>
  </r>
  <r>
    <d v="2025-05-13T00:00:00"/>
    <x v="257"/>
    <x v="1"/>
    <s v="J-698/25-26"/>
    <n v="6465"/>
    <m/>
  </r>
  <r>
    <d v="2025-05-13T00:00:00"/>
    <x v="248"/>
    <x v="1"/>
    <s v="J-699/25-26"/>
    <n v="15201"/>
    <m/>
  </r>
  <r>
    <d v="2025-05-13T00:00:00"/>
    <x v="89"/>
    <x v="1"/>
    <s v="J-700/25-26"/>
    <n v="370"/>
    <m/>
  </r>
  <r>
    <d v="2025-05-13T00:00:00"/>
    <x v="316"/>
    <x v="1"/>
    <s v="J-701/25-26"/>
    <n v="2960"/>
    <m/>
  </r>
  <r>
    <d v="2025-05-13T00:00:00"/>
    <x v="317"/>
    <x v="1"/>
    <s v="J-702/25-26"/>
    <n v="5140"/>
    <m/>
  </r>
  <r>
    <d v="2025-05-13T00:00:00"/>
    <x v="318"/>
    <x v="1"/>
    <s v="J-703/25-26"/>
    <n v="30840"/>
    <m/>
  </r>
  <r>
    <d v="2025-05-13T00:00:00"/>
    <x v="318"/>
    <x v="1"/>
    <s v="J-704/25-26"/>
    <n v="760"/>
    <m/>
  </r>
  <r>
    <d v="2025-05-13T00:00:00"/>
    <x v="319"/>
    <x v="1"/>
    <s v="J-705/25-26"/>
    <n v="34920"/>
    <m/>
  </r>
  <r>
    <d v="2025-05-13T00:00:00"/>
    <x v="298"/>
    <x v="1"/>
    <s v="J-706/25-26"/>
    <n v="300"/>
    <m/>
  </r>
  <r>
    <d v="2025-05-13T00:00:00"/>
    <x v="298"/>
    <x v="1"/>
    <s v="J-707/25-26"/>
    <n v="1035"/>
    <m/>
  </r>
  <r>
    <d v="2025-05-14T00:00:00"/>
    <x v="15"/>
    <x v="0"/>
    <s v="JU-113/25-26"/>
    <n v="3531"/>
    <m/>
  </r>
  <r>
    <d v="2025-05-14T00:00:00"/>
    <x v="320"/>
    <x v="0"/>
    <s v="JU-114/25-26"/>
    <n v="28057"/>
    <m/>
  </r>
  <r>
    <d v="2025-05-14T00:00:00"/>
    <x v="321"/>
    <x v="0"/>
    <s v="JU-115/25-26"/>
    <n v="3450"/>
    <m/>
  </r>
  <r>
    <d v="2025-05-14T00:00:00"/>
    <x v="241"/>
    <x v="1"/>
    <s v="J-708/25-26"/>
    <n v="19750"/>
    <m/>
  </r>
  <r>
    <d v="2025-05-14T00:00:00"/>
    <x v="11"/>
    <x v="1"/>
    <s v="J-709/25-26"/>
    <n v="370"/>
    <m/>
  </r>
  <r>
    <d v="2025-05-14T00:00:00"/>
    <x v="322"/>
    <x v="1"/>
    <s v="J-710/25-26"/>
    <n v="370"/>
    <m/>
  </r>
  <r>
    <d v="2025-05-14T00:00:00"/>
    <x v="323"/>
    <x v="1"/>
    <s v="J-711/25-26"/>
    <n v="1480"/>
    <m/>
  </r>
  <r>
    <d v="2025-05-14T00:00:00"/>
    <x v="11"/>
    <x v="1"/>
    <s v="J-712/25-26"/>
    <n v="12"/>
    <m/>
  </r>
  <r>
    <d v="2025-05-14T00:00:00"/>
    <x v="310"/>
    <x v="1"/>
    <s v="J-713/25-26"/>
    <n v="28800"/>
    <m/>
  </r>
  <r>
    <d v="2025-05-14T00:00:00"/>
    <x v="324"/>
    <x v="1"/>
    <s v="J-714/25-26"/>
    <n v="20112"/>
    <m/>
  </r>
  <r>
    <d v="2025-05-14T00:00:00"/>
    <x v="4"/>
    <x v="1"/>
    <s v="J-715/25-26"/>
    <n v="17316"/>
    <m/>
  </r>
  <r>
    <d v="2025-05-14T00:00:00"/>
    <x v="325"/>
    <x v="1"/>
    <s v="J-716/25-26"/>
    <n v="26407"/>
    <m/>
  </r>
  <r>
    <d v="2025-05-14T00:00:00"/>
    <x v="326"/>
    <x v="1"/>
    <s v="J-717/25-26"/>
    <n v="26156"/>
    <m/>
  </r>
  <r>
    <d v="2025-05-14T00:00:00"/>
    <x v="327"/>
    <x v="1"/>
    <s v="J-718/25-26"/>
    <n v="8056"/>
    <m/>
  </r>
  <r>
    <d v="2025-05-14T00:00:00"/>
    <x v="328"/>
    <x v="1"/>
    <s v="J-719/25-26"/>
    <n v="2454"/>
    <m/>
  </r>
  <r>
    <d v="2025-05-14T00:00:00"/>
    <x v="278"/>
    <x v="1"/>
    <s v="J-720/25-26"/>
    <n v="1892"/>
    <m/>
  </r>
  <r>
    <d v="2025-05-14T00:00:00"/>
    <x v="163"/>
    <x v="1"/>
    <s v="J-721/25-26"/>
    <n v="400"/>
    <m/>
  </r>
  <r>
    <d v="2025-05-14T00:00:00"/>
    <x v="257"/>
    <x v="1"/>
    <s v="J-722/25-26"/>
    <n v="806"/>
    <m/>
  </r>
  <r>
    <d v="2025-05-14T00:00:00"/>
    <x v="173"/>
    <x v="1"/>
    <s v="J-723/25-26"/>
    <n v="20305"/>
    <m/>
  </r>
  <r>
    <d v="2025-05-14T00:00:00"/>
    <x v="329"/>
    <x v="1"/>
    <s v="J-724/25-26"/>
    <n v="26004"/>
    <m/>
  </r>
  <r>
    <d v="2025-05-14T00:00:00"/>
    <x v="330"/>
    <x v="1"/>
    <s v="J-725/25-26"/>
    <n v="370"/>
    <m/>
  </r>
  <r>
    <d v="2025-05-14T00:00:00"/>
    <x v="11"/>
    <x v="1"/>
    <s v="J-726/25-26"/>
    <n v="19343"/>
    <m/>
  </r>
  <r>
    <d v="2025-05-14T00:00:00"/>
    <x v="241"/>
    <x v="1"/>
    <s v="J-727/25-26"/>
    <n v="477"/>
    <m/>
  </r>
  <r>
    <d v="2025-05-14T00:00:00"/>
    <x v="219"/>
    <x v="1"/>
    <s v="J-728/25-26"/>
    <n v="13091"/>
    <m/>
  </r>
  <r>
    <d v="2025-05-15T00:00:00"/>
    <x v="305"/>
    <x v="0"/>
    <s v="JU-116/25-26"/>
    <n v="370"/>
    <m/>
  </r>
  <r>
    <d v="2025-05-15T00:00:00"/>
    <x v="331"/>
    <x v="0"/>
    <s v="JU-117/25-26"/>
    <n v="12005"/>
    <m/>
  </r>
  <r>
    <d v="2025-05-15T00:00:00"/>
    <x v="284"/>
    <x v="0"/>
    <s v="JU-118/25-26"/>
    <n v="4654"/>
    <m/>
  </r>
  <r>
    <d v="2025-05-15T00:00:00"/>
    <x v="20"/>
    <x v="1"/>
    <s v="J-729/25-26"/>
    <n v="100"/>
    <m/>
  </r>
  <r>
    <d v="2025-05-15T00:00:00"/>
    <x v="332"/>
    <x v="1"/>
    <s v="J-730/25-26"/>
    <n v="7092"/>
    <m/>
  </r>
  <r>
    <d v="2025-05-15T00:00:00"/>
    <x v="276"/>
    <x v="1"/>
    <s v="J-731/25-26"/>
    <n v="740"/>
    <m/>
  </r>
  <r>
    <d v="2025-05-15T00:00:00"/>
    <x v="11"/>
    <x v="1"/>
    <s v="J-732/25-26"/>
    <n v="8"/>
    <m/>
  </r>
  <r>
    <d v="2025-05-15T00:00:00"/>
    <x v="193"/>
    <x v="1"/>
    <s v="J-733/25-26"/>
    <n v="1933"/>
    <m/>
  </r>
  <r>
    <d v="2025-05-15T00:00:00"/>
    <x v="328"/>
    <x v="1"/>
    <s v="J-734/25-26"/>
    <n v="827"/>
    <m/>
  </r>
  <r>
    <d v="2025-05-15T00:00:00"/>
    <x v="257"/>
    <x v="1"/>
    <s v="J-735/25-26"/>
    <n v="4181"/>
    <m/>
  </r>
  <r>
    <d v="2025-05-15T00:00:00"/>
    <x v="278"/>
    <x v="1"/>
    <s v="J-736/25-26"/>
    <n v="212"/>
    <m/>
  </r>
  <r>
    <d v="2025-05-15T00:00:00"/>
    <x v="261"/>
    <x v="1"/>
    <s v="J-737/25-26"/>
    <n v="1405"/>
    <m/>
  </r>
  <r>
    <d v="2025-05-15T00:00:00"/>
    <x v="298"/>
    <x v="1"/>
    <s v="J-738/25-26"/>
    <n v="1265"/>
    <m/>
  </r>
  <r>
    <d v="2025-05-15T00:00:00"/>
    <x v="333"/>
    <x v="1"/>
    <s v="J-739/25-26"/>
    <n v="5325"/>
    <m/>
  </r>
  <r>
    <d v="2025-05-15T00:00:00"/>
    <x v="23"/>
    <x v="1"/>
    <s v="J-740/25-26"/>
    <n v="33370"/>
    <m/>
  </r>
  <r>
    <d v="2025-05-15T00:00:00"/>
    <x v="163"/>
    <x v="1"/>
    <s v="J-741/25-26"/>
    <n v="8740"/>
    <m/>
  </r>
  <r>
    <d v="2025-05-15T00:00:00"/>
    <x v="334"/>
    <x v="1"/>
    <s v="J-742/25-26"/>
    <n v="3192"/>
    <m/>
  </r>
  <r>
    <d v="2025-05-15T00:00:00"/>
    <x v="335"/>
    <x v="1"/>
    <s v="J-743/25-26"/>
    <n v="5937"/>
    <m/>
  </r>
  <r>
    <d v="2025-05-15T00:00:00"/>
    <x v="20"/>
    <x v="1"/>
    <s v="J-744/25-26"/>
    <n v="26942"/>
    <m/>
  </r>
  <r>
    <d v="2025-05-16T00:00:00"/>
    <x v="179"/>
    <x v="0"/>
    <s v="JU-119/25-26"/>
    <n v="9436"/>
    <m/>
  </r>
  <r>
    <d v="2025-05-16T00:00:00"/>
    <x v="87"/>
    <x v="0"/>
    <s v="JU-120/25-26"/>
    <n v="8094"/>
    <m/>
  </r>
  <r>
    <d v="2025-05-16T00:00:00"/>
    <x v="87"/>
    <x v="0"/>
    <s v="JU-121/25-26"/>
    <n v="375"/>
    <m/>
  </r>
  <r>
    <d v="2025-05-16T00:00:00"/>
    <x v="15"/>
    <x v="0"/>
    <s v="JU-122/25-26"/>
    <n v="200"/>
    <m/>
  </r>
  <r>
    <d v="2025-05-16T00:00:00"/>
    <x v="336"/>
    <x v="0"/>
    <s v="JU-123/25-26"/>
    <n v="3960"/>
    <m/>
  </r>
  <r>
    <d v="2025-05-16T00:00:00"/>
    <x v="181"/>
    <x v="1"/>
    <s v="J-745/25-26"/>
    <n v="11154"/>
    <m/>
  </r>
  <r>
    <d v="2025-05-16T00:00:00"/>
    <x v="169"/>
    <x v="1"/>
    <s v="J-746/25-26"/>
    <n v="2500"/>
    <m/>
  </r>
  <r>
    <d v="2025-05-16T00:00:00"/>
    <x v="223"/>
    <x v="1"/>
    <s v="J-747/25-26"/>
    <n v="3700"/>
    <m/>
  </r>
  <r>
    <d v="2025-05-16T00:00:00"/>
    <x v="54"/>
    <x v="1"/>
    <s v="J-748/25-26"/>
    <n v="1030"/>
    <m/>
  </r>
  <r>
    <d v="2025-05-16T00:00:00"/>
    <x v="84"/>
    <x v="1"/>
    <s v="J-749/25-26"/>
    <n v="3980"/>
    <m/>
  </r>
  <r>
    <d v="2025-05-16T00:00:00"/>
    <x v="160"/>
    <x v="1"/>
    <s v="J-750/25-26"/>
    <n v="1645"/>
    <m/>
  </r>
  <r>
    <d v="2025-05-16T00:00:00"/>
    <x v="337"/>
    <x v="1"/>
    <s v="J-751/25-26"/>
    <n v="1578"/>
    <m/>
  </r>
  <r>
    <d v="2025-05-16T00:00:00"/>
    <x v="319"/>
    <x v="1"/>
    <s v="J-752/25-26"/>
    <n v="1564"/>
    <m/>
  </r>
  <r>
    <d v="2025-05-16T00:00:00"/>
    <x v="335"/>
    <x v="1"/>
    <s v="J-753/25-26"/>
    <n v="23844"/>
    <m/>
  </r>
  <r>
    <d v="2025-05-16T00:00:00"/>
    <x v="115"/>
    <x v="1"/>
    <s v="J-754/25-26"/>
    <n v="3350"/>
    <m/>
  </r>
  <r>
    <d v="2025-05-16T00:00:00"/>
    <x v="310"/>
    <x v="1"/>
    <s v="J-755/25-26"/>
    <n v="425"/>
    <m/>
  </r>
  <r>
    <d v="2025-05-16T00:00:00"/>
    <x v="338"/>
    <x v="1"/>
    <s v="J-756/25-26"/>
    <n v="14670"/>
    <m/>
  </r>
  <r>
    <d v="2025-05-16T00:00:00"/>
    <x v="248"/>
    <x v="1"/>
    <s v="J-757/25-26"/>
    <n v="513"/>
    <m/>
  </r>
  <r>
    <d v="2025-05-16T00:00:00"/>
    <x v="339"/>
    <x v="1"/>
    <s v="J-758/25-26"/>
    <n v="1830"/>
    <m/>
  </r>
  <r>
    <d v="2025-05-16T00:00:00"/>
    <x v="340"/>
    <x v="1"/>
    <s v="J-759/25-26"/>
    <n v="40507"/>
    <m/>
  </r>
  <r>
    <d v="2025-05-16T00:00:00"/>
    <x v="341"/>
    <x v="1"/>
    <s v="J-760/25-26"/>
    <n v="18631"/>
    <m/>
  </r>
  <r>
    <d v="2025-05-17T00:00:00"/>
    <x v="179"/>
    <x v="0"/>
    <s v="JU-124/25-26"/>
    <n v="13634"/>
    <m/>
  </r>
  <r>
    <d v="2025-05-17T00:00:00"/>
    <x v="14"/>
    <x v="0"/>
    <s v="JU-125/25-26"/>
    <n v="2307"/>
    <m/>
  </r>
  <r>
    <d v="2025-05-17T00:00:00"/>
    <x v="342"/>
    <x v="0"/>
    <s v="JU-126/25-26"/>
    <n v="1932"/>
    <m/>
  </r>
  <r>
    <d v="2025-05-17T00:00:00"/>
    <x v="343"/>
    <x v="0"/>
    <s v="JU-127/25-26"/>
    <n v="2576"/>
    <m/>
  </r>
  <r>
    <d v="2025-05-17T00:00:00"/>
    <x v="344"/>
    <x v="0"/>
    <s v="JU-128/25-26"/>
    <n v="198500"/>
    <m/>
  </r>
  <r>
    <d v="2025-05-17T00:00:00"/>
    <x v="46"/>
    <x v="1"/>
    <s v="J-761/25-26"/>
    <n v="19750"/>
    <m/>
  </r>
  <r>
    <d v="2025-05-17T00:00:00"/>
    <x v="241"/>
    <x v="1"/>
    <s v="J-762/25-26"/>
    <n v="9312"/>
    <m/>
  </r>
  <r>
    <d v="2025-05-17T00:00:00"/>
    <x v="79"/>
    <x v="1"/>
    <s v="J-763/25-26"/>
    <n v="3700"/>
    <m/>
  </r>
  <r>
    <d v="2025-05-17T00:00:00"/>
    <x v="11"/>
    <x v="1"/>
    <s v="J-764/25-26"/>
    <n v="581"/>
    <m/>
  </r>
  <r>
    <d v="2025-05-17T00:00:00"/>
    <x v="345"/>
    <x v="1"/>
    <s v="J-765/25-26"/>
    <n v="7631"/>
    <m/>
  </r>
  <r>
    <d v="2025-05-17T00:00:00"/>
    <x v="147"/>
    <x v="1"/>
    <s v="J-766/25-26"/>
    <n v="370"/>
    <m/>
  </r>
  <r>
    <d v="2025-05-17T00:00:00"/>
    <x v="219"/>
    <x v="1"/>
    <s v="J-767/25-26"/>
    <n v="1117"/>
    <m/>
  </r>
  <r>
    <d v="2025-05-17T00:00:00"/>
    <x v="171"/>
    <x v="1"/>
    <s v="J-768/25-26"/>
    <n v="13678"/>
    <m/>
  </r>
  <r>
    <d v="2025-05-17T00:00:00"/>
    <x v="67"/>
    <x v="1"/>
    <s v="J-769/25-26"/>
    <n v="2220"/>
    <m/>
  </r>
  <r>
    <d v="2025-05-17T00:00:00"/>
    <x v="346"/>
    <x v="1"/>
    <s v="J-770/25-26"/>
    <n v="6337"/>
    <m/>
  </r>
  <r>
    <d v="2025-05-17T00:00:00"/>
    <x v="347"/>
    <x v="1"/>
    <s v="J-771/25-26"/>
    <n v="50"/>
    <m/>
  </r>
  <r>
    <d v="2025-05-17T00:00:00"/>
    <x v="162"/>
    <x v="1"/>
    <s v="J-772/25-26"/>
    <n v="21762"/>
    <m/>
  </r>
  <r>
    <d v="2025-05-17T00:00:00"/>
    <x v="348"/>
    <x v="1"/>
    <s v="J-773/25-26"/>
    <n v="2390"/>
    <m/>
  </r>
  <r>
    <d v="2025-05-17T00:00:00"/>
    <x v="11"/>
    <x v="1"/>
    <s v="J-774/25-26"/>
    <n v="20"/>
    <m/>
  </r>
  <r>
    <d v="2025-05-17T00:00:00"/>
    <x v="349"/>
    <x v="1"/>
    <s v="J-775/25-26"/>
    <n v="6711"/>
    <m/>
  </r>
  <r>
    <d v="2025-05-17T00:00:00"/>
    <x v="350"/>
    <x v="1"/>
    <s v="J-776/25-26"/>
    <n v="370"/>
    <m/>
  </r>
  <r>
    <d v="2025-05-17T00:00:00"/>
    <x v="20"/>
    <x v="1"/>
    <s v="J-777/25-26"/>
    <n v="5285"/>
    <m/>
  </r>
  <r>
    <d v="2025-05-17T00:00:00"/>
    <x v="188"/>
    <x v="1"/>
    <s v="J-778/25-26"/>
    <n v="1720"/>
    <m/>
  </r>
  <r>
    <d v="2025-05-17T00:00:00"/>
    <x v="11"/>
    <x v="1"/>
    <s v="J-779/25-26"/>
    <n v="12"/>
    <m/>
  </r>
  <r>
    <d v="2025-05-17T00:00:00"/>
    <x v="134"/>
    <x v="1"/>
    <s v="J-780/25-26"/>
    <n v="3852"/>
    <m/>
  </r>
  <r>
    <d v="2025-05-17T00:00:00"/>
    <x v="351"/>
    <x v="1"/>
    <s v="J-781/25-26"/>
    <n v="3044"/>
    <m/>
  </r>
  <r>
    <d v="2025-05-19T00:00:00"/>
    <x v="179"/>
    <x v="0"/>
    <s v="JU-129/25-26"/>
    <n v="3700"/>
    <m/>
  </r>
  <r>
    <d v="2025-05-19T00:00:00"/>
    <x v="112"/>
    <x v="0"/>
    <s v="JU-130/25-26"/>
    <n v="3825"/>
    <m/>
  </r>
  <r>
    <d v="2025-05-19T00:00:00"/>
    <x v="16"/>
    <x v="0"/>
    <s v="JU-131/25-26"/>
    <n v="40841"/>
    <m/>
  </r>
  <r>
    <d v="2025-05-19T00:00:00"/>
    <x v="352"/>
    <x v="1"/>
    <s v="J-782/25-26"/>
    <n v="7485"/>
    <m/>
  </r>
  <r>
    <d v="2025-05-19T00:00:00"/>
    <x v="248"/>
    <x v="1"/>
    <s v="J-783/25-26"/>
    <n v="12843"/>
    <m/>
  </r>
  <r>
    <d v="2025-05-19T00:00:00"/>
    <x v="353"/>
    <x v="1"/>
    <s v="J-784/25-26"/>
    <n v="43776"/>
    <m/>
  </r>
  <r>
    <d v="2025-05-19T00:00:00"/>
    <x v="354"/>
    <x v="1"/>
    <s v="J-785/25-26"/>
    <n v="16974"/>
    <m/>
  </r>
  <r>
    <d v="2025-05-19T00:00:00"/>
    <x v="241"/>
    <x v="1"/>
    <s v="J-786/25-26"/>
    <n v="1260"/>
    <m/>
  </r>
  <r>
    <d v="2025-05-19T00:00:00"/>
    <x v="355"/>
    <x v="1"/>
    <s v="J-787/25-26"/>
    <n v="330"/>
    <m/>
  </r>
  <r>
    <d v="2025-05-19T00:00:00"/>
    <x v="11"/>
    <x v="1"/>
    <s v="J-788/25-26"/>
    <n v="11"/>
    <m/>
  </r>
  <r>
    <d v="2025-05-19T00:00:00"/>
    <x v="356"/>
    <x v="1"/>
    <s v="J-789/25-26"/>
    <n v="5664"/>
    <m/>
  </r>
  <r>
    <d v="2025-05-19T00:00:00"/>
    <x v="349"/>
    <x v="1"/>
    <s v="J-790/25-26"/>
    <n v="5287"/>
    <m/>
  </r>
  <r>
    <d v="2025-05-19T00:00:00"/>
    <x v="349"/>
    <x v="1"/>
    <s v="J-791/25-26"/>
    <n v="285"/>
    <m/>
  </r>
  <r>
    <d v="2025-05-19T00:00:00"/>
    <x v="47"/>
    <x v="1"/>
    <s v="J-792/25-26"/>
    <n v="1810"/>
    <m/>
  </r>
  <r>
    <d v="2025-05-19T00:00:00"/>
    <x v="357"/>
    <x v="1"/>
    <s v="J-793/25-26"/>
    <n v="3091"/>
    <m/>
  </r>
  <r>
    <d v="2025-05-19T00:00:00"/>
    <x v="47"/>
    <x v="1"/>
    <s v="J-794/25-26"/>
    <n v="15394"/>
    <m/>
  </r>
  <r>
    <d v="2025-05-19T00:00:00"/>
    <x v="160"/>
    <x v="1"/>
    <s v="J-795/25-26"/>
    <n v="740"/>
    <m/>
  </r>
  <r>
    <d v="2025-05-19T00:00:00"/>
    <x v="358"/>
    <x v="1"/>
    <s v="J-796/25-26"/>
    <n v="380"/>
    <m/>
  </r>
  <r>
    <d v="2025-05-19T00:00:00"/>
    <x v="359"/>
    <x v="1"/>
    <s v="J-797/25-26"/>
    <n v="15296"/>
    <m/>
  </r>
  <r>
    <d v="2025-05-19T00:00:00"/>
    <x v="360"/>
    <x v="1"/>
    <s v="J-798/25-26"/>
    <n v="1050"/>
    <m/>
  </r>
  <r>
    <d v="2025-05-20T00:00:00"/>
    <x v="306"/>
    <x v="0"/>
    <s v="JU-132/25-26"/>
    <n v="73995"/>
    <m/>
  </r>
  <r>
    <d v="2025-05-20T00:00:00"/>
    <x v="290"/>
    <x v="0"/>
    <s v="JU-133/25-26"/>
    <n v="11100"/>
    <m/>
  </r>
  <r>
    <d v="2025-05-20T00:00:00"/>
    <x v="87"/>
    <x v="0"/>
    <s v="JU-134/25-26"/>
    <n v="608"/>
    <m/>
  </r>
  <r>
    <d v="2025-05-20T00:00:00"/>
    <x v="87"/>
    <x v="0"/>
    <s v="JU-135/25-26"/>
    <n v="426"/>
    <m/>
  </r>
  <r>
    <d v="2025-05-20T00:00:00"/>
    <x v="284"/>
    <x v="0"/>
    <s v="JU-136/25-26"/>
    <n v="19346"/>
    <m/>
  </r>
  <r>
    <d v="2025-05-20T00:00:00"/>
    <x v="219"/>
    <x v="1"/>
    <s v="J-799/25-26"/>
    <n v="1110"/>
    <m/>
  </r>
  <r>
    <d v="2025-05-20T00:00:00"/>
    <x v="361"/>
    <x v="1"/>
    <s v="J-800/25-26"/>
    <n v="370"/>
    <m/>
  </r>
  <r>
    <d v="2025-05-20T00:00:00"/>
    <x v="20"/>
    <x v="1"/>
    <s v="J-801/25-26"/>
    <n v="6985"/>
    <m/>
  </r>
  <r>
    <d v="2025-05-20T00:00:00"/>
    <x v="362"/>
    <x v="1"/>
    <s v="J-802/25-26"/>
    <n v="666"/>
    <m/>
  </r>
  <r>
    <d v="2025-05-20T00:00:00"/>
    <x v="215"/>
    <x v="1"/>
    <s v="J-803/25-26"/>
    <n v="5633"/>
    <m/>
  </r>
  <r>
    <d v="2025-05-20T00:00:00"/>
    <x v="162"/>
    <x v="1"/>
    <s v="J-804/25-26"/>
    <n v="15540"/>
    <m/>
  </r>
  <r>
    <d v="2025-05-20T00:00:00"/>
    <x v="207"/>
    <x v="1"/>
    <s v="J-805/25-26"/>
    <n v="5810"/>
    <m/>
  </r>
  <r>
    <d v="2025-05-20T00:00:00"/>
    <x v="363"/>
    <x v="1"/>
    <s v="J-806/25-26"/>
    <n v="8400"/>
    <m/>
  </r>
  <r>
    <d v="2025-05-20T00:00:00"/>
    <x v="25"/>
    <x v="1"/>
    <s v="J-807/25-26"/>
    <n v="100"/>
    <m/>
  </r>
  <r>
    <d v="2025-05-20T00:00:00"/>
    <x v="47"/>
    <x v="1"/>
    <s v="J-808/25-26"/>
    <n v="7530"/>
    <m/>
  </r>
  <r>
    <d v="2025-05-20T00:00:00"/>
    <x v="364"/>
    <x v="1"/>
    <s v="J-809/25-26"/>
    <n v="297"/>
    <m/>
  </r>
  <r>
    <d v="2025-05-20T00:00:00"/>
    <x v="365"/>
    <x v="1"/>
    <s v="J-810/25-26"/>
    <n v="3530"/>
    <m/>
  </r>
  <r>
    <d v="2025-05-20T00:00:00"/>
    <x v="162"/>
    <x v="1"/>
    <s v="J-811/25-26"/>
    <n v="1362"/>
    <m/>
  </r>
  <r>
    <d v="2025-05-20T00:00:00"/>
    <x v="366"/>
    <x v="1"/>
    <s v="J-812/25-26"/>
    <n v="425"/>
    <m/>
  </r>
  <r>
    <d v="2025-05-20T00:00:00"/>
    <x v="367"/>
    <x v="1"/>
    <s v="J-813/25-26"/>
    <n v="1600"/>
    <m/>
  </r>
  <r>
    <d v="2025-05-20T00:00:00"/>
    <x v="368"/>
    <x v="1"/>
    <s v="J-814/25-26"/>
    <n v="2160"/>
    <m/>
  </r>
  <r>
    <d v="2025-05-20T00:00:00"/>
    <x v="11"/>
    <x v="1"/>
    <s v="J-815/25-26"/>
    <n v="395"/>
    <m/>
  </r>
  <r>
    <d v="2025-05-21T00:00:00"/>
    <x v="112"/>
    <x v="0"/>
    <s v="JU-137/25-26"/>
    <n v="3441"/>
    <m/>
  </r>
  <r>
    <d v="2025-05-21T00:00:00"/>
    <x v="369"/>
    <x v="1"/>
    <s v="J-816/25-26"/>
    <n v="11100"/>
    <m/>
  </r>
  <r>
    <d v="2025-05-21T00:00:00"/>
    <x v="370"/>
    <x v="1"/>
    <s v="J-817/25-26"/>
    <n v="21690"/>
    <m/>
  </r>
  <r>
    <d v="2025-05-21T00:00:00"/>
    <x v="371"/>
    <x v="1"/>
    <s v="J-818/25-26"/>
    <n v="5373"/>
    <m/>
  </r>
  <r>
    <d v="2025-05-21T00:00:00"/>
    <x v="295"/>
    <x v="1"/>
    <s v="J-819/25-26"/>
    <n v="5550"/>
    <m/>
  </r>
  <r>
    <d v="2025-05-21T00:00:00"/>
    <x v="219"/>
    <x v="1"/>
    <s v="J-820/25-26"/>
    <n v="14790"/>
    <m/>
  </r>
  <r>
    <d v="2025-05-21T00:00:00"/>
    <x v="84"/>
    <x v="1"/>
    <s v="J-821/25-26"/>
    <n v="1868"/>
    <m/>
  </r>
  <r>
    <d v="2025-05-21T00:00:00"/>
    <x v="89"/>
    <x v="1"/>
    <s v="J-822/25-26"/>
    <n v="1110"/>
    <m/>
  </r>
  <r>
    <d v="2025-05-21T00:00:00"/>
    <x v="372"/>
    <x v="1"/>
    <s v="J-823/25-26"/>
    <n v="10760"/>
    <m/>
  </r>
  <r>
    <d v="2025-05-21T00:00:00"/>
    <x v="373"/>
    <x v="1"/>
    <s v="J-824/25-26"/>
    <n v="425"/>
    <m/>
  </r>
  <r>
    <d v="2025-05-21T00:00:00"/>
    <x v="374"/>
    <x v="1"/>
    <s v="J-825/25-26"/>
    <n v="2726"/>
    <m/>
  </r>
  <r>
    <d v="2025-05-21T00:00:00"/>
    <x v="266"/>
    <x v="1"/>
    <s v="J-826/25-26"/>
    <n v="3750"/>
    <m/>
  </r>
  <r>
    <d v="2025-05-21T00:00:00"/>
    <x v="29"/>
    <x v="1"/>
    <s v="J-827/25-26"/>
    <n v="570"/>
    <m/>
  </r>
  <r>
    <d v="2025-05-21T00:00:00"/>
    <x v="375"/>
    <x v="1"/>
    <s v="J-828/25-26"/>
    <n v="5093"/>
    <m/>
  </r>
  <r>
    <d v="2025-05-21T00:00:00"/>
    <x v="89"/>
    <x v="1"/>
    <s v="J-829/25-26"/>
    <n v="740"/>
    <m/>
  </r>
  <r>
    <d v="2025-05-21T00:00:00"/>
    <x v="376"/>
    <x v="1"/>
    <s v="J-830/25-26"/>
    <n v="1242"/>
    <m/>
  </r>
  <r>
    <d v="2025-05-21T00:00:00"/>
    <x v="377"/>
    <x v="1"/>
    <s v="J-831/25-26"/>
    <n v="286"/>
    <m/>
  </r>
  <r>
    <d v="2025-05-21T00:00:00"/>
    <x v="378"/>
    <x v="1"/>
    <s v="J-832/25-26"/>
    <n v="1110"/>
    <m/>
  </r>
  <r>
    <d v="2025-05-21T00:00:00"/>
    <x v="379"/>
    <x v="1"/>
    <s v="J-833/25-26"/>
    <n v="1455"/>
    <m/>
  </r>
  <r>
    <d v="2025-05-21T00:00:00"/>
    <x v="380"/>
    <x v="1"/>
    <s v="J-834/25-26"/>
    <n v="13911"/>
    <m/>
  </r>
  <r>
    <d v="2025-05-22T00:00:00"/>
    <x v="14"/>
    <x v="0"/>
    <s v="JU-138/25-26"/>
    <n v="5845"/>
    <m/>
  </r>
  <r>
    <d v="2025-05-22T00:00:00"/>
    <x v="306"/>
    <x v="0"/>
    <s v="JU-139/25-26"/>
    <n v="24770"/>
    <m/>
  </r>
  <r>
    <d v="2025-05-22T00:00:00"/>
    <x v="381"/>
    <x v="0"/>
    <s v="JU-140/25-26"/>
    <n v="13632"/>
    <m/>
  </r>
  <r>
    <d v="2025-05-22T00:00:00"/>
    <x v="382"/>
    <x v="0"/>
    <s v="JU-141/25-26"/>
    <n v="1580"/>
    <m/>
  </r>
  <r>
    <d v="2025-05-22T00:00:00"/>
    <x v="32"/>
    <x v="0"/>
    <s v="JU-142/25-26"/>
    <n v="2166"/>
    <m/>
  </r>
  <r>
    <d v="2025-05-22T00:00:00"/>
    <x v="383"/>
    <x v="1"/>
    <s v="J-835/25-26"/>
    <n v="395"/>
    <m/>
  </r>
  <r>
    <d v="2025-05-22T00:00:00"/>
    <x v="370"/>
    <x v="1"/>
    <s v="J-836/25-26"/>
    <n v="1058"/>
    <m/>
  </r>
  <r>
    <d v="2025-05-22T00:00:00"/>
    <x v="25"/>
    <x v="1"/>
    <s v="J-837/25-26"/>
    <n v="27472"/>
    <m/>
  </r>
  <r>
    <d v="2025-05-22T00:00:00"/>
    <x v="303"/>
    <x v="1"/>
    <s v="J-838/25-26"/>
    <n v="10662"/>
    <m/>
  </r>
  <r>
    <d v="2025-05-22T00:00:00"/>
    <x v="354"/>
    <x v="1"/>
    <s v="J-839/25-26"/>
    <n v="14190"/>
    <m/>
  </r>
  <r>
    <d v="2025-05-22T00:00:00"/>
    <x v="219"/>
    <x v="1"/>
    <s v="J-840/25-26"/>
    <n v="135"/>
    <m/>
  </r>
  <r>
    <d v="2025-05-22T00:00:00"/>
    <x v="348"/>
    <x v="1"/>
    <s v="J-841/25-26"/>
    <n v="4166"/>
    <m/>
  </r>
  <r>
    <d v="2025-05-22T00:00:00"/>
    <x v="384"/>
    <x v="1"/>
    <s v="J-842/25-26"/>
    <n v="1135"/>
    <m/>
  </r>
  <r>
    <d v="2025-05-22T00:00:00"/>
    <x v="322"/>
    <x v="1"/>
    <s v="J-843/25-26"/>
    <n v="1395"/>
    <m/>
  </r>
  <r>
    <d v="2025-05-22T00:00:00"/>
    <x v="385"/>
    <x v="1"/>
    <s v="J-844/25-26"/>
    <n v="2674"/>
    <m/>
  </r>
  <r>
    <d v="2025-05-22T00:00:00"/>
    <x v="23"/>
    <x v="1"/>
    <s v="J-845/25-26"/>
    <n v="93647"/>
    <m/>
  </r>
  <r>
    <d v="2025-05-22T00:00:00"/>
    <x v="386"/>
    <x v="1"/>
    <s v="J-846/25-26"/>
    <n v="100"/>
    <m/>
  </r>
  <r>
    <d v="2025-05-22T00:00:00"/>
    <x v="303"/>
    <x v="1"/>
    <s v="J-847/25-26"/>
    <n v="510"/>
    <m/>
  </r>
  <r>
    <d v="2025-05-22T00:00:00"/>
    <x v="356"/>
    <x v="1"/>
    <s v="J-848/25-26"/>
    <n v="550"/>
    <m/>
  </r>
  <r>
    <d v="2025-05-23T00:00:00"/>
    <x v="276"/>
    <x v="1"/>
    <s v="J-849/25-26"/>
    <n v="740"/>
    <m/>
  </r>
  <r>
    <d v="2025-05-23T00:00:00"/>
    <x v="373"/>
    <x v="1"/>
    <s v="J-850/25-26"/>
    <n v="5612"/>
    <m/>
  </r>
  <r>
    <d v="2025-05-23T00:00:00"/>
    <x v="23"/>
    <x v="1"/>
    <s v="J-851/25-26"/>
    <n v="1240"/>
    <m/>
  </r>
  <r>
    <d v="2025-05-23T00:00:00"/>
    <x v="387"/>
    <x v="1"/>
    <s v="J-852/25-26"/>
    <n v="5507"/>
    <m/>
  </r>
  <r>
    <d v="2025-05-23T00:00:00"/>
    <x v="106"/>
    <x v="1"/>
    <s v="J-853/25-26"/>
    <n v="25"/>
    <m/>
  </r>
  <r>
    <d v="2025-05-23T00:00:00"/>
    <x v="388"/>
    <x v="1"/>
    <s v="J-854/25-26"/>
    <n v="15"/>
    <m/>
  </r>
  <r>
    <d v="2025-05-23T00:00:00"/>
    <x v="163"/>
    <x v="1"/>
    <s v="J-855/25-26"/>
    <n v="275"/>
    <m/>
  </r>
  <r>
    <d v="2025-05-23T00:00:00"/>
    <x v="160"/>
    <x v="1"/>
    <s v="J-856/25-26"/>
    <n v="1480"/>
    <m/>
  </r>
  <r>
    <d v="2025-05-23T00:00:00"/>
    <x v="389"/>
    <x v="1"/>
    <s v="J-857/25-26"/>
    <n v="5277"/>
    <m/>
  </r>
  <r>
    <d v="2025-05-23T00:00:00"/>
    <x v="390"/>
    <x v="1"/>
    <s v="J-858/25-26"/>
    <n v="3790"/>
    <m/>
  </r>
  <r>
    <d v="2025-05-23T00:00:00"/>
    <x v="11"/>
    <x v="1"/>
    <s v="J-859/25-26"/>
    <n v="7186"/>
    <m/>
  </r>
  <r>
    <d v="2025-05-24T00:00:00"/>
    <x v="14"/>
    <x v="0"/>
    <s v="JU-143/25-26"/>
    <n v="3255"/>
    <m/>
  </r>
  <r>
    <d v="2025-05-24T00:00:00"/>
    <x v="112"/>
    <x v="0"/>
    <s v="JU-144/25-26"/>
    <n v="19335"/>
    <m/>
  </r>
  <r>
    <d v="2025-05-24T00:00:00"/>
    <x v="87"/>
    <x v="0"/>
    <s v="JU-145/25-26"/>
    <n v="688"/>
    <m/>
  </r>
  <r>
    <d v="2025-05-24T00:00:00"/>
    <x v="391"/>
    <x v="0"/>
    <s v="JU-146/25-26"/>
    <n v="1560"/>
    <m/>
  </r>
  <r>
    <d v="2025-05-24T00:00:00"/>
    <x v="392"/>
    <x v="0"/>
    <s v="JU-147/25-26"/>
    <n v="53008"/>
    <m/>
  </r>
  <r>
    <d v="2025-05-24T00:00:00"/>
    <x v="393"/>
    <x v="1"/>
    <s v="J-860/25-26"/>
    <n v="140"/>
    <m/>
  </r>
  <r>
    <d v="2025-05-24T00:00:00"/>
    <x v="394"/>
    <x v="1"/>
    <s v="J-861/25-26"/>
    <n v="1110"/>
    <m/>
  </r>
  <r>
    <d v="2025-05-24T00:00:00"/>
    <x v="325"/>
    <x v="1"/>
    <s v="J-862/25-26"/>
    <n v="11850"/>
    <m/>
  </r>
  <r>
    <d v="2025-05-24T00:00:00"/>
    <x v="23"/>
    <x v="1"/>
    <s v="J-863/25-26"/>
    <n v="11121"/>
    <m/>
  </r>
  <r>
    <d v="2025-05-24T00:00:00"/>
    <x v="279"/>
    <x v="1"/>
    <s v="J-864/25-26"/>
    <n v="9250"/>
    <m/>
  </r>
  <r>
    <d v="2025-05-24T00:00:00"/>
    <x v="219"/>
    <x v="1"/>
    <s v="J-865/25-26"/>
    <n v="1355"/>
    <m/>
  </r>
  <r>
    <d v="2025-05-24T00:00:00"/>
    <x v="20"/>
    <x v="1"/>
    <s v="J-866/25-26"/>
    <n v="2470"/>
    <m/>
  </r>
  <r>
    <d v="2025-05-24T00:00:00"/>
    <x v="375"/>
    <x v="1"/>
    <s v="J-867/25-26"/>
    <n v="624"/>
    <m/>
  </r>
  <r>
    <d v="2025-05-24T00:00:00"/>
    <x v="20"/>
    <x v="1"/>
    <s v="J-868/25-26"/>
    <n v="618"/>
    <m/>
  </r>
  <r>
    <d v="2025-05-24T00:00:00"/>
    <x v="11"/>
    <x v="1"/>
    <s v="J-869/25-26"/>
    <n v="10"/>
    <m/>
  </r>
  <r>
    <d v="2025-05-24T00:00:00"/>
    <x v="170"/>
    <x v="1"/>
    <s v="J-870/25-26"/>
    <n v="7595"/>
    <m/>
  </r>
  <r>
    <d v="2025-05-24T00:00:00"/>
    <x v="370"/>
    <x v="1"/>
    <s v="J-871/25-26"/>
    <n v="360"/>
    <m/>
  </r>
  <r>
    <d v="2025-05-24T00:00:00"/>
    <x v="11"/>
    <x v="1"/>
    <s v="J-872/25-26"/>
    <n v="55758"/>
    <m/>
  </r>
  <r>
    <d v="2025-05-24T00:00:00"/>
    <x v="395"/>
    <x v="1"/>
    <s v="J-873/25-26"/>
    <n v="9577"/>
    <m/>
  </r>
  <r>
    <d v="2025-05-24T00:00:00"/>
    <x v="223"/>
    <x v="1"/>
    <s v="J-874/25-26"/>
    <n v="370"/>
    <m/>
  </r>
  <r>
    <d v="2025-05-24T00:00:00"/>
    <x v="223"/>
    <x v="1"/>
    <s v="J-875/25-26"/>
    <n v="56050"/>
    <m/>
  </r>
  <r>
    <d v="2025-05-24T00:00:00"/>
    <x v="396"/>
    <x v="1"/>
    <s v="J-876/25-26"/>
    <n v="20677"/>
    <m/>
  </r>
  <r>
    <d v="2025-05-24T00:00:00"/>
    <x v="25"/>
    <x v="1"/>
    <s v="J-877/25-26"/>
    <n v="1220"/>
    <m/>
  </r>
  <r>
    <d v="2025-05-24T00:00:00"/>
    <x v="134"/>
    <x v="1"/>
    <s v="J-878/25-26"/>
    <n v="4363"/>
    <m/>
  </r>
  <r>
    <d v="2025-05-26T00:00:00"/>
    <x v="112"/>
    <x v="0"/>
    <s v="JU-148/25-26"/>
    <n v="1975"/>
    <m/>
  </r>
  <r>
    <d v="2025-05-26T00:00:00"/>
    <x v="138"/>
    <x v="0"/>
    <s v="JU-149/25-26"/>
    <m/>
    <m/>
  </r>
  <r>
    <d v="2025-05-26T00:00:00"/>
    <x v="87"/>
    <x v="0"/>
    <s v="JU-150/25-26"/>
    <n v="3413"/>
    <m/>
  </r>
  <r>
    <d v="2025-05-26T00:00:00"/>
    <x v="79"/>
    <x v="1"/>
    <s v="J-879/25-26"/>
    <n v="3700"/>
    <m/>
  </r>
  <r>
    <d v="2025-05-26T00:00:00"/>
    <x v="385"/>
    <x v="1"/>
    <s v="J-880/25-26"/>
    <n v="406"/>
    <m/>
  </r>
  <r>
    <d v="2025-05-26T00:00:00"/>
    <x v="397"/>
    <x v="1"/>
    <s v="J-881/25-26"/>
    <n v="3962"/>
    <m/>
  </r>
  <r>
    <d v="2025-05-26T00:00:00"/>
    <x v="11"/>
    <x v="1"/>
    <s v="J-882/25-26"/>
    <n v="8460"/>
    <m/>
  </r>
  <r>
    <d v="2025-05-26T00:00:00"/>
    <x v="398"/>
    <x v="1"/>
    <s v="J-883/25-26"/>
    <n v="596"/>
    <m/>
  </r>
  <r>
    <d v="2025-05-26T00:00:00"/>
    <x v="11"/>
    <x v="1"/>
    <s v="J-884/25-26"/>
    <n v="12"/>
    <m/>
  </r>
  <r>
    <d v="2025-05-26T00:00:00"/>
    <x v="399"/>
    <x v="1"/>
    <s v="J-885/25-26"/>
    <n v="8130"/>
    <m/>
  </r>
  <r>
    <d v="2025-05-26T00:00:00"/>
    <x v="397"/>
    <x v="1"/>
    <s v="J-886/25-26"/>
    <n v="470"/>
    <m/>
  </r>
  <r>
    <d v="2025-05-26T00:00:00"/>
    <x v="205"/>
    <x v="1"/>
    <s v="J-887/25-26"/>
    <n v="1887"/>
    <m/>
  </r>
  <r>
    <d v="2025-05-26T00:00:00"/>
    <x v="385"/>
    <x v="1"/>
    <s v="J-888/25-26"/>
    <n v="3700"/>
    <m/>
  </r>
  <r>
    <d v="2025-05-26T00:00:00"/>
    <x v="400"/>
    <x v="1"/>
    <s v="J-889/25-26"/>
    <n v="916"/>
    <m/>
  </r>
  <r>
    <d v="2025-05-26T00:00:00"/>
    <x v="30"/>
    <x v="1"/>
    <s v="J-890/25-26"/>
    <n v="395"/>
    <m/>
  </r>
  <r>
    <d v="2025-05-27T00:00:00"/>
    <x v="87"/>
    <x v="0"/>
    <s v="JU-151/25-26"/>
    <n v="2107"/>
    <m/>
  </r>
  <r>
    <d v="2025-05-27T00:00:00"/>
    <x v="16"/>
    <x v="0"/>
    <s v="JU-152/25-26"/>
    <n v="18000"/>
    <m/>
  </r>
  <r>
    <d v="2025-05-27T00:00:00"/>
    <x v="15"/>
    <x v="0"/>
    <s v="JU-153/25-26"/>
    <n v="1160"/>
    <m/>
  </r>
  <r>
    <d v="2025-05-27T00:00:00"/>
    <x v="68"/>
    <x v="1"/>
    <s v="J-891/25-26"/>
    <n v="370"/>
    <m/>
  </r>
  <r>
    <d v="2025-05-27T00:00:00"/>
    <x v="28"/>
    <x v="1"/>
    <s v="J-892/25-26"/>
    <n v="13964"/>
    <m/>
  </r>
  <r>
    <d v="2025-05-27T00:00:00"/>
    <x v="11"/>
    <x v="1"/>
    <s v="J-893/25-26"/>
    <n v="2790"/>
    <m/>
  </r>
  <r>
    <d v="2025-05-27T00:00:00"/>
    <x v="163"/>
    <x v="1"/>
    <s v="J-894/25-26"/>
    <n v="375"/>
    <m/>
  </r>
  <r>
    <d v="2025-05-27T00:00:00"/>
    <x v="401"/>
    <x v="1"/>
    <s v="J-895/25-26"/>
    <n v="390"/>
    <m/>
  </r>
  <r>
    <d v="2025-05-27T00:00:00"/>
    <x v="402"/>
    <x v="1"/>
    <s v="J-896/25-26"/>
    <n v="1546"/>
    <m/>
  </r>
  <r>
    <d v="2025-05-27T00:00:00"/>
    <x v="70"/>
    <x v="1"/>
    <s v="J-897/25-26"/>
    <n v="32814"/>
    <m/>
  </r>
  <r>
    <d v="2025-05-27T00:00:00"/>
    <x v="403"/>
    <x v="1"/>
    <s v="J-898/25-26"/>
    <n v="210"/>
    <m/>
  </r>
  <r>
    <d v="2025-05-27T00:00:00"/>
    <x v="78"/>
    <x v="1"/>
    <s v="J-899/25-26"/>
    <n v="36135"/>
    <m/>
  </r>
  <r>
    <d v="2025-05-27T00:00:00"/>
    <x v="395"/>
    <x v="1"/>
    <s v="J-900/25-26"/>
    <n v="600"/>
    <m/>
  </r>
  <r>
    <d v="2025-05-27T00:00:00"/>
    <x v="11"/>
    <x v="1"/>
    <s v="J-901/25-26"/>
    <n v="12"/>
    <m/>
  </r>
  <r>
    <d v="2025-05-27T00:00:00"/>
    <x v="380"/>
    <x v="1"/>
    <s v="J-902/25-26"/>
    <n v="3950"/>
    <m/>
  </r>
  <r>
    <d v="2025-05-27T00:00:00"/>
    <x v="183"/>
    <x v="1"/>
    <s v="J-903/25-26"/>
    <n v="2936"/>
    <m/>
  </r>
  <r>
    <d v="2025-05-27T00:00:00"/>
    <x v="147"/>
    <x v="1"/>
    <s v="J-904/25-26"/>
    <n v="31440"/>
    <m/>
  </r>
  <r>
    <d v="2025-05-28T00:00:00"/>
    <x v="179"/>
    <x v="0"/>
    <s v="JU-154/25-26"/>
    <n v="385"/>
    <m/>
  </r>
  <r>
    <d v="2025-05-28T00:00:00"/>
    <x v="28"/>
    <x v="1"/>
    <s v="J-905/25-26"/>
    <n v="5920"/>
    <m/>
  </r>
  <r>
    <d v="2025-05-28T00:00:00"/>
    <x v="20"/>
    <x v="1"/>
    <s v="J-906/25-26"/>
    <n v="120"/>
    <m/>
  </r>
  <r>
    <d v="2025-05-28T00:00:00"/>
    <x v="293"/>
    <x v="1"/>
    <s v="J-907/25-26"/>
    <n v="27880"/>
    <m/>
  </r>
  <r>
    <d v="2025-05-28T00:00:00"/>
    <x v="380"/>
    <x v="1"/>
    <s v="J-908/25-26"/>
    <n v="14680"/>
    <m/>
  </r>
  <r>
    <d v="2025-05-28T00:00:00"/>
    <x v="160"/>
    <x v="1"/>
    <s v="J-909/25-26"/>
    <n v="5933"/>
    <m/>
  </r>
  <r>
    <d v="2025-05-28T00:00:00"/>
    <x v="350"/>
    <x v="1"/>
    <s v="J-910/25-26"/>
    <n v="3006"/>
    <m/>
  </r>
  <r>
    <d v="2025-05-28T00:00:00"/>
    <x v="404"/>
    <x v="1"/>
    <s v="J-911/25-26"/>
    <n v="7534"/>
    <m/>
  </r>
  <r>
    <d v="2025-05-28T00:00:00"/>
    <x v="23"/>
    <x v="1"/>
    <s v="J-912/25-26"/>
    <n v="36"/>
    <m/>
  </r>
  <r>
    <d v="2025-05-28T00:00:00"/>
    <x v="405"/>
    <x v="1"/>
    <s v="J-913/25-26"/>
    <n v="42180"/>
    <m/>
  </r>
  <r>
    <d v="2025-05-28T00:00:00"/>
    <x v="273"/>
    <x v="1"/>
    <s v="J-914/25-26"/>
    <n v="65516"/>
    <m/>
  </r>
  <r>
    <d v="2025-05-28T00:00:00"/>
    <x v="8"/>
    <x v="1"/>
    <s v="J-915/25-26"/>
    <n v="3717"/>
    <m/>
  </r>
  <r>
    <d v="2025-05-28T00:00:00"/>
    <x v="398"/>
    <x v="1"/>
    <s v="J-916/25-26"/>
    <n v="50"/>
    <m/>
  </r>
  <r>
    <d v="2025-05-28T00:00:00"/>
    <x v="406"/>
    <x v="1"/>
    <s v="J-917/25-26"/>
    <n v="350"/>
    <m/>
  </r>
  <r>
    <d v="2025-05-28T00:00:00"/>
    <x v="407"/>
    <x v="1"/>
    <s v="J-918/25-26"/>
    <n v="3685"/>
    <m/>
  </r>
  <r>
    <d v="2025-05-28T00:00:00"/>
    <x v="408"/>
    <x v="1"/>
    <s v="J-919/25-26"/>
    <n v="40582"/>
    <m/>
  </r>
  <r>
    <d v="2025-05-28T00:00:00"/>
    <x v="11"/>
    <x v="1"/>
    <s v="J-920/25-26"/>
    <n v="12"/>
    <m/>
  </r>
  <r>
    <d v="2025-05-28T00:00:00"/>
    <x v="11"/>
    <x v="1"/>
    <s v="J-921/25-26"/>
    <n v="14041"/>
    <m/>
  </r>
  <r>
    <d v="2025-05-28T00:00:00"/>
    <x v="409"/>
    <x v="1"/>
    <s v="J-922/25-26"/>
    <n v="50"/>
    <m/>
  </r>
  <r>
    <d v="2025-05-28T00:00:00"/>
    <x v="350"/>
    <x v="1"/>
    <s v="J-923/25-26"/>
    <n v="216"/>
    <m/>
  </r>
  <r>
    <d v="2025-05-28T00:00:00"/>
    <x v="405"/>
    <x v="1"/>
    <s v="J-924/25-26"/>
    <n v="670"/>
    <m/>
  </r>
  <r>
    <d v="2025-05-29T00:00:00"/>
    <x v="179"/>
    <x v="0"/>
    <s v="JU-155/25-26"/>
    <n v="1620"/>
    <m/>
  </r>
  <r>
    <d v="2025-05-29T00:00:00"/>
    <x v="410"/>
    <x v="0"/>
    <s v="JU-156/25-26"/>
    <n v="110893"/>
    <m/>
  </r>
  <r>
    <d v="2025-05-29T00:00:00"/>
    <x v="68"/>
    <x v="1"/>
    <s v="J-925/25-26"/>
    <n v="370"/>
    <m/>
  </r>
  <r>
    <d v="2025-05-29T00:00:00"/>
    <x v="411"/>
    <x v="1"/>
    <s v="J-926/25-26"/>
    <n v="740"/>
    <m/>
  </r>
  <r>
    <d v="2025-05-29T00:00:00"/>
    <x v="11"/>
    <x v="1"/>
    <s v="J-927/25-26"/>
    <n v="3146"/>
    <m/>
  </r>
  <r>
    <d v="2025-05-29T00:00:00"/>
    <x v="181"/>
    <x v="1"/>
    <s v="J-928/25-26"/>
    <n v="7754"/>
    <m/>
  </r>
  <r>
    <d v="2025-05-29T00:00:00"/>
    <x v="385"/>
    <x v="1"/>
    <s v="J-929/25-26"/>
    <n v="740"/>
    <m/>
  </r>
  <r>
    <d v="2025-05-29T00:00:00"/>
    <x v="412"/>
    <x v="1"/>
    <s v="J-930/25-26"/>
    <n v="3870"/>
    <m/>
  </r>
  <r>
    <d v="2025-05-29T00:00:00"/>
    <x v="117"/>
    <x v="1"/>
    <s v="J-931/25-26"/>
    <n v="365"/>
    <m/>
  </r>
  <r>
    <d v="2025-05-29T00:00:00"/>
    <x v="413"/>
    <x v="1"/>
    <s v="J-932/25-26"/>
    <n v="420"/>
    <m/>
  </r>
  <r>
    <d v="2025-05-29T00:00:00"/>
    <x v="414"/>
    <x v="1"/>
    <s v="J-933/25-26"/>
    <n v="425"/>
    <m/>
  </r>
  <r>
    <d v="2025-05-30T00:00:00"/>
    <x v="391"/>
    <x v="0"/>
    <s v="JU-157/25-26"/>
    <n v="24045"/>
    <m/>
  </r>
  <r>
    <d v="2025-05-30T00:00:00"/>
    <x v="415"/>
    <x v="1"/>
    <s v="J-934/25-26"/>
    <n v="1357"/>
    <m/>
  </r>
  <r>
    <d v="2025-05-30T00:00:00"/>
    <x v="295"/>
    <x v="1"/>
    <s v="J-935/25-26"/>
    <n v="5550"/>
    <m/>
  </r>
  <r>
    <d v="2025-05-30T00:00:00"/>
    <x v="370"/>
    <x v="1"/>
    <s v="J-936/25-26"/>
    <n v="5916"/>
    <m/>
  </r>
  <r>
    <d v="2025-05-30T00:00:00"/>
    <x v="11"/>
    <x v="1"/>
    <s v="J-937/25-26"/>
    <n v="370"/>
    <m/>
  </r>
  <r>
    <d v="2025-05-30T00:00:00"/>
    <x v="10"/>
    <x v="1"/>
    <s v="J-938/25-26"/>
    <n v="39334"/>
    <m/>
  </r>
  <r>
    <d v="2025-05-30T00:00:00"/>
    <x v="259"/>
    <x v="1"/>
    <s v="J-939/25-26"/>
    <n v="2918"/>
    <m/>
  </r>
  <r>
    <d v="2025-05-30T00:00:00"/>
    <x v="190"/>
    <x v="1"/>
    <s v="J-940/25-26"/>
    <n v="180"/>
    <m/>
  </r>
  <r>
    <d v="2025-05-30T00:00:00"/>
    <x v="407"/>
    <x v="1"/>
    <s v="J-941/25-26"/>
    <n v="415"/>
    <m/>
  </r>
  <r>
    <d v="2025-05-31T00:00:00"/>
    <x v="416"/>
    <x v="1"/>
    <s v="J-942/25-26"/>
    <n v="3446"/>
    <m/>
  </r>
  <r>
    <d v="2025-05-31T00:00:00"/>
    <x v="385"/>
    <x v="1"/>
    <s v="J-943/25-26"/>
    <n v="370"/>
    <m/>
  </r>
  <r>
    <d v="2025-05-31T00:00:00"/>
    <x v="257"/>
    <x v="1"/>
    <s v="J-944/25-26"/>
    <n v="23350"/>
    <m/>
  </r>
  <r>
    <d v="2025-05-31T00:00:00"/>
    <x v="84"/>
    <x v="1"/>
    <s v="J-945/25-26"/>
    <n v="833"/>
    <m/>
  </r>
  <r>
    <d v="2025-05-31T00:00:00"/>
    <x v="417"/>
    <x v="1"/>
    <s v="J-946/25-26"/>
    <n v="75"/>
    <m/>
  </r>
  <r>
    <d v="2025-05-31T00:00:00"/>
    <x v="418"/>
    <x v="1"/>
    <s v="J-947/25-26"/>
    <n v="928"/>
    <m/>
  </r>
  <r>
    <d v="2025-05-31T00:00:00"/>
    <x v="419"/>
    <x v="1"/>
    <s v="J-948/25-26"/>
    <n v="1448"/>
    <m/>
  </r>
  <r>
    <d v="2025-05-31T00:00:00"/>
    <x v="420"/>
    <x v="1"/>
    <s v="J-949/25-26"/>
    <n v="370"/>
    <m/>
  </r>
  <r>
    <d v="2025-05-31T00:00:00"/>
    <x v="10"/>
    <x v="1"/>
    <s v="J-950/25-26"/>
    <n v="9722"/>
    <m/>
  </r>
  <r>
    <d v="2025-05-31T00:00:00"/>
    <x v="421"/>
    <x v="1"/>
    <s v="J-951/25-26"/>
    <n v="4552"/>
    <m/>
  </r>
  <r>
    <d v="2025-05-31T00:00:00"/>
    <x v="422"/>
    <x v="1"/>
    <s v="J-952/25-26"/>
    <n v="740"/>
    <m/>
  </r>
  <r>
    <d v="2025-05-31T00:00:00"/>
    <x v="423"/>
    <x v="1"/>
    <s v="J-953/25-26"/>
    <n v="405"/>
    <m/>
  </r>
  <r>
    <d v="2025-05-31T00:00:00"/>
    <x v="47"/>
    <x v="1"/>
    <s v="J-954/25-26"/>
    <n v="70"/>
    <m/>
  </r>
  <r>
    <d v="2025-05-31T00:00:00"/>
    <x v="11"/>
    <x v="1"/>
    <s v="J-955/25-26"/>
    <n v="1110"/>
    <m/>
  </r>
  <r>
    <d v="2025-05-31T00:00:00"/>
    <x v="424"/>
    <x v="1"/>
    <s v="J-956/25-26"/>
    <n v="6151"/>
    <m/>
  </r>
  <r>
    <d v="2025-06-02T00:00:00"/>
    <x v="179"/>
    <x v="0"/>
    <s v="JU-158/25-26"/>
    <n v="4487"/>
    <m/>
  </r>
  <r>
    <d v="2025-06-02T00:00:00"/>
    <x v="14"/>
    <x v="0"/>
    <s v="JU-159/25-26"/>
    <n v="2761"/>
    <m/>
  </r>
  <r>
    <d v="2025-06-02T00:00:00"/>
    <x v="425"/>
    <x v="0"/>
    <s v="JU-160/25-26"/>
    <n v="2255"/>
    <m/>
  </r>
  <r>
    <d v="2025-06-02T00:00:00"/>
    <x v="426"/>
    <x v="0"/>
    <s v="JU-161/25-26"/>
    <n v="1890"/>
    <m/>
  </r>
  <r>
    <d v="2025-06-02T00:00:00"/>
    <x v="14"/>
    <x v="0"/>
    <s v="JU-162/25-26"/>
    <n v="1080"/>
    <m/>
  </r>
  <r>
    <d v="2025-06-02T00:00:00"/>
    <x v="265"/>
    <x v="0"/>
    <s v="JU-163/25-26"/>
    <n v="38917"/>
    <m/>
  </r>
  <r>
    <d v="2025-06-02T00:00:00"/>
    <x v="15"/>
    <x v="0"/>
    <s v="JU-164/25-26"/>
    <n v="225"/>
    <m/>
  </r>
  <r>
    <d v="2025-06-02T00:00:00"/>
    <x v="32"/>
    <x v="0"/>
    <s v="JU-165/25-26"/>
    <n v="4640"/>
    <m/>
  </r>
  <r>
    <d v="2025-06-02T00:00:00"/>
    <x v="306"/>
    <x v="0"/>
    <s v="JU-166/25-26"/>
    <n v="26876"/>
    <m/>
  </r>
  <r>
    <d v="2025-06-02T00:00:00"/>
    <x v="427"/>
    <x v="1"/>
    <s v="J-957/25-26"/>
    <n v="740"/>
    <m/>
  </r>
  <r>
    <d v="2025-06-02T00:00:00"/>
    <x v="428"/>
    <x v="1"/>
    <s v="J-958/25-26"/>
    <n v="1480"/>
    <m/>
  </r>
  <r>
    <d v="2025-06-02T00:00:00"/>
    <x v="241"/>
    <x v="1"/>
    <s v="J-959/25-26"/>
    <n v="1097"/>
    <m/>
  </r>
  <r>
    <d v="2025-06-02T00:00:00"/>
    <x v="12"/>
    <x v="1"/>
    <s v="J-960/25-26"/>
    <n v="370"/>
    <m/>
  </r>
  <r>
    <d v="2025-06-02T00:00:00"/>
    <x v="170"/>
    <x v="1"/>
    <s v="J-961/25-26"/>
    <n v="7736"/>
    <m/>
  </r>
  <r>
    <d v="2025-06-02T00:00:00"/>
    <x v="170"/>
    <x v="1"/>
    <s v="J-962/25-26"/>
    <n v="3656"/>
    <m/>
  </r>
  <r>
    <d v="2025-06-02T00:00:00"/>
    <x v="404"/>
    <x v="1"/>
    <s v="J-963/25-26"/>
    <n v="17952"/>
    <m/>
  </r>
  <r>
    <d v="2025-06-02T00:00:00"/>
    <x v="429"/>
    <x v="1"/>
    <s v="J-964/25-26"/>
    <n v="27000"/>
    <m/>
  </r>
  <r>
    <d v="2025-06-02T00:00:00"/>
    <x v="430"/>
    <x v="1"/>
    <s v="J-965/25-26"/>
    <n v="545"/>
    <m/>
  </r>
  <r>
    <d v="2025-06-02T00:00:00"/>
    <x v="34"/>
    <x v="1"/>
    <s v="J-966/25-26"/>
    <n v="4462"/>
    <m/>
  </r>
  <r>
    <d v="2025-06-02T00:00:00"/>
    <x v="207"/>
    <x v="1"/>
    <s v="J-967/25-26"/>
    <n v="25931"/>
    <m/>
  </r>
  <r>
    <d v="2025-06-02T00:00:00"/>
    <x v="163"/>
    <x v="1"/>
    <s v="J-968/25-26"/>
    <n v="1274"/>
    <m/>
  </r>
  <r>
    <d v="2025-06-02T00:00:00"/>
    <x v="431"/>
    <x v="1"/>
    <s v="J-969/25-26"/>
    <n v="13516"/>
    <m/>
  </r>
  <r>
    <d v="2025-06-02T00:00:00"/>
    <x v="10"/>
    <x v="1"/>
    <s v="J-970/25-26"/>
    <n v="3601"/>
    <m/>
  </r>
  <r>
    <d v="2025-06-02T00:00:00"/>
    <x v="352"/>
    <x v="1"/>
    <s v="J-971/25-26"/>
    <n v="13300"/>
    <m/>
  </r>
  <r>
    <d v="2025-06-02T00:00:00"/>
    <x v="432"/>
    <x v="1"/>
    <s v="J-972/25-26"/>
    <n v="917"/>
    <m/>
  </r>
  <r>
    <d v="2025-06-03T00:00:00"/>
    <x v="179"/>
    <x v="0"/>
    <s v="JU-167/25-26"/>
    <n v="1850"/>
    <m/>
  </r>
  <r>
    <d v="2025-06-03T00:00:00"/>
    <x v="265"/>
    <x v="0"/>
    <s v="JU-168/25-26"/>
    <n v="18500"/>
    <m/>
  </r>
  <r>
    <d v="2025-06-03T00:00:00"/>
    <x v="265"/>
    <x v="0"/>
    <s v="JU-169/25-26"/>
    <n v="1451"/>
    <m/>
  </r>
  <r>
    <d v="2025-06-03T00:00:00"/>
    <x v="290"/>
    <x v="0"/>
    <s v="JU-170/25-26"/>
    <n v="22881"/>
    <m/>
  </r>
  <r>
    <d v="2025-06-03T00:00:00"/>
    <x v="433"/>
    <x v="0"/>
    <s v="JU-171/25-26"/>
    <n v="33003"/>
    <m/>
  </r>
  <r>
    <d v="2025-06-03T00:00:00"/>
    <x v="87"/>
    <x v="0"/>
    <s v="JU-172/25-26"/>
    <n v="1050"/>
    <m/>
  </r>
  <r>
    <d v="2025-06-03T00:00:00"/>
    <x v="257"/>
    <x v="1"/>
    <s v="J-973/25-26"/>
    <n v="1570"/>
    <m/>
  </r>
  <r>
    <d v="2025-06-03T00:00:00"/>
    <x v="162"/>
    <x v="1"/>
    <s v="J-974/25-26"/>
    <n v="6576"/>
    <m/>
  </r>
  <r>
    <d v="2025-06-03T00:00:00"/>
    <x v="434"/>
    <x v="1"/>
    <s v="J-975/25-26"/>
    <n v="600"/>
    <m/>
  </r>
  <r>
    <d v="2025-06-03T00:00:00"/>
    <x v="408"/>
    <x v="1"/>
    <s v="J-976/25-26"/>
    <n v="9330"/>
    <m/>
  </r>
  <r>
    <d v="2025-06-03T00:00:00"/>
    <x v="84"/>
    <x v="1"/>
    <s v="J-977/25-26"/>
    <n v="1125"/>
    <m/>
  </r>
  <r>
    <d v="2025-06-03T00:00:00"/>
    <x v="20"/>
    <x v="1"/>
    <s v="J-978/25-26"/>
    <n v="21150"/>
    <m/>
  </r>
  <r>
    <d v="2025-06-03T00:00:00"/>
    <x v="231"/>
    <x v="1"/>
    <s v="J-979/25-26"/>
    <n v="1850"/>
    <m/>
  </r>
  <r>
    <d v="2025-06-03T00:00:00"/>
    <x v="97"/>
    <x v="1"/>
    <s v="J-980/25-26"/>
    <n v="8895"/>
    <m/>
  </r>
  <r>
    <d v="2025-06-03T00:00:00"/>
    <x v="435"/>
    <x v="1"/>
    <s v="J-981/25-26"/>
    <n v="7465"/>
    <m/>
  </r>
  <r>
    <d v="2025-06-03T00:00:00"/>
    <x v="407"/>
    <x v="1"/>
    <s v="J-982/25-26"/>
    <n v="867"/>
    <m/>
  </r>
  <r>
    <d v="2025-06-03T00:00:00"/>
    <x v="436"/>
    <x v="1"/>
    <s v="J-983/25-26"/>
    <n v="15500"/>
    <m/>
  </r>
  <r>
    <d v="2025-06-03T00:00:00"/>
    <x v="69"/>
    <x v="1"/>
    <s v="J-984/25-26"/>
    <n v="34834"/>
    <m/>
  </r>
  <r>
    <d v="2025-06-03T00:00:00"/>
    <x v="114"/>
    <x v="1"/>
    <s v="J-985/25-26"/>
    <n v="12594"/>
    <m/>
  </r>
  <r>
    <d v="2025-06-03T00:00:00"/>
    <x v="84"/>
    <x v="1"/>
    <s v="J-986/25-26"/>
    <n v="11034"/>
    <m/>
  </r>
  <r>
    <d v="2025-06-03T00:00:00"/>
    <x v="436"/>
    <x v="1"/>
    <s v="J-987/25-26"/>
    <n v="340"/>
    <m/>
  </r>
  <r>
    <d v="2025-06-03T00:00:00"/>
    <x v="437"/>
    <x v="1"/>
    <s v="J-988/25-26"/>
    <n v="740"/>
    <m/>
  </r>
  <r>
    <d v="2025-06-03T00:00:00"/>
    <x v="118"/>
    <x v="1"/>
    <s v="J-989/25-26"/>
    <n v="3941"/>
    <m/>
  </r>
  <r>
    <d v="2025-06-03T00:00:00"/>
    <x v="438"/>
    <x v="1"/>
    <s v="J-990/25-26"/>
    <n v="588"/>
    <m/>
  </r>
  <r>
    <d v="2025-06-04T00:00:00"/>
    <x v="439"/>
    <x v="0"/>
    <s v="JU-173/25-26"/>
    <n v="135635"/>
    <m/>
  </r>
  <r>
    <d v="2025-06-04T00:00:00"/>
    <x v="404"/>
    <x v="1"/>
    <s v="J-991/25-26"/>
    <n v="14462"/>
    <m/>
  </r>
  <r>
    <d v="2025-06-04T00:00:00"/>
    <x v="440"/>
    <x v="1"/>
    <s v="J-992/25-26"/>
    <n v="52"/>
    <m/>
  </r>
  <r>
    <d v="2025-06-04T00:00:00"/>
    <x v="258"/>
    <x v="1"/>
    <s v="J-993/25-26"/>
    <n v="450"/>
    <m/>
  </r>
  <r>
    <d v="2025-06-04T00:00:00"/>
    <x v="34"/>
    <x v="1"/>
    <s v="J-994/25-26"/>
    <n v="1808"/>
    <m/>
  </r>
  <r>
    <d v="2025-06-04T00:00:00"/>
    <x v="23"/>
    <x v="1"/>
    <s v="J-995/25-26"/>
    <n v="6999"/>
    <m/>
  </r>
  <r>
    <d v="2025-06-04T00:00:00"/>
    <x v="402"/>
    <x v="1"/>
    <s v="J-996/25-26"/>
    <n v="3094"/>
    <m/>
  </r>
  <r>
    <d v="2025-06-04T00:00:00"/>
    <x v="11"/>
    <x v="1"/>
    <s v="J-997/25-26"/>
    <n v="1790"/>
    <m/>
  </r>
  <r>
    <d v="2025-06-04T00:00:00"/>
    <x v="441"/>
    <x v="1"/>
    <s v="J-998/25-26"/>
    <n v="513"/>
    <m/>
  </r>
  <r>
    <d v="2025-06-04T00:00:00"/>
    <x v="430"/>
    <x v="1"/>
    <s v="J-999/25-26"/>
    <n v="520"/>
    <m/>
  </r>
  <r>
    <d v="2025-06-04T00:00:00"/>
    <x v="11"/>
    <x v="1"/>
    <s v="J-1000/25-26"/>
    <n v="10"/>
    <m/>
  </r>
  <r>
    <d v="2025-06-04T00:00:00"/>
    <x v="173"/>
    <x v="1"/>
    <s v="J-1001/25-26"/>
    <n v="29787"/>
    <m/>
  </r>
  <r>
    <d v="2025-06-04T00:00:00"/>
    <x v="231"/>
    <x v="1"/>
    <s v="J-1002/25-26"/>
    <n v="740"/>
    <m/>
  </r>
  <r>
    <d v="2025-06-04T00:00:00"/>
    <x v="442"/>
    <x v="1"/>
    <s v="J-1003/25-26"/>
    <n v="7590"/>
    <m/>
  </r>
  <r>
    <d v="2025-06-04T00:00:00"/>
    <x v="395"/>
    <x v="1"/>
    <s v="J-1004/25-26"/>
    <n v="3692"/>
    <m/>
  </r>
  <r>
    <d v="2025-06-05T00:00:00"/>
    <x v="290"/>
    <x v="0"/>
    <s v="JU-174/25-26"/>
    <n v="18500"/>
    <m/>
  </r>
  <r>
    <d v="2025-06-05T00:00:00"/>
    <x v="16"/>
    <x v="0"/>
    <s v="JU-175/25-26"/>
    <n v="7813"/>
    <m/>
  </r>
  <r>
    <d v="2025-06-05T00:00:00"/>
    <x v="87"/>
    <x v="0"/>
    <s v="JU-176/25-26"/>
    <n v="395"/>
    <m/>
  </r>
  <r>
    <d v="2025-06-05T00:00:00"/>
    <x v="443"/>
    <x v="0"/>
    <s v="JU-177/25-26"/>
    <n v="4250"/>
    <m/>
  </r>
  <r>
    <d v="2025-06-05T00:00:00"/>
    <x v="15"/>
    <x v="0"/>
    <s v="JU-178/25-26"/>
    <n v="432"/>
    <m/>
  </r>
  <r>
    <d v="2025-06-05T00:00:00"/>
    <x v="436"/>
    <x v="1"/>
    <s v="J-1005/25-26"/>
    <n v="13284"/>
    <m/>
  </r>
  <r>
    <d v="2025-06-05T00:00:00"/>
    <x v="170"/>
    <x v="1"/>
    <s v="J-1006/25-26"/>
    <n v="21220"/>
    <m/>
  </r>
  <r>
    <d v="2025-06-05T00:00:00"/>
    <x v="47"/>
    <x v="1"/>
    <s v="J-1007/25-26"/>
    <n v="22390"/>
    <m/>
  </r>
  <r>
    <d v="2025-06-05T00:00:00"/>
    <x v="23"/>
    <x v="1"/>
    <s v="J-1008/25-26"/>
    <n v="495"/>
    <m/>
  </r>
  <r>
    <d v="2025-06-05T00:00:00"/>
    <x v="34"/>
    <x v="1"/>
    <s v="J-1009/25-26"/>
    <n v="18590"/>
    <m/>
  </r>
  <r>
    <d v="2025-06-05T00:00:00"/>
    <x v="295"/>
    <x v="1"/>
    <s v="J-1010/25-26"/>
    <n v="3700"/>
    <m/>
  </r>
  <r>
    <d v="2025-06-05T00:00:00"/>
    <x v="11"/>
    <x v="1"/>
    <s v="J-1011/25-26"/>
    <n v="370"/>
    <m/>
  </r>
  <r>
    <d v="2025-06-05T00:00:00"/>
    <x v="241"/>
    <x v="1"/>
    <s v="J-1012/25-26"/>
    <n v="60638"/>
    <m/>
  </r>
  <r>
    <d v="2025-06-05T00:00:00"/>
    <x v="258"/>
    <x v="1"/>
    <s v="J-1013/25-26"/>
    <n v="30"/>
    <m/>
  </r>
  <r>
    <d v="2025-06-05T00:00:00"/>
    <x v="106"/>
    <x v="1"/>
    <s v="J-1014/25-26"/>
    <n v="6864"/>
    <m/>
  </r>
  <r>
    <d v="2025-06-05T00:00:00"/>
    <x v="444"/>
    <x v="1"/>
    <s v="J-1015/25-26"/>
    <n v="6630"/>
    <m/>
  </r>
  <r>
    <d v="2025-06-05T00:00:00"/>
    <x v="412"/>
    <x v="1"/>
    <s v="J-1016/25-26"/>
    <n v="10175"/>
    <m/>
  </r>
  <r>
    <d v="2025-06-05T00:00:00"/>
    <x v="445"/>
    <x v="1"/>
    <s v="J-1017/25-26"/>
    <n v="1555"/>
    <m/>
  </r>
  <r>
    <d v="2025-06-05T00:00:00"/>
    <x v="412"/>
    <x v="1"/>
    <s v="J-1018/25-26"/>
    <n v="168"/>
    <m/>
  </r>
  <r>
    <d v="2025-06-05T00:00:00"/>
    <x v="436"/>
    <x v="1"/>
    <s v="J-1019/25-26"/>
    <n v="3895"/>
    <m/>
  </r>
  <r>
    <d v="2025-06-05T00:00:00"/>
    <x v="376"/>
    <x v="1"/>
    <s v="J-1020/25-26"/>
    <n v="1935"/>
    <m/>
  </r>
  <r>
    <d v="2025-06-05T00:00:00"/>
    <x v="446"/>
    <x v="1"/>
    <s v="J-1021/25-26"/>
    <n v="3331"/>
    <m/>
  </r>
  <r>
    <d v="2025-06-05T00:00:00"/>
    <x v="114"/>
    <x v="1"/>
    <s v="J-1022/25-26"/>
    <n v="11202"/>
    <m/>
  </r>
  <r>
    <d v="2025-06-05T00:00:00"/>
    <x v="258"/>
    <x v="1"/>
    <s v="J-1023/25-26"/>
    <n v="4444"/>
    <m/>
  </r>
  <r>
    <d v="2025-06-05T00:00:00"/>
    <x v="436"/>
    <x v="1"/>
    <s v="J-1024/25-26"/>
    <n v="1850"/>
    <m/>
  </r>
  <r>
    <d v="2025-06-05T00:00:00"/>
    <x v="106"/>
    <x v="1"/>
    <s v="J-1025/25-26"/>
    <n v="628"/>
    <m/>
  </r>
  <r>
    <d v="2025-06-05T00:00:00"/>
    <x v="447"/>
    <x v="1"/>
    <s v="J-1026/25-26"/>
    <n v="6597"/>
    <m/>
  </r>
  <r>
    <d v="2025-06-05T00:00:00"/>
    <x v="448"/>
    <x v="1"/>
    <s v="J-1027/25-26"/>
    <n v="4052"/>
    <m/>
  </r>
  <r>
    <d v="2025-06-06T00:00:00"/>
    <x v="306"/>
    <x v="0"/>
    <s v="JU-179/25-26"/>
    <n v="14062"/>
    <m/>
  </r>
  <r>
    <d v="2025-06-06T00:00:00"/>
    <x v="14"/>
    <x v="0"/>
    <s v="JU-180/25-26"/>
    <n v="21100"/>
    <m/>
  </r>
  <r>
    <d v="2025-06-06T00:00:00"/>
    <x v="449"/>
    <x v="0"/>
    <s v="JU-181/25-26"/>
    <n v="6160"/>
    <m/>
  </r>
  <r>
    <d v="2025-06-06T00:00:00"/>
    <x v="450"/>
    <x v="1"/>
    <s v="J-1028/25-26"/>
    <n v="57606"/>
    <m/>
  </r>
  <r>
    <d v="2025-06-06T00:00:00"/>
    <x v="266"/>
    <x v="1"/>
    <s v="J-1029/25-26"/>
    <n v="3750"/>
    <m/>
  </r>
  <r>
    <d v="2025-06-06T00:00:00"/>
    <x v="451"/>
    <x v="1"/>
    <s v="J-1030/25-26"/>
    <n v="10150"/>
    <m/>
  </r>
  <r>
    <d v="2025-06-06T00:00:00"/>
    <x v="47"/>
    <x v="1"/>
    <s v="J-1031/25-26"/>
    <n v="30"/>
    <m/>
  </r>
  <r>
    <d v="2025-06-06T00:00:00"/>
    <x v="20"/>
    <x v="1"/>
    <s v="J-1032/25-26"/>
    <n v="15845"/>
    <m/>
  </r>
  <r>
    <d v="2025-06-06T00:00:00"/>
    <x v="11"/>
    <x v="1"/>
    <s v="J-1033/25-26"/>
    <n v="12"/>
    <m/>
  </r>
  <r>
    <d v="2025-06-06T00:00:00"/>
    <x v="10"/>
    <x v="1"/>
    <s v="J-1034/25-26"/>
    <n v="17160"/>
    <m/>
  </r>
  <r>
    <d v="2025-06-06T00:00:00"/>
    <x v="10"/>
    <x v="1"/>
    <s v="J-1035/25-26"/>
    <n v="5780"/>
    <m/>
  </r>
  <r>
    <d v="2025-06-06T00:00:00"/>
    <x v="380"/>
    <x v="1"/>
    <s v="J-1036/25-26"/>
    <n v="14683"/>
    <m/>
  </r>
  <r>
    <d v="2025-06-06T00:00:00"/>
    <x v="298"/>
    <x v="1"/>
    <s v="J-1037/25-26"/>
    <n v="5106"/>
    <m/>
  </r>
  <r>
    <d v="2025-06-06T00:00:00"/>
    <x v="276"/>
    <x v="1"/>
    <s v="J-1038/25-26"/>
    <n v="1585"/>
    <m/>
  </r>
  <r>
    <d v="2025-06-06T00:00:00"/>
    <x v="452"/>
    <x v="1"/>
    <s v="J-1039/25-26"/>
    <n v="50"/>
    <m/>
  </r>
  <r>
    <d v="2025-06-06T00:00:00"/>
    <x v="11"/>
    <x v="1"/>
    <s v="J-1040/25-26"/>
    <n v="4734"/>
    <m/>
  </r>
  <r>
    <d v="2025-06-06T00:00:00"/>
    <x v="162"/>
    <x v="1"/>
    <s v="J-1041/25-26"/>
    <n v="600"/>
    <m/>
  </r>
  <r>
    <d v="2025-06-06T00:00:00"/>
    <x v="170"/>
    <x v="1"/>
    <s v="J-1042/25-26"/>
    <n v="25716"/>
    <m/>
  </r>
  <r>
    <d v="2025-06-06T00:00:00"/>
    <x v="47"/>
    <x v="1"/>
    <s v="J-1043/25-26"/>
    <n v="6625"/>
    <m/>
  </r>
  <r>
    <d v="2025-06-06T00:00:00"/>
    <x v="8"/>
    <x v="1"/>
    <s v="J-1044/25-26"/>
    <n v="34790"/>
    <m/>
  </r>
  <r>
    <d v="2025-06-06T00:00:00"/>
    <x v="453"/>
    <x v="1"/>
    <s v="J-1045/25-26"/>
    <n v="6283"/>
    <m/>
  </r>
  <r>
    <d v="2025-06-06T00:00:00"/>
    <x v="454"/>
    <x v="1"/>
    <s v="J-1046/25-26"/>
    <n v="14180"/>
    <m/>
  </r>
  <r>
    <d v="2025-06-06T00:00:00"/>
    <x v="298"/>
    <x v="1"/>
    <s v="J-1047/25-26"/>
    <n v="677"/>
    <m/>
  </r>
  <r>
    <d v="2025-06-06T00:00:00"/>
    <x v="445"/>
    <x v="1"/>
    <s v="J-1048/25-26"/>
    <n v="12030"/>
    <m/>
  </r>
  <r>
    <d v="2025-06-06T00:00:00"/>
    <x v="455"/>
    <x v="1"/>
    <s v="J-1049/25-26"/>
    <n v="601"/>
    <m/>
  </r>
  <r>
    <d v="2025-06-06T00:00:00"/>
    <x v="10"/>
    <x v="1"/>
    <s v="J-1050/25-26"/>
    <n v="255"/>
    <m/>
  </r>
  <r>
    <d v="2025-06-06T00:00:00"/>
    <x v="297"/>
    <x v="1"/>
    <s v="J-1051/25-26"/>
    <n v="1480"/>
    <m/>
  </r>
  <r>
    <d v="2025-06-06T00:00:00"/>
    <x v="95"/>
    <x v="1"/>
    <s v="J-1052/25-26"/>
    <n v="567"/>
    <m/>
  </r>
  <r>
    <d v="2025-06-07T00:00:00"/>
    <x v="217"/>
    <x v="0"/>
    <s v="JU-182/25-26"/>
    <n v="4345"/>
    <m/>
  </r>
  <r>
    <d v="2025-06-07T00:00:00"/>
    <x v="456"/>
    <x v="0"/>
    <s v="JU-183/25-26"/>
    <n v="1440"/>
    <m/>
  </r>
  <r>
    <d v="2025-06-07T00:00:00"/>
    <x v="15"/>
    <x v="0"/>
    <s v="JU-184/25-26"/>
    <n v="10607"/>
    <m/>
  </r>
  <r>
    <d v="2025-06-07T00:00:00"/>
    <x v="306"/>
    <x v="0"/>
    <s v="JU-185/25-26"/>
    <n v="29600"/>
    <m/>
  </r>
  <r>
    <d v="2025-06-07T00:00:00"/>
    <x v="457"/>
    <x v="0"/>
    <s v="JU-186/25-26"/>
    <n v="14050"/>
    <m/>
  </r>
  <r>
    <d v="2025-06-07T00:00:00"/>
    <x v="11"/>
    <x v="1"/>
    <s v="J-1053/25-26"/>
    <n v="8"/>
    <m/>
  </r>
  <r>
    <d v="2025-06-07T00:00:00"/>
    <x v="348"/>
    <x v="1"/>
    <s v="J-1054/25-26"/>
    <n v="370"/>
    <m/>
  </r>
  <r>
    <d v="2025-06-07T00:00:00"/>
    <x v="458"/>
    <x v="1"/>
    <s v="J-1055/25-26"/>
    <n v="606"/>
    <m/>
  </r>
  <r>
    <d v="2025-06-07T00:00:00"/>
    <x v="459"/>
    <x v="1"/>
    <s v="J-1056/25-26"/>
    <n v="4454"/>
    <m/>
  </r>
  <r>
    <d v="2025-06-07T00:00:00"/>
    <x v="416"/>
    <x v="1"/>
    <s v="J-1057/25-26"/>
    <n v="725"/>
    <m/>
  </r>
  <r>
    <d v="2025-06-07T00:00:00"/>
    <x v="460"/>
    <x v="1"/>
    <s v="J-1058/25-26"/>
    <n v="30"/>
    <m/>
  </r>
  <r>
    <d v="2025-06-07T00:00:00"/>
    <x v="450"/>
    <x v="1"/>
    <s v="J-1059/25-26"/>
    <n v="42451"/>
    <m/>
  </r>
  <r>
    <d v="2025-06-07T00:00:00"/>
    <x v="84"/>
    <x v="1"/>
    <s v="J-1060/25-26"/>
    <n v="190"/>
    <m/>
  </r>
  <r>
    <d v="2025-06-07T00:00:00"/>
    <x v="461"/>
    <x v="1"/>
    <s v="J-1061/25-26"/>
    <n v="12342"/>
    <m/>
  </r>
  <r>
    <d v="2025-06-07T00:00:00"/>
    <x v="350"/>
    <x v="1"/>
    <s v="J-1062/25-26"/>
    <n v="110"/>
    <m/>
  </r>
  <r>
    <d v="2025-06-07T00:00:00"/>
    <x v="115"/>
    <x v="1"/>
    <s v="J-1063/25-26"/>
    <n v="23370"/>
    <m/>
  </r>
  <r>
    <d v="2025-06-07T00:00:00"/>
    <x v="297"/>
    <x v="1"/>
    <s v="J-1064/25-26"/>
    <n v="370"/>
    <m/>
  </r>
  <r>
    <d v="2025-06-07T00:00:00"/>
    <x v="11"/>
    <x v="1"/>
    <s v="J-1065/25-26"/>
    <n v="670"/>
    <m/>
  </r>
  <r>
    <d v="2025-06-08T00:00:00"/>
    <x v="241"/>
    <x v="1"/>
    <s v="J-1066/25-26"/>
    <n v="41475"/>
    <m/>
  </r>
  <r>
    <d v="2025-06-09T00:00:00"/>
    <x v="462"/>
    <x v="0"/>
    <s v="JU-187/25-26"/>
    <n v="40180"/>
    <m/>
  </r>
  <r>
    <d v="2025-06-09T00:00:00"/>
    <x v="463"/>
    <x v="1"/>
    <s v="J-1067/25-26"/>
    <n v="3700"/>
    <m/>
  </r>
  <r>
    <d v="2025-06-09T00:00:00"/>
    <x v="75"/>
    <x v="1"/>
    <s v="J-1068/25-26"/>
    <n v="53645"/>
    <m/>
  </r>
  <r>
    <d v="2025-06-09T00:00:00"/>
    <x v="297"/>
    <x v="1"/>
    <s v="J-1069/25-26"/>
    <n v="740"/>
    <m/>
  </r>
  <r>
    <d v="2025-06-09T00:00:00"/>
    <x v="10"/>
    <x v="1"/>
    <s v="J-1070/25-26"/>
    <n v="3495"/>
    <m/>
  </r>
  <r>
    <d v="2025-06-09T00:00:00"/>
    <x v="464"/>
    <x v="1"/>
    <s v="J-1071/25-26"/>
    <n v="8810"/>
    <m/>
  </r>
  <r>
    <d v="2025-06-09T00:00:00"/>
    <x v="170"/>
    <x v="1"/>
    <s v="J-1072/25-26"/>
    <n v="22396"/>
    <m/>
  </r>
  <r>
    <d v="2025-06-09T00:00:00"/>
    <x v="4"/>
    <x v="1"/>
    <s v="J-1073/25-26"/>
    <n v="12787"/>
    <m/>
  </r>
  <r>
    <d v="2025-06-09T00:00:00"/>
    <x v="4"/>
    <x v="1"/>
    <s v="J-1074/25-26"/>
    <n v="3588"/>
    <m/>
  </r>
  <r>
    <d v="2025-06-09T00:00:00"/>
    <x v="465"/>
    <x v="1"/>
    <s v="J-1075/25-26"/>
    <n v="14797"/>
    <m/>
  </r>
  <r>
    <d v="2025-06-09T00:00:00"/>
    <x v="466"/>
    <x v="1"/>
    <s v="J-1076/25-26"/>
    <n v="5640"/>
    <m/>
  </r>
  <r>
    <d v="2025-06-09T00:00:00"/>
    <x v="297"/>
    <x v="1"/>
    <s v="J-1077/25-26"/>
    <n v="2795"/>
    <m/>
  </r>
  <r>
    <d v="2025-06-09T00:00:00"/>
    <x v="467"/>
    <x v="1"/>
    <s v="J-1078/25-26"/>
    <n v="2580"/>
    <m/>
  </r>
  <r>
    <d v="2025-06-09T00:00:00"/>
    <x v="12"/>
    <x v="1"/>
    <s v="J-1079/25-26"/>
    <n v="740"/>
    <m/>
  </r>
  <r>
    <d v="2025-06-09T00:00:00"/>
    <x v="468"/>
    <x v="1"/>
    <s v="J-1080/25-26"/>
    <n v="6500"/>
    <m/>
  </r>
  <r>
    <d v="2025-06-09T00:00:00"/>
    <x v="170"/>
    <x v="1"/>
    <s v="J-1081/25-26"/>
    <n v="2440"/>
    <m/>
  </r>
  <r>
    <d v="2025-06-09T00:00:00"/>
    <x v="297"/>
    <x v="1"/>
    <s v="J-1082/25-26"/>
    <n v="1110"/>
    <m/>
  </r>
  <r>
    <d v="2025-06-09T00:00:00"/>
    <x v="445"/>
    <x v="1"/>
    <s v="J-1083/25-26"/>
    <n v="675"/>
    <m/>
  </r>
  <r>
    <d v="2025-06-09T00:00:00"/>
    <x v="298"/>
    <x v="1"/>
    <s v="J-1084/25-26"/>
    <n v="1996"/>
    <m/>
  </r>
  <r>
    <d v="2025-06-09T00:00:00"/>
    <x v="236"/>
    <x v="1"/>
    <s v="J-1085/25-26"/>
    <n v="370"/>
    <m/>
  </r>
  <r>
    <d v="2025-06-10T00:00:00"/>
    <x v="469"/>
    <x v="0"/>
    <s v="JU-188/25-26"/>
    <n v="90610"/>
    <m/>
  </r>
  <r>
    <d v="2025-06-10T00:00:00"/>
    <x v="425"/>
    <x v="0"/>
    <s v="JU-189/25-26"/>
    <n v="256"/>
    <m/>
  </r>
  <r>
    <d v="2025-06-10T00:00:00"/>
    <x v="470"/>
    <x v="1"/>
    <s v="J-1086/25-26"/>
    <n v="5550"/>
    <m/>
  </r>
  <r>
    <d v="2025-06-10T00:00:00"/>
    <x v="10"/>
    <x v="1"/>
    <s v="J-1087/25-26"/>
    <n v="20037"/>
    <m/>
  </r>
  <r>
    <d v="2025-06-10T00:00:00"/>
    <x v="348"/>
    <x v="1"/>
    <s v="J-1088/25-26"/>
    <n v="1110"/>
    <m/>
  </r>
  <r>
    <d v="2025-06-10T00:00:00"/>
    <x v="23"/>
    <x v="1"/>
    <s v="J-1089/25-26"/>
    <n v="4035"/>
    <m/>
  </r>
  <r>
    <d v="2025-06-10T00:00:00"/>
    <x v="471"/>
    <x v="1"/>
    <s v="J-1090/25-26"/>
    <n v="5786"/>
    <m/>
  </r>
  <r>
    <d v="2025-06-10T00:00:00"/>
    <x v="75"/>
    <x v="1"/>
    <s v="J-1091/25-26"/>
    <n v="11478"/>
    <m/>
  </r>
  <r>
    <d v="2025-06-10T00:00:00"/>
    <x v="20"/>
    <x v="1"/>
    <s v="J-1092/25-26"/>
    <n v="17661"/>
    <m/>
  </r>
  <r>
    <d v="2025-06-10T00:00:00"/>
    <x v="12"/>
    <x v="1"/>
    <s v="J-1093/25-26"/>
    <n v="7400"/>
    <m/>
  </r>
  <r>
    <d v="2025-06-10T00:00:00"/>
    <x v="11"/>
    <x v="1"/>
    <s v="J-1094/25-26"/>
    <n v="1116"/>
    <m/>
  </r>
  <r>
    <d v="2025-06-10T00:00:00"/>
    <x v="431"/>
    <x v="1"/>
    <s v="J-1095/25-26"/>
    <n v="1150"/>
    <m/>
  </r>
  <r>
    <d v="2025-06-10T00:00:00"/>
    <x v="170"/>
    <x v="1"/>
    <s v="J-1096/25-26"/>
    <n v="24420"/>
    <m/>
  </r>
  <r>
    <d v="2025-06-10T00:00:00"/>
    <x v="170"/>
    <x v="1"/>
    <s v="J-1097/25-26"/>
    <n v="260"/>
    <m/>
  </r>
  <r>
    <d v="2025-06-10T00:00:00"/>
    <x v="34"/>
    <x v="1"/>
    <s v="J-1098/25-26"/>
    <n v="4573"/>
    <m/>
  </r>
  <r>
    <d v="2025-06-10T00:00:00"/>
    <x v="471"/>
    <x v="1"/>
    <s v="J-1099/25-26"/>
    <n v="1240"/>
    <m/>
  </r>
  <r>
    <d v="2025-06-10T00:00:00"/>
    <x v="357"/>
    <x v="1"/>
    <s v="J-1100/25-26"/>
    <n v="4610"/>
    <m/>
  </r>
  <r>
    <d v="2025-06-10T00:00:00"/>
    <x v="440"/>
    <x v="1"/>
    <s v="J-1101/25-26"/>
    <n v="1146"/>
    <m/>
  </r>
  <r>
    <d v="2025-06-10T00:00:00"/>
    <x v="8"/>
    <x v="1"/>
    <s v="J-1102/25-26"/>
    <n v="1380"/>
    <m/>
  </r>
  <r>
    <d v="2025-06-10T00:00:00"/>
    <x v="357"/>
    <x v="1"/>
    <s v="J-1103/25-26"/>
    <n v="1180"/>
    <m/>
  </r>
  <r>
    <d v="2025-06-11T00:00:00"/>
    <x v="439"/>
    <x v="0"/>
    <s v="JU-190/25-26"/>
    <n v="14251"/>
    <m/>
  </r>
  <r>
    <d v="2025-06-11T00:00:00"/>
    <x v="14"/>
    <x v="0"/>
    <s v="JU-191/25-26"/>
    <n v="4277"/>
    <m/>
  </r>
  <r>
    <d v="2025-06-11T00:00:00"/>
    <x v="11"/>
    <x v="1"/>
    <s v="J-1104/25-26"/>
    <n v="12"/>
    <m/>
  </r>
  <r>
    <d v="2025-06-11T00:00:00"/>
    <x v="222"/>
    <x v="1"/>
    <s v="J-1105/25-26"/>
    <n v="384"/>
    <m/>
  </r>
  <r>
    <d v="2025-06-11T00:00:00"/>
    <x v="259"/>
    <x v="1"/>
    <s v="J-1106/25-26"/>
    <n v="1615"/>
    <m/>
  </r>
  <r>
    <d v="2025-06-11T00:00:00"/>
    <x v="472"/>
    <x v="1"/>
    <s v="J-1107/25-26"/>
    <n v="9630"/>
    <m/>
  </r>
  <r>
    <d v="2025-06-11T00:00:00"/>
    <x v="357"/>
    <x v="1"/>
    <s v="J-1108/25-26"/>
    <n v="380"/>
    <m/>
  </r>
  <r>
    <d v="2025-06-11T00:00:00"/>
    <x v="237"/>
    <x v="1"/>
    <s v="J-1109/25-26"/>
    <n v="17650"/>
    <m/>
  </r>
  <r>
    <d v="2025-06-11T00:00:00"/>
    <x v="4"/>
    <x v="1"/>
    <s v="J-1110/25-26"/>
    <n v="25182"/>
    <m/>
  </r>
  <r>
    <d v="2025-06-11T00:00:00"/>
    <x v="298"/>
    <x v="1"/>
    <s v="J-1111/25-26"/>
    <n v="1066"/>
    <m/>
  </r>
  <r>
    <d v="2025-06-11T00:00:00"/>
    <x v="473"/>
    <x v="1"/>
    <s v="J-1112/25-26"/>
    <n v="2327"/>
    <m/>
  </r>
  <r>
    <d v="2025-06-11T00:00:00"/>
    <x v="222"/>
    <x v="1"/>
    <s v="J-1113/25-26"/>
    <n v="135"/>
    <m/>
  </r>
  <r>
    <d v="2025-06-11T00:00:00"/>
    <x v="431"/>
    <x v="1"/>
    <s v="J-1114/25-26"/>
    <n v="9077"/>
    <m/>
  </r>
  <r>
    <d v="2025-06-11T00:00:00"/>
    <x v="4"/>
    <x v="1"/>
    <s v="J-1115/25-26"/>
    <n v="1333"/>
    <m/>
  </r>
  <r>
    <d v="2025-06-11T00:00:00"/>
    <x v="79"/>
    <x v="1"/>
    <s v="J-1116/25-26"/>
    <n v="3927"/>
    <m/>
  </r>
  <r>
    <d v="2025-06-11T00:00:00"/>
    <x v="474"/>
    <x v="1"/>
    <s v="J-1117/25-26"/>
    <n v="150"/>
    <m/>
  </r>
  <r>
    <d v="2025-06-12T00:00:00"/>
    <x v="475"/>
    <x v="0"/>
    <s v="JU-192/25-26"/>
    <n v="31721"/>
    <m/>
  </r>
  <r>
    <d v="2025-06-12T00:00:00"/>
    <x v="14"/>
    <x v="0"/>
    <s v="JU-193/25-26"/>
    <n v="6120"/>
    <m/>
  </r>
  <r>
    <d v="2025-06-12T00:00:00"/>
    <x v="20"/>
    <x v="1"/>
    <s v="J-1118/25-26"/>
    <n v="24467"/>
    <m/>
  </r>
  <r>
    <d v="2025-06-12T00:00:00"/>
    <x v="476"/>
    <x v="1"/>
    <s v="J-1119/25-26"/>
    <n v="5664"/>
    <m/>
  </r>
  <r>
    <d v="2025-06-12T00:00:00"/>
    <x v="477"/>
    <x v="1"/>
    <s v="J-1120/25-26"/>
    <n v="375"/>
    <m/>
  </r>
  <r>
    <d v="2025-06-12T00:00:00"/>
    <x v="79"/>
    <x v="1"/>
    <s v="J-1121/25-26"/>
    <n v="3186"/>
    <m/>
  </r>
  <r>
    <d v="2025-06-12T00:00:00"/>
    <x v="478"/>
    <x v="1"/>
    <s v="J-1122/25-26"/>
    <n v="23120"/>
    <m/>
  </r>
  <r>
    <d v="2025-06-12T00:00:00"/>
    <x v="170"/>
    <x v="1"/>
    <s v="J-1123/25-26"/>
    <n v="1043"/>
    <m/>
  </r>
  <r>
    <d v="2025-06-12T00:00:00"/>
    <x v="11"/>
    <x v="1"/>
    <s v="J-1124/25-26"/>
    <n v="10253"/>
    <m/>
  </r>
  <r>
    <d v="2025-06-12T00:00:00"/>
    <x v="472"/>
    <x v="1"/>
    <s v="J-1125/25-26"/>
    <n v="1665"/>
    <m/>
  </r>
  <r>
    <d v="2025-06-12T00:00:00"/>
    <x v="479"/>
    <x v="1"/>
    <s v="J-1126/25-26"/>
    <n v="370"/>
    <m/>
  </r>
  <r>
    <d v="2025-06-12T00:00:00"/>
    <x v="140"/>
    <x v="1"/>
    <s v="J-1127/25-26"/>
    <n v="10613"/>
    <m/>
  </r>
  <r>
    <d v="2025-06-12T00:00:00"/>
    <x v="140"/>
    <x v="1"/>
    <s v="J-1128/25-26"/>
    <n v="1701"/>
    <m/>
  </r>
  <r>
    <d v="2025-06-13T00:00:00"/>
    <x v="480"/>
    <x v="0"/>
    <s v="JU-194/25-26"/>
    <n v="5803"/>
    <m/>
  </r>
  <r>
    <d v="2025-06-13T00:00:00"/>
    <x v="290"/>
    <x v="0"/>
    <s v="JU-195/25-26"/>
    <n v="24643"/>
    <m/>
  </r>
  <r>
    <d v="2025-06-13T00:00:00"/>
    <x v="11"/>
    <x v="1"/>
    <s v="J-1129/25-26"/>
    <n v="12"/>
    <m/>
  </r>
  <r>
    <d v="2025-06-13T00:00:00"/>
    <x v="11"/>
    <x v="1"/>
    <s v="J-1130/25-26"/>
    <n v="12"/>
    <m/>
  </r>
  <r>
    <d v="2025-06-13T00:00:00"/>
    <x v="68"/>
    <x v="1"/>
    <s v="J-1131/25-26"/>
    <n v="564"/>
    <m/>
  </r>
  <r>
    <d v="2025-06-13T00:00:00"/>
    <x v="11"/>
    <x v="1"/>
    <s v="J-1132/25-26"/>
    <n v="12"/>
    <m/>
  </r>
  <r>
    <d v="2025-06-13T00:00:00"/>
    <x v="173"/>
    <x v="1"/>
    <s v="J-1133/25-26"/>
    <n v="12423"/>
    <m/>
  </r>
  <r>
    <d v="2025-06-13T00:00:00"/>
    <x v="481"/>
    <x v="1"/>
    <s v="J-1134/25-26"/>
    <n v="1211"/>
    <m/>
  </r>
  <r>
    <d v="2025-06-13T00:00:00"/>
    <x v="47"/>
    <x v="1"/>
    <s v="J-1135/25-26"/>
    <n v="488"/>
    <m/>
  </r>
  <r>
    <d v="2025-06-13T00:00:00"/>
    <x v="11"/>
    <x v="1"/>
    <s v="J-1136/25-26"/>
    <n v="12"/>
    <m/>
  </r>
  <r>
    <d v="2025-06-13T00:00:00"/>
    <x v="440"/>
    <x v="1"/>
    <s v="J-1137/25-26"/>
    <n v="1048"/>
    <m/>
  </r>
  <r>
    <d v="2025-06-13T00:00:00"/>
    <x v="380"/>
    <x v="1"/>
    <s v="J-1138/25-26"/>
    <n v="3035"/>
    <m/>
  </r>
  <r>
    <d v="2025-06-13T00:00:00"/>
    <x v="170"/>
    <x v="1"/>
    <s v="J-1139/25-26"/>
    <n v="89"/>
    <m/>
  </r>
  <r>
    <d v="2025-06-14T00:00:00"/>
    <x v="14"/>
    <x v="0"/>
    <s v="JU-196/25-26"/>
    <n v="300"/>
    <m/>
  </r>
  <r>
    <d v="2025-06-14T00:00:00"/>
    <x v="439"/>
    <x v="0"/>
    <s v="JU-197/25-26"/>
    <n v="14032"/>
    <m/>
  </r>
  <r>
    <d v="2025-06-14T00:00:00"/>
    <x v="482"/>
    <x v="0"/>
    <s v="JU-198/25-26"/>
    <n v="24530"/>
    <m/>
  </r>
  <r>
    <d v="2025-06-14T00:00:00"/>
    <x v="483"/>
    <x v="1"/>
    <s v="J-1140/25-26"/>
    <n v="4150"/>
    <m/>
  </r>
  <r>
    <d v="2025-06-14T00:00:00"/>
    <x v="47"/>
    <x v="1"/>
    <s v="J-1141/25-26"/>
    <n v="5325"/>
    <m/>
  </r>
  <r>
    <d v="2025-06-14T00:00:00"/>
    <x v="23"/>
    <x v="1"/>
    <s v="J-1142/25-26"/>
    <n v="2270"/>
    <m/>
  </r>
  <r>
    <d v="2025-06-14T00:00:00"/>
    <x v="330"/>
    <x v="1"/>
    <s v="J-1143/25-26"/>
    <n v="1717"/>
    <m/>
  </r>
  <r>
    <d v="2025-06-14T00:00:00"/>
    <x v="11"/>
    <x v="1"/>
    <s v="J-1144/25-26"/>
    <n v="12"/>
    <m/>
  </r>
  <r>
    <d v="2025-06-14T00:00:00"/>
    <x v="8"/>
    <x v="1"/>
    <s v="J-1145/25-26"/>
    <n v="5325"/>
    <m/>
  </r>
  <r>
    <d v="2025-06-14T00:00:00"/>
    <x v="11"/>
    <x v="1"/>
    <s v="J-1146/25-26"/>
    <n v="2087"/>
    <m/>
  </r>
  <r>
    <d v="2025-06-14T00:00:00"/>
    <x v="12"/>
    <x v="1"/>
    <s v="J-1147/25-26"/>
    <n v="1480"/>
    <m/>
  </r>
  <r>
    <d v="2025-06-14T00:00:00"/>
    <x v="297"/>
    <x v="1"/>
    <s v="J-1148/25-26"/>
    <n v="33"/>
    <m/>
  </r>
  <r>
    <d v="2025-06-14T00:00:00"/>
    <x v="170"/>
    <x v="1"/>
    <s v="J-1149/25-26"/>
    <n v="16357"/>
    <m/>
  </r>
  <r>
    <d v="2025-06-14T00:00:00"/>
    <x v="192"/>
    <x v="1"/>
    <s v="J-1150/25-26"/>
    <n v="3887"/>
    <m/>
  </r>
  <r>
    <d v="2025-06-14T00:00:00"/>
    <x v="34"/>
    <x v="1"/>
    <s v="J-1151/25-26"/>
    <n v="18117"/>
    <m/>
  </r>
  <r>
    <d v="2025-06-14T00:00:00"/>
    <x v="173"/>
    <x v="1"/>
    <s v="J-1152/25-26"/>
    <n v="30"/>
    <m/>
  </r>
  <r>
    <d v="2025-06-14T00:00:00"/>
    <x v="447"/>
    <x v="1"/>
    <s v="J-1153/25-26"/>
    <n v="8861"/>
    <m/>
  </r>
  <r>
    <d v="2025-06-14T00:00:00"/>
    <x v="115"/>
    <x v="1"/>
    <s v="J-1154/25-26"/>
    <n v="1805"/>
    <m/>
  </r>
  <r>
    <d v="2025-06-14T00:00:00"/>
    <x v="464"/>
    <x v="1"/>
    <s v="J-1155/25-26"/>
    <n v="230"/>
    <m/>
  </r>
  <r>
    <d v="2025-06-16T00:00:00"/>
    <x v="14"/>
    <x v="0"/>
    <s v="JU-199/25-26"/>
    <n v="4233"/>
    <m/>
  </r>
  <r>
    <d v="2025-06-16T00:00:00"/>
    <x v="14"/>
    <x v="0"/>
    <s v="JU-200/25-26"/>
    <n v="1274"/>
    <m/>
  </r>
  <r>
    <d v="2025-06-16T00:00:00"/>
    <x v="425"/>
    <x v="0"/>
    <s v="JU-201/25-26"/>
    <n v="920"/>
    <m/>
  </r>
  <r>
    <d v="2025-06-16T00:00:00"/>
    <x v="26"/>
    <x v="1"/>
    <s v="J-1156/25-26"/>
    <n v="84040"/>
    <m/>
  </r>
  <r>
    <d v="2025-06-16T00:00:00"/>
    <x v="3"/>
    <x v="1"/>
    <s v="J-1157/25-26"/>
    <n v="5650"/>
    <m/>
  </r>
  <r>
    <d v="2025-06-16T00:00:00"/>
    <x v="484"/>
    <x v="1"/>
    <s v="J-1158/25-26"/>
    <n v="250"/>
    <m/>
  </r>
  <r>
    <d v="2025-06-16T00:00:00"/>
    <x v="173"/>
    <x v="1"/>
    <s v="J-1159/25-26"/>
    <n v="2576"/>
    <m/>
  </r>
  <r>
    <d v="2025-06-16T00:00:00"/>
    <x v="450"/>
    <x v="1"/>
    <s v="J-1160/25-26"/>
    <n v="457"/>
    <m/>
  </r>
  <r>
    <d v="2025-06-16T00:00:00"/>
    <x v="126"/>
    <x v="1"/>
    <s v="J-1161/25-26"/>
    <n v="325"/>
    <m/>
  </r>
  <r>
    <d v="2025-06-16T00:00:00"/>
    <x v="4"/>
    <x v="1"/>
    <s v="J-1162/25-26"/>
    <n v="2667"/>
    <m/>
  </r>
  <r>
    <d v="2025-06-16T00:00:00"/>
    <x v="348"/>
    <x v="1"/>
    <s v="J-1163/25-26"/>
    <n v="1820"/>
    <m/>
  </r>
  <r>
    <d v="2025-06-16T00:00:00"/>
    <x v="11"/>
    <x v="1"/>
    <s v="J-1164/25-26"/>
    <n v="12"/>
    <m/>
  </r>
  <r>
    <d v="2025-06-16T00:00:00"/>
    <x v="89"/>
    <x v="1"/>
    <s v="J-1165/25-26"/>
    <n v="2471"/>
    <m/>
  </r>
  <r>
    <d v="2025-06-16T00:00:00"/>
    <x v="47"/>
    <x v="1"/>
    <s v="J-1166/25-26"/>
    <n v="4974"/>
    <m/>
  </r>
  <r>
    <d v="2025-06-16T00:00:00"/>
    <x v="431"/>
    <x v="1"/>
    <s v="J-1167/25-26"/>
    <n v="54014"/>
    <m/>
  </r>
  <r>
    <d v="2025-06-17T00:00:00"/>
    <x v="11"/>
    <x v="1"/>
    <s v="J-1168/25-26"/>
    <n v="370"/>
    <m/>
  </r>
  <r>
    <d v="2025-06-17T00:00:00"/>
    <x v="485"/>
    <x v="1"/>
    <s v="J-1169/25-26"/>
    <n v="96"/>
    <m/>
  </r>
  <r>
    <d v="2025-06-17T00:00:00"/>
    <x v="70"/>
    <x v="1"/>
    <s v="J-1170/25-26"/>
    <n v="56524"/>
    <m/>
  </r>
  <r>
    <d v="2025-06-17T00:00:00"/>
    <x v="84"/>
    <x v="1"/>
    <s v="J-1171/25-26"/>
    <n v="10080"/>
    <m/>
  </r>
  <r>
    <d v="2025-06-17T00:00:00"/>
    <x v="115"/>
    <x v="1"/>
    <s v="J-1172/25-26"/>
    <n v="840"/>
    <m/>
  </r>
  <r>
    <d v="2025-06-17T00:00:00"/>
    <x v="464"/>
    <x v="1"/>
    <s v="J-1173/25-26"/>
    <n v="11036"/>
    <m/>
  </r>
  <r>
    <d v="2025-06-17T00:00:00"/>
    <x v="486"/>
    <x v="1"/>
    <s v="J-1174/25-26"/>
    <n v="315"/>
    <m/>
  </r>
  <r>
    <d v="2025-06-17T00:00:00"/>
    <x v="106"/>
    <x v="1"/>
    <s v="J-1175/25-26"/>
    <n v="3598"/>
    <m/>
  </r>
  <r>
    <d v="2025-06-17T00:00:00"/>
    <x v="248"/>
    <x v="1"/>
    <s v="J-1176/25-26"/>
    <n v="67341"/>
    <m/>
  </r>
  <r>
    <d v="2025-06-17T00:00:00"/>
    <x v="256"/>
    <x v="1"/>
    <s v="J-1177/25-26"/>
    <n v="1350"/>
    <m/>
  </r>
  <r>
    <d v="2025-06-17T00:00:00"/>
    <x v="487"/>
    <x v="1"/>
    <s v="J-1178/25-26"/>
    <n v="36716"/>
    <m/>
  </r>
  <r>
    <d v="2025-06-17T00:00:00"/>
    <x v="211"/>
    <x v="1"/>
    <s v="J-1179/25-26"/>
    <n v="928"/>
    <m/>
  </r>
  <r>
    <d v="2025-06-17T00:00:00"/>
    <x v="11"/>
    <x v="1"/>
    <s v="J-1180/25-26"/>
    <n v="12"/>
    <m/>
  </r>
  <r>
    <d v="2025-06-17T00:00:00"/>
    <x v="79"/>
    <x v="1"/>
    <s v="J-1181/25-26"/>
    <n v="425"/>
    <m/>
  </r>
  <r>
    <d v="2025-06-17T00:00:00"/>
    <x v="488"/>
    <x v="1"/>
    <s v="J-1182/25-26"/>
    <n v="3048"/>
    <m/>
  </r>
  <r>
    <d v="2025-06-18T00:00:00"/>
    <x v="489"/>
    <x v="0"/>
    <s v="JU-202/25-26"/>
    <n v="5284"/>
    <m/>
  </r>
  <r>
    <d v="2025-06-18T00:00:00"/>
    <x v="490"/>
    <x v="0"/>
    <s v="JU-203/25-26"/>
    <n v="4810"/>
    <m/>
  </r>
  <r>
    <d v="2025-06-18T00:00:00"/>
    <x v="491"/>
    <x v="0"/>
    <s v="JU-204/25-26"/>
    <n v="11922"/>
    <m/>
  </r>
  <r>
    <d v="2025-06-18T00:00:00"/>
    <x v="87"/>
    <x v="0"/>
    <s v="JU-205/25-26"/>
    <n v="1242"/>
    <m/>
  </r>
  <r>
    <d v="2025-06-18T00:00:00"/>
    <x v="258"/>
    <x v="1"/>
    <s v="J-1183/25-26"/>
    <n v="416"/>
    <m/>
  </r>
  <r>
    <d v="2025-06-18T00:00:00"/>
    <x v="79"/>
    <x v="1"/>
    <s v="J-1184/25-26"/>
    <n v="3034"/>
    <m/>
  </r>
  <r>
    <d v="2025-06-18T00:00:00"/>
    <x v="73"/>
    <x v="1"/>
    <s v="J-1185/25-26"/>
    <n v="9866"/>
    <m/>
  </r>
  <r>
    <d v="2025-06-18T00:00:00"/>
    <x v="492"/>
    <x v="1"/>
    <s v="J-1186/25-26"/>
    <n v="210"/>
    <m/>
  </r>
  <r>
    <d v="2025-06-18T00:00:00"/>
    <x v="12"/>
    <x v="1"/>
    <s v="J-1187/25-26"/>
    <n v="740"/>
    <m/>
  </r>
  <r>
    <d v="2025-06-18T00:00:00"/>
    <x v="69"/>
    <x v="1"/>
    <s v="J-1188/25-26"/>
    <n v="26910"/>
    <m/>
  </r>
  <r>
    <d v="2025-06-18T00:00:00"/>
    <x v="170"/>
    <x v="1"/>
    <s v="J-1189/25-26"/>
    <n v="495"/>
    <m/>
  </r>
  <r>
    <d v="2025-06-18T00:00:00"/>
    <x v="493"/>
    <x v="1"/>
    <s v="J-1190/25-26"/>
    <n v="35608"/>
    <m/>
  </r>
  <r>
    <d v="2025-06-18T00:00:00"/>
    <x v="494"/>
    <x v="1"/>
    <s v="J-1191/25-26"/>
    <n v="3375"/>
    <m/>
  </r>
  <r>
    <d v="2025-06-18T00:00:00"/>
    <x v="470"/>
    <x v="1"/>
    <s v="J-1192/25-26"/>
    <n v="3700"/>
    <m/>
  </r>
  <r>
    <d v="2025-06-18T00:00:00"/>
    <x v="258"/>
    <x v="1"/>
    <s v="J-1193/25-26"/>
    <n v="540"/>
    <m/>
  </r>
  <r>
    <d v="2025-06-18T00:00:00"/>
    <x v="170"/>
    <x v="1"/>
    <s v="J-1194/25-26"/>
    <n v="1538"/>
    <m/>
  </r>
  <r>
    <d v="2025-06-18T00:00:00"/>
    <x v="257"/>
    <x v="1"/>
    <s v="J-1195/25-26"/>
    <n v="75"/>
    <m/>
  </r>
  <r>
    <d v="2025-06-19T00:00:00"/>
    <x v="14"/>
    <x v="0"/>
    <s v="JU-206/25-26"/>
    <n v="1106"/>
    <m/>
  </r>
  <r>
    <d v="2025-06-19T00:00:00"/>
    <x v="495"/>
    <x v="0"/>
    <s v="JU-207/25-26"/>
    <n v="12788"/>
    <m/>
  </r>
  <r>
    <d v="2025-06-19T00:00:00"/>
    <x v="291"/>
    <x v="1"/>
    <s v="J-1196/25-26"/>
    <n v="6405"/>
    <m/>
  </r>
  <r>
    <d v="2025-06-19T00:00:00"/>
    <x v="496"/>
    <x v="1"/>
    <s v="J-1197/25-26"/>
    <n v="1300"/>
    <m/>
  </r>
  <r>
    <d v="2025-06-19T00:00:00"/>
    <x v="445"/>
    <x v="1"/>
    <s v="J-1198/25-26"/>
    <n v="610"/>
    <m/>
  </r>
  <r>
    <d v="2025-06-19T00:00:00"/>
    <x v="11"/>
    <x v="1"/>
    <s v="J-1199/25-26"/>
    <n v="12"/>
    <m/>
  </r>
  <r>
    <d v="2025-06-19T00:00:00"/>
    <x v="11"/>
    <x v="1"/>
    <s v="J-1200/25-26"/>
    <n v="12"/>
    <m/>
  </r>
  <r>
    <d v="2025-06-19T00:00:00"/>
    <x v="170"/>
    <x v="1"/>
    <s v="J-1201/25-26"/>
    <n v="4180"/>
    <m/>
  </r>
  <r>
    <d v="2025-06-19T00:00:00"/>
    <x v="12"/>
    <x v="1"/>
    <s v="J-1202/25-26"/>
    <n v="740"/>
    <m/>
  </r>
  <r>
    <d v="2025-06-19T00:00:00"/>
    <x v="173"/>
    <x v="1"/>
    <s v="J-1203/25-26"/>
    <n v="1920"/>
    <m/>
  </r>
  <r>
    <d v="2025-06-19T00:00:00"/>
    <x v="497"/>
    <x v="1"/>
    <s v="J-1204/25-26"/>
    <n v="35280"/>
    <m/>
  </r>
  <r>
    <d v="2025-06-19T00:00:00"/>
    <x v="237"/>
    <x v="1"/>
    <s v="J-1205/25-26"/>
    <n v="2086"/>
    <m/>
  </r>
  <r>
    <d v="2025-06-19T00:00:00"/>
    <x v="498"/>
    <x v="1"/>
    <s v="J-1206/25-26"/>
    <n v="3265"/>
    <m/>
  </r>
  <r>
    <d v="2025-06-19T00:00:00"/>
    <x v="8"/>
    <x v="1"/>
    <s v="J-1207/25-26"/>
    <n v="10484"/>
    <m/>
  </r>
  <r>
    <d v="2025-06-19T00:00:00"/>
    <x v="499"/>
    <x v="1"/>
    <s v="J-1208/25-26"/>
    <n v="9250"/>
    <m/>
  </r>
  <r>
    <d v="2025-06-19T00:00:00"/>
    <x v="330"/>
    <x v="1"/>
    <s v="J-1209/25-26"/>
    <n v="6635"/>
    <m/>
  </r>
  <r>
    <d v="2025-06-19T00:00:00"/>
    <x v="23"/>
    <x v="1"/>
    <s v="J-1210/25-26"/>
    <n v="662"/>
    <m/>
  </r>
  <r>
    <d v="2025-06-19T00:00:00"/>
    <x v="258"/>
    <x v="1"/>
    <s v="J-1211/25-26"/>
    <n v="120"/>
    <m/>
  </r>
  <r>
    <d v="2025-06-19T00:00:00"/>
    <x v="431"/>
    <x v="1"/>
    <s v="J-1212/25-26"/>
    <n v="778"/>
    <m/>
  </r>
  <r>
    <d v="2025-06-20T00:00:00"/>
    <x v="136"/>
    <x v="0"/>
    <s v="JU-208/25-26"/>
    <n v="35900"/>
    <m/>
  </r>
  <r>
    <d v="2025-06-20T00:00:00"/>
    <x v="500"/>
    <x v="0"/>
    <s v="JU-209/25-26"/>
    <n v="32980"/>
    <m/>
  </r>
  <r>
    <d v="2025-06-20T00:00:00"/>
    <x v="490"/>
    <x v="0"/>
    <s v="JU-210/25-26"/>
    <n v="3700"/>
    <m/>
  </r>
  <r>
    <d v="2025-06-20T00:00:00"/>
    <x v="87"/>
    <x v="0"/>
    <s v="JU-211/25-26"/>
    <n v="304"/>
    <m/>
  </r>
  <r>
    <d v="2025-06-20T00:00:00"/>
    <x v="46"/>
    <x v="1"/>
    <s v="J-1213/25-26"/>
    <n v="3700"/>
    <m/>
  </r>
  <r>
    <d v="2025-06-20T00:00:00"/>
    <x v="11"/>
    <x v="1"/>
    <s v="J-1214/25-26"/>
    <n v="12"/>
    <m/>
  </r>
  <r>
    <d v="2025-06-20T00:00:00"/>
    <x v="23"/>
    <x v="1"/>
    <s v="J-1215/25-26"/>
    <n v="3975"/>
    <m/>
  </r>
  <r>
    <d v="2025-06-20T00:00:00"/>
    <x v="47"/>
    <x v="1"/>
    <s v="J-1216/25-26"/>
    <n v="2350"/>
    <m/>
  </r>
  <r>
    <d v="2025-06-20T00:00:00"/>
    <x v="291"/>
    <x v="1"/>
    <s v="J-1217/25-26"/>
    <n v="3995"/>
    <m/>
  </r>
  <r>
    <d v="2025-06-20T00:00:00"/>
    <x v="181"/>
    <x v="1"/>
    <s v="J-1218/25-26"/>
    <n v="2574"/>
    <m/>
  </r>
  <r>
    <d v="2025-06-20T00:00:00"/>
    <x v="89"/>
    <x v="1"/>
    <s v="J-1219/25-26"/>
    <n v="1110"/>
    <m/>
  </r>
  <r>
    <d v="2025-06-20T00:00:00"/>
    <x v="170"/>
    <x v="1"/>
    <s v="J-1220/25-26"/>
    <n v="1276"/>
    <m/>
  </r>
  <r>
    <d v="2025-06-20T00:00:00"/>
    <x v="12"/>
    <x v="1"/>
    <s v="J-1221/25-26"/>
    <n v="370"/>
    <m/>
  </r>
  <r>
    <d v="2025-06-20T00:00:00"/>
    <x v="501"/>
    <x v="1"/>
    <s v="J-1222/25-26"/>
    <n v="2120"/>
    <m/>
  </r>
  <r>
    <d v="2025-06-20T00:00:00"/>
    <x v="97"/>
    <x v="1"/>
    <s v="J-1223/25-26"/>
    <n v="6416"/>
    <m/>
  </r>
  <r>
    <d v="2025-06-20T00:00:00"/>
    <x v="445"/>
    <x v="1"/>
    <s v="J-1224/25-26"/>
    <n v="656"/>
    <m/>
  </r>
  <r>
    <d v="2025-06-20T00:00:00"/>
    <x v="502"/>
    <x v="1"/>
    <s v="J-1225/25-26"/>
    <n v="8215"/>
    <m/>
  </r>
  <r>
    <d v="2025-06-20T00:00:00"/>
    <x v="225"/>
    <x v="1"/>
    <s v="J-1226/25-26"/>
    <n v="125"/>
    <m/>
  </r>
  <r>
    <d v="2025-06-20T00:00:00"/>
    <x v="70"/>
    <x v="1"/>
    <s v="J-1227/25-26"/>
    <n v="9367"/>
    <m/>
  </r>
  <r>
    <d v="2025-06-20T00:00:00"/>
    <x v="172"/>
    <x v="1"/>
    <s v="J-1228/25-26"/>
    <n v="60"/>
    <m/>
  </r>
  <r>
    <d v="2025-06-20T00:00:00"/>
    <x v="97"/>
    <x v="1"/>
    <s v="J-1229/25-26"/>
    <n v="360"/>
    <m/>
  </r>
  <r>
    <d v="2025-06-20T00:00:00"/>
    <x v="503"/>
    <x v="1"/>
    <s v="J-1230/25-26"/>
    <n v="24134"/>
    <m/>
  </r>
  <r>
    <d v="2025-06-20T00:00:00"/>
    <x v="214"/>
    <x v="1"/>
    <s v="J-1231/25-26"/>
    <n v="20806"/>
    <m/>
  </r>
  <r>
    <d v="2025-06-20T00:00:00"/>
    <x v="164"/>
    <x v="1"/>
    <s v="J-1232/25-26"/>
    <n v="3576"/>
    <m/>
  </r>
  <r>
    <d v="2025-06-20T00:00:00"/>
    <x v="11"/>
    <x v="1"/>
    <s v="J-1233/25-26"/>
    <n v="370"/>
    <m/>
  </r>
  <r>
    <d v="2025-06-20T00:00:00"/>
    <x v="504"/>
    <x v="1"/>
    <s v="J-1234/25-26"/>
    <n v="30506"/>
    <m/>
  </r>
  <r>
    <d v="2025-06-21T00:00:00"/>
    <x v="290"/>
    <x v="0"/>
    <s v="JU-212/25-26"/>
    <n v="9250"/>
    <m/>
  </r>
  <r>
    <d v="2025-06-21T00:00:00"/>
    <x v="14"/>
    <x v="0"/>
    <s v="JU-213/25-26"/>
    <n v="4621"/>
    <m/>
  </r>
  <r>
    <d v="2025-06-21T00:00:00"/>
    <x v="89"/>
    <x v="1"/>
    <s v="J-1235/25-26"/>
    <n v="7990"/>
    <m/>
  </r>
  <r>
    <d v="2025-06-21T00:00:00"/>
    <x v="505"/>
    <x v="1"/>
    <s v="J-1236/25-26"/>
    <n v="250"/>
    <m/>
  </r>
  <r>
    <d v="2025-06-21T00:00:00"/>
    <x v="106"/>
    <x v="1"/>
    <s v="J-1237/25-26"/>
    <n v="762"/>
    <m/>
  </r>
  <r>
    <d v="2025-06-21T00:00:00"/>
    <x v="446"/>
    <x v="1"/>
    <s v="J-1238/25-26"/>
    <n v="1860"/>
    <m/>
  </r>
  <r>
    <d v="2025-06-21T00:00:00"/>
    <x v="506"/>
    <x v="1"/>
    <s v="J-1239/25-26"/>
    <n v="2772"/>
    <m/>
  </r>
  <r>
    <d v="2025-06-21T00:00:00"/>
    <x v="11"/>
    <x v="1"/>
    <s v="J-1240/25-26"/>
    <n v="12"/>
    <m/>
  </r>
  <r>
    <d v="2025-06-21T00:00:00"/>
    <x v="380"/>
    <x v="1"/>
    <s v="J-1241/25-26"/>
    <n v="6676"/>
    <m/>
  </r>
  <r>
    <d v="2025-06-21T00:00:00"/>
    <x v="47"/>
    <x v="1"/>
    <s v="J-1242/25-26"/>
    <n v="10"/>
    <m/>
  </r>
  <r>
    <d v="2025-06-21T00:00:00"/>
    <x v="23"/>
    <x v="1"/>
    <s v="J-1243/25-26"/>
    <n v="375"/>
    <m/>
  </r>
  <r>
    <d v="2025-06-21T00:00:00"/>
    <x v="11"/>
    <x v="1"/>
    <s v="J-1244/25-26"/>
    <n v="370"/>
    <m/>
  </r>
  <r>
    <d v="2025-06-21T00:00:00"/>
    <x v="507"/>
    <x v="1"/>
    <s v="J-1245/25-26"/>
    <n v="33874"/>
    <m/>
  </r>
  <r>
    <d v="2025-06-21T00:00:00"/>
    <x v="445"/>
    <x v="1"/>
    <s v="J-1246/25-26"/>
    <n v="25960"/>
    <m/>
  </r>
  <r>
    <d v="2025-06-21T00:00:00"/>
    <x v="508"/>
    <x v="1"/>
    <s v="J-1247/25-26"/>
    <n v="9526"/>
    <m/>
  </r>
  <r>
    <d v="2025-06-21T00:00:00"/>
    <x v="509"/>
    <x v="1"/>
    <s v="J-1248/25-26"/>
    <n v="2800"/>
    <m/>
  </r>
  <r>
    <d v="2025-06-21T00:00:00"/>
    <x v="510"/>
    <x v="1"/>
    <s v="J-1249/25-26"/>
    <n v="16836"/>
    <m/>
  </r>
  <r>
    <d v="2025-06-21T00:00:00"/>
    <x v="79"/>
    <x v="1"/>
    <s v="J-1250/25-26"/>
    <n v="15488"/>
    <m/>
  </r>
  <r>
    <d v="2025-06-21T00:00:00"/>
    <x v="511"/>
    <x v="1"/>
    <s v="J-1251/25-26"/>
    <n v="17521"/>
    <m/>
  </r>
  <r>
    <d v="2025-06-21T00:00:00"/>
    <x v="140"/>
    <x v="1"/>
    <s v="J-1252/25-26"/>
    <n v="19313"/>
    <m/>
  </r>
  <r>
    <d v="2025-06-21T00:00:00"/>
    <x v="512"/>
    <x v="1"/>
    <s v="J-1253/25-26"/>
    <n v="3968"/>
    <m/>
  </r>
  <r>
    <d v="2025-06-23T00:00:00"/>
    <x v="87"/>
    <x v="0"/>
    <s v="JU-214/25-26"/>
    <n v="220"/>
    <m/>
  </r>
  <r>
    <d v="2025-06-23T00:00:00"/>
    <x v="513"/>
    <x v="0"/>
    <s v="JU-215/25-26"/>
    <n v="4180"/>
    <m/>
  </r>
  <r>
    <d v="2025-06-23T00:00:00"/>
    <x v="26"/>
    <x v="1"/>
    <s v="J-1254/25-26"/>
    <n v="439"/>
    <m/>
  </r>
  <r>
    <d v="2025-06-23T00:00:00"/>
    <x v="207"/>
    <x v="1"/>
    <s v="J-1255/25-26"/>
    <n v="18984"/>
    <m/>
  </r>
  <r>
    <d v="2025-06-23T00:00:00"/>
    <x v="147"/>
    <x v="1"/>
    <s v="J-1256/25-26"/>
    <n v="6406"/>
    <m/>
  </r>
  <r>
    <d v="2025-06-23T00:00:00"/>
    <x v="89"/>
    <x v="1"/>
    <s v="J-1257/25-26"/>
    <n v="3700"/>
    <m/>
  </r>
  <r>
    <d v="2025-06-23T00:00:00"/>
    <x v="214"/>
    <x v="1"/>
    <s v="J-1258/25-26"/>
    <n v="2048"/>
    <m/>
  </r>
  <r>
    <d v="2025-06-23T00:00:00"/>
    <x v="504"/>
    <x v="1"/>
    <s v="J-1259/25-26"/>
    <n v="3350"/>
    <m/>
  </r>
  <r>
    <d v="2025-06-23T00:00:00"/>
    <x v="445"/>
    <x v="1"/>
    <s v="J-1260/25-26"/>
    <n v="1120"/>
    <m/>
  </r>
  <r>
    <d v="2025-06-23T00:00:00"/>
    <x v="471"/>
    <x v="1"/>
    <s v="J-1261/25-26"/>
    <n v="745"/>
    <m/>
  </r>
  <r>
    <d v="2025-06-23T00:00:00"/>
    <x v="73"/>
    <x v="1"/>
    <s v="J-1262/25-26"/>
    <n v="3594"/>
    <m/>
  </r>
  <r>
    <d v="2025-06-23T00:00:00"/>
    <x v="248"/>
    <x v="1"/>
    <s v="J-1263/25-26"/>
    <n v="1274"/>
    <m/>
  </r>
  <r>
    <d v="2025-06-23T00:00:00"/>
    <x v="10"/>
    <x v="1"/>
    <s v="J-1264/25-26"/>
    <n v="20900"/>
    <m/>
  </r>
  <r>
    <d v="2025-06-23T00:00:00"/>
    <x v="514"/>
    <x v="1"/>
    <s v="J-1265/25-26"/>
    <n v="15780"/>
    <m/>
  </r>
  <r>
    <d v="2025-06-23T00:00:00"/>
    <x v="515"/>
    <x v="1"/>
    <s v="J-1266/25-26"/>
    <n v="28924"/>
    <m/>
  </r>
  <r>
    <d v="2025-06-23T00:00:00"/>
    <x v="516"/>
    <x v="1"/>
    <s v="J-1267/25-26"/>
    <n v="6078"/>
    <m/>
  </r>
  <r>
    <d v="2025-06-23T00:00:00"/>
    <x v="47"/>
    <x v="1"/>
    <s v="J-1268/25-26"/>
    <n v="304"/>
    <m/>
  </r>
  <r>
    <d v="2025-06-23T00:00:00"/>
    <x v="73"/>
    <x v="1"/>
    <s v="J-1269/25-26"/>
    <n v="960"/>
    <m/>
  </r>
  <r>
    <d v="2025-06-23T00:00:00"/>
    <x v="11"/>
    <x v="1"/>
    <s v="J-1270/25-26"/>
    <n v="4962"/>
    <m/>
  </r>
  <r>
    <d v="2025-06-23T00:00:00"/>
    <x v="517"/>
    <x v="1"/>
    <s v="J-1271/25-26"/>
    <n v="370"/>
    <m/>
  </r>
  <r>
    <d v="2025-06-24T00:00:00"/>
    <x v="207"/>
    <x v="1"/>
    <s v="J-1272/25-26"/>
    <n v="20350"/>
    <m/>
  </r>
  <r>
    <d v="2025-06-24T00:00:00"/>
    <x v="518"/>
    <x v="1"/>
    <s v="J-1273/25-26"/>
    <n v="100"/>
    <m/>
  </r>
  <r>
    <d v="2025-06-24T00:00:00"/>
    <x v="140"/>
    <x v="1"/>
    <s v="J-1274/25-26"/>
    <n v="13935"/>
    <m/>
  </r>
  <r>
    <d v="2025-06-24T00:00:00"/>
    <x v="11"/>
    <x v="1"/>
    <s v="J-1275/25-26"/>
    <n v="20"/>
    <m/>
  </r>
  <r>
    <d v="2025-06-24T00:00:00"/>
    <x v="237"/>
    <x v="1"/>
    <s v="J-1276/25-26"/>
    <n v="15800"/>
    <m/>
  </r>
  <r>
    <d v="2025-06-24T00:00:00"/>
    <x v="106"/>
    <x v="1"/>
    <s v="J-1277/25-26"/>
    <n v="185"/>
    <m/>
  </r>
  <r>
    <d v="2025-06-24T00:00:00"/>
    <x v="10"/>
    <x v="1"/>
    <s v="J-1278/25-26"/>
    <n v="710"/>
    <m/>
  </r>
  <r>
    <d v="2025-06-24T00:00:00"/>
    <x v="325"/>
    <x v="1"/>
    <s v="J-1279/25-26"/>
    <n v="42774"/>
    <m/>
  </r>
  <r>
    <d v="2025-06-24T00:00:00"/>
    <x v="519"/>
    <x v="1"/>
    <s v="J-1280/25-26"/>
    <n v="55764"/>
    <m/>
  </r>
  <r>
    <d v="2025-06-24T00:00:00"/>
    <x v="117"/>
    <x v="1"/>
    <s v="J-1281/25-26"/>
    <n v="485"/>
    <m/>
  </r>
  <r>
    <d v="2025-06-24T00:00:00"/>
    <x v="149"/>
    <x v="1"/>
    <s v="J-1282/25-26"/>
    <n v="903"/>
    <m/>
  </r>
  <r>
    <d v="2025-06-24T00:00:00"/>
    <x v="8"/>
    <x v="1"/>
    <s v="J-1283/25-26"/>
    <n v="162"/>
    <m/>
  </r>
  <r>
    <d v="2025-06-24T00:00:00"/>
    <x v="23"/>
    <x v="1"/>
    <s v="J-1284/25-26"/>
    <n v="64660"/>
    <m/>
  </r>
  <r>
    <d v="2025-06-24T00:00:00"/>
    <x v="117"/>
    <x v="1"/>
    <s v="J-1285/25-26"/>
    <n v="620"/>
    <m/>
  </r>
  <r>
    <d v="2025-06-24T00:00:00"/>
    <x v="520"/>
    <x v="1"/>
    <s v="J-1286/25-26"/>
    <n v="21503"/>
    <m/>
  </r>
  <r>
    <d v="2025-06-24T00:00:00"/>
    <x v="521"/>
    <x v="1"/>
    <s v="J-1287/25-26"/>
    <n v="30"/>
    <m/>
  </r>
  <r>
    <d v="2025-06-25T00:00:00"/>
    <x v="136"/>
    <x v="0"/>
    <s v="JU-216/25-26"/>
    <n v="18500"/>
    <m/>
  </r>
  <r>
    <d v="2025-06-25T00:00:00"/>
    <x v="305"/>
    <x v="0"/>
    <s v="JU-217/25-26"/>
    <n v="785"/>
    <m/>
  </r>
  <r>
    <d v="2025-06-25T00:00:00"/>
    <x v="522"/>
    <x v="0"/>
    <s v="JU-218/25-26"/>
    <n v="4190"/>
    <m/>
  </r>
  <r>
    <d v="2025-06-25T00:00:00"/>
    <x v="439"/>
    <x v="0"/>
    <s v="JU-219/25-26"/>
    <n v="29081"/>
    <m/>
  </r>
  <r>
    <d v="2025-06-25T00:00:00"/>
    <x v="323"/>
    <x v="1"/>
    <s v="J-1288/25-26"/>
    <n v="425"/>
    <m/>
  </r>
  <r>
    <d v="2025-06-25T00:00:00"/>
    <x v="523"/>
    <x v="1"/>
    <s v="J-1289/25-26"/>
    <n v="25275"/>
    <m/>
  </r>
  <r>
    <d v="2025-06-25T00:00:00"/>
    <x v="524"/>
    <x v="1"/>
    <s v="J-1290/25-26"/>
    <n v="9383"/>
    <m/>
  </r>
  <r>
    <d v="2025-06-25T00:00:00"/>
    <x v="54"/>
    <x v="1"/>
    <s v="J-1291/25-26"/>
    <n v="750"/>
    <m/>
  </r>
  <r>
    <d v="2025-06-25T00:00:00"/>
    <x v="4"/>
    <x v="1"/>
    <s v="J-1292/25-26"/>
    <n v="3150"/>
    <m/>
  </r>
  <r>
    <d v="2025-06-25T00:00:00"/>
    <x v="23"/>
    <x v="1"/>
    <s v="J-1293/25-26"/>
    <n v="27517"/>
    <m/>
  </r>
  <r>
    <d v="2025-06-25T00:00:00"/>
    <x v="525"/>
    <x v="1"/>
    <s v="J-1294/25-26"/>
    <n v="8052"/>
    <m/>
  </r>
  <r>
    <d v="2025-06-25T00:00:00"/>
    <x v="297"/>
    <x v="1"/>
    <s v="J-1295/25-26"/>
    <n v="5990"/>
    <m/>
  </r>
  <r>
    <d v="2025-06-25T00:00:00"/>
    <x v="526"/>
    <x v="1"/>
    <s v="J-1296/25-26"/>
    <n v="24"/>
    <m/>
  </r>
  <r>
    <d v="2025-06-25T00:00:00"/>
    <x v="527"/>
    <x v="1"/>
    <s v="J-1297/25-26"/>
    <n v="547"/>
    <m/>
  </r>
  <r>
    <d v="2025-06-25T00:00:00"/>
    <x v="11"/>
    <x v="1"/>
    <s v="J-1298/25-26"/>
    <n v="8826"/>
    <m/>
  </r>
  <r>
    <d v="2025-06-25T00:00:00"/>
    <x v="297"/>
    <x v="1"/>
    <s v="J-1299/25-26"/>
    <n v="750"/>
    <m/>
  </r>
  <r>
    <d v="2025-06-25T00:00:00"/>
    <x v="445"/>
    <x v="1"/>
    <s v="J-1300/25-26"/>
    <n v="2427"/>
    <m/>
  </r>
  <r>
    <d v="2025-06-25T00:00:00"/>
    <x v="23"/>
    <x v="1"/>
    <s v="J-1301/25-26"/>
    <n v="1070"/>
    <m/>
  </r>
  <r>
    <d v="2025-06-25T00:00:00"/>
    <x v="89"/>
    <x v="1"/>
    <s v="J-1302/25-26"/>
    <n v="370"/>
    <m/>
  </r>
  <r>
    <d v="2025-06-25T00:00:00"/>
    <x v="461"/>
    <x v="1"/>
    <s v="J-1303/25-26"/>
    <n v="1110"/>
    <m/>
  </r>
  <r>
    <d v="2025-06-25T00:00:00"/>
    <x v="247"/>
    <x v="1"/>
    <s v="J-1304/25-26"/>
    <n v="14595"/>
    <m/>
  </r>
  <r>
    <d v="2025-06-25T00:00:00"/>
    <x v="528"/>
    <x v="1"/>
    <s v="J-1305/25-26"/>
    <n v="4118"/>
    <m/>
  </r>
  <r>
    <d v="2025-06-25T00:00:00"/>
    <x v="380"/>
    <x v="1"/>
    <s v="J-1306/25-26"/>
    <n v="5925"/>
    <m/>
  </r>
  <r>
    <d v="2025-06-25T00:00:00"/>
    <x v="529"/>
    <x v="1"/>
    <s v="J-1307/25-26"/>
    <n v="20"/>
    <m/>
  </r>
  <r>
    <d v="2025-06-25T00:00:00"/>
    <x v="530"/>
    <x v="1"/>
    <s v="J-1308/25-26"/>
    <n v="25252"/>
    <m/>
  </r>
  <r>
    <d v="2025-06-25T00:00:00"/>
    <x v="531"/>
    <x v="1"/>
    <s v="J-1309/25-26"/>
    <n v="75"/>
    <m/>
  </r>
  <r>
    <d v="2025-06-26T00:00:00"/>
    <x v="439"/>
    <x v="0"/>
    <s v="JU-220/25-26"/>
    <n v="128985"/>
    <m/>
  </r>
  <r>
    <d v="2025-06-26T00:00:00"/>
    <x v="325"/>
    <x v="1"/>
    <s v="J-1310/25-26"/>
    <n v="25675"/>
    <m/>
  </r>
  <r>
    <d v="2025-06-26T00:00:00"/>
    <x v="323"/>
    <x v="1"/>
    <s v="J-1311/25-26"/>
    <n v="255"/>
    <m/>
  </r>
  <r>
    <d v="2025-06-26T00:00:00"/>
    <x v="297"/>
    <x v="1"/>
    <s v="J-1312/25-26"/>
    <n v="128"/>
    <m/>
  </r>
  <r>
    <d v="2025-06-26T00:00:00"/>
    <x v="69"/>
    <x v="1"/>
    <s v="J-1313/25-26"/>
    <n v="41414"/>
    <m/>
  </r>
  <r>
    <d v="2025-06-26T00:00:00"/>
    <x v="127"/>
    <x v="1"/>
    <s v="J-1314/25-26"/>
    <n v="6203"/>
    <m/>
  </r>
  <r>
    <d v="2025-06-26T00:00:00"/>
    <x v="532"/>
    <x v="1"/>
    <s v="J-1315/25-26"/>
    <n v="1480"/>
    <m/>
  </r>
  <r>
    <d v="2025-06-26T00:00:00"/>
    <x v="11"/>
    <x v="1"/>
    <s v="J-1316/25-26"/>
    <n v="12"/>
    <m/>
  </r>
  <r>
    <d v="2025-06-26T00:00:00"/>
    <x v="20"/>
    <x v="1"/>
    <s v="J-1317/25-26"/>
    <n v="2350"/>
    <m/>
  </r>
  <r>
    <d v="2025-06-26T00:00:00"/>
    <x v="20"/>
    <x v="1"/>
    <s v="J-1318/25-26"/>
    <n v="11094"/>
    <m/>
  </r>
  <r>
    <d v="2025-06-26T00:00:00"/>
    <x v="127"/>
    <x v="1"/>
    <s v="J-1319/25-26"/>
    <n v="400"/>
    <m/>
  </r>
  <r>
    <d v="2025-06-26T00:00:00"/>
    <x v="533"/>
    <x v="1"/>
    <s v="J-1320/25-26"/>
    <n v="15620"/>
    <m/>
  </r>
  <r>
    <d v="2025-06-26T00:00:00"/>
    <x v="325"/>
    <x v="1"/>
    <s v="J-1321/25-26"/>
    <n v="1975"/>
    <m/>
  </r>
  <r>
    <d v="2025-06-26T00:00:00"/>
    <x v="11"/>
    <x v="1"/>
    <s v="J-1322/25-26"/>
    <n v="1216"/>
    <m/>
  </r>
  <r>
    <d v="2025-06-26T00:00:00"/>
    <x v="534"/>
    <x v="1"/>
    <s v="J-1323/25-26"/>
    <n v="12"/>
    <m/>
  </r>
  <r>
    <d v="2025-06-26T00:00:00"/>
    <x v="115"/>
    <x v="1"/>
    <s v="J-1324/25-26"/>
    <n v="215"/>
    <m/>
  </r>
  <r>
    <d v="2025-06-26T00:00:00"/>
    <x v="295"/>
    <x v="1"/>
    <s v="J-1325/25-26"/>
    <n v="1296"/>
    <m/>
  </r>
  <r>
    <d v="2025-06-26T00:00:00"/>
    <x v="11"/>
    <x v="1"/>
    <s v="J-1326/25-26"/>
    <n v="370"/>
    <m/>
  </r>
  <r>
    <d v="2025-06-27T00:00:00"/>
    <x v="306"/>
    <x v="0"/>
    <s v="JU-221/25-26"/>
    <n v="156245"/>
    <m/>
  </r>
  <r>
    <d v="2025-06-27T00:00:00"/>
    <x v="247"/>
    <x v="1"/>
    <s v="J-1327/25-26"/>
    <n v="1525"/>
    <m/>
  </r>
  <r>
    <d v="2025-06-27T00:00:00"/>
    <x v="210"/>
    <x v="1"/>
    <s v="J-1328/25-26"/>
    <n v="11254"/>
    <m/>
  </r>
  <r>
    <d v="2025-06-27T00:00:00"/>
    <x v="20"/>
    <x v="1"/>
    <s v="J-1329/25-26"/>
    <n v="5250"/>
    <m/>
  </r>
  <r>
    <d v="2025-06-27T00:00:00"/>
    <x v="535"/>
    <x v="1"/>
    <s v="J-1330/25-26"/>
    <n v="11920"/>
    <m/>
  </r>
  <r>
    <d v="2025-06-27T00:00:00"/>
    <x v="536"/>
    <x v="1"/>
    <s v="J-1331/25-26"/>
    <n v="6208"/>
    <m/>
  </r>
  <r>
    <d v="2025-06-27T00:00:00"/>
    <x v="445"/>
    <x v="1"/>
    <s v="J-1332/25-26"/>
    <n v="525"/>
    <m/>
  </r>
  <r>
    <d v="2025-06-27T00:00:00"/>
    <x v="533"/>
    <x v="1"/>
    <s v="J-1333/25-26"/>
    <n v="439"/>
    <m/>
  </r>
  <r>
    <d v="2025-06-27T00:00:00"/>
    <x v="25"/>
    <x v="1"/>
    <s v="J-1334/25-26"/>
    <n v="75"/>
    <m/>
  </r>
  <r>
    <d v="2025-06-27T00:00:00"/>
    <x v="537"/>
    <x v="1"/>
    <s v="J-1335/25-26"/>
    <n v="1402"/>
    <m/>
  </r>
  <r>
    <d v="2025-06-27T00:00:00"/>
    <x v="291"/>
    <x v="1"/>
    <s v="J-1336/25-26"/>
    <n v="1110"/>
    <m/>
  </r>
  <r>
    <d v="2025-06-27T00:00:00"/>
    <x v="538"/>
    <x v="1"/>
    <s v="J-1337/25-26"/>
    <n v="370"/>
    <m/>
  </r>
  <r>
    <d v="2025-06-27T00:00:00"/>
    <x v="524"/>
    <x v="1"/>
    <s v="J-1338/25-26"/>
    <n v="20792"/>
    <m/>
  </r>
  <r>
    <d v="2025-06-27T00:00:00"/>
    <x v="380"/>
    <x v="1"/>
    <s v="J-1339/25-26"/>
    <n v="9486"/>
    <m/>
  </r>
  <r>
    <d v="2025-06-27T00:00:00"/>
    <x v="11"/>
    <x v="1"/>
    <s v="J-1340/25-26"/>
    <n v="30"/>
    <m/>
  </r>
  <r>
    <d v="2025-06-27T00:00:00"/>
    <x v="445"/>
    <x v="1"/>
    <s v="J-1341/25-26"/>
    <n v="31565"/>
    <m/>
  </r>
  <r>
    <d v="2025-06-27T00:00:00"/>
    <x v="539"/>
    <x v="1"/>
    <s v="J-1342/25-26"/>
    <n v="370"/>
    <m/>
  </r>
  <r>
    <d v="2025-06-28T00:00:00"/>
    <x v="265"/>
    <x v="0"/>
    <s v="JU-222/25-26"/>
    <n v="19432"/>
    <m/>
  </r>
  <r>
    <d v="2025-06-28T00:00:00"/>
    <x v="32"/>
    <x v="0"/>
    <s v="JU-223/25-26"/>
    <n v="6160"/>
    <m/>
  </r>
  <r>
    <d v="2025-06-28T00:00:00"/>
    <x v="84"/>
    <x v="1"/>
    <s v="J-1343/25-26"/>
    <n v="2316"/>
    <m/>
  </r>
  <r>
    <d v="2025-06-28T00:00:00"/>
    <x v="46"/>
    <x v="1"/>
    <s v="J-1344/25-26"/>
    <n v="3700"/>
    <m/>
  </r>
  <r>
    <d v="2025-06-28T00:00:00"/>
    <x v="20"/>
    <x v="1"/>
    <s v="J-1345/25-26"/>
    <n v="1980"/>
    <m/>
  </r>
  <r>
    <d v="2025-06-28T00:00:00"/>
    <x v="520"/>
    <x v="1"/>
    <s v="J-1346/25-26"/>
    <n v="12170"/>
    <m/>
  </r>
  <r>
    <d v="2025-06-28T00:00:00"/>
    <x v="297"/>
    <x v="1"/>
    <s v="J-1347/25-26"/>
    <n v="15267"/>
    <m/>
  </r>
  <r>
    <d v="2025-06-28T00:00:00"/>
    <x v="358"/>
    <x v="1"/>
    <s v="J-1348/25-26"/>
    <n v="2941"/>
    <m/>
  </r>
  <r>
    <d v="2025-06-28T00:00:00"/>
    <x v="533"/>
    <x v="1"/>
    <s v="J-1349/25-26"/>
    <n v="3240"/>
    <m/>
  </r>
  <r>
    <d v="2025-06-28T00:00:00"/>
    <x v="164"/>
    <x v="1"/>
    <s v="J-1350/25-26"/>
    <n v="4353"/>
    <m/>
  </r>
  <r>
    <d v="2025-06-28T00:00:00"/>
    <x v="540"/>
    <x v="1"/>
    <s v="J-1351/25-26"/>
    <n v="2505"/>
    <m/>
  </r>
  <r>
    <d v="2025-06-28T00:00:00"/>
    <x v="261"/>
    <x v="1"/>
    <s v="J-1352/25-26"/>
    <n v="1292"/>
    <m/>
  </r>
  <r>
    <d v="2025-06-28T00:00:00"/>
    <x v="541"/>
    <x v="1"/>
    <s v="J-1353/25-26"/>
    <n v="4263"/>
    <m/>
  </r>
  <r>
    <d v="2025-06-28T00:00:00"/>
    <x v="161"/>
    <x v="1"/>
    <s v="J-1354/25-26"/>
    <n v="1450"/>
    <m/>
  </r>
  <r>
    <d v="2025-06-30T00:00:00"/>
    <x v="179"/>
    <x v="0"/>
    <s v="JU-224/25-26"/>
    <n v="740"/>
    <m/>
  </r>
  <r>
    <d v="2025-06-30T00:00:00"/>
    <x v="265"/>
    <x v="0"/>
    <s v="JU-225/25-26"/>
    <n v="20060"/>
    <m/>
  </r>
  <r>
    <d v="2025-06-30T00:00:00"/>
    <x v="439"/>
    <x v="0"/>
    <s v="JU-226/25-26"/>
    <n v="69122"/>
    <m/>
  </r>
  <r>
    <d v="2025-06-30T00:00:00"/>
    <x v="542"/>
    <x v="0"/>
    <s v="JU-227/25-26"/>
    <n v="27797"/>
    <m/>
  </r>
  <r>
    <d v="2025-06-30T00:00:00"/>
    <x v="469"/>
    <x v="0"/>
    <s v="JU-228/25-26"/>
    <n v="66770"/>
    <m/>
  </r>
  <r>
    <d v="2025-06-30T00:00:00"/>
    <x v="336"/>
    <x v="0"/>
    <s v="JU-229/25-26"/>
    <n v="4440"/>
    <m/>
  </r>
  <r>
    <d v="2025-06-30T00:00:00"/>
    <x v="293"/>
    <x v="1"/>
    <s v="J-1355/25-26"/>
    <n v="1110"/>
    <m/>
  </r>
  <r>
    <d v="2025-06-30T00:00:00"/>
    <x v="543"/>
    <x v="1"/>
    <s v="J-1356/25-26"/>
    <n v="3708"/>
    <m/>
  </r>
  <r>
    <d v="2025-06-30T00:00:00"/>
    <x v="11"/>
    <x v="1"/>
    <s v="J-1357/25-26"/>
    <n v="12"/>
    <m/>
  </r>
  <r>
    <d v="2025-06-30T00:00:00"/>
    <x v="524"/>
    <x v="1"/>
    <s v="J-1358/25-26"/>
    <n v="480"/>
    <m/>
  </r>
  <r>
    <d v="2025-06-30T00:00:00"/>
    <x v="11"/>
    <x v="1"/>
    <s v="J-1359/25-26"/>
    <n v="11"/>
    <m/>
  </r>
  <r>
    <d v="2025-06-30T00:00:00"/>
    <x v="23"/>
    <x v="1"/>
    <s v="J-1360/25-26"/>
    <n v="460"/>
    <m/>
  </r>
  <r>
    <d v="2025-06-30T00:00:00"/>
    <x v="11"/>
    <x v="1"/>
    <s v="J-1361/25-26"/>
    <n v="360"/>
    <m/>
  </r>
  <r>
    <d v="2025-06-30T00:00:00"/>
    <x v="11"/>
    <x v="1"/>
    <s v="J-1362/25-26"/>
    <n v="370"/>
    <m/>
  </r>
  <r>
    <d v="2025-06-30T00:00:00"/>
    <x v="291"/>
    <x v="1"/>
    <s v="J-1363/25-26"/>
    <n v="1110"/>
    <m/>
  </r>
  <r>
    <d v="2025-06-30T00:00:00"/>
    <x v="428"/>
    <x v="1"/>
    <s v="J-1364/25-26"/>
    <n v="11700"/>
    <m/>
  </r>
  <r>
    <d v="2025-06-30T00:00:00"/>
    <x v="544"/>
    <x v="1"/>
    <s v="J-1365/25-26"/>
    <n v="1677"/>
    <m/>
  </r>
  <r>
    <d v="2025-06-30T00:00:00"/>
    <x v="11"/>
    <x v="1"/>
    <s v="J-1366/25-26"/>
    <n v="25"/>
    <m/>
  </r>
  <r>
    <d v="2025-06-30T00:00:00"/>
    <x v="259"/>
    <x v="1"/>
    <s v="J-1367/25-26"/>
    <n v="15490"/>
    <m/>
  </r>
  <r>
    <d v="2025-06-30T00:00:00"/>
    <x v="445"/>
    <x v="1"/>
    <s v="J-1368/25-26"/>
    <n v="160"/>
    <m/>
  </r>
  <r>
    <d v="2025-06-30T00:00:00"/>
    <x v="508"/>
    <x v="1"/>
    <s v="J-1369/25-26"/>
    <n v="1081"/>
    <m/>
  </r>
  <r>
    <d v="2025-06-30T00:00:00"/>
    <x v="173"/>
    <x v="1"/>
    <s v="J-1370/25-26"/>
    <n v="268"/>
    <m/>
  </r>
  <r>
    <d v="2025-06-30T00:00:00"/>
    <x v="248"/>
    <x v="1"/>
    <s v="J-1371/25-26"/>
    <n v="958"/>
    <m/>
  </r>
  <r>
    <d v="2025-06-30T00:00:00"/>
    <x v="545"/>
    <x v="1"/>
    <s v="J-1372/25-26"/>
    <n v="1011"/>
    <m/>
  </r>
  <r>
    <d v="2025-07-01T00:00:00"/>
    <x v="475"/>
    <x v="0"/>
    <s v="JU-230/25-26"/>
    <n v="2631"/>
    <m/>
  </r>
  <r>
    <d v="2025-07-01T00:00:00"/>
    <x v="490"/>
    <x v="0"/>
    <s v="JU-231/25-26"/>
    <n v="1110"/>
    <m/>
  </r>
  <r>
    <d v="2025-07-01T00:00:00"/>
    <x v="34"/>
    <x v="1"/>
    <s v="J-1373/25-26"/>
    <n v="210"/>
    <m/>
  </r>
  <r>
    <d v="2025-07-01T00:00:00"/>
    <x v="23"/>
    <x v="1"/>
    <s v="J-1374/25-26"/>
    <n v="74535"/>
    <m/>
  </r>
  <r>
    <d v="2025-07-01T00:00:00"/>
    <x v="297"/>
    <x v="1"/>
    <s v="J-1375/25-26"/>
    <n v="500"/>
    <m/>
  </r>
  <r>
    <d v="2025-07-01T00:00:00"/>
    <x v="23"/>
    <x v="1"/>
    <s v="J-1376/25-26"/>
    <n v="1415"/>
    <m/>
  </r>
  <r>
    <d v="2025-07-01T00:00:00"/>
    <x v="207"/>
    <x v="1"/>
    <s v="J-1377/25-26"/>
    <n v="5297"/>
    <m/>
  </r>
  <r>
    <d v="2025-07-01T00:00:00"/>
    <x v="12"/>
    <x v="1"/>
    <s v="J-1378/25-26"/>
    <n v="3700"/>
    <m/>
  </r>
  <r>
    <d v="2025-07-01T00:00:00"/>
    <x v="519"/>
    <x v="1"/>
    <s v="J-1379/25-26"/>
    <n v="4470"/>
    <m/>
  </r>
  <r>
    <d v="2025-07-01T00:00:00"/>
    <x v="23"/>
    <x v="1"/>
    <s v="J-1380/25-26"/>
    <n v="790"/>
    <m/>
  </r>
  <r>
    <d v="2025-07-01T00:00:00"/>
    <x v="546"/>
    <x v="1"/>
    <s v="J-1381/25-26"/>
    <n v="22924"/>
    <m/>
  </r>
  <r>
    <d v="2025-07-01T00:00:00"/>
    <x v="4"/>
    <x v="1"/>
    <s v="J-1382/25-26"/>
    <n v="21076"/>
    <m/>
  </r>
  <r>
    <d v="2025-07-01T00:00:00"/>
    <x v="547"/>
    <x v="1"/>
    <s v="J-1383/25-26"/>
    <n v="83005"/>
    <m/>
  </r>
  <r>
    <d v="2025-07-01T00:00:00"/>
    <x v="508"/>
    <x v="1"/>
    <s v="J-1384/25-26"/>
    <n v="60"/>
    <m/>
  </r>
  <r>
    <d v="2025-07-01T00:00:00"/>
    <x v="173"/>
    <x v="1"/>
    <s v="J-1385/25-26"/>
    <n v="160"/>
    <m/>
  </r>
  <r>
    <d v="2025-07-01T00:00:00"/>
    <x v="260"/>
    <x v="1"/>
    <s v="J-1386/25-26"/>
    <n v="1790"/>
    <m/>
  </r>
  <r>
    <d v="2025-07-01T00:00:00"/>
    <x v="248"/>
    <x v="1"/>
    <s v="J-1387/25-26"/>
    <n v="572"/>
    <m/>
  </r>
  <r>
    <d v="2025-07-01T00:00:00"/>
    <x v="533"/>
    <x v="1"/>
    <s v="J-1388/25-26"/>
    <n v="200"/>
    <m/>
  </r>
  <r>
    <d v="2025-07-02T00:00:00"/>
    <x v="15"/>
    <x v="0"/>
    <s v="JU-232/25-26"/>
    <n v="18440"/>
    <m/>
  </r>
  <r>
    <d v="2025-07-02T00:00:00"/>
    <x v="290"/>
    <x v="0"/>
    <s v="JU-233/25-26"/>
    <n v="7400"/>
    <m/>
  </r>
  <r>
    <d v="2025-07-02T00:00:00"/>
    <x v="210"/>
    <x v="1"/>
    <s v="J-1389/25-26"/>
    <n v="10796"/>
    <m/>
  </r>
  <r>
    <d v="2025-07-02T00:00:00"/>
    <x v="23"/>
    <x v="1"/>
    <s v="J-1390/25-26"/>
    <n v="46882"/>
    <m/>
  </r>
  <r>
    <d v="2025-07-02T00:00:00"/>
    <x v="23"/>
    <x v="1"/>
    <s v="J-1391/25-26"/>
    <n v="24304"/>
    <m/>
  </r>
  <r>
    <d v="2025-07-02T00:00:00"/>
    <x v="23"/>
    <x v="1"/>
    <s v="J-1392/25-26"/>
    <n v="1656"/>
    <m/>
  </r>
  <r>
    <d v="2025-07-02T00:00:00"/>
    <x v="259"/>
    <x v="1"/>
    <s v="J-1393/25-26"/>
    <n v="291"/>
    <m/>
  </r>
  <r>
    <d v="2025-07-02T00:00:00"/>
    <x v="11"/>
    <x v="1"/>
    <s v="J-1394/25-26"/>
    <n v="170"/>
    <m/>
  </r>
  <r>
    <d v="2025-07-02T00:00:00"/>
    <x v="548"/>
    <x v="1"/>
    <s v="J-1395/25-26"/>
    <n v="36914"/>
    <m/>
  </r>
  <r>
    <d v="2025-07-02T00:00:00"/>
    <x v="549"/>
    <x v="1"/>
    <s v="J-1396/25-26"/>
    <n v="3018"/>
    <m/>
  </r>
  <r>
    <d v="2025-07-02T00:00:00"/>
    <x v="550"/>
    <x v="1"/>
    <s v="J-1397/25-26"/>
    <n v="5050"/>
    <m/>
  </r>
  <r>
    <d v="2025-07-02T00:00:00"/>
    <x v="207"/>
    <x v="1"/>
    <s v="J-1398/25-26"/>
    <n v="2590"/>
    <m/>
  </r>
  <r>
    <d v="2025-07-02T00:00:00"/>
    <x v="172"/>
    <x v="1"/>
    <s v="J-1399/25-26"/>
    <n v="306"/>
    <m/>
  </r>
  <r>
    <d v="2025-07-02T00:00:00"/>
    <x v="210"/>
    <x v="1"/>
    <s v="J-1400/25-26"/>
    <n v="9016"/>
    <m/>
  </r>
  <r>
    <d v="2025-07-02T00:00:00"/>
    <x v="210"/>
    <x v="1"/>
    <s v="J-1401/25-26"/>
    <n v="1890"/>
    <m/>
  </r>
  <r>
    <d v="2025-07-02T00:00:00"/>
    <x v="551"/>
    <x v="1"/>
    <s v="J-1402/25-26"/>
    <n v="1800"/>
    <m/>
  </r>
  <r>
    <d v="2025-07-03T00:00:00"/>
    <x v="552"/>
    <x v="1"/>
    <s v="J-1403/25-26"/>
    <n v="740"/>
    <m/>
  </r>
  <r>
    <d v="2025-07-03T00:00:00"/>
    <x v="34"/>
    <x v="1"/>
    <s v="J-1404/25-26"/>
    <n v="10000"/>
    <m/>
  </r>
  <r>
    <d v="2025-07-03T00:00:00"/>
    <x v="538"/>
    <x v="1"/>
    <s v="J-1405/25-26"/>
    <n v="370"/>
    <m/>
  </r>
  <r>
    <d v="2025-07-03T00:00:00"/>
    <x v="23"/>
    <x v="1"/>
    <s v="J-1406/25-26"/>
    <n v="1040"/>
    <m/>
  </r>
  <r>
    <d v="2025-07-03T00:00:00"/>
    <x v="28"/>
    <x v="1"/>
    <s v="J-1407/25-26"/>
    <n v="9093"/>
    <m/>
  </r>
  <r>
    <d v="2025-07-03T00:00:00"/>
    <x v="47"/>
    <x v="1"/>
    <s v="J-1408/25-26"/>
    <n v="2043"/>
    <m/>
  </r>
  <r>
    <d v="2025-07-03T00:00:00"/>
    <x v="23"/>
    <x v="1"/>
    <s v="J-1409/25-26"/>
    <n v="7115"/>
    <m/>
  </r>
  <r>
    <d v="2025-07-03T00:00:00"/>
    <x v="157"/>
    <x v="1"/>
    <s v="J-1410/25-26"/>
    <n v="9105"/>
    <m/>
  </r>
  <r>
    <d v="2025-07-03T00:00:00"/>
    <x v="553"/>
    <x v="1"/>
    <s v="J-1411/25-26"/>
    <n v="1478"/>
    <m/>
  </r>
  <r>
    <d v="2025-07-03T00:00:00"/>
    <x v="11"/>
    <x v="1"/>
    <s v="J-1412/25-26"/>
    <n v="1007"/>
    <m/>
  </r>
  <r>
    <d v="2025-07-03T00:00:00"/>
    <x v="550"/>
    <x v="1"/>
    <s v="J-1413/25-26"/>
    <n v="2587"/>
    <m/>
  </r>
  <r>
    <d v="2025-07-03T00:00:00"/>
    <x v="554"/>
    <x v="1"/>
    <s v="J-1414/25-26"/>
    <n v="264"/>
    <m/>
  </r>
  <r>
    <d v="2025-07-03T00:00:00"/>
    <x v="555"/>
    <x v="1"/>
    <s v="J-1415/25-26"/>
    <n v="1264"/>
    <m/>
  </r>
  <r>
    <d v="2025-07-03T00:00:00"/>
    <x v="89"/>
    <x v="1"/>
    <s v="J-1416/25-26"/>
    <n v="2220"/>
    <m/>
  </r>
  <r>
    <d v="2025-07-03T00:00:00"/>
    <x v="297"/>
    <x v="1"/>
    <s v="J-1417/25-26"/>
    <n v="255"/>
    <m/>
  </r>
  <r>
    <d v="2025-07-03T00:00:00"/>
    <x v="556"/>
    <x v="1"/>
    <s v="J-1418/25-26"/>
    <n v="3600"/>
    <m/>
  </r>
  <r>
    <d v="2025-07-03T00:00:00"/>
    <x v="557"/>
    <x v="1"/>
    <s v="J-1419/25-26"/>
    <n v="960"/>
    <m/>
  </r>
  <r>
    <d v="2025-07-03T00:00:00"/>
    <x v="47"/>
    <x v="1"/>
    <s v="J-1420/25-26"/>
    <n v="5869"/>
    <m/>
  </r>
  <r>
    <d v="2025-07-03T00:00:00"/>
    <x v="11"/>
    <x v="1"/>
    <s v="J-1421/25-26"/>
    <n v="25481"/>
    <m/>
  </r>
  <r>
    <d v="2025-07-04T00:00:00"/>
    <x v="0"/>
    <x v="0"/>
    <s v="JU-234/25-26"/>
    <n v="3457"/>
    <m/>
  </r>
  <r>
    <d v="2025-07-04T00:00:00"/>
    <x v="439"/>
    <x v="0"/>
    <s v="JU-235/25-26"/>
    <n v="3585"/>
    <m/>
  </r>
  <r>
    <d v="2025-07-04T00:00:00"/>
    <x v="428"/>
    <x v="1"/>
    <s v="J-1422/25-26"/>
    <n v="15600"/>
    <m/>
  </r>
  <r>
    <d v="2025-07-04T00:00:00"/>
    <x v="43"/>
    <x v="1"/>
    <s v="J-1423/25-26"/>
    <n v="13488"/>
    <m/>
  </r>
  <r>
    <d v="2025-07-04T00:00:00"/>
    <x v="3"/>
    <x v="1"/>
    <s v="J-1424/25-26"/>
    <n v="7400"/>
    <m/>
  </r>
  <r>
    <d v="2025-07-04T00:00:00"/>
    <x v="20"/>
    <x v="1"/>
    <s v="J-1425/25-26"/>
    <n v="2483"/>
    <m/>
  </r>
  <r>
    <d v="2025-07-04T00:00:00"/>
    <x v="552"/>
    <x v="1"/>
    <s v="J-1426/25-26"/>
    <n v="740"/>
    <m/>
  </r>
  <r>
    <d v="2025-07-04T00:00:00"/>
    <x v="297"/>
    <x v="1"/>
    <s v="J-1427/25-26"/>
    <n v="20161"/>
    <m/>
  </r>
  <r>
    <d v="2025-07-04T00:00:00"/>
    <x v="511"/>
    <x v="1"/>
    <s v="J-1428/25-26"/>
    <n v="3770"/>
    <m/>
  </r>
  <r>
    <d v="2025-07-04T00:00:00"/>
    <x v="163"/>
    <x v="1"/>
    <s v="J-1429/25-26"/>
    <n v="39068"/>
    <m/>
  </r>
  <r>
    <d v="2025-07-04T00:00:00"/>
    <x v="8"/>
    <x v="1"/>
    <s v="J-1430/25-26"/>
    <n v="8637"/>
    <m/>
  </r>
  <r>
    <d v="2025-07-04T00:00:00"/>
    <x v="558"/>
    <x v="1"/>
    <s v="J-1431/25-26"/>
    <n v="12235"/>
    <m/>
  </r>
  <r>
    <d v="2025-07-04T00:00:00"/>
    <x v="23"/>
    <x v="1"/>
    <s v="J-1432/25-26"/>
    <n v="895"/>
    <m/>
  </r>
  <r>
    <d v="2025-07-04T00:00:00"/>
    <x v="163"/>
    <x v="1"/>
    <s v="J-1433/25-26"/>
    <n v="260"/>
    <m/>
  </r>
  <r>
    <d v="2025-07-04T00:00:00"/>
    <x v="207"/>
    <x v="1"/>
    <s v="J-1434/25-26"/>
    <n v="3564"/>
    <m/>
  </r>
  <r>
    <d v="2025-07-04T00:00:00"/>
    <x v="34"/>
    <x v="1"/>
    <s v="J-1435/25-26"/>
    <n v="3338"/>
    <m/>
  </r>
  <r>
    <d v="2025-07-04T00:00:00"/>
    <x v="559"/>
    <x v="1"/>
    <s v="J-1436/25-26"/>
    <n v="59493"/>
    <m/>
  </r>
  <r>
    <d v="2025-07-04T00:00:00"/>
    <x v="248"/>
    <x v="1"/>
    <s v="J-1437/25-26"/>
    <n v="753"/>
    <m/>
  </r>
  <r>
    <d v="2025-07-04T00:00:00"/>
    <x v="172"/>
    <x v="1"/>
    <s v="J-1438/25-26"/>
    <n v="7400"/>
    <m/>
  </r>
  <r>
    <d v="2025-07-04T00:00:00"/>
    <x v="560"/>
    <x v="1"/>
    <s v="J-1439/25-26"/>
    <n v="2354"/>
    <m/>
  </r>
  <r>
    <d v="2025-07-04T00:00:00"/>
    <x v="127"/>
    <x v="1"/>
    <s v="J-1440/25-26"/>
    <n v="335"/>
    <m/>
  </r>
  <r>
    <d v="2025-07-04T00:00:00"/>
    <x v="541"/>
    <x v="1"/>
    <s v="J-1441/25-26"/>
    <n v="435"/>
    <m/>
  </r>
  <r>
    <d v="2025-07-04T00:00:00"/>
    <x v="210"/>
    <x v="1"/>
    <s v="J-1442/25-26"/>
    <n v="720"/>
    <m/>
  </r>
  <r>
    <d v="2025-07-04T00:00:00"/>
    <x v="552"/>
    <x v="1"/>
    <s v="J-1443/25-26"/>
    <n v="740"/>
    <m/>
  </r>
  <r>
    <d v="2025-07-05T00:00:00"/>
    <x v="561"/>
    <x v="0"/>
    <s v="JU-236/25-26"/>
    <n v="9465"/>
    <m/>
  </r>
  <r>
    <d v="2025-07-05T00:00:00"/>
    <x v="16"/>
    <x v="0"/>
    <s v="JU-237/25-26"/>
    <n v="60980"/>
    <m/>
  </r>
  <r>
    <d v="2025-07-05T00:00:00"/>
    <x v="87"/>
    <x v="0"/>
    <s v="JU-238/25-26"/>
    <n v="250"/>
    <m/>
  </r>
  <r>
    <d v="2025-07-05T00:00:00"/>
    <x v="11"/>
    <x v="1"/>
    <s v="J-1444/25-26"/>
    <n v="12"/>
    <m/>
  </r>
  <r>
    <d v="2025-07-05T00:00:00"/>
    <x v="167"/>
    <x v="1"/>
    <s v="J-1445/25-26"/>
    <n v="740"/>
    <m/>
  </r>
  <r>
    <d v="2025-07-05T00:00:00"/>
    <x v="43"/>
    <x v="1"/>
    <s v="J-1446/25-26"/>
    <n v="5550"/>
    <m/>
  </r>
  <r>
    <d v="2025-07-05T00:00:00"/>
    <x v="223"/>
    <x v="1"/>
    <s v="J-1447/25-26"/>
    <n v="3082"/>
    <m/>
  </r>
  <r>
    <d v="2025-07-05T00:00:00"/>
    <x v="562"/>
    <x v="1"/>
    <s v="J-1448/25-26"/>
    <n v="5894"/>
    <m/>
  </r>
  <r>
    <d v="2025-07-05T00:00:00"/>
    <x v="552"/>
    <x v="1"/>
    <s v="J-1449/25-26"/>
    <n v="2220"/>
    <m/>
  </r>
  <r>
    <d v="2025-07-05T00:00:00"/>
    <x v="259"/>
    <x v="1"/>
    <s v="J-1450/25-26"/>
    <n v="5896"/>
    <m/>
  </r>
  <r>
    <d v="2025-07-05T00:00:00"/>
    <x v="163"/>
    <x v="1"/>
    <s v="J-1451/25-26"/>
    <n v="4258"/>
    <m/>
  </r>
  <r>
    <d v="2025-07-05T00:00:00"/>
    <x v="563"/>
    <x v="1"/>
    <s v="J-1452/25-26"/>
    <n v="12000"/>
    <m/>
  </r>
  <r>
    <d v="2025-07-05T00:00:00"/>
    <x v="287"/>
    <x v="1"/>
    <s v="J-1453/25-26"/>
    <n v="40571"/>
    <m/>
  </r>
  <r>
    <d v="2025-07-05T00:00:00"/>
    <x v="11"/>
    <x v="1"/>
    <s v="J-1454/25-26"/>
    <n v="9772"/>
    <m/>
  </r>
  <r>
    <d v="2025-07-05T00:00:00"/>
    <x v="297"/>
    <x v="1"/>
    <s v="J-1455/25-26"/>
    <n v="16650"/>
    <m/>
  </r>
  <r>
    <d v="2025-07-05T00:00:00"/>
    <x v="11"/>
    <x v="1"/>
    <s v="J-1456/25-26"/>
    <n v="370"/>
    <m/>
  </r>
  <r>
    <d v="2025-07-05T00:00:00"/>
    <x v="207"/>
    <x v="1"/>
    <s v="J-1457/25-26"/>
    <n v="2206"/>
    <m/>
  </r>
  <r>
    <d v="2025-07-05T00:00:00"/>
    <x v="434"/>
    <x v="1"/>
    <s v="J-1458/25-26"/>
    <n v="2173"/>
    <m/>
  </r>
  <r>
    <d v="2025-07-05T00:00:00"/>
    <x v="313"/>
    <x v="1"/>
    <s v="J-1459/25-26"/>
    <n v="3995"/>
    <m/>
  </r>
  <r>
    <d v="2025-07-05T00:00:00"/>
    <x v="564"/>
    <x v="1"/>
    <s v="J-1460/25-26"/>
    <n v="1850"/>
    <m/>
  </r>
  <r>
    <d v="2025-07-05T00:00:00"/>
    <x v="299"/>
    <x v="1"/>
    <s v="J-1461/25-26"/>
    <n v="2140"/>
    <m/>
  </r>
  <r>
    <d v="2025-07-05T00:00:00"/>
    <x v="115"/>
    <x v="1"/>
    <s v="J-1462/25-26"/>
    <n v="1533"/>
    <m/>
  </r>
  <r>
    <d v="2025-07-05T00:00:00"/>
    <x v="223"/>
    <x v="1"/>
    <s v="J-1463/25-26"/>
    <n v="2047"/>
    <m/>
  </r>
  <r>
    <d v="2025-07-05T00:00:00"/>
    <x v="223"/>
    <x v="1"/>
    <s v="J-1464/25-26"/>
    <n v="1862"/>
    <m/>
  </r>
  <r>
    <d v="2025-07-05T00:00:00"/>
    <x v="11"/>
    <x v="1"/>
    <s v="J-1465/25-26"/>
    <n v="12"/>
    <m/>
  </r>
  <r>
    <d v="2025-07-05T00:00:00"/>
    <x v="515"/>
    <x v="1"/>
    <s v="J-1466/25-26"/>
    <n v="23485"/>
    <m/>
  </r>
  <r>
    <d v="2025-07-05T00:00:00"/>
    <x v="527"/>
    <x v="1"/>
    <s v="J-1467/25-26"/>
    <n v="24723"/>
    <m/>
  </r>
  <r>
    <d v="2025-07-05T00:00:00"/>
    <x v="11"/>
    <x v="1"/>
    <s v="J-1468/25-26"/>
    <n v="7136"/>
    <m/>
  </r>
  <r>
    <d v="2025-07-06T00:00:00"/>
    <x v="89"/>
    <x v="1"/>
    <s v="J-1469/25-26"/>
    <n v="1850"/>
    <m/>
  </r>
  <r>
    <d v="2025-07-06T00:00:00"/>
    <x v="297"/>
    <x v="1"/>
    <s v="J-1470/25-26"/>
    <n v="100"/>
    <m/>
  </r>
  <r>
    <d v="2025-07-06T00:00:00"/>
    <x v="34"/>
    <x v="1"/>
    <s v="J-1471/25-26"/>
    <n v="68"/>
    <m/>
  </r>
  <r>
    <d v="2025-07-07T00:00:00"/>
    <x v="561"/>
    <x v="0"/>
    <s v="JU-239/25-26"/>
    <n v="4000"/>
    <m/>
  </r>
  <r>
    <d v="2025-07-07T00:00:00"/>
    <x v="11"/>
    <x v="1"/>
    <s v="J-1472/25-26"/>
    <n v="740"/>
    <m/>
  </r>
  <r>
    <d v="2025-07-07T00:00:00"/>
    <x v="565"/>
    <x v="1"/>
    <s v="J-1473/25-26"/>
    <n v="1250"/>
    <m/>
  </r>
  <r>
    <d v="2025-07-07T00:00:00"/>
    <x v="485"/>
    <x v="1"/>
    <s v="J-1474/25-26"/>
    <n v="378"/>
    <m/>
  </r>
  <r>
    <d v="2025-07-07T00:00:00"/>
    <x v="524"/>
    <x v="1"/>
    <s v="J-1475/25-26"/>
    <n v="2103"/>
    <m/>
  </r>
  <r>
    <d v="2025-07-07T00:00:00"/>
    <x v="163"/>
    <x v="1"/>
    <s v="J-1476/25-26"/>
    <n v="1905"/>
    <m/>
  </r>
  <r>
    <d v="2025-07-07T00:00:00"/>
    <x v="566"/>
    <x v="1"/>
    <s v="J-1477/25-26"/>
    <n v="29455"/>
    <m/>
  </r>
  <r>
    <d v="2025-07-07T00:00:00"/>
    <x v="114"/>
    <x v="1"/>
    <s v="J-1478/25-26"/>
    <n v="2926"/>
    <m/>
  </r>
  <r>
    <d v="2025-07-07T00:00:00"/>
    <x v="20"/>
    <x v="1"/>
    <s v="J-1479/25-26"/>
    <n v="1065"/>
    <m/>
  </r>
  <r>
    <d v="2025-07-07T00:00:00"/>
    <x v="106"/>
    <x v="1"/>
    <s v="J-1480/25-26"/>
    <n v="4430"/>
    <m/>
  </r>
  <r>
    <d v="2025-07-07T00:00:00"/>
    <x v="23"/>
    <x v="1"/>
    <s v="J-1481/25-26"/>
    <n v="27958"/>
    <m/>
  </r>
  <r>
    <d v="2025-07-07T00:00:00"/>
    <x v="567"/>
    <x v="1"/>
    <s v="J-1482/25-26"/>
    <n v="15687"/>
    <m/>
  </r>
  <r>
    <d v="2025-07-07T00:00:00"/>
    <x v="568"/>
    <x v="1"/>
    <s v="J-1483/25-26"/>
    <n v="10074"/>
    <m/>
  </r>
  <r>
    <d v="2025-07-07T00:00:00"/>
    <x v="23"/>
    <x v="1"/>
    <s v="J-1484/25-26"/>
    <n v="1775"/>
    <m/>
  </r>
  <r>
    <d v="2025-07-07T00:00:00"/>
    <x v="569"/>
    <x v="1"/>
    <s v="J-1485/25-26"/>
    <n v="14632"/>
    <m/>
  </r>
  <r>
    <d v="2025-07-07T00:00:00"/>
    <x v="89"/>
    <x v="1"/>
    <s v="J-1486/25-26"/>
    <n v="2992"/>
    <m/>
  </r>
  <r>
    <d v="2025-07-07T00:00:00"/>
    <x v="299"/>
    <x v="1"/>
    <s v="J-1487/25-26"/>
    <n v="600"/>
    <m/>
  </r>
  <r>
    <d v="2025-07-07T00:00:00"/>
    <x v="570"/>
    <x v="1"/>
    <s v="J-1488/25-26"/>
    <n v="270"/>
    <m/>
  </r>
  <r>
    <d v="2025-07-08T00:00:00"/>
    <x v="87"/>
    <x v="0"/>
    <s v="JU-240/25-26"/>
    <n v="250"/>
    <m/>
  </r>
  <r>
    <d v="2025-07-08T00:00:00"/>
    <x v="439"/>
    <x v="0"/>
    <s v="JU-241/25-26"/>
    <n v="55903"/>
    <m/>
  </r>
  <r>
    <d v="2025-07-08T00:00:00"/>
    <x v="265"/>
    <x v="0"/>
    <s v="JU-242/25-26"/>
    <n v="22200"/>
    <m/>
  </r>
  <r>
    <d v="2025-07-08T00:00:00"/>
    <x v="0"/>
    <x v="0"/>
    <s v="JU-243/25-26"/>
    <n v="2443"/>
    <m/>
  </r>
  <r>
    <d v="2025-07-08T00:00:00"/>
    <x v="571"/>
    <x v="0"/>
    <s v="JU-244/25-26"/>
    <n v="17294"/>
    <m/>
  </r>
  <r>
    <d v="2025-07-08T00:00:00"/>
    <x v="572"/>
    <x v="1"/>
    <s v="J-1489/25-26"/>
    <n v="1480"/>
    <m/>
  </r>
  <r>
    <d v="2025-07-08T00:00:00"/>
    <x v="46"/>
    <x v="1"/>
    <s v="J-1490/25-26"/>
    <n v="3700"/>
    <m/>
  </r>
  <r>
    <d v="2025-07-08T00:00:00"/>
    <x v="8"/>
    <x v="1"/>
    <s v="J-1491/25-26"/>
    <n v="14787"/>
    <m/>
  </r>
  <r>
    <d v="2025-07-08T00:00:00"/>
    <x v="84"/>
    <x v="1"/>
    <s v="J-1492/25-26"/>
    <n v="1455"/>
    <m/>
  </r>
  <r>
    <d v="2025-07-08T00:00:00"/>
    <x v="20"/>
    <x v="1"/>
    <s v="J-1493/25-26"/>
    <n v="24860"/>
    <m/>
  </r>
  <r>
    <d v="2025-07-08T00:00:00"/>
    <x v="524"/>
    <x v="1"/>
    <s v="J-1494/25-26"/>
    <n v="2200"/>
    <m/>
  </r>
  <r>
    <d v="2025-07-08T00:00:00"/>
    <x v="564"/>
    <x v="1"/>
    <s v="J-1495/25-26"/>
    <n v="4676"/>
    <m/>
  </r>
  <r>
    <d v="2025-07-08T00:00:00"/>
    <x v="173"/>
    <x v="1"/>
    <s v="J-1496/25-26"/>
    <n v="682"/>
    <m/>
  </r>
  <r>
    <d v="2025-07-08T00:00:00"/>
    <x v="172"/>
    <x v="1"/>
    <s v="J-1497/25-26"/>
    <n v="5786"/>
    <m/>
  </r>
  <r>
    <d v="2025-07-08T00:00:00"/>
    <x v="8"/>
    <x v="1"/>
    <s v="J-1498/25-26"/>
    <n v="2638"/>
    <m/>
  </r>
  <r>
    <d v="2025-07-08T00:00:00"/>
    <x v="445"/>
    <x v="1"/>
    <s v="J-1499/25-26"/>
    <n v="6476"/>
    <m/>
  </r>
  <r>
    <d v="2025-07-08T00:00:00"/>
    <x v="163"/>
    <x v="1"/>
    <s v="J-1500/25-26"/>
    <n v="15118"/>
    <m/>
  </r>
  <r>
    <d v="2025-07-08T00:00:00"/>
    <x v="106"/>
    <x v="1"/>
    <s v="J-1501/25-26"/>
    <n v="7655"/>
    <m/>
  </r>
  <r>
    <d v="2025-07-08T00:00:00"/>
    <x v="527"/>
    <x v="1"/>
    <s v="J-1502/25-26"/>
    <n v="5480"/>
    <m/>
  </r>
  <r>
    <d v="2025-07-08T00:00:00"/>
    <x v="11"/>
    <x v="1"/>
    <s v="J-1503/25-26"/>
    <n v="904"/>
    <m/>
  </r>
  <r>
    <d v="2025-07-08T00:00:00"/>
    <x v="4"/>
    <x v="1"/>
    <s v="J-1504/25-26"/>
    <n v="1686"/>
    <m/>
  </r>
  <r>
    <d v="2025-07-08T00:00:00"/>
    <x v="8"/>
    <x v="1"/>
    <s v="J-1505/25-26"/>
    <n v="453"/>
    <m/>
  </r>
  <r>
    <d v="2025-07-08T00:00:00"/>
    <x v="162"/>
    <x v="1"/>
    <s v="J-1506/25-26"/>
    <n v="3509"/>
    <m/>
  </r>
  <r>
    <d v="2025-07-08T00:00:00"/>
    <x v="573"/>
    <x v="1"/>
    <s v="J-1507/25-26"/>
    <n v="715"/>
    <m/>
  </r>
  <r>
    <d v="2025-07-08T00:00:00"/>
    <x v="172"/>
    <x v="1"/>
    <s v="J-1508/25-26"/>
    <n v="11064"/>
    <m/>
  </r>
  <r>
    <d v="2025-07-08T00:00:00"/>
    <x v="11"/>
    <x v="1"/>
    <s v="J-1509/25-26"/>
    <n v="9857"/>
    <m/>
  </r>
  <r>
    <d v="2025-07-08T00:00:00"/>
    <x v="127"/>
    <x v="1"/>
    <s v="J-1510/25-26"/>
    <n v="456"/>
    <m/>
  </r>
  <r>
    <d v="2025-07-08T00:00:00"/>
    <x v="574"/>
    <x v="1"/>
    <s v="J-1511/25-26"/>
    <n v="1110"/>
    <m/>
  </r>
  <r>
    <d v="2025-07-08T00:00:00"/>
    <x v="569"/>
    <x v="1"/>
    <s v="J-1512/25-26"/>
    <n v="1530"/>
    <m/>
  </r>
  <r>
    <d v="2025-07-08T00:00:00"/>
    <x v="106"/>
    <x v="1"/>
    <s v="J-1513/25-26"/>
    <n v="848"/>
    <m/>
  </r>
  <r>
    <d v="2025-07-08T00:00:00"/>
    <x v="20"/>
    <x v="1"/>
    <s v="J-1514/25-26"/>
    <n v="270"/>
    <m/>
  </r>
  <r>
    <d v="2025-07-08T00:00:00"/>
    <x v="385"/>
    <x v="1"/>
    <s v="J-1515/25-26"/>
    <n v="348"/>
    <m/>
  </r>
  <r>
    <d v="2025-07-09T00:00:00"/>
    <x v="575"/>
    <x v="1"/>
    <s v="J-1516/25-26"/>
    <n v="7400"/>
    <m/>
  </r>
  <r>
    <d v="2025-07-10T00:00:00"/>
    <x v="439"/>
    <x v="0"/>
    <s v="JU-245/25-26"/>
    <n v="1590"/>
    <m/>
  </r>
  <r>
    <d v="2025-07-10T00:00:00"/>
    <x v="576"/>
    <x v="0"/>
    <s v="JU-246/25-26"/>
    <n v="16702"/>
    <m/>
  </r>
  <r>
    <d v="2025-07-10T00:00:00"/>
    <x v="20"/>
    <x v="1"/>
    <s v="J-1517/25-26"/>
    <n v="700"/>
    <m/>
  </r>
  <r>
    <d v="2025-07-10T00:00:00"/>
    <x v="237"/>
    <x v="1"/>
    <s v="J-1518/25-26"/>
    <n v="3700"/>
    <m/>
  </r>
  <r>
    <d v="2025-07-10T00:00:00"/>
    <x v="48"/>
    <x v="1"/>
    <s v="J-1519/25-26"/>
    <n v="140"/>
    <m/>
  </r>
  <r>
    <d v="2025-07-10T00:00:00"/>
    <x v="577"/>
    <x v="1"/>
    <s v="J-1520/25-26"/>
    <n v="6062"/>
    <m/>
  </r>
  <r>
    <d v="2025-07-10T00:00:00"/>
    <x v="380"/>
    <x v="1"/>
    <s v="J-1521/25-26"/>
    <n v="15906"/>
    <m/>
  </r>
  <r>
    <d v="2025-07-10T00:00:00"/>
    <x v="23"/>
    <x v="1"/>
    <s v="J-1522/25-26"/>
    <n v="1190"/>
    <m/>
  </r>
  <r>
    <d v="2025-07-10T00:00:00"/>
    <x v="548"/>
    <x v="1"/>
    <s v="J-1523/25-26"/>
    <n v="6094"/>
    <m/>
  </r>
  <r>
    <d v="2025-07-10T00:00:00"/>
    <x v="163"/>
    <x v="1"/>
    <s v="J-1524/25-26"/>
    <n v="30574"/>
    <m/>
  </r>
  <r>
    <d v="2025-07-10T00:00:00"/>
    <x v="173"/>
    <x v="1"/>
    <s v="J-1525/25-26"/>
    <n v="1364"/>
    <m/>
  </r>
  <r>
    <d v="2025-07-10T00:00:00"/>
    <x v="559"/>
    <x v="1"/>
    <s v="J-1526/25-26"/>
    <n v="310"/>
    <m/>
  </r>
  <r>
    <d v="2025-07-10T00:00:00"/>
    <x v="48"/>
    <x v="1"/>
    <s v="J-1527/25-26"/>
    <n v="2046"/>
    <m/>
  </r>
  <r>
    <d v="2025-07-10T00:00:00"/>
    <x v="54"/>
    <x v="1"/>
    <s v="J-1528/25-26"/>
    <n v="375"/>
    <m/>
  </r>
  <r>
    <d v="2025-07-10T00:00:00"/>
    <x v="259"/>
    <x v="1"/>
    <s v="J-1529/25-26"/>
    <n v="4970"/>
    <m/>
  </r>
  <r>
    <d v="2025-07-10T00:00:00"/>
    <x v="578"/>
    <x v="1"/>
    <s v="J-1530/25-26"/>
    <n v="8190"/>
    <m/>
  </r>
  <r>
    <d v="2025-07-10T00:00:00"/>
    <x v="11"/>
    <x v="1"/>
    <s v="J-1531/25-26"/>
    <n v="291"/>
    <m/>
  </r>
  <r>
    <d v="2025-07-10T00:00:00"/>
    <x v="569"/>
    <x v="1"/>
    <s v="J-1532/25-26"/>
    <n v="4455"/>
    <m/>
  </r>
  <r>
    <d v="2025-07-10T00:00:00"/>
    <x v="71"/>
    <x v="1"/>
    <s v="J-1533/25-26"/>
    <n v="370"/>
    <m/>
  </r>
  <r>
    <d v="2025-07-10T00:00:00"/>
    <x v="163"/>
    <x v="1"/>
    <s v="J-1534/25-26"/>
    <n v="4518"/>
    <m/>
  </r>
  <r>
    <d v="2025-07-10T00:00:00"/>
    <x v="579"/>
    <x v="1"/>
    <s v="J-1535/25-26"/>
    <n v="16010"/>
    <m/>
  </r>
  <r>
    <d v="2025-07-10T00:00:00"/>
    <x v="11"/>
    <x v="1"/>
    <s v="J-1536/25-26"/>
    <n v="12"/>
    <m/>
  </r>
  <r>
    <d v="2025-07-10T00:00:00"/>
    <x v="259"/>
    <x v="1"/>
    <s v="J-1537/25-26"/>
    <n v="600"/>
    <m/>
  </r>
  <r>
    <d v="2025-07-10T00:00:00"/>
    <x v="173"/>
    <x v="1"/>
    <s v="J-1538/25-26"/>
    <n v="150"/>
    <m/>
  </r>
  <r>
    <d v="2025-07-10T00:00:00"/>
    <x v="580"/>
    <x v="1"/>
    <s v="J-1539/25-26"/>
    <n v="21443"/>
    <m/>
  </r>
  <r>
    <d v="2025-07-10T00:00:00"/>
    <x v="172"/>
    <x v="1"/>
    <s v="J-1540/25-26"/>
    <n v="87"/>
    <m/>
  </r>
  <r>
    <d v="2025-07-10T00:00:00"/>
    <x v="26"/>
    <x v="1"/>
    <s v="J-1541/25-26"/>
    <n v="34666"/>
    <m/>
  </r>
  <r>
    <d v="2025-07-10T00:00:00"/>
    <x v="157"/>
    <x v="1"/>
    <s v="J-1542/25-26"/>
    <n v="7461"/>
    <m/>
  </r>
  <r>
    <d v="2025-07-10T00:00:00"/>
    <x v="440"/>
    <x v="1"/>
    <s v="J-1543/25-26"/>
    <n v="370"/>
    <m/>
  </r>
  <r>
    <d v="2025-07-11T00:00:00"/>
    <x v="581"/>
    <x v="0"/>
    <s v="JU-247/25-26"/>
    <n v="3930"/>
    <m/>
  </r>
  <r>
    <d v="2025-07-11T00:00:00"/>
    <x v="582"/>
    <x v="1"/>
    <s v="J-1544/25-26"/>
    <n v="1110"/>
    <m/>
  </r>
  <r>
    <d v="2025-07-11T00:00:00"/>
    <x v="583"/>
    <x v="1"/>
    <s v="J-1545/25-26"/>
    <n v="3717"/>
    <m/>
  </r>
  <r>
    <d v="2025-07-11T00:00:00"/>
    <x v="23"/>
    <x v="1"/>
    <s v="J-1546/25-26"/>
    <n v="37118"/>
    <m/>
  </r>
  <r>
    <d v="2025-07-11T00:00:00"/>
    <x v="584"/>
    <x v="1"/>
    <s v="J-1547/25-26"/>
    <n v="370"/>
    <m/>
  </r>
  <r>
    <d v="2025-07-11T00:00:00"/>
    <x v="585"/>
    <x v="1"/>
    <s v="J-1548/25-26"/>
    <n v="14221"/>
    <m/>
  </r>
  <r>
    <d v="2025-07-11T00:00:00"/>
    <x v="225"/>
    <x v="1"/>
    <s v="J-1549/25-26"/>
    <n v="8211"/>
    <m/>
  </r>
  <r>
    <d v="2025-07-11T00:00:00"/>
    <x v="225"/>
    <x v="1"/>
    <s v="J-1550/25-26"/>
    <n v="90"/>
    <m/>
  </r>
  <r>
    <d v="2025-07-11T00:00:00"/>
    <x v="586"/>
    <x v="1"/>
    <s v="J-1551/25-26"/>
    <n v="7611"/>
    <m/>
  </r>
  <r>
    <d v="2025-07-11T00:00:00"/>
    <x v="587"/>
    <x v="1"/>
    <s v="J-1552/25-26"/>
    <n v="400"/>
    <m/>
  </r>
  <r>
    <d v="2025-07-11T00:00:00"/>
    <x v="543"/>
    <x v="1"/>
    <s v="J-1553/25-26"/>
    <n v="6026"/>
    <m/>
  </r>
  <r>
    <d v="2025-07-11T00:00:00"/>
    <x v="583"/>
    <x v="1"/>
    <s v="J-1554/25-26"/>
    <n v="165"/>
    <m/>
  </r>
  <r>
    <d v="2025-07-12T00:00:00"/>
    <x v="290"/>
    <x v="0"/>
    <s v="JU-248/25-26"/>
    <n v="7400"/>
    <m/>
  </r>
  <r>
    <d v="2025-07-12T00:00:00"/>
    <x v="588"/>
    <x v="0"/>
    <s v="JU-249/25-26"/>
    <n v="47792"/>
    <m/>
  </r>
  <r>
    <d v="2025-07-12T00:00:00"/>
    <x v="288"/>
    <x v="0"/>
    <s v="JU-250/25-26"/>
    <n v="11300"/>
    <m/>
  </r>
  <r>
    <d v="2025-07-12T00:00:00"/>
    <x v="449"/>
    <x v="0"/>
    <s v="JU-251/25-26"/>
    <n v="1139"/>
    <m/>
  </r>
  <r>
    <d v="2025-07-12T00:00:00"/>
    <x v="181"/>
    <x v="1"/>
    <s v="J-1555/25-26"/>
    <n v="1287"/>
    <m/>
  </r>
  <r>
    <d v="2025-07-12T00:00:00"/>
    <x v="548"/>
    <x v="1"/>
    <s v="J-1556/25-26"/>
    <n v="11484"/>
    <m/>
  </r>
  <r>
    <d v="2025-07-12T00:00:00"/>
    <x v="11"/>
    <x v="1"/>
    <s v="J-1557/25-26"/>
    <n v="370"/>
    <m/>
  </r>
  <r>
    <d v="2025-07-12T00:00:00"/>
    <x v="20"/>
    <x v="1"/>
    <s v="J-1558/25-26"/>
    <n v="19826"/>
    <m/>
  </r>
  <r>
    <d v="2025-07-12T00:00:00"/>
    <x v="127"/>
    <x v="1"/>
    <s v="J-1559/25-26"/>
    <n v="370"/>
    <m/>
  </r>
  <r>
    <d v="2025-07-12T00:00:00"/>
    <x v="579"/>
    <x v="1"/>
    <s v="J-1560/25-26"/>
    <n v="821"/>
    <m/>
  </r>
  <r>
    <d v="2025-07-12T00:00:00"/>
    <x v="589"/>
    <x v="1"/>
    <s v="J-1561/25-26"/>
    <n v="30"/>
    <m/>
  </r>
  <r>
    <d v="2025-07-12T00:00:00"/>
    <x v="590"/>
    <x v="1"/>
    <s v="J-1562/25-26"/>
    <n v="21052"/>
    <m/>
  </r>
  <r>
    <d v="2025-07-12T00:00:00"/>
    <x v="266"/>
    <x v="1"/>
    <s v="J-1563/25-26"/>
    <n v="1850"/>
    <m/>
  </r>
  <r>
    <d v="2025-07-12T00:00:00"/>
    <x v="170"/>
    <x v="1"/>
    <s v="J-1564/25-26"/>
    <n v="12615"/>
    <m/>
  </r>
  <r>
    <d v="2025-07-12T00:00:00"/>
    <x v="259"/>
    <x v="1"/>
    <s v="J-1565/25-26"/>
    <n v="7113"/>
    <m/>
  </r>
  <r>
    <d v="2025-07-12T00:00:00"/>
    <x v="591"/>
    <x v="1"/>
    <s v="J-1566/25-26"/>
    <n v="17795"/>
    <m/>
  </r>
  <r>
    <d v="2025-07-12T00:00:00"/>
    <x v="479"/>
    <x v="1"/>
    <s v="J-1567/25-26"/>
    <n v="1110"/>
    <m/>
  </r>
  <r>
    <d v="2025-07-12T00:00:00"/>
    <x v="11"/>
    <x v="1"/>
    <s v="J-1568/25-26"/>
    <n v="12"/>
    <m/>
  </r>
  <r>
    <d v="2025-07-12T00:00:00"/>
    <x v="26"/>
    <x v="1"/>
    <s v="J-1569/25-26"/>
    <n v="300"/>
    <m/>
  </r>
  <r>
    <d v="2025-07-12T00:00:00"/>
    <x v="11"/>
    <x v="1"/>
    <s v="J-1570/25-26"/>
    <n v="30"/>
    <m/>
  </r>
  <r>
    <d v="2025-07-12T00:00:00"/>
    <x v="11"/>
    <x v="1"/>
    <s v="J-1571/25-26"/>
    <n v="50"/>
    <m/>
  </r>
  <r>
    <d v="2025-07-12T00:00:00"/>
    <x v="181"/>
    <x v="1"/>
    <s v="J-1572/25-26"/>
    <n v="917"/>
    <m/>
  </r>
  <r>
    <d v="2025-07-12T00:00:00"/>
    <x v="231"/>
    <x v="1"/>
    <s v="J-1573/25-26"/>
    <n v="1850"/>
    <m/>
  </r>
  <r>
    <d v="2025-07-12T00:00:00"/>
    <x v="11"/>
    <x v="1"/>
    <s v="J-1574/25-26"/>
    <n v="2332"/>
    <m/>
  </r>
  <r>
    <d v="2025-07-12T00:00:00"/>
    <x v="592"/>
    <x v="1"/>
    <s v="J-1575/25-26"/>
    <n v="296"/>
    <m/>
  </r>
  <r>
    <d v="2025-07-12T00:00:00"/>
    <x v="593"/>
    <x v="1"/>
    <s v="J-1576/25-26"/>
    <n v="454"/>
    <m/>
  </r>
  <r>
    <d v="2025-07-13T00:00:00"/>
    <x v="594"/>
    <x v="1"/>
    <s v="J-1577/25-26"/>
    <n v="390"/>
    <m/>
  </r>
  <r>
    <d v="2025-07-14T00:00:00"/>
    <x v="391"/>
    <x v="0"/>
    <s v="JU-252/25-26"/>
    <n v="375"/>
    <m/>
  </r>
  <r>
    <d v="2025-07-14T00:00:00"/>
    <x v="23"/>
    <x v="1"/>
    <s v="J-1578/25-26"/>
    <n v="1110"/>
    <m/>
  </r>
  <r>
    <d v="2025-07-14T00:00:00"/>
    <x v="595"/>
    <x v="1"/>
    <s v="J-1579/25-26"/>
    <n v="25423"/>
    <m/>
  </r>
  <r>
    <d v="2025-07-14T00:00:00"/>
    <x v="170"/>
    <x v="1"/>
    <s v="J-1580/25-26"/>
    <n v="58511"/>
    <m/>
  </r>
  <r>
    <d v="2025-07-14T00:00:00"/>
    <x v="596"/>
    <x v="1"/>
    <s v="J-1581/25-26"/>
    <n v="37376"/>
    <m/>
  </r>
  <r>
    <d v="2025-07-14T00:00:00"/>
    <x v="237"/>
    <x v="1"/>
    <s v="J-1582/25-26"/>
    <n v="7400"/>
    <m/>
  </r>
  <r>
    <d v="2025-07-14T00:00:00"/>
    <x v="11"/>
    <x v="1"/>
    <s v="J-1583/25-26"/>
    <n v="1690"/>
    <m/>
  </r>
  <r>
    <d v="2025-07-14T00:00:00"/>
    <x v="597"/>
    <x v="1"/>
    <s v="J-1584/25-26"/>
    <n v="22190"/>
    <m/>
  </r>
  <r>
    <d v="2025-07-14T00:00:00"/>
    <x v="533"/>
    <x v="1"/>
    <s v="J-1585/25-26"/>
    <n v="226"/>
    <m/>
  </r>
  <r>
    <d v="2025-07-14T00:00:00"/>
    <x v="140"/>
    <x v="1"/>
    <s v="J-1586/25-26"/>
    <n v="1824"/>
    <m/>
  </r>
  <r>
    <d v="2025-07-14T00:00:00"/>
    <x v="281"/>
    <x v="1"/>
    <s v="J-1587/25-26"/>
    <n v="5493"/>
    <m/>
  </r>
  <r>
    <d v="2025-07-14T00:00:00"/>
    <x v="259"/>
    <x v="1"/>
    <s v="J-1588/25-26"/>
    <n v="10852"/>
    <m/>
  </r>
  <r>
    <d v="2025-07-14T00:00:00"/>
    <x v="127"/>
    <x v="1"/>
    <s v="J-1589/25-26"/>
    <n v="2655"/>
    <m/>
  </r>
  <r>
    <d v="2025-07-14T00:00:00"/>
    <x v="280"/>
    <x v="1"/>
    <s v="J-1590/25-26"/>
    <n v="100"/>
    <m/>
  </r>
  <r>
    <d v="2025-07-14T00:00:00"/>
    <x v="559"/>
    <x v="1"/>
    <s v="J-1591/25-26"/>
    <n v="40348"/>
    <m/>
  </r>
  <r>
    <d v="2025-07-14T00:00:00"/>
    <x v="8"/>
    <x v="1"/>
    <s v="J-1592/25-26"/>
    <n v="1440"/>
    <m/>
  </r>
  <r>
    <d v="2025-07-14T00:00:00"/>
    <x v="20"/>
    <x v="1"/>
    <s v="J-1593/25-26"/>
    <n v="670"/>
    <m/>
  </r>
  <r>
    <d v="2025-07-14T00:00:00"/>
    <x v="598"/>
    <x v="1"/>
    <s v="J-1594/25-26"/>
    <n v="17717"/>
    <m/>
  </r>
  <r>
    <d v="2025-07-14T00:00:00"/>
    <x v="187"/>
    <x v="1"/>
    <s v="J-1595/25-26"/>
    <n v="30"/>
    <m/>
  </r>
  <r>
    <d v="2025-07-14T00:00:00"/>
    <x v="79"/>
    <x v="1"/>
    <s v="J-1596/25-26"/>
    <n v="1564"/>
    <m/>
  </r>
  <r>
    <d v="2025-07-14T00:00:00"/>
    <x v="599"/>
    <x v="1"/>
    <s v="J-1597/25-26"/>
    <n v="370"/>
    <m/>
  </r>
  <r>
    <d v="2025-07-15T00:00:00"/>
    <x v="306"/>
    <x v="0"/>
    <s v="JU-253/25-26"/>
    <n v="175950"/>
    <m/>
  </r>
  <r>
    <d v="2025-07-15T00:00:00"/>
    <x v="32"/>
    <x v="0"/>
    <s v="JU-254/25-26"/>
    <n v="3344"/>
    <m/>
  </r>
  <r>
    <d v="2025-07-15T00:00:00"/>
    <x v="600"/>
    <x v="1"/>
    <s v="J-1598/25-26"/>
    <n v="470"/>
    <m/>
  </r>
  <r>
    <d v="2025-07-15T00:00:00"/>
    <x v="29"/>
    <x v="1"/>
    <s v="J-1599/25-26"/>
    <n v="740"/>
    <m/>
  </r>
  <r>
    <d v="2025-07-15T00:00:00"/>
    <x v="26"/>
    <x v="1"/>
    <s v="J-1600/25-26"/>
    <n v="1640"/>
    <m/>
  </r>
  <r>
    <d v="2025-07-15T00:00:00"/>
    <x v="601"/>
    <x v="1"/>
    <s v="J-1601/25-26"/>
    <n v="27786"/>
    <m/>
  </r>
  <r>
    <d v="2025-07-15T00:00:00"/>
    <x v="602"/>
    <x v="1"/>
    <s v="J-1602/25-26"/>
    <n v="1438"/>
    <m/>
  </r>
  <r>
    <d v="2025-07-15T00:00:00"/>
    <x v="603"/>
    <x v="1"/>
    <s v="J-1603/25-26"/>
    <n v="8194"/>
    <m/>
  </r>
  <r>
    <d v="2025-07-15T00:00:00"/>
    <x v="471"/>
    <x v="1"/>
    <s v="J-1604/25-26"/>
    <n v="968"/>
    <m/>
  </r>
  <r>
    <d v="2025-07-15T00:00:00"/>
    <x v="4"/>
    <x v="1"/>
    <s v="J-1605/25-26"/>
    <n v="2070"/>
    <m/>
  </r>
  <r>
    <d v="2025-07-15T00:00:00"/>
    <x v="585"/>
    <x v="1"/>
    <s v="J-1606/25-26"/>
    <n v="15685"/>
    <m/>
  </r>
  <r>
    <d v="2025-07-15T00:00:00"/>
    <x v="552"/>
    <x v="1"/>
    <s v="J-1607/25-26"/>
    <n v="1850"/>
    <m/>
  </r>
  <r>
    <d v="2025-07-15T00:00:00"/>
    <x v="422"/>
    <x v="1"/>
    <s v="J-1608/25-26"/>
    <n v="5690"/>
    <m/>
  </r>
  <r>
    <d v="2025-07-15T00:00:00"/>
    <x v="4"/>
    <x v="1"/>
    <s v="J-1609/25-26"/>
    <n v="2198"/>
    <m/>
  </r>
  <r>
    <d v="2025-07-15T00:00:00"/>
    <x v="4"/>
    <x v="1"/>
    <s v="J-1610/25-26"/>
    <n v="5426"/>
    <m/>
  </r>
  <r>
    <d v="2025-07-15T00:00:00"/>
    <x v="47"/>
    <x v="1"/>
    <s v="J-1611/25-26"/>
    <n v="1067"/>
    <m/>
  </r>
  <r>
    <d v="2025-07-15T00:00:00"/>
    <x v="477"/>
    <x v="1"/>
    <s v="J-1612/25-26"/>
    <n v="785"/>
    <m/>
  </r>
  <r>
    <d v="2025-07-16T00:00:00"/>
    <x v="449"/>
    <x v="0"/>
    <s v="JU-255/25-26"/>
    <n v="5606"/>
    <m/>
  </r>
  <r>
    <d v="2025-07-16T00:00:00"/>
    <x v="604"/>
    <x v="0"/>
    <s v="JU-256/25-26"/>
    <n v="370"/>
    <m/>
  </r>
  <r>
    <d v="2025-07-16T00:00:00"/>
    <x v="217"/>
    <x v="0"/>
    <s v="JU-257/25-26"/>
    <n v="9750"/>
    <m/>
  </r>
  <r>
    <d v="2025-07-16T00:00:00"/>
    <x v="605"/>
    <x v="1"/>
    <s v="J-1613/25-26"/>
    <n v="19241"/>
    <m/>
  </r>
  <r>
    <d v="2025-07-16T00:00:00"/>
    <x v="596"/>
    <x v="1"/>
    <s v="J-1614/25-26"/>
    <n v="16286"/>
    <m/>
  </r>
  <r>
    <d v="2025-07-16T00:00:00"/>
    <x v="11"/>
    <x v="1"/>
    <s v="J-1615/25-26"/>
    <n v="370"/>
    <m/>
  </r>
  <r>
    <d v="2025-07-16T00:00:00"/>
    <x v="606"/>
    <x v="1"/>
    <s v="J-1616/25-26"/>
    <n v="10742"/>
    <m/>
  </r>
  <r>
    <d v="2025-07-16T00:00:00"/>
    <x v="227"/>
    <x v="1"/>
    <s v="J-1617/25-26"/>
    <n v="1450"/>
    <m/>
  </r>
  <r>
    <d v="2025-07-16T00:00:00"/>
    <x v="172"/>
    <x v="1"/>
    <s v="J-1618/25-26"/>
    <n v="8142"/>
    <m/>
  </r>
  <r>
    <d v="2025-07-16T00:00:00"/>
    <x v="106"/>
    <x v="1"/>
    <s v="J-1619/25-26"/>
    <n v="4823"/>
    <m/>
  </r>
  <r>
    <d v="2025-07-16T00:00:00"/>
    <x v="607"/>
    <x v="1"/>
    <s v="J-1620/25-26"/>
    <n v="15672"/>
    <m/>
  </r>
  <r>
    <d v="2025-07-16T00:00:00"/>
    <x v="8"/>
    <x v="1"/>
    <s v="J-1621/25-26"/>
    <n v="295"/>
    <m/>
  </r>
  <r>
    <d v="2025-07-16T00:00:00"/>
    <x v="71"/>
    <x v="1"/>
    <s v="J-1622/25-26"/>
    <n v="740"/>
    <m/>
  </r>
  <r>
    <d v="2025-07-16T00:00:00"/>
    <x v="276"/>
    <x v="1"/>
    <s v="J-1623/25-26"/>
    <n v="150"/>
    <m/>
  </r>
  <r>
    <d v="2025-07-16T00:00:00"/>
    <x v="608"/>
    <x v="1"/>
    <s v="J-1624/25-26"/>
    <n v="6980"/>
    <m/>
  </r>
  <r>
    <d v="2025-07-16T00:00:00"/>
    <x v="11"/>
    <x v="1"/>
    <s v="J-1625/25-26"/>
    <n v="8814"/>
    <m/>
  </r>
  <r>
    <d v="2025-07-16T00:00:00"/>
    <x v="161"/>
    <x v="1"/>
    <s v="J-1626/25-26"/>
    <n v="1441"/>
    <m/>
  </r>
  <r>
    <d v="2025-07-16T00:00:00"/>
    <x v="89"/>
    <x v="1"/>
    <s v="J-1627/25-26"/>
    <n v="740"/>
    <m/>
  </r>
  <r>
    <d v="2025-07-17T00:00:00"/>
    <x v="265"/>
    <x v="0"/>
    <s v="JU-258/25-26"/>
    <n v="7400"/>
    <m/>
  </r>
  <r>
    <d v="2025-07-17T00:00:00"/>
    <x v="609"/>
    <x v="0"/>
    <s v="JU-259/25-26"/>
    <n v="125782"/>
    <m/>
  </r>
  <r>
    <d v="2025-07-17T00:00:00"/>
    <x v="290"/>
    <x v="0"/>
    <s v="JU-260/25-26"/>
    <n v="69063"/>
    <m/>
  </r>
  <r>
    <d v="2025-07-17T00:00:00"/>
    <x v="265"/>
    <x v="0"/>
    <s v="JU-261/25-26"/>
    <n v="45190"/>
    <m/>
  </r>
  <r>
    <d v="2025-07-17T00:00:00"/>
    <x v="609"/>
    <x v="0"/>
    <s v="JU-262/25-26"/>
    <n v="66511"/>
    <m/>
  </r>
  <r>
    <d v="2025-07-17T00:00:00"/>
    <x v="20"/>
    <x v="1"/>
    <s v="J-1628/25-26"/>
    <n v="12946"/>
    <m/>
  </r>
  <r>
    <d v="2025-07-17T00:00:00"/>
    <x v="173"/>
    <x v="1"/>
    <s v="J-1629/25-26"/>
    <n v="1620"/>
    <m/>
  </r>
  <r>
    <d v="2025-07-17T00:00:00"/>
    <x v="11"/>
    <x v="1"/>
    <s v="J-1630/25-26"/>
    <n v="3700"/>
    <m/>
  </r>
  <r>
    <d v="2025-07-17T00:00:00"/>
    <x v="225"/>
    <x v="1"/>
    <s v="J-1631/25-26"/>
    <n v="4081"/>
    <m/>
  </r>
  <r>
    <d v="2025-07-17T00:00:00"/>
    <x v="71"/>
    <x v="1"/>
    <s v="J-1632/25-26"/>
    <n v="2760"/>
    <m/>
  </r>
  <r>
    <d v="2025-07-17T00:00:00"/>
    <x v="486"/>
    <x v="1"/>
    <s v="J-1633/25-26"/>
    <n v="320"/>
    <m/>
  </r>
  <r>
    <d v="2025-07-17T00:00:00"/>
    <x v="431"/>
    <x v="1"/>
    <s v="J-1634/25-26"/>
    <n v="718"/>
    <m/>
  </r>
  <r>
    <d v="2025-07-17T00:00:00"/>
    <x v="26"/>
    <x v="1"/>
    <s v="J-1635/25-26"/>
    <n v="680"/>
    <m/>
  </r>
  <r>
    <d v="2025-07-17T00:00:00"/>
    <x v="610"/>
    <x v="1"/>
    <s v="J-1636/25-26"/>
    <n v="1346"/>
    <m/>
  </r>
  <r>
    <d v="2025-07-17T00:00:00"/>
    <x v="611"/>
    <x v="1"/>
    <s v="J-1637/25-26"/>
    <n v="2085"/>
    <m/>
  </r>
  <r>
    <d v="2025-07-17T00:00:00"/>
    <x v="524"/>
    <x v="1"/>
    <s v="J-1638/25-26"/>
    <n v="514"/>
    <m/>
  </r>
  <r>
    <d v="2025-07-17T00:00:00"/>
    <x v="585"/>
    <x v="1"/>
    <s v="J-1639/25-26"/>
    <n v="100"/>
    <m/>
  </r>
  <r>
    <d v="2025-07-17T00:00:00"/>
    <x v="596"/>
    <x v="1"/>
    <s v="J-1640/25-26"/>
    <n v="391"/>
    <m/>
  </r>
  <r>
    <d v="2025-07-18T00:00:00"/>
    <x v="170"/>
    <x v="1"/>
    <s v="J-1641/25-26"/>
    <n v="11598"/>
    <m/>
  </r>
  <r>
    <d v="2025-07-18T00:00:00"/>
    <x v="163"/>
    <x v="1"/>
    <s v="J-1642/25-26"/>
    <n v="2541"/>
    <m/>
  </r>
  <r>
    <d v="2025-07-18T00:00:00"/>
    <x v="596"/>
    <x v="1"/>
    <s v="J-1643/25-26"/>
    <n v="255"/>
    <m/>
  </r>
  <r>
    <d v="2025-07-18T00:00:00"/>
    <x v="47"/>
    <x v="1"/>
    <s v="J-1644/25-26"/>
    <n v="13890"/>
    <m/>
  </r>
  <r>
    <d v="2025-07-18T00:00:00"/>
    <x v="450"/>
    <x v="1"/>
    <s v="J-1645/25-26"/>
    <n v="17650"/>
    <m/>
  </r>
  <r>
    <d v="2025-07-18T00:00:00"/>
    <x v="612"/>
    <x v="1"/>
    <s v="J-1646/25-26"/>
    <n v="192"/>
    <m/>
  </r>
  <r>
    <d v="2025-07-18T00:00:00"/>
    <x v="164"/>
    <x v="1"/>
    <s v="J-1647/25-26"/>
    <n v="1507"/>
    <m/>
  </r>
  <r>
    <d v="2025-07-18T00:00:00"/>
    <x v="559"/>
    <x v="1"/>
    <s v="J-1648/25-26"/>
    <n v="957"/>
    <m/>
  </r>
  <r>
    <d v="2025-07-18T00:00:00"/>
    <x v="599"/>
    <x v="1"/>
    <s v="J-1649/25-26"/>
    <n v="740"/>
    <m/>
  </r>
  <r>
    <d v="2025-07-18T00:00:00"/>
    <x v="47"/>
    <x v="1"/>
    <s v="J-1650/25-26"/>
    <n v="20"/>
    <m/>
  </r>
  <r>
    <d v="2025-07-18T00:00:00"/>
    <x v="613"/>
    <x v="1"/>
    <s v="J-1651/25-26"/>
    <n v="40"/>
    <m/>
  </r>
  <r>
    <d v="2025-07-18T00:00:00"/>
    <x v="614"/>
    <x v="1"/>
    <s v="J-1652/25-26"/>
    <n v="430"/>
    <m/>
  </r>
  <r>
    <d v="2025-07-19T00:00:00"/>
    <x v="265"/>
    <x v="0"/>
    <s v="JU-263/25-26"/>
    <n v="11100"/>
    <m/>
  </r>
  <r>
    <d v="2025-07-19T00:00:00"/>
    <x v="217"/>
    <x v="0"/>
    <s v="JU-264/25-26"/>
    <n v="9750"/>
    <m/>
  </r>
  <r>
    <d v="2025-07-19T00:00:00"/>
    <x v="615"/>
    <x v="0"/>
    <s v="JU-265/25-26"/>
    <n v="6470"/>
    <m/>
  </r>
  <r>
    <d v="2025-07-19T00:00:00"/>
    <x v="616"/>
    <x v="0"/>
    <s v="JU-266/25-26"/>
    <n v="9560"/>
    <m/>
  </r>
  <r>
    <d v="2025-07-19T00:00:00"/>
    <x v="305"/>
    <x v="0"/>
    <s v="JU-267/25-26"/>
    <n v="49147"/>
    <m/>
  </r>
  <r>
    <d v="2025-07-19T00:00:00"/>
    <x v="617"/>
    <x v="0"/>
    <s v="JU-268/25-26"/>
    <n v="21945"/>
    <m/>
  </r>
  <r>
    <d v="2025-07-19T00:00:00"/>
    <x v="284"/>
    <x v="0"/>
    <s v="JU-269/25-26"/>
    <n v="1300"/>
    <m/>
  </r>
  <r>
    <d v="2025-07-19T00:00:00"/>
    <x v="605"/>
    <x v="1"/>
    <s v="J-1653/25-26"/>
    <n v="1132"/>
    <m/>
  </r>
  <r>
    <d v="2025-07-19T00:00:00"/>
    <x v="618"/>
    <x v="1"/>
    <s v="J-1654/25-26"/>
    <n v="1110"/>
    <m/>
  </r>
  <r>
    <d v="2025-07-19T00:00:00"/>
    <x v="84"/>
    <x v="1"/>
    <s v="J-1655/25-26"/>
    <n v="2342"/>
    <m/>
  </r>
  <r>
    <d v="2025-07-19T00:00:00"/>
    <x v="11"/>
    <x v="1"/>
    <s v="J-1656/25-26"/>
    <n v="12"/>
    <m/>
  </r>
  <r>
    <d v="2025-07-19T00:00:00"/>
    <x v="543"/>
    <x v="1"/>
    <s v="J-1657/25-26"/>
    <n v="285"/>
    <m/>
  </r>
  <r>
    <d v="2025-07-19T00:00:00"/>
    <x v="11"/>
    <x v="1"/>
    <s v="J-1658/25-26"/>
    <n v="5850"/>
    <m/>
  </r>
  <r>
    <d v="2025-07-19T00:00:00"/>
    <x v="619"/>
    <x v="1"/>
    <s v="J-1659/25-26"/>
    <n v="12287"/>
    <m/>
  </r>
  <r>
    <d v="2025-07-19T00:00:00"/>
    <x v="471"/>
    <x v="1"/>
    <s v="J-1660/25-26"/>
    <n v="555"/>
    <m/>
  </r>
  <r>
    <d v="2025-07-19T00:00:00"/>
    <x v="11"/>
    <x v="1"/>
    <s v="J-1661/25-26"/>
    <n v="30"/>
    <m/>
  </r>
  <r>
    <d v="2025-07-19T00:00:00"/>
    <x v="431"/>
    <x v="1"/>
    <s v="J-1662/25-26"/>
    <n v="21523"/>
    <m/>
  </r>
  <r>
    <d v="2025-07-19T00:00:00"/>
    <x v="26"/>
    <x v="1"/>
    <s v="J-1663/25-26"/>
    <n v="735"/>
    <m/>
  </r>
  <r>
    <d v="2025-07-19T00:00:00"/>
    <x v="524"/>
    <x v="1"/>
    <s v="J-1664/25-26"/>
    <n v="740"/>
    <m/>
  </r>
  <r>
    <d v="2025-07-20T00:00:00"/>
    <x v="620"/>
    <x v="1"/>
    <s v="J-1665/25-26"/>
    <n v="3507"/>
    <m/>
  </r>
  <r>
    <d v="2025-07-20T00:00:00"/>
    <x v="11"/>
    <x v="1"/>
    <s v="J-1666/25-26"/>
    <n v="370"/>
    <m/>
  </r>
  <r>
    <d v="2025-07-21T00:00:00"/>
    <x v="439"/>
    <x v="0"/>
    <s v="JU-270/25-26"/>
    <n v="2237"/>
    <m/>
  </r>
  <r>
    <d v="2025-07-21T00:00:00"/>
    <x v="87"/>
    <x v="0"/>
    <s v="JU-271/25-26"/>
    <n v="29217"/>
    <m/>
  </r>
  <r>
    <d v="2025-07-21T00:00:00"/>
    <x v="159"/>
    <x v="1"/>
    <s v="J-1667/25-26"/>
    <n v="1553"/>
    <m/>
  </r>
  <r>
    <d v="2025-07-21T00:00:00"/>
    <x v="621"/>
    <x v="1"/>
    <s v="J-1668/25-26"/>
    <n v="130"/>
    <m/>
  </r>
  <r>
    <d v="2025-07-21T00:00:00"/>
    <x v="140"/>
    <x v="1"/>
    <s v="J-1669/25-26"/>
    <n v="2980"/>
    <m/>
  </r>
  <r>
    <d v="2025-07-21T00:00:00"/>
    <x v="524"/>
    <x v="1"/>
    <s v="J-1670/25-26"/>
    <n v="1850"/>
    <m/>
  </r>
  <r>
    <d v="2025-07-21T00:00:00"/>
    <x v="622"/>
    <x v="1"/>
    <s v="J-1671/25-26"/>
    <n v="15003"/>
    <m/>
  </r>
  <r>
    <d v="2025-07-21T00:00:00"/>
    <x v="623"/>
    <x v="1"/>
    <s v="J-1672/25-26"/>
    <n v="17687"/>
    <m/>
  </r>
  <r>
    <d v="2025-07-21T00:00:00"/>
    <x v="622"/>
    <x v="1"/>
    <s v="J-1673/25-26"/>
    <n v="25"/>
    <m/>
  </r>
  <r>
    <d v="2025-07-21T00:00:00"/>
    <x v="11"/>
    <x v="1"/>
    <s v="J-1674/25-26"/>
    <n v="12"/>
    <m/>
  </r>
  <r>
    <d v="2025-07-21T00:00:00"/>
    <x v="170"/>
    <x v="1"/>
    <s v="J-1675/25-26"/>
    <n v="528"/>
    <m/>
  </r>
  <r>
    <d v="2025-07-21T00:00:00"/>
    <x v="79"/>
    <x v="1"/>
    <s v="J-1676/25-26"/>
    <n v="1480"/>
    <m/>
  </r>
  <r>
    <d v="2025-07-21T00:00:00"/>
    <x v="552"/>
    <x v="1"/>
    <s v="J-1677/25-26"/>
    <n v="1110"/>
    <m/>
  </r>
  <r>
    <d v="2025-07-21T00:00:00"/>
    <x v="266"/>
    <x v="1"/>
    <s v="J-1678/25-26"/>
    <n v="1480"/>
    <m/>
  </r>
  <r>
    <d v="2025-07-21T00:00:00"/>
    <x v="624"/>
    <x v="1"/>
    <s v="J-1679/25-26"/>
    <n v="370"/>
    <m/>
  </r>
  <r>
    <d v="2025-07-21T00:00:00"/>
    <x v="47"/>
    <x v="1"/>
    <s v="J-1680/25-26"/>
    <n v="12017"/>
    <m/>
  </r>
  <r>
    <d v="2025-07-21T00:00:00"/>
    <x v="625"/>
    <x v="1"/>
    <s v="J-1681/25-26"/>
    <n v="2896"/>
    <m/>
  </r>
  <r>
    <d v="2025-07-21T00:00:00"/>
    <x v="524"/>
    <x v="1"/>
    <s v="J-1682/25-26"/>
    <n v="15406"/>
    <m/>
  </r>
  <r>
    <d v="2025-07-22T00:00:00"/>
    <x v="265"/>
    <x v="0"/>
    <s v="JU-272/25-26"/>
    <n v="18500"/>
    <m/>
  </r>
  <r>
    <d v="2025-07-22T00:00:00"/>
    <x v="62"/>
    <x v="0"/>
    <s v="JU-273/25-26"/>
    <n v="11864"/>
    <m/>
  </r>
  <r>
    <d v="2025-07-22T00:00:00"/>
    <x v="576"/>
    <x v="0"/>
    <s v="JU-274/25-26"/>
    <n v="1383"/>
    <m/>
  </r>
  <r>
    <d v="2025-07-22T00:00:00"/>
    <x v="626"/>
    <x v="1"/>
    <s v="J-1683/25-26"/>
    <n v="8963"/>
    <m/>
  </r>
  <r>
    <d v="2025-07-22T00:00:00"/>
    <x v="596"/>
    <x v="1"/>
    <s v="J-1684/25-26"/>
    <n v="8407"/>
    <m/>
  </r>
  <r>
    <d v="2025-07-22T00:00:00"/>
    <x v="237"/>
    <x v="1"/>
    <s v="J-1685/25-26"/>
    <n v="7400"/>
    <m/>
  </r>
  <r>
    <d v="2025-07-22T00:00:00"/>
    <x v="36"/>
    <x v="1"/>
    <s v="J-1686/25-26"/>
    <n v="1850"/>
    <m/>
  </r>
  <r>
    <d v="2025-07-22T00:00:00"/>
    <x v="543"/>
    <x v="1"/>
    <s v="J-1687/25-26"/>
    <n v="285"/>
    <m/>
  </r>
  <r>
    <d v="2025-07-22T00:00:00"/>
    <x v="12"/>
    <x v="1"/>
    <s v="J-1688/25-26"/>
    <n v="20"/>
    <m/>
  </r>
  <r>
    <d v="2025-07-22T00:00:00"/>
    <x v="627"/>
    <x v="1"/>
    <s v="J-1689/25-26"/>
    <n v="30865"/>
    <m/>
  </r>
  <r>
    <d v="2025-07-22T00:00:00"/>
    <x v="11"/>
    <x v="1"/>
    <s v="J-1690/25-26"/>
    <n v="12"/>
    <m/>
  </r>
  <r>
    <d v="2025-07-22T00:00:00"/>
    <x v="245"/>
    <x v="1"/>
    <s v="J-1691/25-26"/>
    <n v="27572"/>
    <m/>
  </r>
  <r>
    <d v="2025-07-22T00:00:00"/>
    <x v="11"/>
    <x v="1"/>
    <s v="J-1692/25-26"/>
    <n v="370"/>
    <m/>
  </r>
  <r>
    <d v="2025-07-22T00:00:00"/>
    <x v="623"/>
    <x v="1"/>
    <s v="J-1693/25-26"/>
    <n v="662"/>
    <m/>
  </r>
  <r>
    <d v="2025-07-22T00:00:00"/>
    <x v="278"/>
    <x v="1"/>
    <s v="J-1694/25-26"/>
    <n v="260"/>
    <m/>
  </r>
  <r>
    <d v="2025-07-23T00:00:00"/>
    <x v="233"/>
    <x v="0"/>
    <s v="JU-275/25-26"/>
    <n v="7037"/>
    <m/>
  </r>
  <r>
    <d v="2025-07-23T00:00:00"/>
    <x v="392"/>
    <x v="0"/>
    <s v="JU-276/25-26"/>
    <n v="13722"/>
    <m/>
  </r>
  <r>
    <d v="2025-07-23T00:00:00"/>
    <x v="305"/>
    <x v="0"/>
    <s v="JU-277/25-26"/>
    <n v="48496"/>
    <m/>
  </r>
  <r>
    <d v="2025-07-23T00:00:00"/>
    <x v="293"/>
    <x v="1"/>
    <s v="J-1695/25-26"/>
    <n v="40783"/>
    <m/>
  </r>
  <r>
    <d v="2025-07-23T00:00:00"/>
    <x v="7"/>
    <x v="1"/>
    <s v="J-1696/25-26"/>
    <n v="7856"/>
    <m/>
  </r>
  <r>
    <d v="2025-07-23T00:00:00"/>
    <x v="11"/>
    <x v="1"/>
    <s v="J-1697/25-26"/>
    <n v="370"/>
    <m/>
  </r>
  <r>
    <d v="2025-07-23T00:00:00"/>
    <x v="26"/>
    <x v="1"/>
    <s v="J-1698/25-26"/>
    <n v="4233"/>
    <m/>
  </r>
  <r>
    <d v="2025-07-23T00:00:00"/>
    <x v="628"/>
    <x v="1"/>
    <s v="J-1699/25-26"/>
    <n v="24267"/>
    <m/>
  </r>
  <r>
    <d v="2025-07-23T00:00:00"/>
    <x v="629"/>
    <x v="1"/>
    <s v="J-1700/25-26"/>
    <n v="590"/>
    <m/>
  </r>
  <r>
    <d v="2025-07-23T00:00:00"/>
    <x v="630"/>
    <x v="1"/>
    <s v="J-1701/25-26"/>
    <n v="31867"/>
    <m/>
  </r>
  <r>
    <d v="2025-07-23T00:00:00"/>
    <x v="631"/>
    <x v="1"/>
    <s v="J-1702/25-26"/>
    <n v="740"/>
    <m/>
  </r>
  <r>
    <d v="2025-07-23T00:00:00"/>
    <x v="450"/>
    <x v="1"/>
    <s v="J-1703/25-26"/>
    <n v="17020"/>
    <m/>
  </r>
  <r>
    <d v="2025-07-23T00:00:00"/>
    <x v="380"/>
    <x v="1"/>
    <s v="J-1704/25-26"/>
    <n v="9180"/>
    <m/>
  </r>
  <r>
    <d v="2025-07-23T00:00:00"/>
    <x v="623"/>
    <x v="1"/>
    <s v="J-1705/25-26"/>
    <n v="550"/>
    <m/>
  </r>
  <r>
    <d v="2025-07-23T00:00:00"/>
    <x v="596"/>
    <x v="1"/>
    <s v="J-1706/25-26"/>
    <n v="300"/>
    <m/>
  </r>
  <r>
    <d v="2025-07-23T00:00:00"/>
    <x v="477"/>
    <x v="1"/>
    <s v="J-1707/25-26"/>
    <n v="6610"/>
    <m/>
  </r>
  <r>
    <d v="2025-07-23T00:00:00"/>
    <x v="89"/>
    <x v="1"/>
    <s v="J-1708/25-26"/>
    <n v="740"/>
    <m/>
  </r>
  <r>
    <d v="2025-07-23T00:00:00"/>
    <x v="385"/>
    <x v="1"/>
    <s v="J-1709/25-26"/>
    <n v="18607"/>
    <m/>
  </r>
  <r>
    <d v="2025-07-23T00:00:00"/>
    <x v="632"/>
    <x v="1"/>
    <s v="J-1710/25-26"/>
    <n v="31002"/>
    <m/>
  </r>
  <r>
    <d v="2025-07-23T00:00:00"/>
    <x v="505"/>
    <x v="1"/>
    <s v="J-1711/25-26"/>
    <n v="250"/>
    <m/>
  </r>
  <r>
    <d v="2025-07-24T00:00:00"/>
    <x v="16"/>
    <x v="0"/>
    <s v="JU-278/25-26"/>
    <n v="14770"/>
    <m/>
  </r>
  <r>
    <d v="2025-07-24T00:00:00"/>
    <x v="633"/>
    <x v="1"/>
    <s v="J-1712/25-26"/>
    <n v="1110"/>
    <m/>
  </r>
  <r>
    <d v="2025-07-24T00:00:00"/>
    <x v="634"/>
    <x v="1"/>
    <s v="J-1713/25-26"/>
    <n v="22201"/>
    <m/>
  </r>
  <r>
    <d v="2025-07-24T00:00:00"/>
    <x v="69"/>
    <x v="1"/>
    <s v="J-1714/25-26"/>
    <n v="13530"/>
    <m/>
  </r>
  <r>
    <d v="2025-07-24T00:00:00"/>
    <x v="69"/>
    <x v="1"/>
    <s v="J-1715/25-26"/>
    <n v="3084"/>
    <m/>
  </r>
  <r>
    <d v="2025-07-24T00:00:00"/>
    <x v="608"/>
    <x v="1"/>
    <s v="J-1716/25-26"/>
    <n v="630"/>
    <m/>
  </r>
  <r>
    <d v="2025-07-24T00:00:00"/>
    <x v="11"/>
    <x v="1"/>
    <s v="J-1717/25-26"/>
    <n v="25"/>
    <m/>
  </r>
  <r>
    <d v="2025-07-24T00:00:00"/>
    <x v="71"/>
    <x v="1"/>
    <s v="J-1718/25-26"/>
    <n v="740"/>
    <m/>
  </r>
  <r>
    <d v="2025-07-24T00:00:00"/>
    <x v="518"/>
    <x v="1"/>
    <s v="J-1719/25-26"/>
    <n v="40"/>
    <m/>
  </r>
  <r>
    <d v="2025-07-24T00:00:00"/>
    <x v="163"/>
    <x v="1"/>
    <s v="J-1720/25-26"/>
    <n v="80"/>
    <m/>
  </r>
  <r>
    <d v="2025-07-24T00:00:00"/>
    <x v="633"/>
    <x v="1"/>
    <s v="J-1721/25-26"/>
    <n v="2420"/>
    <m/>
  </r>
  <r>
    <d v="2025-07-24T00:00:00"/>
    <x v="225"/>
    <x v="1"/>
    <s v="J-1722/25-26"/>
    <n v="50"/>
    <m/>
  </r>
  <r>
    <d v="2025-07-24T00:00:00"/>
    <x v="502"/>
    <x v="1"/>
    <s v="J-1723/25-26"/>
    <n v="22885"/>
    <m/>
  </r>
  <r>
    <d v="2025-07-24T00:00:00"/>
    <x v="635"/>
    <x v="1"/>
    <s v="J-1724/25-26"/>
    <n v="14486"/>
    <m/>
  </r>
  <r>
    <d v="2025-07-24T00:00:00"/>
    <x v="114"/>
    <x v="1"/>
    <s v="J-1725/25-26"/>
    <n v="8680"/>
    <m/>
  </r>
  <r>
    <d v="2025-07-24T00:00:00"/>
    <x v="388"/>
    <x v="1"/>
    <s v="J-1726/25-26"/>
    <n v="50"/>
    <m/>
  </r>
  <r>
    <d v="2025-07-24T00:00:00"/>
    <x v="636"/>
    <x v="1"/>
    <s v="J-1727/25-26"/>
    <n v="32082"/>
    <m/>
  </r>
  <r>
    <d v="2025-07-25T00:00:00"/>
    <x v="87"/>
    <x v="0"/>
    <s v="JU-279/25-26"/>
    <n v="4538"/>
    <m/>
  </r>
  <r>
    <d v="2025-07-25T00:00:00"/>
    <x v="439"/>
    <x v="0"/>
    <s v="JU-280/25-26"/>
    <n v="92295"/>
    <m/>
  </r>
  <r>
    <d v="2025-07-25T00:00:00"/>
    <x v="15"/>
    <x v="0"/>
    <s v="JU-281/25-26"/>
    <n v="1280"/>
    <m/>
  </r>
  <r>
    <d v="2025-07-25T00:00:00"/>
    <x v="305"/>
    <x v="0"/>
    <s v="JU-282/25-26"/>
    <n v="77543"/>
    <m/>
  </r>
  <r>
    <d v="2025-07-25T00:00:00"/>
    <x v="385"/>
    <x v="1"/>
    <s v="J-1728/25-26"/>
    <n v="3700"/>
    <m/>
  </r>
  <r>
    <d v="2025-07-25T00:00:00"/>
    <x v="634"/>
    <x v="1"/>
    <s v="J-1729/25-26"/>
    <n v="60485"/>
    <m/>
  </r>
  <r>
    <d v="2025-07-25T00:00:00"/>
    <x v="249"/>
    <x v="1"/>
    <s v="J-1730/25-26"/>
    <n v="427"/>
    <m/>
  </r>
  <r>
    <d v="2025-07-25T00:00:00"/>
    <x v="450"/>
    <x v="1"/>
    <s v="J-1731/25-26"/>
    <n v="2310"/>
    <m/>
  </r>
  <r>
    <d v="2025-07-25T00:00:00"/>
    <x v="11"/>
    <x v="1"/>
    <s v="J-1732/25-26"/>
    <n v="19"/>
    <m/>
  </r>
  <r>
    <d v="2025-07-25T00:00:00"/>
    <x v="574"/>
    <x v="1"/>
    <s v="J-1733/25-26"/>
    <n v="11344"/>
    <m/>
  </r>
  <r>
    <d v="2025-07-25T00:00:00"/>
    <x v="637"/>
    <x v="1"/>
    <s v="J-1734/25-26"/>
    <n v="3360"/>
    <m/>
  </r>
  <r>
    <d v="2025-07-25T00:00:00"/>
    <x v="273"/>
    <x v="1"/>
    <s v="J-1735/25-26"/>
    <n v="437"/>
    <m/>
  </r>
  <r>
    <d v="2025-07-25T00:00:00"/>
    <x v="638"/>
    <x v="1"/>
    <s v="J-1736/25-26"/>
    <n v="5340"/>
    <m/>
  </r>
  <r>
    <d v="2025-07-25T00:00:00"/>
    <x v="634"/>
    <x v="1"/>
    <s v="J-1737/25-26"/>
    <n v="3912"/>
    <m/>
  </r>
  <r>
    <d v="2025-07-25T00:00:00"/>
    <x v="89"/>
    <x v="1"/>
    <s v="J-1738/25-26"/>
    <n v="1840"/>
    <m/>
  </r>
  <r>
    <d v="2025-07-25T00:00:00"/>
    <x v="419"/>
    <x v="1"/>
    <s v="J-1739/25-26"/>
    <n v="68"/>
    <m/>
  </r>
  <r>
    <d v="2025-07-25T00:00:00"/>
    <x v="621"/>
    <x v="1"/>
    <s v="J-1740/25-26"/>
    <n v="12775"/>
    <m/>
  </r>
  <r>
    <d v="2025-07-25T00:00:00"/>
    <x v="26"/>
    <x v="1"/>
    <s v="J-1741/25-26"/>
    <n v="1030"/>
    <m/>
  </r>
  <r>
    <d v="2025-07-25T00:00:00"/>
    <x v="89"/>
    <x v="1"/>
    <s v="J-1742/25-26"/>
    <n v="2270"/>
    <m/>
  </r>
  <r>
    <d v="2025-07-26T00:00:00"/>
    <x v="87"/>
    <x v="0"/>
    <s v="JU-283/25-26"/>
    <n v="370"/>
    <m/>
  </r>
  <r>
    <d v="2025-07-26T00:00:00"/>
    <x v="305"/>
    <x v="0"/>
    <s v="JU-284/25-26"/>
    <n v="83424"/>
    <m/>
  </r>
  <r>
    <d v="2025-07-26T00:00:00"/>
    <x v="618"/>
    <x v="1"/>
    <s v="J-1743/25-26"/>
    <n v="370"/>
    <m/>
  </r>
  <r>
    <d v="2025-07-26T00:00:00"/>
    <x v="639"/>
    <x v="1"/>
    <s v="J-1744/25-26"/>
    <n v="370"/>
    <m/>
  </r>
  <r>
    <d v="2025-07-26T00:00:00"/>
    <x v="450"/>
    <x v="1"/>
    <s v="J-1745/25-26"/>
    <n v="6090"/>
    <m/>
  </r>
  <r>
    <d v="2025-07-26T00:00:00"/>
    <x v="640"/>
    <x v="1"/>
    <s v="J-1746/25-26"/>
    <n v="18020"/>
    <m/>
  </r>
  <r>
    <d v="2025-07-26T00:00:00"/>
    <x v="641"/>
    <x v="1"/>
    <s v="J-1747/25-26"/>
    <n v="160"/>
    <m/>
  </r>
  <r>
    <d v="2025-07-26T00:00:00"/>
    <x v="524"/>
    <x v="1"/>
    <s v="J-1748/25-26"/>
    <n v="976"/>
    <m/>
  </r>
  <r>
    <d v="2025-07-26T00:00:00"/>
    <x v="11"/>
    <x v="1"/>
    <s v="J-1749/25-26"/>
    <n v="12"/>
    <m/>
  </r>
  <r>
    <d v="2025-07-26T00:00:00"/>
    <x v="642"/>
    <x v="1"/>
    <s v="J-1750/25-26"/>
    <n v="848"/>
    <m/>
  </r>
  <r>
    <d v="2025-07-26T00:00:00"/>
    <x v="643"/>
    <x v="1"/>
    <s v="J-1751/25-26"/>
    <n v="1486"/>
    <m/>
  </r>
  <r>
    <d v="2025-07-26T00:00:00"/>
    <x v="34"/>
    <x v="1"/>
    <s v="J-1752/25-26"/>
    <n v="130"/>
    <m/>
  </r>
  <r>
    <d v="2025-07-26T00:00:00"/>
    <x v="566"/>
    <x v="1"/>
    <s v="J-1753/25-26"/>
    <n v="8950"/>
    <m/>
  </r>
  <r>
    <d v="2025-07-26T00:00:00"/>
    <x v="644"/>
    <x v="1"/>
    <s v="J-1754/25-26"/>
    <n v="3700"/>
    <m/>
  </r>
  <r>
    <d v="2025-07-26T00:00:00"/>
    <x v="596"/>
    <x v="1"/>
    <s v="J-1755/25-26"/>
    <n v="3700"/>
    <m/>
  </r>
  <r>
    <d v="2025-07-26T00:00:00"/>
    <x v="409"/>
    <x v="1"/>
    <s v="J-1756/25-26"/>
    <n v="4289"/>
    <m/>
  </r>
  <r>
    <d v="2025-07-26T00:00:00"/>
    <x v="73"/>
    <x v="1"/>
    <s v="J-1757/25-26"/>
    <n v="740"/>
    <m/>
  </r>
  <r>
    <d v="2025-07-28T00:00:00"/>
    <x v="290"/>
    <x v="0"/>
    <s v="JU-285/25-26"/>
    <n v="7400"/>
    <m/>
  </r>
  <r>
    <d v="2025-07-28T00:00:00"/>
    <x v="217"/>
    <x v="0"/>
    <s v="JU-286/25-26"/>
    <n v="9750"/>
    <m/>
  </r>
  <r>
    <d v="2025-07-28T00:00:00"/>
    <x v="87"/>
    <x v="0"/>
    <s v="JU-287/25-26"/>
    <n v="1847"/>
    <m/>
  </r>
  <r>
    <d v="2025-07-28T00:00:00"/>
    <x v="645"/>
    <x v="1"/>
    <s v="J-1758/25-26"/>
    <n v="100"/>
    <m/>
  </r>
  <r>
    <d v="2025-07-28T00:00:00"/>
    <x v="231"/>
    <x v="1"/>
    <s v="J-1759/25-26"/>
    <n v="3700"/>
    <m/>
  </r>
  <r>
    <d v="2025-07-28T00:00:00"/>
    <x v="227"/>
    <x v="1"/>
    <s v="J-1760/25-26"/>
    <n v="60816"/>
    <m/>
  </r>
  <r>
    <d v="2025-07-28T00:00:00"/>
    <x v="297"/>
    <x v="1"/>
    <s v="J-1761/25-26"/>
    <n v="11100"/>
    <m/>
  </r>
  <r>
    <d v="2025-07-28T00:00:00"/>
    <x v="632"/>
    <x v="1"/>
    <s v="J-1762/25-26"/>
    <n v="106"/>
    <m/>
  </r>
  <r>
    <d v="2025-07-28T00:00:00"/>
    <x v="4"/>
    <x v="1"/>
    <s v="J-1763/25-26"/>
    <n v="40475"/>
    <m/>
  </r>
  <r>
    <d v="2025-07-28T00:00:00"/>
    <x v="163"/>
    <x v="1"/>
    <s v="J-1764/25-26"/>
    <n v="16271"/>
    <m/>
  </r>
  <r>
    <d v="2025-07-28T00:00:00"/>
    <x v="23"/>
    <x v="1"/>
    <s v="J-1765/25-26"/>
    <n v="7900"/>
    <m/>
  </r>
  <r>
    <d v="2025-07-28T00:00:00"/>
    <x v="644"/>
    <x v="1"/>
    <s v="J-1766/25-26"/>
    <n v="1240"/>
    <m/>
  </r>
  <r>
    <d v="2025-07-28T00:00:00"/>
    <x v="646"/>
    <x v="1"/>
    <s v="J-1767/25-26"/>
    <n v="28855"/>
    <m/>
  </r>
  <r>
    <d v="2025-07-28T00:00:00"/>
    <x v="647"/>
    <x v="1"/>
    <s v="J-1768/25-26"/>
    <n v="12621"/>
    <m/>
  </r>
  <r>
    <d v="2025-07-28T00:00:00"/>
    <x v="648"/>
    <x v="1"/>
    <s v="J-1769/25-26"/>
    <n v="290"/>
    <m/>
  </r>
  <r>
    <d v="2025-07-28T00:00:00"/>
    <x v="518"/>
    <x v="1"/>
    <s v="J-1770/25-26"/>
    <n v="570"/>
    <m/>
  </r>
  <r>
    <d v="2025-07-28T00:00:00"/>
    <x v="11"/>
    <x v="1"/>
    <s v="J-1771/25-26"/>
    <n v="2963"/>
    <m/>
  </r>
  <r>
    <d v="2025-07-28T00:00:00"/>
    <x v="649"/>
    <x v="1"/>
    <s v="J-1772/25-26"/>
    <n v="1536"/>
    <m/>
  </r>
  <r>
    <d v="2025-07-28T00:00:00"/>
    <x v="650"/>
    <x v="1"/>
    <s v="J-1773/25-26"/>
    <n v="6580"/>
    <m/>
  </r>
  <r>
    <d v="2025-07-28T00:00:00"/>
    <x v="599"/>
    <x v="1"/>
    <s v="J-1774/25-26"/>
    <n v="1850"/>
    <m/>
  </r>
  <r>
    <d v="2025-07-28T00:00:00"/>
    <x v="636"/>
    <x v="1"/>
    <s v="J-1775/25-26"/>
    <n v="5950"/>
    <m/>
  </r>
  <r>
    <d v="2025-07-28T00:00:00"/>
    <x v="632"/>
    <x v="1"/>
    <s v="J-1776/25-26"/>
    <n v="46221"/>
    <m/>
  </r>
  <r>
    <d v="2025-07-28T00:00:00"/>
    <x v="266"/>
    <x v="1"/>
    <s v="J-1777/25-26"/>
    <n v="41201"/>
    <m/>
  </r>
  <r>
    <d v="2025-07-28T00:00:00"/>
    <x v="487"/>
    <x v="1"/>
    <s v="J-1778/25-26"/>
    <n v="7540"/>
    <m/>
  </r>
  <r>
    <d v="2025-07-29T00:00:00"/>
    <x v="305"/>
    <x v="0"/>
    <s v="JU-288/25-26"/>
    <n v="18810"/>
    <m/>
  </r>
  <r>
    <d v="2025-07-29T00:00:00"/>
    <x v="265"/>
    <x v="0"/>
    <s v="JU-289/25-26"/>
    <n v="18500"/>
    <m/>
  </r>
  <r>
    <d v="2025-07-29T00:00:00"/>
    <x v="439"/>
    <x v="0"/>
    <s v="JU-290/25-26"/>
    <n v="10500"/>
    <m/>
  </r>
  <r>
    <d v="2025-07-29T00:00:00"/>
    <x v="604"/>
    <x v="0"/>
    <s v="JU-291/25-26"/>
    <n v="20500"/>
    <m/>
  </r>
  <r>
    <d v="2025-07-29T00:00:00"/>
    <x v="11"/>
    <x v="1"/>
    <s v="J-1779/25-26"/>
    <n v="1070"/>
    <m/>
  </r>
  <r>
    <d v="2025-07-29T00:00:00"/>
    <x v="71"/>
    <x v="1"/>
    <s v="J-1780/25-26"/>
    <n v="370"/>
    <m/>
  </r>
  <r>
    <d v="2025-07-29T00:00:00"/>
    <x v="651"/>
    <x v="1"/>
    <s v="J-1781/25-26"/>
    <n v="6320"/>
    <m/>
  </r>
  <r>
    <d v="2025-07-29T00:00:00"/>
    <x v="385"/>
    <x v="1"/>
    <s v="J-1782/25-26"/>
    <n v="187"/>
    <m/>
  </r>
  <r>
    <d v="2025-07-29T00:00:00"/>
    <x v="89"/>
    <x v="1"/>
    <s v="J-1783/25-26"/>
    <n v="370"/>
    <m/>
  </r>
  <r>
    <d v="2025-07-29T00:00:00"/>
    <x v="211"/>
    <x v="1"/>
    <s v="J-1784/25-26"/>
    <n v="42860"/>
    <m/>
  </r>
  <r>
    <d v="2025-07-29T00:00:00"/>
    <x v="652"/>
    <x v="1"/>
    <s v="J-1785/25-26"/>
    <n v="22600"/>
    <m/>
  </r>
  <r>
    <d v="2025-07-29T00:00:00"/>
    <x v="633"/>
    <x v="1"/>
    <s v="J-1786/25-26"/>
    <n v="1110"/>
    <m/>
  </r>
  <r>
    <d v="2025-07-29T00:00:00"/>
    <x v="630"/>
    <x v="1"/>
    <s v="J-1787/25-26"/>
    <n v="33460"/>
    <m/>
  </r>
  <r>
    <d v="2025-07-29T00:00:00"/>
    <x v="46"/>
    <x v="1"/>
    <s v="J-1788/25-26"/>
    <n v="370"/>
    <m/>
  </r>
  <r>
    <d v="2025-07-29T00:00:00"/>
    <x v="653"/>
    <x v="1"/>
    <s v="J-1789/25-26"/>
    <n v="6312"/>
    <m/>
  </r>
  <r>
    <d v="2025-07-29T00:00:00"/>
    <x v="502"/>
    <x v="1"/>
    <s v="J-1790/25-26"/>
    <n v="8100"/>
    <m/>
  </r>
  <r>
    <d v="2025-07-29T00:00:00"/>
    <x v="654"/>
    <x v="1"/>
    <s v="J-1791/25-26"/>
    <n v="43501"/>
    <m/>
  </r>
  <r>
    <d v="2025-07-29T00:00:00"/>
    <x v="655"/>
    <x v="1"/>
    <s v="J-1792/25-26"/>
    <n v="3580"/>
    <m/>
  </r>
  <r>
    <d v="2025-07-29T00:00:00"/>
    <x v="71"/>
    <x v="1"/>
    <s v="J-1793/25-26"/>
    <n v="370"/>
    <m/>
  </r>
  <r>
    <d v="2025-07-29T00:00:00"/>
    <x v="23"/>
    <x v="1"/>
    <s v="J-1794/25-26"/>
    <n v="2936"/>
    <m/>
  </r>
  <r>
    <d v="2025-07-29T00:00:00"/>
    <x v="574"/>
    <x v="1"/>
    <s v="J-1795/25-26"/>
    <n v="9740"/>
    <m/>
  </r>
  <r>
    <d v="2025-07-29T00:00:00"/>
    <x v="622"/>
    <x v="1"/>
    <s v="J-1796/25-26"/>
    <n v="5550"/>
    <m/>
  </r>
  <r>
    <d v="2025-07-29T00:00:00"/>
    <x v="380"/>
    <x v="1"/>
    <s v="J-1797/25-26"/>
    <n v="1410"/>
    <m/>
  </r>
  <r>
    <d v="2025-07-29T00:00:00"/>
    <x v="96"/>
    <x v="1"/>
    <s v="J-1798/25-26"/>
    <n v="37894"/>
    <m/>
  </r>
  <r>
    <d v="2025-07-29T00:00:00"/>
    <x v="11"/>
    <x v="1"/>
    <s v="J-1799/25-26"/>
    <n v="8"/>
    <m/>
  </r>
  <r>
    <d v="2025-07-29T00:00:00"/>
    <x v="656"/>
    <x v="1"/>
    <s v="J-1800/25-26"/>
    <n v="39"/>
    <m/>
  </r>
  <r>
    <d v="2025-07-29T00:00:00"/>
    <x v="524"/>
    <x v="1"/>
    <s v="J-1801/25-26"/>
    <n v="4260"/>
    <m/>
  </r>
  <r>
    <d v="2025-07-29T00:00:00"/>
    <x v="657"/>
    <x v="1"/>
    <s v="J-1802/25-26"/>
    <n v="50"/>
    <m/>
  </r>
  <r>
    <d v="2025-07-29T00:00:00"/>
    <x v="12"/>
    <x v="1"/>
    <s v="J-1803/25-26"/>
    <n v="390"/>
    <m/>
  </r>
  <r>
    <d v="2025-07-30T00:00:00"/>
    <x v="64"/>
    <x v="0"/>
    <s v="JU-292/25-26"/>
    <n v="2550"/>
    <m/>
  </r>
  <r>
    <d v="2025-07-30T00:00:00"/>
    <x v="658"/>
    <x v="0"/>
    <s v="JU-293/25-26"/>
    <n v="39102"/>
    <m/>
  </r>
  <r>
    <d v="2025-07-30T00:00:00"/>
    <x v="659"/>
    <x v="0"/>
    <s v="JU-294/25-26"/>
    <n v="81147"/>
    <m/>
  </r>
  <r>
    <d v="2025-07-30T00:00:00"/>
    <x v="79"/>
    <x v="1"/>
    <s v="J-1804/25-26"/>
    <n v="3600"/>
    <m/>
  </r>
  <r>
    <d v="2025-07-30T00:00:00"/>
    <x v="34"/>
    <x v="1"/>
    <s v="J-1805/25-26"/>
    <n v="11366"/>
    <m/>
  </r>
  <r>
    <d v="2025-07-30T00:00:00"/>
    <x v="660"/>
    <x v="1"/>
    <s v="J-1806/25-26"/>
    <n v="19582"/>
    <m/>
  </r>
  <r>
    <d v="2025-07-30T00:00:00"/>
    <x v="245"/>
    <x v="1"/>
    <s v="J-1807/25-26"/>
    <n v="1153"/>
    <m/>
  </r>
  <r>
    <d v="2025-07-30T00:00:00"/>
    <x v="4"/>
    <x v="1"/>
    <s v="J-1808/25-26"/>
    <n v="5723"/>
    <m/>
  </r>
  <r>
    <d v="2025-07-30T00:00:00"/>
    <x v="142"/>
    <x v="1"/>
    <s v="J-1809/25-26"/>
    <n v="1110"/>
    <m/>
  </r>
  <r>
    <d v="2025-07-30T00:00:00"/>
    <x v="661"/>
    <x v="1"/>
    <s v="J-1810/25-26"/>
    <n v="12812"/>
    <m/>
  </r>
  <r>
    <d v="2025-07-30T00:00:00"/>
    <x v="586"/>
    <x v="1"/>
    <s v="J-1811/25-26"/>
    <n v="300"/>
    <m/>
  </r>
  <r>
    <d v="2025-07-30T00:00:00"/>
    <x v="237"/>
    <x v="1"/>
    <s v="J-1812/25-26"/>
    <n v="1850"/>
    <m/>
  </r>
  <r>
    <d v="2025-07-30T00:00:00"/>
    <x v="662"/>
    <x v="1"/>
    <s v="J-1813/25-26"/>
    <n v="7397"/>
    <m/>
  </r>
  <r>
    <d v="2025-07-30T00:00:00"/>
    <x v="662"/>
    <x v="1"/>
    <s v="J-1814/25-26"/>
    <n v="12470"/>
    <m/>
  </r>
  <r>
    <d v="2025-07-30T00:00:00"/>
    <x v="11"/>
    <x v="1"/>
    <s v="J-1815/25-26"/>
    <n v="12"/>
    <m/>
  </r>
  <r>
    <d v="2025-07-30T00:00:00"/>
    <x v="127"/>
    <x v="1"/>
    <s v="J-1816/25-26"/>
    <n v="15151"/>
    <m/>
  </r>
  <r>
    <d v="2025-07-30T00:00:00"/>
    <x v="71"/>
    <x v="1"/>
    <s v="J-1817/25-26"/>
    <n v="370"/>
    <m/>
  </r>
  <r>
    <d v="2025-07-30T00:00:00"/>
    <x v="23"/>
    <x v="1"/>
    <s v="J-1818/25-26"/>
    <n v="4738"/>
    <m/>
  </r>
  <r>
    <d v="2025-07-30T00:00:00"/>
    <x v="663"/>
    <x v="1"/>
    <s v="J-1819/25-26"/>
    <n v="21266"/>
    <m/>
  </r>
  <r>
    <d v="2025-07-30T00:00:00"/>
    <x v="664"/>
    <x v="1"/>
    <s v="J-1820/25-26"/>
    <n v="14193"/>
    <m/>
  </r>
  <r>
    <d v="2025-07-30T00:00:00"/>
    <x v="266"/>
    <x v="1"/>
    <s v="J-1821/25-26"/>
    <n v="5370"/>
    <m/>
  </r>
  <r>
    <d v="2025-07-30T00:00:00"/>
    <x v="71"/>
    <x v="1"/>
    <s v="J-1822/25-26"/>
    <n v="740"/>
    <m/>
  </r>
  <r>
    <d v="2025-07-30T00:00:00"/>
    <x v="596"/>
    <x v="1"/>
    <s v="J-1823/25-26"/>
    <n v="370"/>
    <m/>
  </r>
  <r>
    <d v="2025-07-30T00:00:00"/>
    <x v="205"/>
    <x v="1"/>
    <s v="J-1824/25-26"/>
    <n v="648"/>
    <m/>
  </r>
  <r>
    <d v="2025-07-30T00:00:00"/>
    <x v="665"/>
    <x v="1"/>
    <s v="J-1825/25-26"/>
    <n v="50"/>
    <m/>
  </r>
  <r>
    <d v="2025-07-31T00:00:00"/>
    <x v="87"/>
    <x v="0"/>
    <s v="JU-295/25-26"/>
    <n v="2330"/>
    <m/>
  </r>
  <r>
    <d v="2025-07-31T00:00:00"/>
    <x v="659"/>
    <x v="0"/>
    <s v="JU-296/25-26"/>
    <n v="96460"/>
    <m/>
  </r>
  <r>
    <d v="2025-07-31T00:00:00"/>
    <x v="29"/>
    <x v="1"/>
    <s v="J-1826/25-26"/>
    <n v="740"/>
    <m/>
  </r>
  <r>
    <d v="2025-07-31T00:00:00"/>
    <x v="666"/>
    <x v="1"/>
    <s v="J-1827/25-26"/>
    <n v="1994"/>
    <m/>
  </r>
  <r>
    <d v="2025-07-31T00:00:00"/>
    <x v="219"/>
    <x v="1"/>
    <s v="J-1828/25-26"/>
    <n v="28522"/>
    <m/>
  </r>
  <r>
    <d v="2025-07-31T00:00:00"/>
    <x v="34"/>
    <x v="1"/>
    <s v="J-1829/25-26"/>
    <n v="14162"/>
    <m/>
  </r>
  <r>
    <d v="2025-07-31T00:00:00"/>
    <x v="445"/>
    <x v="1"/>
    <s v="J-1830/25-26"/>
    <n v="9250"/>
    <m/>
  </r>
  <r>
    <d v="2025-07-31T00:00:00"/>
    <x v="556"/>
    <x v="1"/>
    <s v="J-1831/25-26"/>
    <n v="35810"/>
    <m/>
  </r>
  <r>
    <d v="2025-07-31T00:00:00"/>
    <x v="23"/>
    <x v="1"/>
    <s v="J-1832/25-26"/>
    <n v="69"/>
    <m/>
  </r>
  <r>
    <d v="2025-07-31T00:00:00"/>
    <x v="11"/>
    <x v="1"/>
    <s v="J-1833/25-26"/>
    <n v="1210"/>
    <m/>
  </r>
  <r>
    <d v="2025-07-31T00:00:00"/>
    <x v="211"/>
    <x v="1"/>
    <s v="J-1834/25-26"/>
    <n v="3518"/>
    <m/>
  </r>
  <r>
    <d v="2025-07-31T00:00:00"/>
    <x v="69"/>
    <x v="1"/>
    <s v="J-1835/25-26"/>
    <n v="17020"/>
    <m/>
  </r>
  <r>
    <d v="2025-07-31T00:00:00"/>
    <x v="599"/>
    <x v="1"/>
    <s v="J-1836/25-26"/>
    <n v="1850"/>
    <m/>
  </r>
  <r>
    <d v="2025-08-01T00:00:00"/>
    <x v="290"/>
    <x v="0"/>
    <s v="JU-297/25-26"/>
    <n v="15990"/>
    <m/>
  </r>
  <r>
    <d v="2025-08-01T00:00:00"/>
    <x v="64"/>
    <x v="0"/>
    <s v="JU-298/25-26"/>
    <n v="4701"/>
    <m/>
  </r>
  <r>
    <d v="2025-08-01T00:00:00"/>
    <x v="16"/>
    <x v="0"/>
    <s v="JU-299/25-26"/>
    <n v="14800"/>
    <m/>
  </r>
  <r>
    <d v="2025-08-01T00:00:00"/>
    <x v="667"/>
    <x v="1"/>
    <s v="J-1837/25-26"/>
    <n v="4303"/>
    <m/>
  </r>
  <r>
    <d v="2025-08-01T00:00:00"/>
    <x v="622"/>
    <x v="1"/>
    <s v="J-1838/25-26"/>
    <n v="7767"/>
    <m/>
  </r>
  <r>
    <d v="2025-08-01T00:00:00"/>
    <x v="524"/>
    <x v="1"/>
    <s v="J-1839/25-26"/>
    <n v="1110"/>
    <m/>
  </r>
  <r>
    <d v="2025-08-01T00:00:00"/>
    <x v="348"/>
    <x v="1"/>
    <s v="J-1840/25-26"/>
    <n v="15043"/>
    <m/>
  </r>
  <r>
    <d v="2025-08-01T00:00:00"/>
    <x v="245"/>
    <x v="1"/>
    <s v="J-1841/25-26"/>
    <n v="714"/>
    <m/>
  </r>
  <r>
    <d v="2025-08-01T00:00:00"/>
    <x v="266"/>
    <x v="1"/>
    <s v="J-1842/25-26"/>
    <n v="7400"/>
    <m/>
  </r>
  <r>
    <d v="2025-08-01T00:00:00"/>
    <x v="23"/>
    <x v="1"/>
    <s v="J-1843/25-26"/>
    <n v="1560"/>
    <m/>
  </r>
  <r>
    <d v="2025-08-01T00:00:00"/>
    <x v="237"/>
    <x v="1"/>
    <s v="J-1844/25-26"/>
    <n v="1850"/>
    <m/>
  </r>
  <r>
    <d v="2025-08-01T00:00:00"/>
    <x v="625"/>
    <x v="1"/>
    <s v="J-1845/25-26"/>
    <n v="30055"/>
    <m/>
  </r>
  <r>
    <d v="2025-08-01T00:00:00"/>
    <x v="248"/>
    <x v="1"/>
    <s v="J-1846/25-26"/>
    <n v="18114"/>
    <m/>
  </r>
  <r>
    <d v="2025-08-01T00:00:00"/>
    <x v="668"/>
    <x v="1"/>
    <s v="J-1847/25-26"/>
    <n v="7455"/>
    <m/>
  </r>
  <r>
    <d v="2025-08-01T00:00:00"/>
    <x v="596"/>
    <x v="1"/>
    <s v="J-1848/25-26"/>
    <n v="370"/>
    <m/>
  </r>
  <r>
    <d v="2025-08-01T00:00:00"/>
    <x v="322"/>
    <x v="1"/>
    <s v="J-1849/25-26"/>
    <n v="7795"/>
    <m/>
  </r>
  <r>
    <d v="2025-08-01T00:00:00"/>
    <x v="210"/>
    <x v="1"/>
    <s v="J-1850/25-26"/>
    <n v="1734"/>
    <m/>
  </r>
  <r>
    <d v="2025-08-01T00:00:00"/>
    <x v="385"/>
    <x v="1"/>
    <s v="J-1851/25-26"/>
    <n v="3086"/>
    <m/>
  </r>
  <r>
    <d v="2025-08-01T00:00:00"/>
    <x v="4"/>
    <x v="1"/>
    <s v="J-1852/25-26"/>
    <n v="2510"/>
    <m/>
  </r>
  <r>
    <d v="2025-08-01T00:00:00"/>
    <x v="11"/>
    <x v="1"/>
    <s v="J-1853/25-26"/>
    <n v="4945"/>
    <m/>
  </r>
  <r>
    <d v="2025-08-01T00:00:00"/>
    <x v="669"/>
    <x v="1"/>
    <s v="J-1854/25-26"/>
    <n v="5216"/>
    <m/>
  </r>
  <r>
    <d v="2025-08-01T00:00:00"/>
    <x v="172"/>
    <x v="1"/>
    <s v="J-1855/25-26"/>
    <n v="260"/>
    <m/>
  </r>
  <r>
    <d v="2025-08-02T00:00:00"/>
    <x v="670"/>
    <x v="0"/>
    <s v="JU-300/25-26"/>
    <n v="3010"/>
    <m/>
  </r>
  <r>
    <d v="2025-08-02T00:00:00"/>
    <x v="290"/>
    <x v="0"/>
    <s v="JU-301/25-26"/>
    <n v="7400"/>
    <m/>
  </r>
  <r>
    <d v="2025-08-02T00:00:00"/>
    <x v="671"/>
    <x v="0"/>
    <s v="JU-302/25-26"/>
    <n v="48224"/>
    <m/>
  </r>
  <r>
    <d v="2025-08-02T00:00:00"/>
    <x v="305"/>
    <x v="0"/>
    <s v="JU-303/25-26"/>
    <n v="2000"/>
    <m/>
  </r>
  <r>
    <d v="2025-08-02T00:00:00"/>
    <x v="658"/>
    <x v="0"/>
    <s v="JU-304/25-26"/>
    <n v="12722"/>
    <m/>
  </r>
  <r>
    <d v="2025-08-02T00:00:00"/>
    <x v="11"/>
    <x v="1"/>
    <s v="J-1856/25-26"/>
    <n v="12"/>
    <m/>
  </r>
  <r>
    <d v="2025-08-02T00:00:00"/>
    <x v="487"/>
    <x v="1"/>
    <s v="J-1857/25-26"/>
    <n v="740"/>
    <m/>
  </r>
  <r>
    <d v="2025-08-02T00:00:00"/>
    <x v="625"/>
    <x v="1"/>
    <s v="J-1858/25-26"/>
    <n v="3210"/>
    <m/>
  </r>
  <r>
    <d v="2025-08-02T00:00:00"/>
    <x v="34"/>
    <x v="1"/>
    <s v="J-1859/25-26"/>
    <n v="1274"/>
    <m/>
  </r>
  <r>
    <d v="2025-08-02T00:00:00"/>
    <x v="672"/>
    <x v="1"/>
    <s v="J-1860/25-26"/>
    <n v="17130"/>
    <m/>
  </r>
  <r>
    <d v="2025-08-02T00:00:00"/>
    <x v="163"/>
    <x v="1"/>
    <s v="J-1861/25-26"/>
    <n v="3666"/>
    <m/>
  </r>
  <r>
    <d v="2025-08-02T00:00:00"/>
    <x v="385"/>
    <x v="1"/>
    <s v="J-1862/25-26"/>
    <n v="13302"/>
    <m/>
  </r>
  <r>
    <d v="2025-08-02T00:00:00"/>
    <x v="330"/>
    <x v="1"/>
    <s v="J-1863/25-26"/>
    <n v="20"/>
    <m/>
  </r>
  <r>
    <d v="2025-08-02T00:00:00"/>
    <x v="266"/>
    <x v="1"/>
    <s v="J-1864/25-26"/>
    <n v="3700"/>
    <m/>
  </r>
  <r>
    <d v="2025-08-02T00:00:00"/>
    <x v="348"/>
    <x v="1"/>
    <s v="J-1865/25-26"/>
    <n v="21090"/>
    <m/>
  </r>
  <r>
    <d v="2025-08-02T00:00:00"/>
    <x v="23"/>
    <x v="1"/>
    <s v="J-1866/25-26"/>
    <n v="14551"/>
    <m/>
  </r>
  <r>
    <d v="2025-08-02T00:00:00"/>
    <x v="556"/>
    <x v="1"/>
    <s v="J-1867/25-26"/>
    <n v="33182"/>
    <m/>
  </r>
  <r>
    <d v="2025-08-02T00:00:00"/>
    <x v="322"/>
    <x v="1"/>
    <s v="J-1868/25-26"/>
    <n v="705"/>
    <m/>
  </r>
  <r>
    <d v="2025-08-02T00:00:00"/>
    <x v="672"/>
    <x v="1"/>
    <s v="J-1869/25-26"/>
    <n v="2907"/>
    <m/>
  </r>
  <r>
    <d v="2025-08-02T00:00:00"/>
    <x v="669"/>
    <x v="1"/>
    <s v="J-1870/25-26"/>
    <n v="962"/>
    <m/>
  </r>
  <r>
    <d v="2025-08-02T00:00:00"/>
    <x v="11"/>
    <x v="1"/>
    <s v="J-1871/25-26"/>
    <n v="370"/>
    <m/>
  </r>
  <r>
    <d v="2025-08-02T00:00:00"/>
    <x v="248"/>
    <x v="1"/>
    <s v="J-1872/25-26"/>
    <n v="4228"/>
    <m/>
  </r>
  <r>
    <d v="2025-08-02T00:00:00"/>
    <x v="370"/>
    <x v="1"/>
    <s v="J-1873/25-26"/>
    <n v="323"/>
    <m/>
  </r>
  <r>
    <d v="2025-08-02T00:00:00"/>
    <x v="8"/>
    <x v="1"/>
    <s v="J-1874/25-26"/>
    <n v="3160"/>
    <m/>
  </r>
  <r>
    <d v="2025-08-02T00:00:00"/>
    <x v="440"/>
    <x v="1"/>
    <s v="J-1875/25-26"/>
    <n v="370"/>
    <m/>
  </r>
  <r>
    <d v="2025-08-02T00:00:00"/>
    <x v="673"/>
    <x v="1"/>
    <s v="J-1876/25-26"/>
    <n v="1223"/>
    <m/>
  </r>
  <r>
    <d v="2025-08-02T00:00:00"/>
    <x v="385"/>
    <x v="1"/>
    <s v="J-1877/25-26"/>
    <n v="916"/>
    <m/>
  </r>
  <r>
    <d v="2025-08-02T00:00:00"/>
    <x v="3"/>
    <x v="1"/>
    <s v="J-1878/25-26"/>
    <n v="476"/>
    <m/>
  </r>
  <r>
    <d v="2025-08-04T00:00:00"/>
    <x v="336"/>
    <x v="0"/>
    <s v="JU-305/25-26"/>
    <n v="2220"/>
    <m/>
  </r>
  <r>
    <d v="2025-08-04T00:00:00"/>
    <x v="305"/>
    <x v="0"/>
    <s v="JU-306/25-26"/>
    <n v="15363"/>
    <m/>
  </r>
  <r>
    <d v="2025-08-04T00:00:00"/>
    <x v="439"/>
    <x v="0"/>
    <s v="JU-307/25-26"/>
    <n v="5405"/>
    <m/>
  </r>
  <r>
    <d v="2025-08-04T00:00:00"/>
    <x v="290"/>
    <x v="0"/>
    <s v="JU-308/25-26"/>
    <n v="6587"/>
    <m/>
  </r>
  <r>
    <d v="2025-08-04T00:00:00"/>
    <x v="64"/>
    <x v="0"/>
    <s v="JU-309/25-26"/>
    <n v="103650"/>
    <m/>
  </r>
  <r>
    <d v="2025-08-04T00:00:00"/>
    <x v="392"/>
    <x v="0"/>
    <s v="JU-310/25-26"/>
    <n v="6590"/>
    <m/>
  </r>
  <r>
    <d v="2025-08-04T00:00:00"/>
    <x v="571"/>
    <x v="0"/>
    <s v="JU-311/25-26"/>
    <n v="9881"/>
    <m/>
  </r>
  <r>
    <d v="2025-08-04T00:00:00"/>
    <x v="12"/>
    <x v="1"/>
    <s v="J-1879/25-26"/>
    <n v="740"/>
    <m/>
  </r>
  <r>
    <d v="2025-08-04T00:00:00"/>
    <x v="622"/>
    <x v="1"/>
    <s v="J-1880/25-26"/>
    <n v="6660"/>
    <m/>
  </r>
  <r>
    <d v="2025-08-04T00:00:00"/>
    <x v="71"/>
    <x v="1"/>
    <s v="J-1881/25-26"/>
    <n v="740"/>
    <m/>
  </r>
  <r>
    <d v="2025-08-04T00:00:00"/>
    <x v="322"/>
    <x v="1"/>
    <s v="J-1882/25-26"/>
    <n v="393"/>
    <m/>
  </r>
  <r>
    <d v="2025-08-04T00:00:00"/>
    <x v="29"/>
    <x v="1"/>
    <s v="J-1883/25-26"/>
    <n v="370"/>
    <m/>
  </r>
  <r>
    <d v="2025-08-04T00:00:00"/>
    <x v="79"/>
    <x v="1"/>
    <s v="J-1884/25-26"/>
    <n v="1500"/>
    <m/>
  </r>
  <r>
    <d v="2025-08-04T00:00:00"/>
    <x v="595"/>
    <x v="1"/>
    <s v="J-1885/25-26"/>
    <n v="1300"/>
    <m/>
  </r>
  <r>
    <d v="2025-08-04T00:00:00"/>
    <x v="23"/>
    <x v="1"/>
    <s v="J-1886/25-26"/>
    <n v="4916"/>
    <m/>
  </r>
  <r>
    <d v="2025-08-04T00:00:00"/>
    <x v="674"/>
    <x v="1"/>
    <s v="J-1887/25-26"/>
    <n v="2762"/>
    <m/>
  </r>
  <r>
    <d v="2025-08-04T00:00:00"/>
    <x v="653"/>
    <x v="1"/>
    <s v="J-1888/25-26"/>
    <n v="260"/>
    <m/>
  </r>
  <r>
    <d v="2025-08-04T00:00:00"/>
    <x v="8"/>
    <x v="1"/>
    <s v="J-1889/25-26"/>
    <n v="675"/>
    <m/>
  </r>
  <r>
    <d v="2025-08-04T00:00:00"/>
    <x v="675"/>
    <x v="1"/>
    <s v="J-1890/25-26"/>
    <n v="450"/>
    <m/>
  </r>
  <r>
    <d v="2025-08-04T00:00:00"/>
    <x v="11"/>
    <x v="1"/>
    <s v="J-1891/25-26"/>
    <n v="910"/>
    <m/>
  </r>
  <r>
    <d v="2025-08-04T00:00:00"/>
    <x v="676"/>
    <x v="1"/>
    <s v="J-1892/25-26"/>
    <n v="18153"/>
    <m/>
  </r>
  <r>
    <d v="2025-08-04T00:00:00"/>
    <x v="677"/>
    <x v="1"/>
    <s v="J-1893/25-26"/>
    <n v="1573"/>
    <m/>
  </r>
  <r>
    <d v="2025-08-04T00:00:00"/>
    <x v="322"/>
    <x v="1"/>
    <s v="J-1894/25-26"/>
    <n v="955"/>
    <m/>
  </r>
  <r>
    <d v="2025-08-04T00:00:00"/>
    <x v="676"/>
    <x v="1"/>
    <s v="J-1895/25-26"/>
    <n v="690"/>
    <m/>
  </r>
  <r>
    <d v="2025-08-04T00:00:00"/>
    <x v="8"/>
    <x v="1"/>
    <s v="J-1896/25-26"/>
    <n v="520"/>
    <m/>
  </r>
  <r>
    <d v="2025-08-04T00:00:00"/>
    <x v="385"/>
    <x v="1"/>
    <s v="J-1897/25-26"/>
    <n v="12500"/>
    <m/>
  </r>
  <r>
    <d v="2025-08-04T00:00:00"/>
    <x v="154"/>
    <x v="1"/>
    <s v="J-1898/25-26"/>
    <n v="12567"/>
    <m/>
  </r>
  <r>
    <d v="2025-08-04T00:00:00"/>
    <x v="154"/>
    <x v="1"/>
    <s v="J-1899/25-26"/>
    <n v="435"/>
    <m/>
  </r>
  <r>
    <d v="2025-08-04T00:00:00"/>
    <x v="117"/>
    <x v="1"/>
    <s v="J-1900/25-26"/>
    <n v="670"/>
    <m/>
  </r>
  <r>
    <d v="2025-08-04T00:00:00"/>
    <x v="678"/>
    <x v="1"/>
    <s v="J-1901/25-26"/>
    <n v="8918"/>
    <m/>
  </r>
  <r>
    <d v="2025-08-05T00:00:00"/>
    <x v="588"/>
    <x v="0"/>
    <s v="JU-312/25-26"/>
    <n v="96440"/>
    <m/>
  </r>
  <r>
    <d v="2025-08-05T00:00:00"/>
    <x v="158"/>
    <x v="0"/>
    <s v="JU-313/25-26"/>
    <n v="14946"/>
    <m/>
  </r>
  <r>
    <d v="2025-08-05T00:00:00"/>
    <x v="475"/>
    <x v="0"/>
    <s v="JU-314/25-26"/>
    <n v="17233"/>
    <m/>
  </r>
  <r>
    <d v="2025-08-05T00:00:00"/>
    <x v="297"/>
    <x v="1"/>
    <s v="J-1902/25-26"/>
    <n v="11100"/>
    <m/>
  </r>
  <r>
    <d v="2025-08-05T00:00:00"/>
    <x v="679"/>
    <x v="1"/>
    <s v="J-1903/25-26"/>
    <n v="740"/>
    <m/>
  </r>
  <r>
    <d v="2025-08-05T00:00:00"/>
    <x v="69"/>
    <x v="1"/>
    <s v="J-1904/25-26"/>
    <n v="22100"/>
    <m/>
  </r>
  <r>
    <d v="2025-08-05T00:00:00"/>
    <x v="20"/>
    <x v="1"/>
    <s v="J-1905/25-26"/>
    <n v="130"/>
    <m/>
  </r>
  <r>
    <d v="2025-08-05T00:00:00"/>
    <x v="127"/>
    <x v="1"/>
    <s v="J-1906/25-26"/>
    <n v="720"/>
    <m/>
  </r>
  <r>
    <d v="2025-08-05T00:00:00"/>
    <x v="680"/>
    <x v="1"/>
    <s v="J-1907/25-26"/>
    <n v="65"/>
    <m/>
  </r>
  <r>
    <d v="2025-08-05T00:00:00"/>
    <x v="11"/>
    <x v="1"/>
    <s v="J-1908/25-26"/>
    <n v="25"/>
    <m/>
  </r>
  <r>
    <d v="2025-08-06T00:00:00"/>
    <x v="290"/>
    <x v="0"/>
    <s v="JU-315/25-26"/>
    <n v="5344"/>
    <m/>
  </r>
  <r>
    <d v="2025-08-06T00:00:00"/>
    <x v="681"/>
    <x v="0"/>
    <s v="JU-316/25-26"/>
    <n v="2125"/>
    <m/>
  </r>
  <r>
    <d v="2025-08-06T00:00:00"/>
    <x v="168"/>
    <x v="0"/>
    <s v="JU-317/25-26"/>
    <n v="74080"/>
    <m/>
  </r>
  <r>
    <d v="2025-08-06T00:00:00"/>
    <x v="265"/>
    <x v="0"/>
    <s v="JU-318/25-26"/>
    <n v="16540"/>
    <m/>
  </r>
  <r>
    <d v="2025-08-06T00:00:00"/>
    <x v="439"/>
    <x v="0"/>
    <s v="JU-319/25-26"/>
    <n v="84910"/>
    <m/>
  </r>
  <r>
    <d v="2025-08-06T00:00:00"/>
    <x v="571"/>
    <x v="0"/>
    <s v="JU-320/25-26"/>
    <n v="15132"/>
    <m/>
  </r>
  <r>
    <d v="2025-08-06T00:00:00"/>
    <x v="671"/>
    <x v="0"/>
    <s v="JU-321/25-26"/>
    <n v="59234"/>
    <m/>
  </r>
  <r>
    <d v="2025-08-06T00:00:00"/>
    <x v="104"/>
    <x v="1"/>
    <s v="J-1909/25-26"/>
    <n v="128"/>
    <m/>
  </r>
  <r>
    <d v="2025-08-06T00:00:00"/>
    <x v="227"/>
    <x v="1"/>
    <s v="J-1910/25-26"/>
    <n v="5227"/>
    <m/>
  </r>
  <r>
    <d v="2025-08-06T00:00:00"/>
    <x v="524"/>
    <x v="1"/>
    <s v="J-1911/25-26"/>
    <n v="1850"/>
    <m/>
  </r>
  <r>
    <d v="2025-08-06T00:00:00"/>
    <x v="380"/>
    <x v="1"/>
    <s v="J-1912/25-26"/>
    <n v="1730"/>
    <m/>
  </r>
  <r>
    <d v="2025-08-06T00:00:00"/>
    <x v="12"/>
    <x v="1"/>
    <s v="J-1913/25-26"/>
    <n v="4184"/>
    <m/>
  </r>
  <r>
    <d v="2025-08-06T00:00:00"/>
    <x v="142"/>
    <x v="1"/>
    <s v="J-1914/25-26"/>
    <n v="370"/>
    <m/>
  </r>
  <r>
    <d v="2025-08-06T00:00:00"/>
    <x v="502"/>
    <x v="1"/>
    <s v="J-1915/25-26"/>
    <n v="5687"/>
    <m/>
  </r>
  <r>
    <d v="2025-08-06T00:00:00"/>
    <x v="70"/>
    <x v="1"/>
    <s v="J-1916/25-26"/>
    <n v="12800"/>
    <m/>
  </r>
  <r>
    <d v="2025-08-06T00:00:00"/>
    <x v="348"/>
    <x v="1"/>
    <s v="J-1917/25-26"/>
    <n v="2820"/>
    <m/>
  </r>
  <r>
    <d v="2025-08-06T00:00:00"/>
    <x v="322"/>
    <x v="1"/>
    <s v="J-1918/25-26"/>
    <n v="641"/>
    <m/>
  </r>
  <r>
    <d v="2025-08-06T00:00:00"/>
    <x v="11"/>
    <x v="1"/>
    <s v="J-1919/25-26"/>
    <n v="3229"/>
    <m/>
  </r>
  <r>
    <d v="2025-08-06T00:00:00"/>
    <x v="11"/>
    <x v="1"/>
    <s v="J-1920/25-26"/>
    <n v="8"/>
    <m/>
  </r>
  <r>
    <d v="2025-08-06T00:00:00"/>
    <x v="25"/>
    <x v="1"/>
    <s v="J-1921/25-26"/>
    <n v="1110"/>
    <m/>
  </r>
  <r>
    <d v="2025-08-06T00:00:00"/>
    <x v="159"/>
    <x v="1"/>
    <s v="J-1922/25-26"/>
    <n v="1850"/>
    <m/>
  </r>
  <r>
    <d v="2025-08-06T00:00:00"/>
    <x v="11"/>
    <x v="1"/>
    <s v="J-1923/25-26"/>
    <n v="12"/>
    <m/>
  </r>
  <r>
    <d v="2025-08-06T00:00:00"/>
    <x v="11"/>
    <x v="1"/>
    <s v="J-1924/25-26"/>
    <n v="1121"/>
    <m/>
  </r>
  <r>
    <d v="2025-08-06T00:00:00"/>
    <x v="370"/>
    <x v="1"/>
    <s v="J-1925/25-26"/>
    <n v="359"/>
    <m/>
  </r>
  <r>
    <d v="2025-08-06T00:00:00"/>
    <x v="11"/>
    <x v="1"/>
    <s v="J-1926/25-26"/>
    <n v="370"/>
    <m/>
  </r>
  <r>
    <d v="2025-08-06T00:00:00"/>
    <x v="682"/>
    <x v="1"/>
    <s v="J-1927/25-26"/>
    <n v="2631"/>
    <m/>
  </r>
  <r>
    <d v="2025-08-06T00:00:00"/>
    <x v="683"/>
    <x v="1"/>
    <s v="J-1928/25-26"/>
    <n v="51700"/>
    <m/>
  </r>
  <r>
    <d v="2025-08-06T00:00:00"/>
    <x v="11"/>
    <x v="1"/>
    <s v="J-1929/25-26"/>
    <n v="2194"/>
    <m/>
  </r>
  <r>
    <d v="2025-08-06T00:00:00"/>
    <x v="684"/>
    <x v="1"/>
    <s v="J-1930/25-26"/>
    <n v="3847"/>
    <m/>
  </r>
  <r>
    <d v="2025-08-06T00:00:00"/>
    <x v="685"/>
    <x v="1"/>
    <s v="J-1931/25-26"/>
    <n v="49721"/>
    <m/>
  </r>
  <r>
    <d v="2025-08-06T00:00:00"/>
    <x v="46"/>
    <x v="1"/>
    <s v="J-1932/25-26"/>
    <n v="740"/>
    <m/>
  </r>
  <r>
    <d v="2025-08-06T00:00:00"/>
    <x v="686"/>
    <x v="1"/>
    <s v="J-1933/25-26"/>
    <n v="3350"/>
    <m/>
  </r>
  <r>
    <d v="2025-08-07T00:00:00"/>
    <x v="671"/>
    <x v="0"/>
    <s v="JU-322/25-26"/>
    <n v="2790"/>
    <m/>
  </r>
  <r>
    <d v="2025-08-07T00:00:00"/>
    <x v="11"/>
    <x v="1"/>
    <s v="J-1934/25-26"/>
    <n v="370"/>
    <m/>
  </r>
  <r>
    <d v="2025-08-07T00:00:00"/>
    <x v="43"/>
    <x v="1"/>
    <s v="J-1935/25-26"/>
    <n v="16625"/>
    <m/>
  </r>
  <r>
    <d v="2025-08-07T00:00:00"/>
    <x v="660"/>
    <x v="1"/>
    <s v="J-1936/25-26"/>
    <n v="107415"/>
    <m/>
  </r>
  <r>
    <d v="2025-08-07T00:00:00"/>
    <x v="348"/>
    <x v="1"/>
    <s v="J-1937/25-26"/>
    <n v="90"/>
    <m/>
  </r>
  <r>
    <d v="2025-08-07T00:00:00"/>
    <x v="23"/>
    <x v="1"/>
    <s v="J-1938/25-26"/>
    <n v="60"/>
    <m/>
  </r>
  <r>
    <d v="2025-08-07T00:00:00"/>
    <x v="163"/>
    <x v="1"/>
    <s v="J-1939/25-26"/>
    <n v="130"/>
    <m/>
  </r>
  <r>
    <d v="2025-08-07T00:00:00"/>
    <x v="34"/>
    <x v="1"/>
    <s v="J-1940/25-26"/>
    <n v="23875"/>
    <m/>
  </r>
  <r>
    <d v="2025-08-07T00:00:00"/>
    <x v="11"/>
    <x v="1"/>
    <s v="J-1941/25-26"/>
    <n v="1012"/>
    <m/>
  </r>
  <r>
    <d v="2025-08-07T00:00:00"/>
    <x v="687"/>
    <x v="1"/>
    <s v="J-1942/25-26"/>
    <n v="12326"/>
    <m/>
  </r>
  <r>
    <d v="2025-08-07T00:00:00"/>
    <x v="622"/>
    <x v="1"/>
    <s v="J-1943/25-26"/>
    <n v="5920"/>
    <m/>
  </r>
  <r>
    <d v="2025-08-07T00:00:00"/>
    <x v="688"/>
    <x v="1"/>
    <s v="J-1944/25-26"/>
    <n v="8720"/>
    <m/>
  </r>
  <r>
    <d v="2025-08-07T00:00:00"/>
    <x v="159"/>
    <x v="1"/>
    <s v="J-1945/25-26"/>
    <n v="29624"/>
    <m/>
  </r>
  <r>
    <d v="2025-08-07T00:00:00"/>
    <x v="603"/>
    <x v="1"/>
    <s v="J-1946/25-26"/>
    <n v="6862"/>
    <m/>
  </r>
  <r>
    <d v="2025-08-07T00:00:00"/>
    <x v="173"/>
    <x v="1"/>
    <s v="J-1947/25-26"/>
    <n v="1456"/>
    <m/>
  </r>
  <r>
    <d v="2025-08-07T00:00:00"/>
    <x v="566"/>
    <x v="1"/>
    <s v="J-1948/25-26"/>
    <n v="6840"/>
    <m/>
  </r>
  <r>
    <d v="2025-08-07T00:00:00"/>
    <x v="11"/>
    <x v="1"/>
    <s v="J-1949/25-26"/>
    <n v="12"/>
    <m/>
  </r>
  <r>
    <d v="2025-08-08T00:00:00"/>
    <x v="689"/>
    <x v="0"/>
    <s v="JU-323/25-26"/>
    <n v="105798"/>
    <m/>
  </r>
  <r>
    <d v="2025-08-08T00:00:00"/>
    <x v="690"/>
    <x v="0"/>
    <s v="JU-324/25-26"/>
    <n v="15990"/>
    <m/>
  </r>
  <r>
    <d v="2025-08-08T00:00:00"/>
    <x v="658"/>
    <x v="0"/>
    <s v="JU-325/25-26"/>
    <n v="12452"/>
    <m/>
  </r>
  <r>
    <d v="2025-08-08T00:00:00"/>
    <x v="691"/>
    <x v="0"/>
    <s v="JU-326/25-26"/>
    <n v="1966"/>
    <m/>
  </r>
  <r>
    <d v="2025-08-08T00:00:00"/>
    <x v="0"/>
    <x v="0"/>
    <s v="JU-327/25-26"/>
    <n v="1291"/>
    <m/>
  </r>
  <r>
    <d v="2025-08-08T00:00:00"/>
    <x v="290"/>
    <x v="0"/>
    <s v="JU-328/25-26"/>
    <n v="8971"/>
    <m/>
  </r>
  <r>
    <d v="2025-08-08T00:00:00"/>
    <x v="11"/>
    <x v="1"/>
    <s v="J-1950/25-26"/>
    <n v="5550"/>
    <m/>
  </r>
  <r>
    <d v="2025-08-08T00:00:00"/>
    <x v="221"/>
    <x v="1"/>
    <s v="J-1951/25-26"/>
    <n v="7448"/>
    <m/>
  </r>
  <r>
    <d v="2025-08-08T00:00:00"/>
    <x v="685"/>
    <x v="1"/>
    <s v="J-1952/25-26"/>
    <n v="3757"/>
    <m/>
  </r>
  <r>
    <d v="2025-08-08T00:00:00"/>
    <x v="692"/>
    <x v="1"/>
    <s v="J-1953/25-26"/>
    <n v="16514"/>
    <m/>
  </r>
  <r>
    <d v="2025-08-08T00:00:00"/>
    <x v="119"/>
    <x v="1"/>
    <s v="J-1954/25-26"/>
    <n v="3700"/>
    <m/>
  </r>
  <r>
    <d v="2025-08-08T00:00:00"/>
    <x v="12"/>
    <x v="1"/>
    <s v="J-1955/25-26"/>
    <n v="740"/>
    <m/>
  </r>
  <r>
    <d v="2025-08-08T00:00:00"/>
    <x v="161"/>
    <x v="1"/>
    <s v="J-1956/25-26"/>
    <n v="740"/>
    <m/>
  </r>
  <r>
    <d v="2025-08-08T00:00:00"/>
    <x v="627"/>
    <x v="1"/>
    <s v="J-1957/25-26"/>
    <n v="2090"/>
    <m/>
  </r>
  <r>
    <d v="2025-08-08T00:00:00"/>
    <x v="630"/>
    <x v="1"/>
    <s v="J-1958/25-26"/>
    <n v="9195"/>
    <m/>
  </r>
  <r>
    <d v="2025-08-08T00:00:00"/>
    <x v="693"/>
    <x v="1"/>
    <s v="J-1959/25-26"/>
    <n v="5853"/>
    <m/>
  </r>
  <r>
    <d v="2025-08-08T00:00:00"/>
    <x v="694"/>
    <x v="1"/>
    <s v="J-1960/25-26"/>
    <n v="11402"/>
    <m/>
  </r>
  <r>
    <d v="2025-08-08T00:00:00"/>
    <x v="8"/>
    <x v="1"/>
    <s v="J-1961/25-26"/>
    <n v="1612"/>
    <m/>
  </r>
  <r>
    <d v="2025-08-08T00:00:00"/>
    <x v="471"/>
    <x v="1"/>
    <s v="J-1962/25-26"/>
    <n v="8795"/>
    <m/>
  </r>
  <r>
    <d v="2025-08-08T00:00:00"/>
    <x v="119"/>
    <x v="1"/>
    <s v="J-1963/25-26"/>
    <n v="18120"/>
    <m/>
  </r>
  <r>
    <d v="2025-08-08T00:00:00"/>
    <x v="445"/>
    <x v="1"/>
    <s v="J-1964/25-26"/>
    <n v="14230"/>
    <m/>
  </r>
  <r>
    <d v="2025-08-08T00:00:00"/>
    <x v="173"/>
    <x v="1"/>
    <s v="J-1965/25-26"/>
    <n v="60"/>
    <m/>
  </r>
  <r>
    <d v="2025-08-08T00:00:00"/>
    <x v="695"/>
    <x v="1"/>
    <s v="J-1966/25-26"/>
    <n v="6623"/>
    <m/>
  </r>
  <r>
    <d v="2025-08-08T00:00:00"/>
    <x v="440"/>
    <x v="1"/>
    <s v="J-1967/25-26"/>
    <n v="370"/>
    <m/>
  </r>
  <r>
    <d v="2025-08-09T00:00:00"/>
    <x v="305"/>
    <x v="0"/>
    <s v="JU-329/25-26"/>
    <n v="44204"/>
    <m/>
  </r>
  <r>
    <d v="2025-08-09T00:00:00"/>
    <x v="689"/>
    <x v="0"/>
    <s v="JU-330/25-26"/>
    <n v="18500"/>
    <m/>
  </r>
  <r>
    <d v="2025-08-09T00:00:00"/>
    <x v="671"/>
    <x v="0"/>
    <s v="JU-331/25-26"/>
    <n v="12817"/>
    <m/>
  </r>
  <r>
    <d v="2025-08-09T00:00:00"/>
    <x v="290"/>
    <x v="0"/>
    <s v="JU-332/25-26"/>
    <n v="9250"/>
    <m/>
  </r>
  <r>
    <d v="2025-08-09T00:00:00"/>
    <x v="16"/>
    <x v="0"/>
    <s v="JU-333/25-26"/>
    <n v="14025"/>
    <m/>
  </r>
  <r>
    <d v="2025-08-09T00:00:00"/>
    <x v="385"/>
    <x v="1"/>
    <s v="J-1968/25-26"/>
    <n v="1110"/>
    <m/>
  </r>
  <r>
    <d v="2025-08-09T00:00:00"/>
    <x v="23"/>
    <x v="1"/>
    <s v="J-1969/25-26"/>
    <n v="2960"/>
    <m/>
  </r>
  <r>
    <d v="2025-08-09T00:00:00"/>
    <x v="161"/>
    <x v="1"/>
    <s v="J-1970/25-26"/>
    <n v="370"/>
    <m/>
  </r>
  <r>
    <d v="2025-08-09T00:00:00"/>
    <x v="692"/>
    <x v="1"/>
    <s v="J-1971/25-26"/>
    <n v="20970"/>
    <m/>
  </r>
  <r>
    <d v="2025-08-09T00:00:00"/>
    <x v="11"/>
    <x v="1"/>
    <s v="J-1972/25-26"/>
    <n v="12"/>
    <m/>
  </r>
  <r>
    <d v="2025-08-09T00:00:00"/>
    <x v="170"/>
    <x v="1"/>
    <s v="J-1973/25-26"/>
    <n v="21620"/>
    <m/>
  </r>
  <r>
    <d v="2025-08-09T00:00:00"/>
    <x v="11"/>
    <x v="1"/>
    <s v="J-1974/25-26"/>
    <n v="1110"/>
    <m/>
  </r>
  <r>
    <d v="2025-08-09T00:00:00"/>
    <x v="660"/>
    <x v="1"/>
    <s v="J-1975/25-26"/>
    <n v="3257"/>
    <m/>
  </r>
  <r>
    <d v="2025-08-09T00:00:00"/>
    <x v="12"/>
    <x v="1"/>
    <s v="J-1976/25-26"/>
    <n v="740"/>
    <m/>
  </r>
  <r>
    <d v="2025-08-09T00:00:00"/>
    <x v="556"/>
    <x v="1"/>
    <s v="J-1977/25-26"/>
    <n v="2000"/>
    <m/>
  </r>
  <r>
    <d v="2025-08-09T00:00:00"/>
    <x v="11"/>
    <x v="1"/>
    <s v="J-1978/25-26"/>
    <n v="675"/>
    <m/>
  </r>
  <r>
    <d v="2025-08-09T00:00:00"/>
    <x v="625"/>
    <x v="1"/>
    <s v="J-1979/25-26"/>
    <n v="3320"/>
    <m/>
  </r>
  <r>
    <d v="2025-08-09T00:00:00"/>
    <x v="694"/>
    <x v="1"/>
    <s v="J-1980/25-26"/>
    <n v="27333"/>
    <m/>
  </r>
  <r>
    <d v="2025-08-09T00:00:00"/>
    <x v="69"/>
    <x v="1"/>
    <s v="J-1981/25-26"/>
    <n v="14403"/>
    <m/>
  </r>
  <r>
    <d v="2025-08-09T00:00:00"/>
    <x v="696"/>
    <x v="1"/>
    <s v="J-1982/25-26"/>
    <n v="24"/>
    <m/>
  </r>
  <r>
    <d v="2025-08-09T00:00:00"/>
    <x v="89"/>
    <x v="1"/>
    <s v="J-1983/25-26"/>
    <n v="1850"/>
    <m/>
  </r>
  <r>
    <d v="2025-08-09T00:00:00"/>
    <x v="697"/>
    <x v="1"/>
    <s v="J-1984/25-26"/>
    <n v="50"/>
    <m/>
  </r>
  <r>
    <d v="2025-08-09T00:00:00"/>
    <x v="568"/>
    <x v="1"/>
    <s v="J-1985/25-26"/>
    <n v="12773"/>
    <m/>
  </r>
  <r>
    <d v="2025-08-09T00:00:00"/>
    <x v="119"/>
    <x v="1"/>
    <s v="J-1986/25-26"/>
    <n v="3700"/>
    <m/>
  </r>
  <r>
    <d v="2025-08-09T00:00:00"/>
    <x v="524"/>
    <x v="1"/>
    <s v="J-1987/25-26"/>
    <n v="740"/>
    <m/>
  </r>
  <r>
    <d v="2025-08-09T00:00:00"/>
    <x v="140"/>
    <x v="1"/>
    <s v="J-1988/25-26"/>
    <n v="32508"/>
    <m/>
  </r>
  <r>
    <d v="2025-08-09T00:00:00"/>
    <x v="385"/>
    <x v="1"/>
    <s v="J-1989/25-26"/>
    <n v="740"/>
    <m/>
  </r>
  <r>
    <d v="2025-08-09T00:00:00"/>
    <x v="26"/>
    <x v="1"/>
    <s v="J-1990/25-26"/>
    <n v="180"/>
    <m/>
  </r>
  <r>
    <d v="2025-08-11T00:00:00"/>
    <x v="305"/>
    <x v="0"/>
    <s v="JU-334/25-26"/>
    <n v="18500"/>
    <m/>
  </r>
  <r>
    <d v="2025-08-11T00:00:00"/>
    <x v="0"/>
    <x v="0"/>
    <s v="JU-335/25-26"/>
    <n v="3872"/>
    <m/>
  </r>
  <r>
    <d v="2025-08-11T00:00:00"/>
    <x v="698"/>
    <x v="0"/>
    <s v="JU-336/25-26"/>
    <n v="5622"/>
    <m/>
  </r>
  <r>
    <d v="2025-08-11T00:00:00"/>
    <x v="439"/>
    <x v="0"/>
    <s v="JU-337/25-26"/>
    <n v="1200"/>
    <m/>
  </r>
  <r>
    <d v="2025-08-11T00:00:00"/>
    <x v="305"/>
    <x v="0"/>
    <s v="JU-338/25-26"/>
    <n v="37202"/>
    <m/>
  </r>
  <r>
    <d v="2025-08-11T00:00:00"/>
    <x v="699"/>
    <x v="1"/>
    <s v="J-1991/25-26"/>
    <n v="1862"/>
    <m/>
  </r>
  <r>
    <d v="2025-08-11T00:00:00"/>
    <x v="445"/>
    <x v="1"/>
    <s v="J-1992/25-26"/>
    <n v="5012"/>
    <m/>
  </r>
  <r>
    <d v="2025-08-11T00:00:00"/>
    <x v="11"/>
    <x v="1"/>
    <s v="J-1993/25-26"/>
    <n v="740"/>
    <m/>
  </r>
  <r>
    <d v="2025-08-11T00:00:00"/>
    <x v="11"/>
    <x v="1"/>
    <s v="J-1994/25-26"/>
    <n v="370"/>
    <m/>
  </r>
  <r>
    <d v="2025-08-11T00:00:00"/>
    <x v="225"/>
    <x v="1"/>
    <s v="J-1995/25-26"/>
    <n v="8240"/>
    <m/>
  </r>
  <r>
    <d v="2025-08-11T00:00:00"/>
    <x v="4"/>
    <x v="1"/>
    <s v="J-1996/25-26"/>
    <n v="10048"/>
    <m/>
  </r>
  <r>
    <d v="2025-08-11T00:00:00"/>
    <x v="700"/>
    <x v="1"/>
    <s v="J-1997/25-26"/>
    <n v="1840"/>
    <m/>
  </r>
  <r>
    <d v="2025-08-11T00:00:00"/>
    <x v="253"/>
    <x v="1"/>
    <s v="J-1998/25-26"/>
    <n v="24315"/>
    <m/>
  </r>
  <r>
    <d v="2025-08-11T00:00:00"/>
    <x v="701"/>
    <x v="1"/>
    <s v="J-1999/25-26"/>
    <n v="662"/>
    <m/>
  </r>
  <r>
    <d v="2025-08-11T00:00:00"/>
    <x v="702"/>
    <x v="1"/>
    <s v="J-2000/25-26"/>
    <n v="88972"/>
    <m/>
  </r>
  <r>
    <d v="2025-08-11T00:00:00"/>
    <x v="11"/>
    <x v="1"/>
    <s v="J-2001/25-26"/>
    <n v="2220"/>
    <m/>
  </r>
  <r>
    <d v="2025-08-11T00:00:00"/>
    <x v="197"/>
    <x v="1"/>
    <s v="J-2002/25-26"/>
    <n v="3700"/>
    <m/>
  </r>
  <r>
    <d v="2025-08-11T00:00:00"/>
    <x v="694"/>
    <x v="1"/>
    <s v="J-2003/25-26"/>
    <n v="10805"/>
    <m/>
  </r>
  <r>
    <d v="2025-08-11T00:00:00"/>
    <x v="11"/>
    <x v="1"/>
    <s v="J-2004/25-26"/>
    <n v="12"/>
    <m/>
  </r>
  <r>
    <d v="2025-08-11T00:00:00"/>
    <x v="127"/>
    <x v="1"/>
    <s v="J-2005/25-26"/>
    <n v="740"/>
    <m/>
  </r>
  <r>
    <d v="2025-08-11T00:00:00"/>
    <x v="11"/>
    <x v="1"/>
    <s v="J-2006/25-26"/>
    <n v="281"/>
    <m/>
  </r>
  <r>
    <d v="2025-08-11T00:00:00"/>
    <x v="703"/>
    <x v="1"/>
    <s v="J-2007/25-26"/>
    <n v="17263"/>
    <m/>
  </r>
  <r>
    <d v="2025-08-12T00:00:00"/>
    <x v="136"/>
    <x v="0"/>
    <s v="JU-339/25-26"/>
    <n v="10930"/>
    <m/>
  </r>
  <r>
    <d v="2025-08-12T00:00:00"/>
    <x v="704"/>
    <x v="1"/>
    <s v="J-2008/25-26"/>
    <n v="9438"/>
    <m/>
  </r>
  <r>
    <d v="2025-08-12T00:00:00"/>
    <x v="211"/>
    <x v="1"/>
    <s v="J-2009/25-26"/>
    <n v="5550"/>
    <m/>
  </r>
  <r>
    <d v="2025-08-12T00:00:00"/>
    <x v="11"/>
    <x v="1"/>
    <s v="J-2010/25-26"/>
    <n v="12"/>
    <m/>
  </r>
  <r>
    <d v="2025-08-12T00:00:00"/>
    <x v="3"/>
    <x v="1"/>
    <s v="J-2011/25-26"/>
    <n v="10060"/>
    <m/>
  </r>
  <r>
    <d v="2025-08-12T00:00:00"/>
    <x v="253"/>
    <x v="1"/>
    <s v="J-2012/25-26"/>
    <n v="175"/>
    <m/>
  </r>
  <r>
    <d v="2025-08-12T00:00:00"/>
    <x v="12"/>
    <x v="1"/>
    <s v="J-2013/25-26"/>
    <n v="740"/>
    <m/>
  </r>
  <r>
    <d v="2025-08-12T00:00:00"/>
    <x v="89"/>
    <x v="1"/>
    <s v="J-2014/25-26"/>
    <n v="740"/>
    <m/>
  </r>
  <r>
    <d v="2025-08-12T00:00:00"/>
    <x v="163"/>
    <x v="1"/>
    <s v="J-2015/25-26"/>
    <n v="17687"/>
    <m/>
  </r>
  <r>
    <d v="2025-08-12T00:00:00"/>
    <x v="163"/>
    <x v="1"/>
    <s v="J-2016/25-26"/>
    <n v="19900"/>
    <m/>
  </r>
  <r>
    <d v="2025-08-12T00:00:00"/>
    <x v="705"/>
    <x v="1"/>
    <s v="J-2017/25-26"/>
    <n v="530"/>
    <m/>
  </r>
  <r>
    <d v="2025-08-12T00:00:00"/>
    <x v="706"/>
    <x v="1"/>
    <s v="J-2018/25-26"/>
    <n v="40168"/>
    <m/>
  </r>
  <r>
    <d v="2025-08-12T00:00:00"/>
    <x v="11"/>
    <x v="1"/>
    <s v="J-2019/25-26"/>
    <n v="370"/>
    <m/>
  </r>
  <r>
    <d v="2025-08-12T00:00:00"/>
    <x v="253"/>
    <x v="1"/>
    <s v="J-2020/25-26"/>
    <n v="793"/>
    <m/>
  </r>
  <r>
    <d v="2025-08-12T00:00:00"/>
    <x v="11"/>
    <x v="1"/>
    <s v="J-2021/25-26"/>
    <n v="12"/>
    <m/>
  </r>
  <r>
    <d v="2025-08-12T00:00:00"/>
    <x v="707"/>
    <x v="1"/>
    <s v="J-2022/25-26"/>
    <n v="1110"/>
    <m/>
  </r>
  <r>
    <d v="2025-08-12T00:00:00"/>
    <x v="29"/>
    <x v="1"/>
    <s v="J-2023/25-26"/>
    <n v="5302"/>
    <m/>
  </r>
  <r>
    <d v="2025-08-12T00:00:00"/>
    <x v="524"/>
    <x v="1"/>
    <s v="J-2024/25-26"/>
    <n v="2397"/>
    <m/>
  </r>
  <r>
    <d v="2025-08-12T00:00:00"/>
    <x v="4"/>
    <x v="1"/>
    <s v="J-2025/25-26"/>
    <n v="24761"/>
    <m/>
  </r>
  <r>
    <d v="2025-08-12T00:00:00"/>
    <x v="703"/>
    <x v="1"/>
    <s v="J-2026/25-26"/>
    <n v="25700"/>
    <m/>
  </r>
  <r>
    <d v="2025-08-12T00:00:00"/>
    <x v="12"/>
    <x v="1"/>
    <s v="J-2027/25-26"/>
    <n v="1500"/>
    <m/>
  </r>
  <r>
    <d v="2025-08-12T00:00:00"/>
    <x v="708"/>
    <x v="1"/>
    <s v="J-2028/25-26"/>
    <n v="15412"/>
    <m/>
  </r>
  <r>
    <d v="2025-08-12T00:00:00"/>
    <x v="694"/>
    <x v="1"/>
    <s v="J-2029/25-26"/>
    <n v="740"/>
    <m/>
  </r>
  <r>
    <d v="2025-08-12T00:00:00"/>
    <x v="709"/>
    <x v="1"/>
    <s v="J-2030/25-26"/>
    <n v="39183"/>
    <m/>
  </r>
  <r>
    <d v="2025-08-13T00:00:00"/>
    <x v="305"/>
    <x v="0"/>
    <s v="JU-340/25-26"/>
    <n v="65753"/>
    <m/>
  </r>
  <r>
    <d v="2025-08-13T00:00:00"/>
    <x v="64"/>
    <x v="0"/>
    <s v="JU-341/25-26"/>
    <n v="3337"/>
    <m/>
  </r>
  <r>
    <d v="2025-08-13T00:00:00"/>
    <x v="439"/>
    <x v="0"/>
    <s v="JU-342/25-26"/>
    <n v="20460"/>
    <m/>
  </r>
  <r>
    <d v="2025-08-13T00:00:00"/>
    <x v="710"/>
    <x v="0"/>
    <s v="JU-343/25-26"/>
    <n v="7920"/>
    <m/>
  </r>
  <r>
    <d v="2025-08-13T00:00:00"/>
    <x v="604"/>
    <x v="0"/>
    <s v="JU-344/25-26"/>
    <n v="370"/>
    <m/>
  </r>
  <r>
    <d v="2025-08-13T00:00:00"/>
    <x v="62"/>
    <x v="0"/>
    <s v="JU-345/25-26"/>
    <n v="510"/>
    <m/>
  </r>
  <r>
    <d v="2025-08-13T00:00:00"/>
    <x v="71"/>
    <x v="1"/>
    <s v="J-2031/25-26"/>
    <n v="740"/>
    <m/>
  </r>
  <r>
    <d v="2025-08-13T00:00:00"/>
    <x v="273"/>
    <x v="1"/>
    <s v="J-2032/25-26"/>
    <n v="8900"/>
    <m/>
  </r>
  <r>
    <d v="2025-08-13T00:00:00"/>
    <x v="445"/>
    <x v="1"/>
    <s v="J-2033/25-26"/>
    <n v="684"/>
    <m/>
  </r>
  <r>
    <d v="2025-08-13T00:00:00"/>
    <x v="79"/>
    <x v="1"/>
    <s v="J-2034/25-26"/>
    <n v="1850"/>
    <m/>
  </r>
  <r>
    <d v="2025-08-13T00:00:00"/>
    <x v="11"/>
    <x v="1"/>
    <s v="J-2035/25-26"/>
    <n v="12"/>
    <m/>
  </r>
  <r>
    <d v="2025-08-13T00:00:00"/>
    <x v="348"/>
    <x v="1"/>
    <s v="J-2036/25-26"/>
    <n v="6592"/>
    <m/>
  </r>
  <r>
    <d v="2025-08-13T00:00:00"/>
    <x v="8"/>
    <x v="1"/>
    <s v="J-2037/25-26"/>
    <n v="6873"/>
    <m/>
  </r>
  <r>
    <d v="2025-08-13T00:00:00"/>
    <x v="11"/>
    <x v="1"/>
    <s v="J-2038/25-26"/>
    <n v="9"/>
    <m/>
  </r>
  <r>
    <d v="2025-08-13T00:00:00"/>
    <x v="711"/>
    <x v="1"/>
    <s v="J-2039/25-26"/>
    <n v="3700"/>
    <m/>
  </r>
  <r>
    <d v="2025-08-13T00:00:00"/>
    <x v="385"/>
    <x v="1"/>
    <s v="J-2040/25-26"/>
    <n v="47955"/>
    <m/>
  </r>
  <r>
    <d v="2025-08-13T00:00:00"/>
    <x v="71"/>
    <x v="1"/>
    <s v="J-2041/25-26"/>
    <n v="370"/>
    <m/>
  </r>
  <r>
    <d v="2025-08-13T00:00:00"/>
    <x v="705"/>
    <x v="1"/>
    <s v="J-2042/25-26"/>
    <n v="1900"/>
    <m/>
  </r>
  <r>
    <d v="2025-08-13T00:00:00"/>
    <x v="445"/>
    <x v="1"/>
    <s v="J-2043/25-26"/>
    <n v="195"/>
    <m/>
  </r>
  <r>
    <d v="2025-08-13T00:00:00"/>
    <x v="127"/>
    <x v="1"/>
    <s v="J-2044/25-26"/>
    <n v="370"/>
    <m/>
  </r>
  <r>
    <d v="2025-08-14T00:00:00"/>
    <x v="64"/>
    <x v="0"/>
    <s v="JU-346/25-26"/>
    <n v="4412"/>
    <m/>
  </r>
  <r>
    <d v="2025-08-14T00:00:00"/>
    <x v="168"/>
    <x v="0"/>
    <s v="JU-347/25-26"/>
    <n v="768"/>
    <m/>
  </r>
  <r>
    <d v="2025-08-14T00:00:00"/>
    <x v="712"/>
    <x v="1"/>
    <s v="J-2045/25-26"/>
    <n v="370"/>
    <m/>
  </r>
  <r>
    <d v="2025-08-14T00:00:00"/>
    <x v="12"/>
    <x v="1"/>
    <s v="J-2046/25-26"/>
    <n v="740"/>
    <m/>
  </r>
  <r>
    <d v="2025-08-14T00:00:00"/>
    <x v="694"/>
    <x v="1"/>
    <s v="J-2047/25-26"/>
    <n v="14580"/>
    <m/>
  </r>
  <r>
    <d v="2025-08-14T00:00:00"/>
    <x v="541"/>
    <x v="1"/>
    <s v="J-2048/25-26"/>
    <n v="2600"/>
    <m/>
  </r>
  <r>
    <d v="2025-08-14T00:00:00"/>
    <x v="713"/>
    <x v="1"/>
    <s v="J-2049/25-26"/>
    <n v="2888"/>
    <m/>
  </r>
  <r>
    <d v="2025-08-14T00:00:00"/>
    <x v="237"/>
    <x v="1"/>
    <s v="J-2050/25-26"/>
    <n v="285"/>
    <m/>
  </r>
  <r>
    <d v="2025-08-14T00:00:00"/>
    <x v="714"/>
    <x v="1"/>
    <s v="J-2051/25-26"/>
    <n v="825"/>
    <m/>
  </r>
  <r>
    <d v="2025-08-14T00:00:00"/>
    <x v="550"/>
    <x v="1"/>
    <s v="J-2052/25-26"/>
    <n v="3010"/>
    <m/>
  </r>
  <r>
    <d v="2025-08-14T00:00:00"/>
    <x v="703"/>
    <x v="1"/>
    <s v="J-2053/25-26"/>
    <n v="16615"/>
    <m/>
  </r>
  <r>
    <d v="2025-08-14T00:00:00"/>
    <x v="28"/>
    <x v="1"/>
    <s v="J-2054/25-26"/>
    <n v="958"/>
    <m/>
  </r>
  <r>
    <d v="2025-08-14T00:00:00"/>
    <x v="380"/>
    <x v="1"/>
    <s v="J-2055/25-26"/>
    <n v="22334"/>
    <m/>
  </r>
  <r>
    <d v="2025-08-14T00:00:00"/>
    <x v="163"/>
    <x v="1"/>
    <s v="J-2056/25-26"/>
    <n v="922"/>
    <m/>
  </r>
  <r>
    <d v="2025-08-14T00:00:00"/>
    <x v="89"/>
    <x v="1"/>
    <s v="J-2057/25-26"/>
    <n v="370"/>
    <m/>
  </r>
  <r>
    <d v="2025-08-14T00:00:00"/>
    <x v="356"/>
    <x v="1"/>
    <s v="J-2058/25-26"/>
    <n v="633"/>
    <m/>
  </r>
  <r>
    <d v="2025-08-14T00:00:00"/>
    <x v="211"/>
    <x v="1"/>
    <s v="J-2059/25-26"/>
    <n v="7400"/>
    <m/>
  </r>
  <r>
    <d v="2025-08-14T00:00:00"/>
    <x v="34"/>
    <x v="1"/>
    <s v="J-2060/25-26"/>
    <n v="590"/>
    <m/>
  </r>
  <r>
    <d v="2025-08-14T00:00:00"/>
    <x v="3"/>
    <x v="1"/>
    <s v="J-2061/25-26"/>
    <n v="540"/>
    <m/>
  </r>
  <r>
    <d v="2025-08-14T00:00:00"/>
    <x v="702"/>
    <x v="1"/>
    <s v="J-2062/25-26"/>
    <n v="2250"/>
    <m/>
  </r>
  <r>
    <d v="2025-08-14T00:00:00"/>
    <x v="715"/>
    <x v="1"/>
    <s v="J-2063/25-26"/>
    <n v="11456"/>
    <m/>
  </r>
  <r>
    <d v="2025-08-14T00:00:00"/>
    <x v="73"/>
    <x v="1"/>
    <s v="J-2064/25-26"/>
    <n v="1110"/>
    <m/>
  </r>
  <r>
    <d v="2025-08-14T00:00:00"/>
    <x v="11"/>
    <x v="1"/>
    <s v="J-2065/25-26"/>
    <n v="30"/>
    <m/>
  </r>
  <r>
    <d v="2025-08-14T00:00:00"/>
    <x v="119"/>
    <x v="1"/>
    <s v="J-2066/25-26"/>
    <n v="3700"/>
    <m/>
  </r>
  <r>
    <d v="2025-08-14T00:00:00"/>
    <x v="19"/>
    <x v="1"/>
    <s v="J-2067/25-26"/>
    <n v="125"/>
    <m/>
  </r>
  <r>
    <d v="2025-08-14T00:00:00"/>
    <x v="694"/>
    <x v="1"/>
    <s v="J-2068/25-26"/>
    <n v="375"/>
    <m/>
  </r>
  <r>
    <d v="2025-08-14T00:00:00"/>
    <x v="11"/>
    <x v="1"/>
    <s v="J-2069/25-26"/>
    <n v="1034"/>
    <m/>
  </r>
  <r>
    <d v="2025-08-14T00:00:00"/>
    <x v="716"/>
    <x v="1"/>
    <s v="J-2070/25-26"/>
    <n v="370"/>
    <m/>
  </r>
  <r>
    <d v="2025-08-15T00:00:00"/>
    <x v="604"/>
    <x v="0"/>
    <s v="JU-348/25-26"/>
    <n v="170"/>
    <m/>
  </r>
  <r>
    <d v="2025-08-15T00:00:00"/>
    <x v="604"/>
    <x v="0"/>
    <s v="JU-349/25-26"/>
    <n v="425"/>
    <m/>
  </r>
  <r>
    <d v="2025-08-15T00:00:00"/>
    <x v="717"/>
    <x v="1"/>
    <s v="J-2071/25-26"/>
    <n v="360"/>
    <m/>
  </r>
  <r>
    <d v="2025-08-15T00:00:00"/>
    <x v="582"/>
    <x v="1"/>
    <s v="J-2072/25-26"/>
    <n v="745"/>
    <m/>
  </r>
  <r>
    <d v="2025-08-15T00:00:00"/>
    <x v="718"/>
    <x v="1"/>
    <s v="J-2073/25-26"/>
    <n v="370"/>
    <m/>
  </r>
  <r>
    <d v="2025-08-15T00:00:00"/>
    <x v="297"/>
    <x v="1"/>
    <s v="J-2074/25-26"/>
    <n v="11100"/>
    <m/>
  </r>
  <r>
    <d v="2025-08-15T00:00:00"/>
    <x v="79"/>
    <x v="1"/>
    <s v="J-2075/25-26"/>
    <n v="12510"/>
    <m/>
  </r>
  <r>
    <d v="2025-08-15T00:00:00"/>
    <x v="694"/>
    <x v="1"/>
    <s v="J-2076/25-26"/>
    <n v="11070"/>
    <m/>
  </r>
  <r>
    <d v="2025-08-15T00:00:00"/>
    <x v="595"/>
    <x v="1"/>
    <s v="J-2077/25-26"/>
    <n v="22341"/>
    <m/>
  </r>
  <r>
    <d v="2025-08-15T00:00:00"/>
    <x v="11"/>
    <x v="1"/>
    <s v="J-2078/25-26"/>
    <n v="12"/>
    <m/>
  </r>
  <r>
    <d v="2025-08-15T00:00:00"/>
    <x v="719"/>
    <x v="1"/>
    <s v="J-2079/25-26"/>
    <n v="370"/>
    <m/>
  </r>
  <r>
    <d v="2025-08-15T00:00:00"/>
    <x v="597"/>
    <x v="1"/>
    <s v="J-2080/25-26"/>
    <n v="3700"/>
    <m/>
  </r>
  <r>
    <d v="2025-08-15T00:00:00"/>
    <x v="568"/>
    <x v="1"/>
    <s v="J-2081/25-26"/>
    <n v="10721"/>
    <m/>
  </r>
  <r>
    <d v="2025-08-15T00:00:00"/>
    <x v="11"/>
    <x v="1"/>
    <s v="J-2082/25-26"/>
    <n v="12"/>
    <m/>
  </r>
  <r>
    <d v="2025-08-15T00:00:00"/>
    <x v="703"/>
    <x v="1"/>
    <s v="J-2083/25-26"/>
    <n v="115"/>
    <m/>
  </r>
  <r>
    <d v="2025-08-15T00:00:00"/>
    <x v="719"/>
    <x v="1"/>
    <s v="J-2084/25-26"/>
    <n v="370"/>
    <m/>
  </r>
  <r>
    <d v="2025-08-15T00:00:00"/>
    <x v="73"/>
    <x v="1"/>
    <s v="J-2085/25-26"/>
    <n v="1110"/>
    <m/>
  </r>
  <r>
    <d v="2025-08-15T00:00:00"/>
    <x v="140"/>
    <x v="1"/>
    <s v="J-2086/25-26"/>
    <n v="1568"/>
    <m/>
  </r>
  <r>
    <d v="2025-08-15T00:00:00"/>
    <x v="19"/>
    <x v="1"/>
    <s v="J-2087/25-26"/>
    <n v="450"/>
    <m/>
  </r>
  <r>
    <d v="2025-08-15T00:00:00"/>
    <x v="713"/>
    <x v="1"/>
    <s v="J-2088/25-26"/>
    <n v="757"/>
    <m/>
  </r>
  <r>
    <d v="2025-08-15T00:00:00"/>
    <x v="720"/>
    <x v="1"/>
    <s v="J-2089/25-26"/>
    <n v="370"/>
    <m/>
  </r>
  <r>
    <d v="2025-08-15T00:00:00"/>
    <x v="385"/>
    <x v="1"/>
    <s v="J-2090/25-26"/>
    <n v="5975"/>
    <m/>
  </r>
  <r>
    <d v="2025-08-15T00:00:00"/>
    <x v="721"/>
    <x v="1"/>
    <s v="J-2091/25-26"/>
    <n v="16777"/>
    <m/>
  </r>
  <r>
    <d v="2025-08-15T00:00:00"/>
    <x v="357"/>
    <x v="1"/>
    <s v="J-2092/25-26"/>
    <n v="1400"/>
    <m/>
  </r>
  <r>
    <d v="2025-08-16T00:00:00"/>
    <x v="439"/>
    <x v="0"/>
    <s v="JU-350/25-26"/>
    <n v="1050"/>
    <m/>
  </r>
  <r>
    <d v="2025-08-16T00:00:00"/>
    <x v="217"/>
    <x v="0"/>
    <s v="JU-351/25-26"/>
    <n v="5850"/>
    <m/>
  </r>
  <r>
    <d v="2025-08-16T00:00:00"/>
    <x v="689"/>
    <x v="0"/>
    <s v="JU-352/25-26"/>
    <n v="9250"/>
    <m/>
  </r>
  <r>
    <d v="2025-08-16T00:00:00"/>
    <x v="722"/>
    <x v="0"/>
    <s v="JU-353/25-26"/>
    <n v="25920"/>
    <m/>
  </r>
  <r>
    <d v="2025-08-16T00:00:00"/>
    <x v="604"/>
    <x v="0"/>
    <s v="JU-354/25-26"/>
    <n v="10570"/>
    <m/>
  </r>
  <r>
    <d v="2025-08-16T00:00:00"/>
    <x v="168"/>
    <x v="0"/>
    <s v="JU-355/25-26"/>
    <n v="580"/>
    <m/>
  </r>
  <r>
    <d v="2025-08-16T00:00:00"/>
    <x v="293"/>
    <x v="1"/>
    <s v="J-2093/25-26"/>
    <n v="2094"/>
    <m/>
  </r>
  <r>
    <d v="2025-08-16T00:00:00"/>
    <x v="29"/>
    <x v="1"/>
    <s v="J-2094/25-26"/>
    <n v="740"/>
    <m/>
  </r>
  <r>
    <d v="2025-08-16T00:00:00"/>
    <x v="718"/>
    <x v="1"/>
    <s v="J-2095/25-26"/>
    <n v="740"/>
    <m/>
  </r>
  <r>
    <d v="2025-08-16T00:00:00"/>
    <x v="237"/>
    <x v="1"/>
    <s v="J-2096/25-26"/>
    <n v="2923"/>
    <m/>
  </r>
  <r>
    <d v="2025-08-16T00:00:00"/>
    <x v="660"/>
    <x v="1"/>
    <s v="J-2097/25-26"/>
    <n v="68"/>
    <m/>
  </r>
  <r>
    <d v="2025-08-16T00:00:00"/>
    <x v="595"/>
    <x v="1"/>
    <s v="J-2098/25-26"/>
    <n v="13960"/>
    <m/>
  </r>
  <r>
    <d v="2025-08-16T00:00:00"/>
    <x v="694"/>
    <x v="1"/>
    <s v="J-2099/25-26"/>
    <n v="12477"/>
    <m/>
  </r>
  <r>
    <d v="2025-08-16T00:00:00"/>
    <x v="702"/>
    <x v="1"/>
    <s v="J-2100/25-26"/>
    <n v="5526"/>
    <m/>
  </r>
  <r>
    <d v="2025-08-16T00:00:00"/>
    <x v="568"/>
    <x v="1"/>
    <s v="J-2101/25-26"/>
    <n v="650"/>
    <m/>
  </r>
  <r>
    <d v="2025-08-16T00:00:00"/>
    <x v="716"/>
    <x v="1"/>
    <s v="J-2102/25-26"/>
    <n v="335"/>
    <m/>
  </r>
  <r>
    <d v="2025-08-16T00:00:00"/>
    <x v="533"/>
    <x v="1"/>
    <s v="J-2103/25-26"/>
    <n v="18248"/>
    <m/>
  </r>
  <r>
    <d v="2025-08-16T00:00:00"/>
    <x v="98"/>
    <x v="1"/>
    <s v="J-2104/25-26"/>
    <n v="521"/>
    <m/>
  </r>
  <r>
    <d v="2025-08-16T00:00:00"/>
    <x v="330"/>
    <x v="1"/>
    <s v="J-2105/25-26"/>
    <n v="32"/>
    <m/>
  </r>
  <r>
    <d v="2025-08-16T00:00:00"/>
    <x v="73"/>
    <x v="1"/>
    <s v="J-2106/25-26"/>
    <n v="3648"/>
    <m/>
  </r>
  <r>
    <d v="2025-08-16T00:00:00"/>
    <x v="694"/>
    <x v="1"/>
    <s v="J-2107/25-26"/>
    <n v="2220"/>
    <m/>
  </r>
  <r>
    <d v="2025-08-16T00:00:00"/>
    <x v="166"/>
    <x v="1"/>
    <s v="J-2108/25-26"/>
    <n v="13038"/>
    <m/>
  </r>
  <r>
    <d v="2025-08-16T00:00:00"/>
    <x v="723"/>
    <x v="1"/>
    <s v="J-2109/25-26"/>
    <n v="324"/>
    <m/>
  </r>
  <r>
    <d v="2025-08-16T00:00:00"/>
    <x v="170"/>
    <x v="1"/>
    <s v="J-2110/25-26"/>
    <n v="1110"/>
    <m/>
  </r>
  <r>
    <d v="2025-08-16T00:00:00"/>
    <x v="66"/>
    <x v="1"/>
    <s v="J-2111/25-26"/>
    <n v="450"/>
    <m/>
  </r>
  <r>
    <d v="2025-08-16T00:00:00"/>
    <x v="708"/>
    <x v="1"/>
    <s v="J-2112/25-26"/>
    <n v="7640"/>
    <m/>
  </r>
  <r>
    <d v="2025-08-16T00:00:00"/>
    <x v="73"/>
    <x v="1"/>
    <s v="J-2113/25-26"/>
    <n v="370"/>
    <m/>
  </r>
  <r>
    <d v="2025-08-16T00:00:00"/>
    <x v="471"/>
    <x v="1"/>
    <s v="J-2114/25-26"/>
    <n v="510"/>
    <m/>
  </r>
  <r>
    <d v="2025-08-18T00:00:00"/>
    <x v="722"/>
    <x v="0"/>
    <s v="JU-356/25-26"/>
    <n v="6528"/>
    <m/>
  </r>
  <r>
    <d v="2025-08-18T00:00:00"/>
    <x v="689"/>
    <x v="0"/>
    <s v="JU-357/25-26"/>
    <n v="157534"/>
    <m/>
  </r>
  <r>
    <d v="2025-08-18T00:00:00"/>
    <x v="290"/>
    <x v="0"/>
    <s v="JU-358/25-26"/>
    <n v="3995"/>
    <m/>
  </r>
  <r>
    <d v="2025-08-18T00:00:00"/>
    <x v="306"/>
    <x v="0"/>
    <s v="JU-359/25-26"/>
    <n v="221346"/>
    <m/>
  </r>
  <r>
    <d v="2025-08-18T00:00:00"/>
    <x v="119"/>
    <x v="1"/>
    <s v="J-2115/25-26"/>
    <n v="1850"/>
    <m/>
  </r>
  <r>
    <d v="2025-08-18T00:00:00"/>
    <x v="694"/>
    <x v="1"/>
    <s v="J-2116/25-26"/>
    <n v="1850"/>
    <m/>
  </r>
  <r>
    <d v="2025-08-18T00:00:00"/>
    <x v="11"/>
    <x v="1"/>
    <s v="J-2117/25-26"/>
    <n v="12"/>
    <m/>
  </r>
  <r>
    <d v="2025-08-18T00:00:00"/>
    <x v="394"/>
    <x v="1"/>
    <s v="J-2118/25-26"/>
    <n v="33355"/>
    <m/>
  </r>
  <r>
    <d v="2025-08-18T00:00:00"/>
    <x v="73"/>
    <x v="1"/>
    <s v="J-2119/25-26"/>
    <n v="1110"/>
    <m/>
  </r>
  <r>
    <d v="2025-08-18T00:00:00"/>
    <x v="718"/>
    <x v="1"/>
    <s v="J-2120/25-26"/>
    <n v="740"/>
    <m/>
  </r>
  <r>
    <d v="2025-08-18T00:00:00"/>
    <x v="682"/>
    <x v="1"/>
    <s v="J-2121/25-26"/>
    <n v="825"/>
    <m/>
  </r>
  <r>
    <d v="2025-08-18T00:00:00"/>
    <x v="724"/>
    <x v="1"/>
    <s v="J-2122/25-26"/>
    <n v="5650"/>
    <m/>
  </r>
  <r>
    <d v="2025-08-18T00:00:00"/>
    <x v="170"/>
    <x v="1"/>
    <s v="J-2123/25-26"/>
    <n v="10471"/>
    <m/>
  </r>
  <r>
    <d v="2025-08-18T00:00:00"/>
    <x v="725"/>
    <x v="1"/>
    <s v="J-2124/25-26"/>
    <n v="10742"/>
    <m/>
  </r>
  <r>
    <d v="2025-08-18T00:00:00"/>
    <x v="11"/>
    <x v="1"/>
    <s v="J-2125/25-26"/>
    <n v="1850"/>
    <m/>
  </r>
  <r>
    <d v="2025-08-18T00:00:00"/>
    <x v="66"/>
    <x v="1"/>
    <s v="J-2126/25-26"/>
    <n v="900"/>
    <m/>
  </r>
  <r>
    <d v="2025-08-18T00:00:00"/>
    <x v="100"/>
    <x v="1"/>
    <s v="J-2127/25-26"/>
    <n v="2223"/>
    <m/>
  </r>
  <r>
    <d v="2025-08-18T00:00:00"/>
    <x v="71"/>
    <x v="1"/>
    <s v="J-2128/25-26"/>
    <n v="25"/>
    <m/>
  </r>
  <r>
    <d v="2025-08-18T00:00:00"/>
    <x v="541"/>
    <x v="1"/>
    <s v="J-2129/25-26"/>
    <n v="29700"/>
    <m/>
  </r>
  <r>
    <d v="2025-08-18T00:00:00"/>
    <x v="683"/>
    <x v="1"/>
    <s v="J-2130/25-26"/>
    <n v="69112"/>
    <m/>
  </r>
  <r>
    <d v="2025-08-18T00:00:00"/>
    <x v="694"/>
    <x v="1"/>
    <s v="J-2131/25-26"/>
    <n v="590"/>
    <m/>
  </r>
  <r>
    <d v="2025-08-18T00:00:00"/>
    <x v="29"/>
    <x v="1"/>
    <s v="J-2132/25-26"/>
    <n v="3202"/>
    <m/>
  </r>
  <r>
    <d v="2025-08-18T00:00:00"/>
    <x v="394"/>
    <x v="1"/>
    <s v="J-2133/25-26"/>
    <n v="28374"/>
    <m/>
  </r>
  <r>
    <d v="2025-08-18T00:00:00"/>
    <x v="11"/>
    <x v="1"/>
    <s v="J-2134/25-26"/>
    <n v="8"/>
    <m/>
  </r>
  <r>
    <d v="2025-08-19T00:00:00"/>
    <x v="305"/>
    <x v="0"/>
    <s v="JU-360/25-26"/>
    <n v="7751"/>
    <m/>
  </r>
  <r>
    <d v="2025-08-19T00:00:00"/>
    <x v="604"/>
    <x v="0"/>
    <s v="JU-361/25-26"/>
    <n v="4050"/>
    <m/>
  </r>
  <r>
    <d v="2025-08-19T00:00:00"/>
    <x v="265"/>
    <x v="0"/>
    <s v="JU-362/25-26"/>
    <n v="11100"/>
    <m/>
  </r>
  <r>
    <d v="2025-08-19T00:00:00"/>
    <x v="689"/>
    <x v="0"/>
    <s v="JU-363/25-26"/>
    <n v="77843"/>
    <m/>
  </r>
  <r>
    <d v="2025-08-19T00:00:00"/>
    <x v="597"/>
    <x v="1"/>
    <s v="J-2135/25-26"/>
    <n v="17300"/>
    <m/>
  </r>
  <r>
    <d v="2025-08-19T00:00:00"/>
    <x v="11"/>
    <x v="1"/>
    <s v="J-2136/25-26"/>
    <n v="20"/>
    <m/>
  </r>
  <r>
    <d v="2025-08-19T00:00:00"/>
    <x v="694"/>
    <x v="1"/>
    <s v="J-2137/25-26"/>
    <n v="2767"/>
    <m/>
  </r>
  <r>
    <d v="2025-08-19T00:00:00"/>
    <x v="660"/>
    <x v="1"/>
    <s v="J-2138/25-26"/>
    <n v="1268"/>
    <m/>
  </r>
  <r>
    <d v="2025-08-19T00:00:00"/>
    <x v="9"/>
    <x v="1"/>
    <s v="J-2139/25-26"/>
    <n v="4257"/>
    <m/>
  </r>
  <r>
    <d v="2025-08-19T00:00:00"/>
    <x v="550"/>
    <x v="1"/>
    <s v="J-2140/25-26"/>
    <n v="1920"/>
    <m/>
  </r>
  <r>
    <d v="2025-08-19T00:00:00"/>
    <x v="394"/>
    <x v="1"/>
    <s v="J-2141/25-26"/>
    <n v="520"/>
    <m/>
  </r>
  <r>
    <d v="2025-08-19T00:00:00"/>
    <x v="726"/>
    <x v="1"/>
    <s v="J-2142/25-26"/>
    <n v="12530"/>
    <m/>
  </r>
  <r>
    <d v="2025-08-19T00:00:00"/>
    <x v="20"/>
    <x v="1"/>
    <s v="J-2143/25-26"/>
    <n v="3875"/>
    <m/>
  </r>
  <r>
    <d v="2025-08-19T00:00:00"/>
    <x v="23"/>
    <x v="1"/>
    <s v="J-2144/25-26"/>
    <n v="223"/>
    <m/>
  </r>
  <r>
    <d v="2025-08-19T00:00:00"/>
    <x v="43"/>
    <x v="1"/>
    <s v="J-2145/25-26"/>
    <n v="9250"/>
    <m/>
  </r>
  <r>
    <d v="2025-08-19T00:00:00"/>
    <x v="79"/>
    <x v="1"/>
    <s v="J-2146/25-26"/>
    <n v="1110"/>
    <m/>
  </r>
  <r>
    <d v="2025-08-19T00:00:00"/>
    <x v="11"/>
    <x v="1"/>
    <s v="J-2147/25-26"/>
    <n v="1155"/>
    <m/>
  </r>
  <r>
    <d v="2025-08-19T00:00:00"/>
    <x v="8"/>
    <x v="1"/>
    <s v="J-2148/25-26"/>
    <n v="3060"/>
    <m/>
  </r>
  <r>
    <d v="2025-08-19T00:00:00"/>
    <x v="140"/>
    <x v="1"/>
    <s v="J-2149/25-26"/>
    <n v="7867"/>
    <m/>
  </r>
  <r>
    <d v="2025-08-19T00:00:00"/>
    <x v="727"/>
    <x v="1"/>
    <s v="J-2150/25-26"/>
    <n v="1590"/>
    <m/>
  </r>
  <r>
    <d v="2025-08-19T00:00:00"/>
    <x v="694"/>
    <x v="1"/>
    <s v="J-2151/25-26"/>
    <n v="4860"/>
    <m/>
  </r>
  <r>
    <d v="2025-08-19T00:00:00"/>
    <x v="414"/>
    <x v="1"/>
    <s v="J-2152/25-26"/>
    <n v="5517"/>
    <m/>
  </r>
  <r>
    <d v="2025-08-19T00:00:00"/>
    <x v="728"/>
    <x v="1"/>
    <s v="J-2153/25-26"/>
    <n v="1535"/>
    <m/>
  </r>
  <r>
    <d v="2025-08-20T00:00:00"/>
    <x v="15"/>
    <x v="0"/>
    <s v="JU-364/25-26"/>
    <n v="787"/>
    <m/>
  </r>
  <r>
    <d v="2025-08-20T00:00:00"/>
    <x v="722"/>
    <x v="0"/>
    <s v="JU-365/25-26"/>
    <n v="42189"/>
    <m/>
  </r>
  <r>
    <d v="2025-08-20T00:00:00"/>
    <x v="32"/>
    <x v="0"/>
    <s v="JU-366/25-26"/>
    <n v="3426"/>
    <m/>
  </r>
  <r>
    <d v="2025-08-20T00:00:00"/>
    <x v="689"/>
    <x v="0"/>
    <s v="JU-367/25-26"/>
    <n v="9250"/>
    <m/>
  </r>
  <r>
    <d v="2025-08-20T00:00:00"/>
    <x v="168"/>
    <x v="0"/>
    <s v="JU-368/25-26"/>
    <n v="13573"/>
    <m/>
  </r>
  <r>
    <d v="2025-08-20T00:00:00"/>
    <x v="32"/>
    <x v="0"/>
    <s v="JU-369/25-26"/>
    <n v="667"/>
    <m/>
  </r>
  <r>
    <d v="2025-08-20T00:00:00"/>
    <x v="729"/>
    <x v="1"/>
    <s v="J-2154/25-26"/>
    <n v="370"/>
    <m/>
  </r>
  <r>
    <d v="2025-08-20T00:00:00"/>
    <x v="3"/>
    <x v="1"/>
    <s v="J-2155/25-26"/>
    <n v="256"/>
    <m/>
  </r>
  <r>
    <d v="2025-08-20T00:00:00"/>
    <x v="3"/>
    <x v="1"/>
    <s v="J-2156/25-26"/>
    <n v="740"/>
    <m/>
  </r>
  <r>
    <d v="2025-08-20T00:00:00"/>
    <x v="647"/>
    <x v="1"/>
    <s v="J-2157/25-26"/>
    <n v="22300"/>
    <m/>
  </r>
  <r>
    <d v="2025-08-20T00:00:00"/>
    <x v="718"/>
    <x v="1"/>
    <s v="J-2158/25-26"/>
    <n v="1110"/>
    <m/>
  </r>
  <r>
    <d v="2025-08-20T00:00:00"/>
    <x v="660"/>
    <x v="1"/>
    <s v="J-2159/25-26"/>
    <n v="171"/>
    <m/>
  </r>
  <r>
    <d v="2025-08-20T00:00:00"/>
    <x v="701"/>
    <x v="1"/>
    <s v="J-2160/25-26"/>
    <n v="200"/>
    <m/>
  </r>
  <r>
    <d v="2025-08-20T00:00:00"/>
    <x v="211"/>
    <x v="1"/>
    <s v="J-2161/25-26"/>
    <n v="3303"/>
    <m/>
  </r>
  <r>
    <d v="2025-08-20T00:00:00"/>
    <x v="4"/>
    <x v="1"/>
    <s v="J-2162/25-26"/>
    <n v="9080"/>
    <m/>
  </r>
  <r>
    <d v="2025-08-20T00:00:00"/>
    <x v="11"/>
    <x v="1"/>
    <s v="J-2163/25-26"/>
    <n v="12"/>
    <m/>
  </r>
  <r>
    <d v="2025-08-20T00:00:00"/>
    <x v="47"/>
    <x v="1"/>
    <s v="J-2164/25-26"/>
    <n v="6893"/>
    <m/>
  </r>
  <r>
    <d v="2025-08-20T00:00:00"/>
    <x v="11"/>
    <x v="1"/>
    <s v="J-2165/25-26"/>
    <n v="12"/>
    <m/>
  </r>
  <r>
    <d v="2025-08-20T00:00:00"/>
    <x v="11"/>
    <x v="1"/>
    <s v="J-2166/25-26"/>
    <n v="12"/>
    <m/>
  </r>
  <r>
    <d v="2025-08-20T00:00:00"/>
    <x v="266"/>
    <x v="1"/>
    <s v="J-2167/25-26"/>
    <n v="5550"/>
    <m/>
  </r>
  <r>
    <d v="2025-08-20T00:00:00"/>
    <x v="724"/>
    <x v="1"/>
    <s v="J-2168/25-26"/>
    <n v="7778"/>
    <m/>
  </r>
  <r>
    <d v="2025-08-20T00:00:00"/>
    <x v="163"/>
    <x v="1"/>
    <s v="J-2169/25-26"/>
    <n v="80"/>
    <m/>
  </r>
  <r>
    <d v="2025-08-20T00:00:00"/>
    <x v="730"/>
    <x v="1"/>
    <s v="J-2170/25-26"/>
    <n v="10633"/>
    <m/>
  </r>
  <r>
    <d v="2025-08-20T00:00:00"/>
    <x v="147"/>
    <x v="1"/>
    <s v="J-2171/25-26"/>
    <n v="1216"/>
    <m/>
  </r>
  <r>
    <d v="2025-08-20T00:00:00"/>
    <x v="694"/>
    <x v="1"/>
    <s v="J-2172/25-26"/>
    <n v="1224"/>
    <m/>
  </r>
  <r>
    <d v="2025-08-20T00:00:00"/>
    <x v="731"/>
    <x v="1"/>
    <s v="J-2173/25-26"/>
    <n v="2100"/>
    <m/>
  </r>
  <r>
    <d v="2025-08-20T00:00:00"/>
    <x v="386"/>
    <x v="1"/>
    <s v="J-2174/25-26"/>
    <n v="1110"/>
    <m/>
  </r>
  <r>
    <d v="2025-08-20T00:00:00"/>
    <x v="237"/>
    <x v="1"/>
    <s v="J-2175/25-26"/>
    <n v="606"/>
    <m/>
  </r>
  <r>
    <d v="2025-08-20T00:00:00"/>
    <x v="3"/>
    <x v="1"/>
    <s v="J-2176/25-26"/>
    <n v="740"/>
    <m/>
  </r>
  <r>
    <d v="2025-08-20T00:00:00"/>
    <x v="701"/>
    <x v="1"/>
    <s v="J-2177/25-26"/>
    <n v="42"/>
    <m/>
  </r>
  <r>
    <d v="2025-08-20T00:00:00"/>
    <x v="71"/>
    <x v="1"/>
    <s v="J-2178/25-26"/>
    <n v="30"/>
    <m/>
  </r>
  <r>
    <d v="2025-08-20T00:00:00"/>
    <x v="732"/>
    <x v="1"/>
    <s v="J-2179/25-26"/>
    <n v="24580"/>
    <m/>
  </r>
  <r>
    <d v="2025-08-20T00:00:00"/>
    <x v="733"/>
    <x v="1"/>
    <s v="J-2180/25-26"/>
    <n v="370"/>
    <m/>
  </r>
  <r>
    <d v="2025-08-21T00:00:00"/>
    <x v="14"/>
    <x v="0"/>
    <s v="JU-370/25-26"/>
    <n v="13880"/>
    <m/>
  </r>
  <r>
    <d v="2025-08-21T00:00:00"/>
    <x v="391"/>
    <x v="0"/>
    <s v="JU-371/25-26"/>
    <n v="22153"/>
    <m/>
  </r>
  <r>
    <d v="2025-08-21T00:00:00"/>
    <x v="391"/>
    <x v="0"/>
    <s v="JU-372/25-26"/>
    <n v="2625"/>
    <m/>
  </r>
  <r>
    <d v="2025-08-21T00:00:00"/>
    <x v="734"/>
    <x v="1"/>
    <s v="J-2181/25-26"/>
    <n v="146057"/>
    <m/>
  </r>
  <r>
    <d v="2025-08-21T00:00:00"/>
    <x v="603"/>
    <x v="1"/>
    <s v="J-2182/25-26"/>
    <n v="57003"/>
    <m/>
  </r>
  <r>
    <d v="2025-08-21T00:00:00"/>
    <x v="89"/>
    <x v="1"/>
    <s v="J-2183/25-26"/>
    <n v="1480"/>
    <m/>
  </r>
  <r>
    <d v="2025-08-21T00:00:00"/>
    <x v="735"/>
    <x v="1"/>
    <s v="J-2184/25-26"/>
    <n v="16982"/>
    <m/>
  </r>
  <r>
    <d v="2025-08-21T00:00:00"/>
    <x v="729"/>
    <x v="1"/>
    <s v="J-2185/25-26"/>
    <n v="370"/>
    <m/>
  </r>
  <r>
    <d v="2025-08-21T00:00:00"/>
    <x v="12"/>
    <x v="1"/>
    <s v="J-2186/25-26"/>
    <n v="8362"/>
    <m/>
  </r>
  <r>
    <d v="2025-08-21T00:00:00"/>
    <x v="733"/>
    <x v="1"/>
    <s v="J-2187/25-26"/>
    <n v="370"/>
    <m/>
  </r>
  <r>
    <d v="2025-08-21T00:00:00"/>
    <x v="694"/>
    <x v="1"/>
    <s v="J-2188/25-26"/>
    <n v="782"/>
    <m/>
  </r>
  <r>
    <d v="2025-08-21T00:00:00"/>
    <x v="163"/>
    <x v="1"/>
    <s v="J-2189/25-26"/>
    <n v="455"/>
    <m/>
  </r>
  <r>
    <d v="2025-08-21T00:00:00"/>
    <x v="69"/>
    <x v="1"/>
    <s v="J-2190/25-26"/>
    <n v="22687"/>
    <m/>
  </r>
  <r>
    <d v="2025-08-21T00:00:00"/>
    <x v="20"/>
    <x v="1"/>
    <s v="J-2191/25-26"/>
    <n v="1188"/>
    <m/>
  </r>
  <r>
    <d v="2025-08-21T00:00:00"/>
    <x v="89"/>
    <x v="1"/>
    <s v="J-2192/25-26"/>
    <n v="1110"/>
    <m/>
  </r>
  <r>
    <d v="2025-08-21T00:00:00"/>
    <x v="524"/>
    <x v="1"/>
    <s v="J-2193/25-26"/>
    <n v="1850"/>
    <m/>
  </r>
  <r>
    <d v="2025-08-21T00:00:00"/>
    <x v="541"/>
    <x v="1"/>
    <s v="J-2194/25-26"/>
    <n v="3778"/>
    <m/>
  </r>
  <r>
    <d v="2025-08-21T00:00:00"/>
    <x v="736"/>
    <x v="1"/>
    <s v="J-2195/25-26"/>
    <n v="15366"/>
    <m/>
  </r>
  <r>
    <d v="2025-08-21T00:00:00"/>
    <x v="660"/>
    <x v="1"/>
    <s v="J-2196/25-26"/>
    <n v="300"/>
    <m/>
  </r>
  <r>
    <d v="2025-08-21T00:00:00"/>
    <x v="170"/>
    <x v="1"/>
    <s v="J-2197/25-26"/>
    <n v="194"/>
    <m/>
  </r>
  <r>
    <d v="2025-08-21T00:00:00"/>
    <x v="737"/>
    <x v="1"/>
    <s v="J-2198/25-26"/>
    <n v="59672"/>
    <m/>
  </r>
  <r>
    <d v="2025-08-21T00:00:00"/>
    <x v="357"/>
    <x v="1"/>
    <s v="J-2199/25-26"/>
    <n v="400"/>
    <m/>
  </r>
  <r>
    <d v="2025-08-21T00:00:00"/>
    <x v="73"/>
    <x v="1"/>
    <s v="J-2200/25-26"/>
    <n v="5670"/>
    <m/>
  </r>
  <r>
    <d v="2025-08-21T00:00:00"/>
    <x v="71"/>
    <x v="1"/>
    <s v="J-2201/25-26"/>
    <n v="740"/>
    <m/>
  </r>
  <r>
    <d v="2025-08-21T00:00:00"/>
    <x v="726"/>
    <x v="1"/>
    <s v="J-2202/25-26"/>
    <n v="900"/>
    <m/>
  </r>
  <r>
    <d v="2025-08-21T00:00:00"/>
    <x v="11"/>
    <x v="1"/>
    <s v="J-2203/25-26"/>
    <n v="5"/>
    <m/>
  </r>
  <r>
    <d v="2025-08-21T00:00:00"/>
    <x v="161"/>
    <x v="1"/>
    <s v="J-2204/25-26"/>
    <n v="12"/>
    <m/>
  </r>
  <r>
    <d v="2025-08-21T00:00:00"/>
    <x v="73"/>
    <x v="1"/>
    <s v="J-2205/25-26"/>
    <n v="3867"/>
    <m/>
  </r>
  <r>
    <d v="2025-08-21T00:00:00"/>
    <x v="730"/>
    <x v="1"/>
    <s v="J-2206/25-26"/>
    <n v="7898"/>
    <m/>
  </r>
  <r>
    <d v="2025-08-21T00:00:00"/>
    <x v="231"/>
    <x v="1"/>
    <s v="J-2207/25-26"/>
    <n v="1480"/>
    <m/>
  </r>
  <r>
    <d v="2025-08-22T00:00:00"/>
    <x v="15"/>
    <x v="0"/>
    <s v="JU-373/25-26"/>
    <n v="982"/>
    <m/>
  </r>
  <r>
    <d v="2025-08-22T00:00:00"/>
    <x v="14"/>
    <x v="0"/>
    <s v="JU-374/25-26"/>
    <n v="915"/>
    <m/>
  </r>
  <r>
    <d v="2025-08-22T00:00:00"/>
    <x v="306"/>
    <x v="0"/>
    <s v="JU-375/25-26"/>
    <n v="30577"/>
    <m/>
  </r>
  <r>
    <d v="2025-08-22T00:00:00"/>
    <x v="738"/>
    <x v="0"/>
    <s v="JU-376/25-26"/>
    <n v="28000"/>
    <m/>
  </r>
  <r>
    <d v="2025-08-22T00:00:00"/>
    <x v="64"/>
    <x v="0"/>
    <s v="JU-377/25-26"/>
    <n v="45870"/>
    <m/>
  </r>
  <r>
    <d v="2025-08-22T00:00:00"/>
    <x v="11"/>
    <x v="1"/>
    <s v="J-2208/25-26"/>
    <n v="12"/>
    <m/>
  </r>
  <r>
    <d v="2025-08-22T00:00:00"/>
    <x v="34"/>
    <x v="1"/>
    <s v="J-2209/25-26"/>
    <n v="8868"/>
    <m/>
  </r>
  <r>
    <d v="2025-08-22T00:00:00"/>
    <x v="12"/>
    <x v="1"/>
    <s v="J-2210/25-26"/>
    <n v="200"/>
    <m/>
  </r>
  <r>
    <d v="2025-08-22T00:00:00"/>
    <x v="660"/>
    <x v="1"/>
    <s v="J-2211/25-26"/>
    <n v="4347"/>
    <m/>
  </r>
  <r>
    <d v="2025-08-22T00:00:00"/>
    <x v="598"/>
    <x v="1"/>
    <s v="J-2212/25-26"/>
    <n v="2416"/>
    <m/>
  </r>
  <r>
    <d v="2025-08-22T00:00:00"/>
    <x v="739"/>
    <x v="1"/>
    <s v="J-2213/25-26"/>
    <n v="6920"/>
    <m/>
  </r>
  <r>
    <d v="2025-08-22T00:00:00"/>
    <x v="724"/>
    <x v="1"/>
    <s v="J-2214/25-26"/>
    <n v="2700"/>
    <m/>
  </r>
  <r>
    <d v="2025-08-22T00:00:00"/>
    <x v="11"/>
    <x v="1"/>
    <s v="J-2215/25-26"/>
    <n v="12"/>
    <m/>
  </r>
  <r>
    <d v="2025-08-22T00:00:00"/>
    <x v="173"/>
    <x v="1"/>
    <s v="J-2216/25-26"/>
    <n v="1737"/>
    <m/>
  </r>
  <r>
    <d v="2025-08-22T00:00:00"/>
    <x v="740"/>
    <x v="1"/>
    <s v="J-2217/25-26"/>
    <n v="121"/>
    <m/>
  </r>
  <r>
    <d v="2025-08-22T00:00:00"/>
    <x v="11"/>
    <x v="1"/>
    <s v="J-2218/25-26"/>
    <n v="1174"/>
    <m/>
  </r>
  <r>
    <d v="2025-08-22T00:00:00"/>
    <x v="683"/>
    <x v="1"/>
    <s v="J-2219/25-26"/>
    <n v="2377"/>
    <m/>
  </r>
  <r>
    <d v="2025-08-22T00:00:00"/>
    <x v="4"/>
    <x v="1"/>
    <s v="J-2220/25-26"/>
    <n v="3848"/>
    <m/>
  </r>
  <r>
    <d v="2025-08-22T00:00:00"/>
    <x v="297"/>
    <x v="1"/>
    <s v="J-2221/25-26"/>
    <n v="3700"/>
    <m/>
  </r>
  <r>
    <d v="2025-08-22T00:00:00"/>
    <x v="215"/>
    <x v="1"/>
    <s v="J-2222/25-26"/>
    <n v="942"/>
    <m/>
  </r>
  <r>
    <d v="2025-08-22T00:00:00"/>
    <x v="163"/>
    <x v="1"/>
    <s v="J-2223/25-26"/>
    <n v="2252"/>
    <m/>
  </r>
  <r>
    <d v="2025-08-22T00:00:00"/>
    <x v="12"/>
    <x v="1"/>
    <s v="J-2224/25-26"/>
    <n v="195"/>
    <m/>
  </r>
  <r>
    <d v="2025-08-22T00:00:00"/>
    <x v="106"/>
    <x v="1"/>
    <s v="J-2225/25-26"/>
    <n v="7540"/>
    <m/>
  </r>
  <r>
    <d v="2025-08-22T00:00:00"/>
    <x v="12"/>
    <x v="1"/>
    <s v="J-2226/25-26"/>
    <n v="1270"/>
    <m/>
  </r>
  <r>
    <d v="2025-08-22T00:00:00"/>
    <x v="741"/>
    <x v="1"/>
    <s v="J-2227/25-26"/>
    <n v="4032"/>
    <m/>
  </r>
  <r>
    <d v="2025-08-22T00:00:00"/>
    <x v="98"/>
    <x v="1"/>
    <s v="J-2228/25-26"/>
    <n v="531"/>
    <m/>
  </r>
  <r>
    <d v="2025-08-22T00:00:00"/>
    <x v="11"/>
    <x v="1"/>
    <s v="J-2229/25-26"/>
    <n v="12"/>
    <m/>
  </r>
  <r>
    <d v="2025-08-22T00:00:00"/>
    <x v="742"/>
    <x v="1"/>
    <s v="J-2230/25-26"/>
    <n v="4880"/>
    <m/>
  </r>
  <r>
    <d v="2025-08-22T00:00:00"/>
    <x v="3"/>
    <x v="1"/>
    <s v="J-2231/25-26"/>
    <n v="332"/>
    <m/>
  </r>
  <r>
    <d v="2025-08-22T00:00:00"/>
    <x v="20"/>
    <x v="1"/>
    <s v="J-2232/25-26"/>
    <n v="1034"/>
    <m/>
  </r>
  <r>
    <d v="2025-08-22T00:00:00"/>
    <x v="297"/>
    <x v="1"/>
    <s v="J-2233/25-26"/>
    <n v="1850"/>
    <m/>
  </r>
  <r>
    <d v="2025-08-22T00:00:00"/>
    <x v="11"/>
    <x v="1"/>
    <s v="J-2234/25-26"/>
    <n v="12"/>
    <m/>
  </r>
  <r>
    <d v="2025-08-23T00:00:00"/>
    <x v="305"/>
    <x v="0"/>
    <s v="JU-378/25-26"/>
    <n v="19070"/>
    <m/>
  </r>
  <r>
    <d v="2025-08-23T00:00:00"/>
    <x v="604"/>
    <x v="0"/>
    <s v="JU-379/25-26"/>
    <n v="19500"/>
    <m/>
  </r>
  <r>
    <d v="2025-08-23T00:00:00"/>
    <x v="306"/>
    <x v="0"/>
    <s v="JU-380/25-26"/>
    <n v="24510"/>
    <m/>
  </r>
  <r>
    <d v="2025-08-23T00:00:00"/>
    <x v="23"/>
    <x v="1"/>
    <s v="J-2235/25-26"/>
    <n v="1480"/>
    <m/>
  </r>
  <r>
    <d v="2025-08-23T00:00:00"/>
    <x v="211"/>
    <x v="1"/>
    <s v="J-2236/25-26"/>
    <n v="10562"/>
    <m/>
  </r>
  <r>
    <d v="2025-08-23T00:00:00"/>
    <x v="119"/>
    <x v="1"/>
    <s v="J-2237/25-26"/>
    <n v="5550"/>
    <m/>
  </r>
  <r>
    <d v="2025-08-23T00:00:00"/>
    <x v="660"/>
    <x v="1"/>
    <s v="J-2238/25-26"/>
    <n v="1080"/>
    <m/>
  </r>
  <r>
    <d v="2025-08-23T00:00:00"/>
    <x v="11"/>
    <x v="1"/>
    <s v="J-2239/25-26"/>
    <n v="84"/>
    <m/>
  </r>
  <r>
    <d v="2025-08-23T00:00:00"/>
    <x v="11"/>
    <x v="1"/>
    <s v="J-2240/25-26"/>
    <n v="12"/>
    <m/>
  </r>
  <r>
    <d v="2025-08-23T00:00:00"/>
    <x v="630"/>
    <x v="1"/>
    <s v="J-2241/25-26"/>
    <n v="22075"/>
    <m/>
  </r>
  <r>
    <d v="2025-08-23T00:00:00"/>
    <x v="388"/>
    <x v="1"/>
    <s v="J-2242/25-26"/>
    <n v="2478"/>
    <m/>
  </r>
  <r>
    <d v="2025-08-23T00:00:00"/>
    <x v="743"/>
    <x v="1"/>
    <s v="J-2243/25-26"/>
    <n v="4326"/>
    <m/>
  </r>
  <r>
    <d v="2025-08-23T00:00:00"/>
    <x v="3"/>
    <x v="1"/>
    <s v="J-2244/25-26"/>
    <n v="370"/>
    <m/>
  </r>
  <r>
    <d v="2025-08-23T00:00:00"/>
    <x v="11"/>
    <x v="1"/>
    <s v="J-2245/25-26"/>
    <n v="580"/>
    <m/>
  </r>
  <r>
    <d v="2025-08-23T00:00:00"/>
    <x v="20"/>
    <x v="1"/>
    <s v="J-2246/25-26"/>
    <n v="330"/>
    <m/>
  </r>
  <r>
    <d v="2025-08-23T00:00:00"/>
    <x v="683"/>
    <x v="1"/>
    <s v="J-2247/25-26"/>
    <n v="443"/>
    <m/>
  </r>
  <r>
    <d v="2025-08-23T00:00:00"/>
    <x v="744"/>
    <x v="1"/>
    <s v="J-2248/25-26"/>
    <n v="27191"/>
    <m/>
  </r>
  <r>
    <d v="2025-08-23T00:00:00"/>
    <x v="34"/>
    <x v="1"/>
    <s v="J-2249/25-26"/>
    <n v="1920"/>
    <m/>
  </r>
  <r>
    <d v="2025-08-23T00:00:00"/>
    <x v="745"/>
    <x v="1"/>
    <s v="J-2250/25-26"/>
    <n v="1702"/>
    <m/>
  </r>
  <r>
    <d v="2025-08-23T00:00:00"/>
    <x v="568"/>
    <x v="1"/>
    <s v="J-2251/25-26"/>
    <n v="6997"/>
    <m/>
  </r>
  <r>
    <d v="2025-08-23T00:00:00"/>
    <x v="597"/>
    <x v="1"/>
    <s v="J-2252/25-26"/>
    <n v="5613"/>
    <m/>
  </r>
  <r>
    <d v="2025-08-23T00:00:00"/>
    <x v="11"/>
    <x v="1"/>
    <s v="J-2253/25-26"/>
    <n v="12"/>
    <m/>
  </r>
  <r>
    <d v="2025-08-23T00:00:00"/>
    <x v="706"/>
    <x v="1"/>
    <s v="J-2254/25-26"/>
    <n v="27208"/>
    <m/>
  </r>
  <r>
    <d v="2025-08-23T00:00:00"/>
    <x v="20"/>
    <x v="1"/>
    <s v="J-2255/25-26"/>
    <n v="2572"/>
    <m/>
  </r>
  <r>
    <d v="2025-08-23T00:00:00"/>
    <x v="746"/>
    <x v="1"/>
    <s v="J-2256/25-26"/>
    <n v="69050"/>
    <m/>
  </r>
  <r>
    <d v="2025-08-23T00:00:00"/>
    <x v="170"/>
    <x v="1"/>
    <s v="J-2257/25-26"/>
    <n v="5000"/>
    <m/>
  </r>
  <r>
    <d v="2025-08-23T00:00:00"/>
    <x v="11"/>
    <x v="1"/>
    <s v="J-2258/25-26"/>
    <n v="476"/>
    <m/>
  </r>
  <r>
    <d v="2025-08-23T00:00:00"/>
    <x v="3"/>
    <x v="1"/>
    <s v="J-2259/25-26"/>
    <n v="1480"/>
    <m/>
  </r>
  <r>
    <d v="2025-08-23T00:00:00"/>
    <x v="143"/>
    <x v="1"/>
    <s v="J-2260/25-26"/>
    <n v="16530"/>
    <m/>
  </r>
  <r>
    <d v="2025-08-23T00:00:00"/>
    <x v="747"/>
    <x v="1"/>
    <s v="J-2261/25-26"/>
    <n v="370"/>
    <m/>
  </r>
  <r>
    <d v="2025-08-25T00:00:00"/>
    <x v="306"/>
    <x v="0"/>
    <s v="JU-381/25-26"/>
    <n v="5413"/>
    <m/>
  </r>
  <r>
    <d v="2025-08-25T00:00:00"/>
    <x v="0"/>
    <x v="0"/>
    <s v="JU-382/25-26"/>
    <n v="1000"/>
    <m/>
  </r>
  <r>
    <d v="2025-08-25T00:00:00"/>
    <x v="748"/>
    <x v="0"/>
    <s v="JU-383/25-26"/>
    <n v="59765"/>
    <m/>
  </r>
  <r>
    <d v="2025-08-25T00:00:00"/>
    <x v="16"/>
    <x v="0"/>
    <s v="JU-384/25-26"/>
    <n v="2984"/>
    <m/>
  </r>
  <r>
    <d v="2025-08-25T00:00:00"/>
    <x v="52"/>
    <x v="0"/>
    <s v="JU-385/25-26"/>
    <n v="31235"/>
    <m/>
  </r>
  <r>
    <d v="2025-08-25T00:00:00"/>
    <x v="20"/>
    <x v="1"/>
    <s v="J-2262/25-26"/>
    <n v="80"/>
    <m/>
  </r>
  <r>
    <d v="2025-08-25T00:00:00"/>
    <x v="297"/>
    <x v="1"/>
    <s v="J-2263/25-26"/>
    <n v="10886"/>
    <m/>
  </r>
  <r>
    <d v="2025-08-25T00:00:00"/>
    <x v="11"/>
    <x v="1"/>
    <s v="J-2264/25-26"/>
    <n v="28"/>
    <m/>
  </r>
  <r>
    <d v="2025-08-25T00:00:00"/>
    <x v="749"/>
    <x v="1"/>
    <s v="J-2265/25-26"/>
    <n v="4437"/>
    <m/>
  </r>
  <r>
    <d v="2025-08-25T00:00:00"/>
    <x v="173"/>
    <x v="1"/>
    <s v="J-2266/25-26"/>
    <n v="3472"/>
    <m/>
  </r>
  <r>
    <d v="2025-08-25T00:00:00"/>
    <x v="29"/>
    <x v="1"/>
    <s v="J-2267/25-26"/>
    <n v="370"/>
    <m/>
  </r>
  <r>
    <d v="2025-08-25T00:00:00"/>
    <x v="550"/>
    <x v="1"/>
    <s v="J-2268/25-26"/>
    <n v="84"/>
    <m/>
  </r>
  <r>
    <d v="2025-08-25T00:00:00"/>
    <x v="34"/>
    <x v="1"/>
    <s v="J-2269/25-26"/>
    <n v="111"/>
    <m/>
  </r>
  <r>
    <d v="2025-08-25T00:00:00"/>
    <x v="11"/>
    <x v="1"/>
    <s v="J-2270/25-26"/>
    <n v="12"/>
    <m/>
  </r>
  <r>
    <d v="2025-08-25T00:00:00"/>
    <x v="11"/>
    <x v="1"/>
    <s v="J-2271/25-26"/>
    <n v="1236"/>
    <m/>
  </r>
  <r>
    <d v="2025-08-25T00:00:00"/>
    <x v="298"/>
    <x v="1"/>
    <s v="J-2272/25-26"/>
    <n v="1121"/>
    <m/>
  </r>
  <r>
    <d v="2025-08-25T00:00:00"/>
    <x v="47"/>
    <x v="1"/>
    <s v="J-2273/25-26"/>
    <n v="2410"/>
    <m/>
  </r>
  <r>
    <d v="2025-08-25T00:00:00"/>
    <x v="630"/>
    <x v="1"/>
    <s v="J-2274/25-26"/>
    <n v="2198"/>
    <m/>
  </r>
  <r>
    <d v="2025-08-25T00:00:00"/>
    <x v="170"/>
    <x v="1"/>
    <s v="J-2275/25-26"/>
    <n v="1143"/>
    <m/>
  </r>
  <r>
    <d v="2025-08-25T00:00:00"/>
    <x v="170"/>
    <x v="1"/>
    <s v="J-2276/25-26"/>
    <n v="1558"/>
    <m/>
  </r>
  <r>
    <d v="2025-08-25T00:00:00"/>
    <x v="660"/>
    <x v="1"/>
    <s v="J-2277/25-26"/>
    <n v="298"/>
    <m/>
  </r>
  <r>
    <d v="2025-08-25T00:00:00"/>
    <x v="750"/>
    <x v="1"/>
    <s v="J-2278/25-26"/>
    <n v="6258"/>
    <m/>
  </r>
  <r>
    <d v="2025-08-25T00:00:00"/>
    <x v="524"/>
    <x v="1"/>
    <s v="J-2279/25-26"/>
    <n v="1228"/>
    <m/>
  </r>
  <r>
    <d v="2025-08-25T00:00:00"/>
    <x v="173"/>
    <x v="1"/>
    <s v="J-2280/25-26"/>
    <n v="30"/>
    <m/>
  </r>
  <r>
    <d v="2025-08-25T00:00:00"/>
    <x v="751"/>
    <x v="1"/>
    <s v="J-2281/25-26"/>
    <n v="1593"/>
    <m/>
  </r>
  <r>
    <d v="2025-08-25T00:00:00"/>
    <x v="370"/>
    <x v="1"/>
    <s v="J-2282/25-26"/>
    <n v="2924"/>
    <m/>
  </r>
  <r>
    <d v="2025-08-25T00:00:00"/>
    <x v="297"/>
    <x v="1"/>
    <s v="J-2283/25-26"/>
    <n v="17365"/>
    <m/>
  </r>
  <r>
    <d v="2025-08-25T00:00:00"/>
    <x v="752"/>
    <x v="1"/>
    <s v="J-2284/25-26"/>
    <n v="7029"/>
    <m/>
  </r>
  <r>
    <d v="2025-08-26T00:00:00"/>
    <x v="265"/>
    <x v="0"/>
    <s v="JU-386/25-26"/>
    <n v="11100"/>
    <m/>
  </r>
  <r>
    <d v="2025-08-26T00:00:00"/>
    <x v="439"/>
    <x v="0"/>
    <s v="JU-387/25-26"/>
    <n v="11798"/>
    <m/>
  </r>
  <r>
    <d v="2025-08-26T00:00:00"/>
    <x v="265"/>
    <x v="0"/>
    <s v="JU-388/25-26"/>
    <n v="7400"/>
    <m/>
  </r>
  <r>
    <d v="2025-08-26T00:00:00"/>
    <x v="391"/>
    <x v="0"/>
    <s v="JU-389/25-26"/>
    <n v="2526"/>
    <m/>
  </r>
  <r>
    <d v="2025-08-26T00:00:00"/>
    <x v="457"/>
    <x v="0"/>
    <s v="JU-390/25-26"/>
    <n v="102750"/>
    <m/>
  </r>
  <r>
    <d v="2025-08-26T00:00:00"/>
    <x v="689"/>
    <x v="0"/>
    <s v="JU-391/25-26"/>
    <n v="69004"/>
    <m/>
  </r>
  <r>
    <d v="2025-08-26T00:00:00"/>
    <x v="23"/>
    <x v="1"/>
    <s v="J-2285/25-26"/>
    <n v="1850"/>
    <m/>
  </r>
  <r>
    <d v="2025-08-26T00:00:00"/>
    <x v="259"/>
    <x v="1"/>
    <s v="J-2286/25-26"/>
    <n v="9100"/>
    <m/>
  </r>
  <r>
    <d v="2025-08-26T00:00:00"/>
    <x v="746"/>
    <x v="1"/>
    <s v="J-2287/25-26"/>
    <n v="4990"/>
    <m/>
  </r>
  <r>
    <d v="2025-08-26T00:00:00"/>
    <x v="106"/>
    <x v="1"/>
    <s v="J-2288/25-26"/>
    <n v="515"/>
    <m/>
  </r>
  <r>
    <d v="2025-08-26T00:00:00"/>
    <x v="23"/>
    <x v="1"/>
    <s v="J-2289/25-26"/>
    <n v="51274"/>
    <m/>
  </r>
  <r>
    <d v="2025-08-26T00:00:00"/>
    <x v="29"/>
    <x v="1"/>
    <s v="J-2290/25-26"/>
    <n v="523"/>
    <m/>
  </r>
  <r>
    <d v="2025-08-26T00:00:00"/>
    <x v="47"/>
    <x v="1"/>
    <s v="J-2291/25-26"/>
    <n v="22684"/>
    <m/>
  </r>
  <r>
    <d v="2025-08-26T00:00:00"/>
    <x v="89"/>
    <x v="1"/>
    <s v="J-2292/25-26"/>
    <n v="370"/>
    <m/>
  </r>
  <r>
    <d v="2025-08-26T00:00:00"/>
    <x v="753"/>
    <x v="1"/>
    <s v="J-2293/25-26"/>
    <n v="7800"/>
    <m/>
  </r>
  <r>
    <d v="2025-08-26T00:00:00"/>
    <x v="8"/>
    <x v="1"/>
    <s v="J-2294/25-26"/>
    <n v="61624"/>
    <m/>
  </r>
  <r>
    <d v="2025-08-26T00:00:00"/>
    <x v="11"/>
    <x v="1"/>
    <s v="J-2295/25-26"/>
    <n v="12"/>
    <m/>
  </r>
  <r>
    <d v="2025-08-26T00:00:00"/>
    <x v="11"/>
    <x v="1"/>
    <s v="J-2296/25-26"/>
    <n v="12"/>
    <m/>
  </r>
  <r>
    <d v="2025-08-26T00:00:00"/>
    <x v="3"/>
    <x v="1"/>
    <s v="J-2297/25-26"/>
    <n v="7400"/>
    <m/>
  </r>
  <r>
    <d v="2025-08-26T00:00:00"/>
    <x v="754"/>
    <x v="1"/>
    <s v="J-2298/25-26"/>
    <n v="8297"/>
    <m/>
  </r>
  <r>
    <d v="2025-08-26T00:00:00"/>
    <x v="754"/>
    <x v="1"/>
    <s v="J-2299/25-26"/>
    <n v="370"/>
    <m/>
  </r>
  <r>
    <d v="2025-08-26T00:00:00"/>
    <x v="11"/>
    <x v="1"/>
    <s v="J-2300/25-26"/>
    <n v="6794"/>
    <m/>
  </r>
  <r>
    <d v="2025-08-26T00:00:00"/>
    <x v="732"/>
    <x v="1"/>
    <s v="J-2301/25-26"/>
    <n v="6151"/>
    <m/>
  </r>
  <r>
    <d v="2025-08-26T00:00:00"/>
    <x v="548"/>
    <x v="1"/>
    <s v="J-2302/25-26"/>
    <n v="25950"/>
    <m/>
  </r>
  <r>
    <d v="2025-08-26T00:00:00"/>
    <x v="568"/>
    <x v="1"/>
    <s v="J-2303/25-26"/>
    <n v="25578"/>
    <m/>
  </r>
  <r>
    <d v="2025-08-26T00:00:00"/>
    <x v="47"/>
    <x v="1"/>
    <s v="J-2304/25-26"/>
    <n v="874"/>
    <m/>
  </r>
  <r>
    <d v="2025-08-26T00:00:00"/>
    <x v="11"/>
    <x v="1"/>
    <s v="J-2305/25-26"/>
    <n v="12"/>
    <m/>
  </r>
  <r>
    <d v="2025-08-26T00:00:00"/>
    <x v="471"/>
    <x v="1"/>
    <s v="J-2306/25-26"/>
    <n v="461"/>
    <m/>
  </r>
  <r>
    <d v="2025-08-26T00:00:00"/>
    <x v="755"/>
    <x v="1"/>
    <s v="J-2307/25-26"/>
    <n v="2472"/>
    <m/>
  </r>
  <r>
    <d v="2025-08-27T00:00:00"/>
    <x v="392"/>
    <x v="0"/>
    <s v="JU-392/25-26"/>
    <n v="2420"/>
    <m/>
  </r>
  <r>
    <d v="2025-08-27T00:00:00"/>
    <x v="756"/>
    <x v="1"/>
    <s v="J-2308/25-26"/>
    <n v="9074"/>
    <m/>
  </r>
  <r>
    <d v="2025-08-27T00:00:00"/>
    <x v="23"/>
    <x v="1"/>
    <s v="J-2309/25-26"/>
    <n v="1480"/>
    <m/>
  </r>
  <r>
    <d v="2025-08-27T00:00:00"/>
    <x v="11"/>
    <x v="1"/>
    <s v="J-2310/25-26"/>
    <n v="21"/>
    <m/>
  </r>
  <r>
    <d v="2025-08-27T00:00:00"/>
    <x v="757"/>
    <x v="1"/>
    <s v="J-2311/25-26"/>
    <n v="3700"/>
    <m/>
  </r>
  <r>
    <d v="2025-08-27T00:00:00"/>
    <x v="106"/>
    <x v="1"/>
    <s v="J-2312/25-26"/>
    <n v="515"/>
    <m/>
  </r>
  <r>
    <d v="2025-08-27T00:00:00"/>
    <x v="758"/>
    <x v="1"/>
    <s v="J-2313/25-26"/>
    <n v="20"/>
    <m/>
  </r>
  <r>
    <d v="2025-08-27T00:00:00"/>
    <x v="548"/>
    <x v="1"/>
    <s v="J-2314/25-26"/>
    <n v="6670"/>
    <m/>
  </r>
  <r>
    <d v="2025-08-27T00:00:00"/>
    <x v="11"/>
    <x v="1"/>
    <s v="J-2315/25-26"/>
    <n v="10"/>
    <m/>
  </r>
  <r>
    <d v="2025-08-27T00:00:00"/>
    <x v="574"/>
    <x v="1"/>
    <s v="J-2316/25-26"/>
    <n v="1110"/>
    <m/>
  </r>
  <r>
    <d v="2025-08-27T00:00:00"/>
    <x v="127"/>
    <x v="1"/>
    <s v="J-2317/25-26"/>
    <n v="370"/>
    <m/>
  </r>
  <r>
    <d v="2025-08-27T00:00:00"/>
    <x v="374"/>
    <x v="1"/>
    <s v="J-2318/25-26"/>
    <n v="2588"/>
    <m/>
  </r>
  <r>
    <d v="2025-08-27T00:00:00"/>
    <x v="79"/>
    <x v="1"/>
    <s v="J-2319/25-26"/>
    <n v="11118"/>
    <m/>
  </r>
  <r>
    <d v="2025-08-27T00:00:00"/>
    <x v="746"/>
    <x v="1"/>
    <s v="J-2320/25-26"/>
    <n v="550"/>
    <m/>
  </r>
  <r>
    <d v="2025-08-27T00:00:00"/>
    <x v="119"/>
    <x v="1"/>
    <s v="J-2321/25-26"/>
    <n v="7400"/>
    <m/>
  </r>
  <r>
    <d v="2025-08-27T00:00:00"/>
    <x v="173"/>
    <x v="1"/>
    <s v="J-2322/25-26"/>
    <n v="150"/>
    <m/>
  </r>
  <r>
    <d v="2025-08-27T00:00:00"/>
    <x v="759"/>
    <x v="1"/>
    <s v="J-2323/25-26"/>
    <n v="510"/>
    <m/>
  </r>
  <r>
    <d v="2025-08-27T00:00:00"/>
    <x v="253"/>
    <x v="1"/>
    <s v="J-2324/25-26"/>
    <n v="3725"/>
    <m/>
  </r>
  <r>
    <d v="2025-08-27T00:00:00"/>
    <x v="11"/>
    <x v="1"/>
    <s v="J-2325/25-26"/>
    <n v="920"/>
    <m/>
  </r>
  <r>
    <d v="2025-08-27T00:00:00"/>
    <x v="11"/>
    <x v="1"/>
    <s v="J-2326/25-26"/>
    <n v="6841"/>
    <m/>
  </r>
  <r>
    <d v="2025-08-28T00:00:00"/>
    <x v="760"/>
    <x v="0"/>
    <s v="JU-393/25-26"/>
    <n v="17030"/>
    <m/>
  </r>
  <r>
    <d v="2025-08-28T00:00:00"/>
    <x v="630"/>
    <x v="1"/>
    <s v="J-2327/25-26"/>
    <n v="39100"/>
    <m/>
  </r>
  <r>
    <d v="2025-08-28T00:00:00"/>
    <x v="115"/>
    <x v="1"/>
    <s v="J-2328/25-26"/>
    <n v="5515"/>
    <m/>
  </r>
  <r>
    <d v="2025-08-28T00:00:00"/>
    <x v="394"/>
    <x v="1"/>
    <s v="J-2329/25-26"/>
    <n v="37922"/>
    <m/>
  </r>
  <r>
    <d v="2025-08-28T00:00:00"/>
    <x v="597"/>
    <x v="1"/>
    <s v="J-2330/25-26"/>
    <n v="30284"/>
    <m/>
  </r>
  <r>
    <d v="2025-08-28T00:00:00"/>
    <x v="11"/>
    <x v="1"/>
    <s v="J-2331/25-26"/>
    <n v="12"/>
    <m/>
  </r>
  <r>
    <d v="2025-08-28T00:00:00"/>
    <x v="743"/>
    <x v="1"/>
    <s v="J-2332/25-26"/>
    <n v="23414"/>
    <m/>
  </r>
  <r>
    <d v="2025-08-28T00:00:00"/>
    <x v="471"/>
    <x v="1"/>
    <s v="J-2333/25-26"/>
    <n v="1410"/>
    <m/>
  </r>
  <r>
    <d v="2025-08-28T00:00:00"/>
    <x v="4"/>
    <x v="1"/>
    <s v="J-2334/25-26"/>
    <n v="2948"/>
    <m/>
  </r>
  <r>
    <d v="2025-08-28T00:00:00"/>
    <x v="259"/>
    <x v="1"/>
    <s v="J-2335/25-26"/>
    <n v="160"/>
    <m/>
  </r>
  <r>
    <d v="2025-08-28T00:00:00"/>
    <x v="761"/>
    <x v="1"/>
    <s v="J-2336/25-26"/>
    <n v="1227"/>
    <m/>
  </r>
  <r>
    <d v="2025-08-28T00:00:00"/>
    <x v="4"/>
    <x v="1"/>
    <s v="J-2337/25-26"/>
    <n v="9720"/>
    <m/>
  </r>
  <r>
    <d v="2025-08-28T00:00:00"/>
    <x v="762"/>
    <x v="1"/>
    <s v="J-2338/25-26"/>
    <n v="13052"/>
    <m/>
  </r>
  <r>
    <d v="2025-08-28T00:00:00"/>
    <x v="8"/>
    <x v="1"/>
    <s v="J-2339/25-26"/>
    <n v="3354"/>
    <m/>
  </r>
  <r>
    <d v="2025-08-28T00:00:00"/>
    <x v="370"/>
    <x v="1"/>
    <s v="J-2340/25-26"/>
    <n v="286"/>
    <m/>
  </r>
  <r>
    <d v="2025-08-28T00:00:00"/>
    <x v="703"/>
    <x v="1"/>
    <s v="J-2341/25-26"/>
    <n v="459"/>
    <m/>
  </r>
  <r>
    <d v="2025-08-28T00:00:00"/>
    <x v="394"/>
    <x v="1"/>
    <s v="J-2342/25-26"/>
    <n v="432"/>
    <m/>
  </r>
  <r>
    <d v="2025-08-28T00:00:00"/>
    <x v="763"/>
    <x v="1"/>
    <s v="J-2343/25-26"/>
    <n v="20003"/>
    <m/>
  </r>
  <r>
    <d v="2025-08-29T00:00:00"/>
    <x v="305"/>
    <x v="0"/>
    <s v="JU-394/25-26"/>
    <n v="11610"/>
    <m/>
  </r>
  <r>
    <d v="2025-08-29T00:00:00"/>
    <x v="217"/>
    <x v="0"/>
    <s v="JU-395/25-26"/>
    <n v="9750"/>
    <m/>
  </r>
  <r>
    <d v="2025-08-29T00:00:00"/>
    <x v="138"/>
    <x v="0"/>
    <s v="JU-396/25-26"/>
    <m/>
    <m/>
  </r>
  <r>
    <d v="2025-08-29T00:00:00"/>
    <x v="760"/>
    <x v="0"/>
    <s v="JU-397/25-26"/>
    <n v="2960"/>
    <m/>
  </r>
  <r>
    <d v="2025-08-29T00:00:00"/>
    <x v="14"/>
    <x v="0"/>
    <s v="JU-398/25-26"/>
    <n v="22023"/>
    <m/>
  </r>
  <r>
    <d v="2025-08-29T00:00:00"/>
    <x v="764"/>
    <x v="1"/>
    <s v="J-2344/25-26"/>
    <n v="370"/>
    <m/>
  </r>
  <r>
    <d v="2025-08-29T00:00:00"/>
    <x v="737"/>
    <x v="1"/>
    <s v="J-2345/25-26"/>
    <n v="5550"/>
    <m/>
  </r>
  <r>
    <d v="2025-08-29T00:00:00"/>
    <x v="245"/>
    <x v="1"/>
    <s v="J-2346/25-26"/>
    <n v="4380"/>
    <m/>
  </r>
  <r>
    <d v="2025-08-29T00:00:00"/>
    <x v="765"/>
    <x v="1"/>
    <s v="J-2347/25-26"/>
    <n v="360"/>
    <m/>
  </r>
  <r>
    <d v="2025-08-29T00:00:00"/>
    <x v="660"/>
    <x v="1"/>
    <s v="J-2348/25-26"/>
    <n v="35922"/>
    <m/>
  </r>
  <r>
    <d v="2025-08-29T00:00:00"/>
    <x v="743"/>
    <x v="1"/>
    <s v="J-2349/25-26"/>
    <n v="2027"/>
    <m/>
  </r>
  <r>
    <d v="2025-08-29T00:00:00"/>
    <x v="471"/>
    <x v="1"/>
    <s v="J-2350/25-26"/>
    <n v="1780"/>
    <m/>
  </r>
  <r>
    <d v="2025-08-29T00:00:00"/>
    <x v="766"/>
    <x v="1"/>
    <s v="J-2351/25-26"/>
    <n v="1157"/>
    <m/>
  </r>
  <r>
    <d v="2025-08-29T00:00:00"/>
    <x v="23"/>
    <x v="1"/>
    <s v="J-2352/25-26"/>
    <n v="5518"/>
    <m/>
  </r>
  <r>
    <d v="2025-08-29T00:00:00"/>
    <x v="767"/>
    <x v="1"/>
    <s v="J-2353/25-26"/>
    <n v="50"/>
    <m/>
  </r>
  <r>
    <d v="2025-08-29T00:00:00"/>
    <x v="47"/>
    <x v="1"/>
    <s v="J-2354/25-26"/>
    <n v="2425"/>
    <m/>
  </r>
  <r>
    <d v="2025-08-29T00:00:00"/>
    <x v="394"/>
    <x v="1"/>
    <s v="J-2355/25-26"/>
    <n v="6091"/>
    <m/>
  </r>
  <r>
    <d v="2025-08-30T00:00:00"/>
    <x v="16"/>
    <x v="0"/>
    <s v="JU-399/25-26"/>
    <n v="29406"/>
    <m/>
  </r>
  <r>
    <d v="2025-08-30T00:00:00"/>
    <x v="671"/>
    <x v="0"/>
    <s v="JU-400/25-26"/>
    <n v="82004"/>
    <m/>
  </r>
  <r>
    <d v="2025-08-30T00:00:00"/>
    <x v="52"/>
    <x v="0"/>
    <s v="JU-401/25-26"/>
    <n v="35405"/>
    <m/>
  </r>
  <r>
    <d v="2025-08-30T00:00:00"/>
    <x v="439"/>
    <x v="0"/>
    <s v="JU-402/25-26"/>
    <n v="4920"/>
    <m/>
  </r>
  <r>
    <d v="2025-08-30T00:00:00"/>
    <x v="524"/>
    <x v="1"/>
    <s v="J-2356/25-26"/>
    <n v="2027"/>
    <m/>
  </r>
  <r>
    <d v="2025-08-30T00:00:00"/>
    <x v="230"/>
    <x v="1"/>
    <s v="J-2357/25-26"/>
    <n v="5226"/>
    <m/>
  </r>
  <r>
    <d v="2025-08-30T00:00:00"/>
    <x v="23"/>
    <x v="1"/>
    <s v="J-2358/25-26"/>
    <n v="3700"/>
    <m/>
  </r>
  <r>
    <d v="2025-08-30T00:00:00"/>
    <x v="768"/>
    <x v="1"/>
    <s v="J-2359/25-26"/>
    <n v="2847"/>
    <m/>
  </r>
  <r>
    <d v="2025-08-30T00:00:00"/>
    <x v="11"/>
    <x v="1"/>
    <s v="J-2360/25-26"/>
    <n v="12"/>
    <m/>
  </r>
  <r>
    <d v="2025-08-30T00:00:00"/>
    <x v="743"/>
    <x v="1"/>
    <s v="J-2361/25-26"/>
    <n v="588"/>
    <m/>
  </r>
  <r>
    <d v="2025-08-30T00:00:00"/>
    <x v="163"/>
    <x v="1"/>
    <s v="J-2362/25-26"/>
    <n v="25"/>
    <m/>
  </r>
  <r>
    <d v="2025-08-30T00:00:00"/>
    <x v="764"/>
    <x v="1"/>
    <s v="J-2363/25-26"/>
    <n v="370"/>
    <m/>
  </r>
  <r>
    <d v="2025-08-30T00:00:00"/>
    <x v="706"/>
    <x v="1"/>
    <s v="J-2364/25-26"/>
    <n v="9205"/>
    <m/>
  </r>
  <r>
    <d v="2025-08-30T00:00:00"/>
    <x v="11"/>
    <x v="1"/>
    <s v="J-2365/25-26"/>
    <n v="370"/>
    <m/>
  </r>
  <r>
    <d v="2025-08-30T00:00:00"/>
    <x v="11"/>
    <x v="1"/>
    <s v="J-2366/25-26"/>
    <n v="8"/>
    <m/>
  </r>
  <r>
    <d v="2025-08-30T00:00:00"/>
    <x v="394"/>
    <x v="1"/>
    <s v="J-2367/25-26"/>
    <n v="60"/>
    <m/>
  </r>
  <r>
    <d v="2025-08-30T00:00:00"/>
    <x v="11"/>
    <x v="1"/>
    <s v="J-2368/25-26"/>
    <n v="318"/>
    <m/>
  </r>
  <r>
    <d v="2025-08-30T00:00:00"/>
    <x v="11"/>
    <x v="1"/>
    <s v="J-2369/25-26"/>
    <n v="370"/>
    <m/>
  </r>
  <r>
    <d v="2025-08-30T00:00:00"/>
    <x v="23"/>
    <x v="1"/>
    <s v="J-2370/25-26"/>
    <n v="150"/>
    <m/>
  </r>
  <r>
    <d v="2025-08-30T00:00:00"/>
    <x v="769"/>
    <x v="1"/>
    <s v="J-2371/25-26"/>
    <n v="37518"/>
    <m/>
  </r>
  <r>
    <d v="2025-08-30T00:00:00"/>
    <x v="639"/>
    <x v="1"/>
    <s v="J-2372/25-26"/>
    <n v="390"/>
    <m/>
  </r>
  <r>
    <d v="2025-08-30T00:00:00"/>
    <x v="11"/>
    <x v="1"/>
    <s v="J-2373/25-26"/>
    <n v="810"/>
    <m/>
  </r>
  <r>
    <d v="2025-08-30T00:00:00"/>
    <x v="524"/>
    <x v="1"/>
    <s v="J-2374/25-26"/>
    <n v="799"/>
    <m/>
  </r>
  <r>
    <d v="2025-08-30T00:00:00"/>
    <x v="770"/>
    <x v="1"/>
    <s v="J-2375/25-26"/>
    <n v="30550"/>
    <m/>
  </r>
  <r>
    <d v="2025-08-30T00:00:00"/>
    <x v="20"/>
    <x v="1"/>
    <s v="J-2376/25-26"/>
    <n v="6163"/>
    <m/>
  </r>
  <r>
    <d v="2025-08-30T00:00:00"/>
    <x v="771"/>
    <x v="1"/>
    <s v="J-2377/25-26"/>
    <n v="2220"/>
    <m/>
  </r>
  <r>
    <d v="2025-08-30T00:00:00"/>
    <x v="3"/>
    <x v="1"/>
    <s v="J-2378/25-26"/>
    <n v="3780"/>
    <m/>
  </r>
  <r>
    <d v="2025-08-30T00:00:00"/>
    <x v="772"/>
    <x v="1"/>
    <s v="J-2379/25-26"/>
    <n v="72"/>
    <m/>
  </r>
  <r>
    <d v="2025-08-30T00:00:00"/>
    <x v="394"/>
    <x v="1"/>
    <s v="J-2380/25-26"/>
    <n v="1182"/>
    <m/>
  </r>
  <r>
    <d v="2025-08-30T00:00:00"/>
    <x v="773"/>
    <x v="1"/>
    <s v="J-2381/25-26"/>
    <n v="310"/>
    <m/>
  </r>
  <r>
    <d v="2025-09-01T00:00:00"/>
    <x v="671"/>
    <x v="0"/>
    <s v="JU-403/25-26"/>
    <n v="7400"/>
    <m/>
  </r>
  <r>
    <d v="2025-09-01T00:00:00"/>
    <x v="774"/>
    <x v="0"/>
    <s v="JU-404/25-26"/>
    <n v="2128"/>
    <m/>
  </r>
  <r>
    <d v="2025-09-01T00:00:00"/>
    <x v="305"/>
    <x v="0"/>
    <s v="JU-405/25-26"/>
    <n v="3700"/>
    <m/>
  </r>
  <r>
    <d v="2025-09-01T00:00:00"/>
    <x v="571"/>
    <x v="0"/>
    <s v="JU-406/25-26"/>
    <n v="8977"/>
    <m/>
  </r>
  <r>
    <d v="2025-09-01T00:00:00"/>
    <x v="89"/>
    <x v="1"/>
    <s v="J-2382/25-26"/>
    <n v="1850"/>
    <m/>
  </r>
  <r>
    <d v="2025-09-01T00:00:00"/>
    <x v="123"/>
    <x v="1"/>
    <s v="J-2383/25-26"/>
    <n v="16830"/>
    <m/>
  </r>
  <r>
    <d v="2025-09-01T00:00:00"/>
    <x v="775"/>
    <x v="1"/>
    <s v="J-2384/25-26"/>
    <n v="370"/>
    <m/>
  </r>
  <r>
    <d v="2025-09-01T00:00:00"/>
    <x v="776"/>
    <x v="1"/>
    <s v="J-2385/25-26"/>
    <n v="1110"/>
    <m/>
  </r>
  <r>
    <d v="2025-09-01T00:00:00"/>
    <x v="20"/>
    <x v="1"/>
    <s v="J-2386/25-26"/>
    <n v="1214"/>
    <m/>
  </r>
  <r>
    <d v="2025-09-01T00:00:00"/>
    <x v="746"/>
    <x v="1"/>
    <s v="J-2387/25-26"/>
    <n v="1282"/>
    <m/>
  </r>
  <r>
    <d v="2025-09-01T00:00:00"/>
    <x v="11"/>
    <x v="1"/>
    <s v="J-2388/25-26"/>
    <n v="21"/>
    <m/>
  </r>
  <r>
    <d v="2025-09-01T00:00:00"/>
    <x v="149"/>
    <x v="1"/>
    <s v="J-2389/25-26"/>
    <n v="1182"/>
    <m/>
  </r>
  <r>
    <d v="2025-09-01T00:00:00"/>
    <x v="253"/>
    <x v="1"/>
    <s v="J-2390/25-26"/>
    <n v="1038"/>
    <m/>
  </r>
  <r>
    <d v="2025-09-01T00:00:00"/>
    <x v="11"/>
    <x v="1"/>
    <s v="J-2391/25-26"/>
    <n v="962"/>
    <m/>
  </r>
  <r>
    <d v="2025-09-01T00:00:00"/>
    <x v="777"/>
    <x v="1"/>
    <s v="J-2392/25-26"/>
    <n v="9757"/>
    <m/>
  </r>
  <r>
    <d v="2025-09-01T00:00:00"/>
    <x v="778"/>
    <x v="1"/>
    <s v="J-2393/25-26"/>
    <n v="370"/>
    <m/>
  </r>
  <r>
    <d v="2025-09-01T00:00:00"/>
    <x v="12"/>
    <x v="1"/>
    <s v="J-2394/25-26"/>
    <n v="370"/>
    <m/>
  </r>
  <r>
    <d v="2025-09-01T00:00:00"/>
    <x v="440"/>
    <x v="1"/>
    <s v="J-2395/25-26"/>
    <n v="2894"/>
    <m/>
  </r>
  <r>
    <d v="2025-09-01T00:00:00"/>
    <x v="394"/>
    <x v="1"/>
    <s v="J-2396/25-26"/>
    <n v="605"/>
    <m/>
  </r>
  <r>
    <d v="2025-09-01T00:00:00"/>
    <x v="374"/>
    <x v="1"/>
    <s v="J-2397/25-26"/>
    <n v="740"/>
    <m/>
  </r>
  <r>
    <d v="2025-09-01T00:00:00"/>
    <x v="190"/>
    <x v="1"/>
    <s v="J-2398/25-26"/>
    <n v="470"/>
    <m/>
  </r>
  <r>
    <d v="2025-09-02T00:00:00"/>
    <x v="305"/>
    <x v="0"/>
    <s v="JU-407/25-26"/>
    <n v="18900"/>
    <m/>
  </r>
  <r>
    <d v="2025-09-02T00:00:00"/>
    <x v="689"/>
    <x v="0"/>
    <s v="JU-408/25-26"/>
    <n v="56935"/>
    <m/>
  </r>
  <r>
    <d v="2025-09-02T00:00:00"/>
    <x v="265"/>
    <x v="0"/>
    <s v="JU-409/25-26"/>
    <n v="7180"/>
    <m/>
  </r>
  <r>
    <d v="2025-09-02T00:00:00"/>
    <x v="490"/>
    <x v="0"/>
    <s v="JU-410/25-26"/>
    <n v="1105"/>
    <m/>
  </r>
  <r>
    <d v="2025-09-02T00:00:00"/>
    <x v="597"/>
    <x v="1"/>
    <s v="J-2399/25-26"/>
    <n v="13750"/>
    <m/>
  </r>
  <r>
    <d v="2025-09-02T00:00:00"/>
    <x v="11"/>
    <x v="1"/>
    <s v="J-2400/25-26"/>
    <n v="370"/>
    <m/>
  </r>
  <r>
    <d v="2025-09-02T00:00:00"/>
    <x v="779"/>
    <x v="1"/>
    <s v="J-2401/25-26"/>
    <n v="11893"/>
    <m/>
  </r>
  <r>
    <d v="2025-09-02T00:00:00"/>
    <x v="780"/>
    <x v="1"/>
    <s v="J-2402/25-26"/>
    <n v="740"/>
    <m/>
  </r>
  <r>
    <d v="2025-09-02T00:00:00"/>
    <x v="776"/>
    <x v="1"/>
    <s v="J-2403/25-26"/>
    <n v="1110"/>
    <m/>
  </r>
  <r>
    <d v="2025-09-02T00:00:00"/>
    <x v="494"/>
    <x v="1"/>
    <s v="J-2404/25-26"/>
    <n v="7955"/>
    <m/>
  </r>
  <r>
    <d v="2025-09-02T00:00:00"/>
    <x v="104"/>
    <x v="1"/>
    <s v="J-2405/25-26"/>
    <n v="315"/>
    <m/>
  </r>
  <r>
    <d v="2025-09-02T00:00:00"/>
    <x v="47"/>
    <x v="1"/>
    <s v="J-2406/25-26"/>
    <n v="6990"/>
    <m/>
  </r>
  <r>
    <d v="2025-09-02T00:00:00"/>
    <x v="548"/>
    <x v="1"/>
    <s v="J-2407/25-26"/>
    <n v="25350"/>
    <m/>
  </r>
  <r>
    <d v="2025-09-02T00:00:00"/>
    <x v="211"/>
    <x v="1"/>
    <s v="J-2408/25-26"/>
    <n v="9250"/>
    <m/>
  </r>
  <r>
    <d v="2025-09-02T00:00:00"/>
    <x v="737"/>
    <x v="1"/>
    <s v="J-2409/25-26"/>
    <n v="3700"/>
    <m/>
  </r>
  <r>
    <d v="2025-09-02T00:00:00"/>
    <x v="11"/>
    <x v="1"/>
    <s v="J-2410/25-26"/>
    <n v="3076"/>
    <m/>
  </r>
  <r>
    <d v="2025-09-02T00:00:00"/>
    <x v="582"/>
    <x v="1"/>
    <s v="J-2411/25-26"/>
    <n v="740"/>
    <m/>
  </r>
  <r>
    <d v="2025-09-02T00:00:00"/>
    <x v="23"/>
    <x v="1"/>
    <s v="J-2412/25-26"/>
    <n v="519"/>
    <m/>
  </r>
  <r>
    <d v="2025-09-02T00:00:00"/>
    <x v="724"/>
    <x v="1"/>
    <s v="J-2413/25-26"/>
    <n v="370"/>
    <m/>
  </r>
  <r>
    <d v="2025-09-02T00:00:00"/>
    <x v="781"/>
    <x v="1"/>
    <s v="J-2414/25-26"/>
    <n v="2080"/>
    <m/>
  </r>
  <r>
    <d v="2025-09-02T00:00:00"/>
    <x v="541"/>
    <x v="1"/>
    <s v="J-2415/25-26"/>
    <n v="28443"/>
    <m/>
  </r>
  <r>
    <d v="2025-09-02T00:00:00"/>
    <x v="660"/>
    <x v="1"/>
    <s v="J-2416/25-26"/>
    <n v="130"/>
    <m/>
  </r>
  <r>
    <d v="2025-09-02T00:00:00"/>
    <x v="782"/>
    <x v="1"/>
    <s v="J-2417/25-26"/>
    <n v="920"/>
    <m/>
  </r>
  <r>
    <d v="2025-09-02T00:00:00"/>
    <x v="777"/>
    <x v="1"/>
    <s v="J-2418/25-26"/>
    <n v="253"/>
    <m/>
  </r>
  <r>
    <d v="2025-09-02T00:00:00"/>
    <x v="266"/>
    <x v="1"/>
    <s v="J-2419/25-26"/>
    <n v="70925"/>
    <m/>
  </r>
  <r>
    <d v="2025-09-02T00:00:00"/>
    <x v="29"/>
    <x v="1"/>
    <s v="J-2420/25-26"/>
    <n v="2220"/>
    <m/>
  </r>
  <r>
    <d v="2025-09-02T00:00:00"/>
    <x v="23"/>
    <x v="1"/>
    <s v="J-2421/25-26"/>
    <n v="730"/>
    <m/>
  </r>
  <r>
    <d v="2025-09-02T00:00:00"/>
    <x v="20"/>
    <x v="1"/>
    <s v="J-2422/25-26"/>
    <n v="6130"/>
    <m/>
  </r>
  <r>
    <d v="2025-09-02T00:00:00"/>
    <x v="11"/>
    <x v="1"/>
    <s v="J-2423/25-26"/>
    <n v="12"/>
    <m/>
  </r>
  <r>
    <d v="2025-09-03T00:00:00"/>
    <x v="571"/>
    <x v="0"/>
    <s v="JU-411/25-26"/>
    <n v="9943"/>
    <m/>
  </r>
  <r>
    <d v="2025-09-03T00:00:00"/>
    <x v="571"/>
    <x v="0"/>
    <s v="JU-412/25-26"/>
    <n v="791"/>
    <m/>
  </r>
  <r>
    <d v="2025-09-03T00:00:00"/>
    <x v="305"/>
    <x v="0"/>
    <s v="JU-413/25-26"/>
    <n v="1020"/>
    <m/>
  </r>
  <r>
    <d v="2025-09-03T00:00:00"/>
    <x v="168"/>
    <x v="0"/>
    <s v="JU-414/25-26"/>
    <n v="3035"/>
    <m/>
  </r>
  <r>
    <d v="2025-09-03T00:00:00"/>
    <x v="79"/>
    <x v="1"/>
    <s v="J-2424/25-26"/>
    <n v="5630"/>
    <m/>
  </r>
  <r>
    <d v="2025-09-03T00:00:00"/>
    <x v="222"/>
    <x v="1"/>
    <s v="J-2425/25-26"/>
    <n v="4224"/>
    <m/>
  </r>
  <r>
    <d v="2025-09-03T00:00:00"/>
    <x v="10"/>
    <x v="1"/>
    <s v="J-2426/25-26"/>
    <n v="16793"/>
    <m/>
  </r>
  <r>
    <d v="2025-09-03T00:00:00"/>
    <x v="34"/>
    <x v="1"/>
    <s v="J-2427/25-26"/>
    <n v="210"/>
    <m/>
  </r>
  <r>
    <d v="2025-09-03T00:00:00"/>
    <x v="743"/>
    <x v="1"/>
    <s v="J-2428/25-26"/>
    <n v="4985"/>
    <m/>
  </r>
  <r>
    <d v="2025-09-03T00:00:00"/>
    <x v="253"/>
    <x v="1"/>
    <s v="J-2429/25-26"/>
    <n v="370"/>
    <m/>
  </r>
  <r>
    <d v="2025-09-03T00:00:00"/>
    <x v="89"/>
    <x v="1"/>
    <s v="J-2430/25-26"/>
    <n v="1480"/>
    <m/>
  </r>
  <r>
    <d v="2025-09-03T00:00:00"/>
    <x v="259"/>
    <x v="1"/>
    <s v="J-2431/25-26"/>
    <n v="7783"/>
    <m/>
  </r>
  <r>
    <d v="2025-09-03T00:00:00"/>
    <x v="781"/>
    <x v="1"/>
    <s v="J-2432/25-26"/>
    <n v="1345"/>
    <m/>
  </r>
  <r>
    <d v="2025-09-03T00:00:00"/>
    <x v="11"/>
    <x v="1"/>
    <s v="J-2433/25-26"/>
    <n v="846"/>
    <m/>
  </r>
  <r>
    <d v="2025-09-03T00:00:00"/>
    <x v="97"/>
    <x v="1"/>
    <s v="J-2434/25-26"/>
    <n v="280"/>
    <m/>
  </r>
  <r>
    <d v="2025-09-03T00:00:00"/>
    <x v="23"/>
    <x v="1"/>
    <s v="J-2435/25-26"/>
    <n v="54386"/>
    <m/>
  </r>
  <r>
    <d v="2025-09-03T00:00:00"/>
    <x v="47"/>
    <x v="1"/>
    <s v="J-2436/25-26"/>
    <n v="4862"/>
    <m/>
  </r>
  <r>
    <d v="2025-09-03T00:00:00"/>
    <x v="783"/>
    <x v="1"/>
    <s v="J-2437/25-26"/>
    <n v="12118"/>
    <m/>
  </r>
  <r>
    <d v="2025-09-03T00:00:00"/>
    <x v="55"/>
    <x v="1"/>
    <s v="J-2438/25-26"/>
    <n v="4691"/>
    <m/>
  </r>
  <r>
    <d v="2025-09-03T00:00:00"/>
    <x v="68"/>
    <x v="1"/>
    <s v="J-2439/25-26"/>
    <n v="162"/>
    <m/>
  </r>
  <r>
    <d v="2025-09-03T00:00:00"/>
    <x v="11"/>
    <x v="1"/>
    <s v="J-2440/25-26"/>
    <n v="20"/>
    <m/>
  </r>
  <r>
    <d v="2025-09-03T00:00:00"/>
    <x v="170"/>
    <x v="1"/>
    <s v="J-2441/25-26"/>
    <n v="8476"/>
    <m/>
  </r>
  <r>
    <d v="2025-09-03T00:00:00"/>
    <x v="143"/>
    <x v="1"/>
    <s v="J-2442/25-26"/>
    <n v="1110"/>
    <m/>
  </r>
  <r>
    <d v="2025-09-03T00:00:00"/>
    <x v="12"/>
    <x v="1"/>
    <s v="J-2443/25-26"/>
    <n v="740"/>
    <m/>
  </r>
  <r>
    <d v="2025-09-03T00:00:00"/>
    <x v="222"/>
    <x v="1"/>
    <s v="J-2444/25-26"/>
    <n v="5530"/>
    <m/>
  </r>
  <r>
    <d v="2025-09-03T00:00:00"/>
    <x v="119"/>
    <x v="1"/>
    <s v="J-2445/25-26"/>
    <n v="5550"/>
    <m/>
  </r>
  <r>
    <d v="2025-09-03T00:00:00"/>
    <x v="784"/>
    <x v="1"/>
    <s v="J-2446/25-26"/>
    <n v="4485"/>
    <m/>
  </r>
  <r>
    <d v="2025-09-03T00:00:00"/>
    <x v="140"/>
    <x v="1"/>
    <s v="J-2447/25-26"/>
    <n v="6290"/>
    <m/>
  </r>
  <r>
    <d v="2025-09-03T00:00:00"/>
    <x v="297"/>
    <x v="1"/>
    <s v="J-2448/25-26"/>
    <n v="1850"/>
    <m/>
  </r>
  <r>
    <d v="2025-09-03T00:00:00"/>
    <x v="785"/>
    <x v="1"/>
    <s v="J-2449/25-26"/>
    <n v="2435"/>
    <m/>
  </r>
  <r>
    <d v="2025-09-03T00:00:00"/>
    <x v="771"/>
    <x v="1"/>
    <s v="J-2450/25-26"/>
    <n v="2590"/>
    <m/>
  </r>
  <r>
    <d v="2025-09-03T00:00:00"/>
    <x v="786"/>
    <x v="1"/>
    <s v="J-2451/25-26"/>
    <n v="25160"/>
    <m/>
  </r>
  <r>
    <d v="2025-09-03T00:00:00"/>
    <x v="787"/>
    <x v="1"/>
    <s v="J-2452/25-26"/>
    <n v="540"/>
    <m/>
  </r>
  <r>
    <d v="2025-09-04T00:00:00"/>
    <x v="266"/>
    <x v="1"/>
    <s v="J-2453/25-26"/>
    <n v="9750"/>
    <m/>
  </r>
  <r>
    <d v="2025-09-04T00:00:00"/>
    <x v="34"/>
    <x v="1"/>
    <s v="J-2454/25-26"/>
    <n v="190"/>
    <m/>
  </r>
  <r>
    <d v="2025-09-04T00:00:00"/>
    <x v="788"/>
    <x v="1"/>
    <s v="J-2455/25-26"/>
    <n v="10550"/>
    <m/>
  </r>
  <r>
    <d v="2025-09-04T00:00:00"/>
    <x v="789"/>
    <x v="1"/>
    <s v="J-2456/25-26"/>
    <n v="1850"/>
    <m/>
  </r>
  <r>
    <d v="2025-09-04T00:00:00"/>
    <x v="705"/>
    <x v="1"/>
    <s v="J-2457/25-26"/>
    <n v="1770"/>
    <m/>
  </r>
  <r>
    <d v="2025-09-04T00:00:00"/>
    <x v="790"/>
    <x v="1"/>
    <s v="J-2458/25-26"/>
    <n v="1326"/>
    <m/>
  </r>
  <r>
    <d v="2025-09-04T00:00:00"/>
    <x v="791"/>
    <x v="1"/>
    <s v="J-2459/25-26"/>
    <n v="14643"/>
    <m/>
  </r>
  <r>
    <d v="2025-09-04T00:00:00"/>
    <x v="34"/>
    <x v="1"/>
    <s v="J-2460/25-26"/>
    <n v="1680"/>
    <m/>
  </r>
  <r>
    <d v="2025-09-04T00:00:00"/>
    <x v="792"/>
    <x v="1"/>
    <s v="J-2461/25-26"/>
    <n v="410"/>
    <m/>
  </r>
  <r>
    <d v="2025-09-04T00:00:00"/>
    <x v="10"/>
    <x v="1"/>
    <s v="J-2462/25-26"/>
    <n v="17406"/>
    <m/>
  </r>
  <r>
    <d v="2025-09-04T00:00:00"/>
    <x v="175"/>
    <x v="1"/>
    <s v="J-2463/25-26"/>
    <n v="315"/>
    <m/>
  </r>
  <r>
    <d v="2025-09-04T00:00:00"/>
    <x v="793"/>
    <x v="1"/>
    <s v="J-2464/25-26"/>
    <n v="7590"/>
    <m/>
  </r>
  <r>
    <d v="2025-09-06T00:00:00"/>
    <x v="305"/>
    <x v="0"/>
    <s v="JU-415/25-26"/>
    <n v="2255"/>
    <m/>
  </r>
  <r>
    <d v="2025-09-06T00:00:00"/>
    <x v="222"/>
    <x v="1"/>
    <s v="J-2465/25-26"/>
    <n v="7730"/>
    <m/>
  </r>
  <r>
    <d v="2025-09-06T00:00:00"/>
    <x v="794"/>
    <x v="1"/>
    <s v="J-2466/25-26"/>
    <n v="1850"/>
    <m/>
  </r>
  <r>
    <d v="2025-09-06T00:00:00"/>
    <x v="795"/>
    <x v="1"/>
    <s v="J-2467/25-26"/>
    <n v="14594"/>
    <m/>
  </r>
  <r>
    <d v="2025-09-06T00:00:00"/>
    <x v="796"/>
    <x v="1"/>
    <s v="J-2468/25-26"/>
    <n v="8250"/>
    <m/>
  </r>
  <r>
    <d v="2025-09-06T00:00:00"/>
    <x v="793"/>
    <x v="1"/>
    <s v="J-2469/25-26"/>
    <n v="65"/>
    <m/>
  </r>
  <r>
    <d v="2025-09-06T00:00:00"/>
    <x v="797"/>
    <x v="1"/>
    <s v="J-2470/25-26"/>
    <n v="550"/>
    <m/>
  </r>
  <r>
    <d v="2025-09-06T00:00:00"/>
    <x v="8"/>
    <x v="1"/>
    <s v="J-2471/25-26"/>
    <n v="435"/>
    <m/>
  </r>
  <r>
    <d v="2025-09-06T00:00:00"/>
    <x v="798"/>
    <x v="1"/>
    <s v="J-2472/25-26"/>
    <n v="50"/>
    <m/>
  </r>
  <r>
    <d v="2025-09-06T00:00:00"/>
    <x v="277"/>
    <x v="1"/>
    <s v="J-2473/25-26"/>
    <n v="525"/>
    <m/>
  </r>
  <r>
    <d v="2025-09-06T00:00:00"/>
    <x v="799"/>
    <x v="1"/>
    <s v="J-2474/25-26"/>
    <n v="2114"/>
    <m/>
  </r>
  <r>
    <d v="2025-09-06T00:00:00"/>
    <x v="791"/>
    <x v="1"/>
    <s v="J-2475/25-26"/>
    <n v="18328"/>
    <m/>
  </r>
  <r>
    <d v="2025-09-06T00:00:00"/>
    <x v="11"/>
    <x v="1"/>
    <s v="J-2476/25-26"/>
    <n v="21"/>
    <m/>
  </r>
  <r>
    <d v="2025-09-06T00:00:00"/>
    <x v="182"/>
    <x v="1"/>
    <s v="J-2477/25-26"/>
    <n v="3730"/>
    <m/>
  </r>
  <r>
    <d v="2025-09-06T00:00:00"/>
    <x v="800"/>
    <x v="1"/>
    <s v="J-2478/25-26"/>
    <n v="370"/>
    <m/>
  </r>
  <r>
    <d v="2025-09-06T00:00:00"/>
    <x v="801"/>
    <x v="1"/>
    <s v="J-2479/25-26"/>
    <n v="425"/>
    <m/>
  </r>
  <r>
    <d v="2025-09-06T00:00:00"/>
    <x v="784"/>
    <x v="1"/>
    <s v="J-2480/25-26"/>
    <n v="448"/>
    <m/>
  </r>
  <r>
    <d v="2025-09-06T00:00:00"/>
    <x v="222"/>
    <x v="1"/>
    <s v="J-2481/25-26"/>
    <n v="2032"/>
    <m/>
  </r>
  <r>
    <d v="2025-09-06T00:00:00"/>
    <x v="802"/>
    <x v="1"/>
    <s v="J-2482/25-26"/>
    <n v="1607"/>
    <m/>
  </r>
  <r>
    <d v="2025-09-06T00:00:00"/>
    <x v="89"/>
    <x v="1"/>
    <s v="J-2483/25-26"/>
    <n v="370"/>
    <m/>
  </r>
  <r>
    <d v="2025-09-06T00:00:00"/>
    <x v="803"/>
    <x v="1"/>
    <s v="J-2484/25-26"/>
    <n v="2220"/>
    <m/>
  </r>
  <r>
    <d v="2025-09-06T00:00:00"/>
    <x v="621"/>
    <x v="1"/>
    <s v="J-2485/25-26"/>
    <n v="9895"/>
    <m/>
  </r>
  <r>
    <d v="2025-09-06T00:00:00"/>
    <x v="524"/>
    <x v="1"/>
    <s v="J-2486/25-26"/>
    <n v="2086"/>
    <m/>
  </r>
  <r>
    <d v="2025-09-08T00:00:00"/>
    <x v="760"/>
    <x v="0"/>
    <s v="JU-416/25-26"/>
    <n v="5550"/>
    <m/>
  </r>
  <r>
    <d v="2025-09-08T00:00:00"/>
    <x v="571"/>
    <x v="0"/>
    <s v="JU-417/25-26"/>
    <n v="4904"/>
    <m/>
  </r>
  <r>
    <d v="2025-09-08T00:00:00"/>
    <x v="439"/>
    <x v="0"/>
    <s v="JU-418/25-26"/>
    <n v="810"/>
    <m/>
  </r>
  <r>
    <d v="2025-09-08T00:00:00"/>
    <x v="271"/>
    <x v="0"/>
    <s v="JU-419/25-26"/>
    <n v="8340"/>
    <m/>
  </r>
  <r>
    <d v="2025-09-08T00:00:00"/>
    <x v="571"/>
    <x v="0"/>
    <s v="JU-420/25-26"/>
    <n v="2474"/>
    <m/>
  </r>
  <r>
    <d v="2025-09-08T00:00:00"/>
    <x v="271"/>
    <x v="0"/>
    <s v="JU-421/25-26"/>
    <n v="520"/>
    <m/>
  </r>
  <r>
    <d v="2025-09-08T00:00:00"/>
    <x v="604"/>
    <x v="0"/>
    <s v="JU-422/25-26"/>
    <n v="20193"/>
    <m/>
  </r>
  <r>
    <d v="2025-09-08T00:00:00"/>
    <x v="0"/>
    <x v="0"/>
    <s v="JU-423/25-26"/>
    <n v="8355"/>
    <m/>
  </r>
  <r>
    <d v="2025-09-08T00:00:00"/>
    <x v="392"/>
    <x v="0"/>
    <s v="JU-424/25-26"/>
    <n v="9098"/>
    <m/>
  </r>
  <r>
    <d v="2025-09-08T00:00:00"/>
    <x v="689"/>
    <x v="0"/>
    <s v="JU-425/25-26"/>
    <n v="44350"/>
    <m/>
  </r>
  <r>
    <d v="2025-09-08T00:00:00"/>
    <x v="706"/>
    <x v="1"/>
    <s v="J-2487/25-26"/>
    <n v="7400"/>
    <m/>
  </r>
  <r>
    <d v="2025-09-08T00:00:00"/>
    <x v="804"/>
    <x v="1"/>
    <s v="J-2488/25-26"/>
    <n v="83591"/>
    <m/>
  </r>
  <r>
    <d v="2025-09-08T00:00:00"/>
    <x v="71"/>
    <x v="1"/>
    <s v="J-2489/25-26"/>
    <n v="8310"/>
    <m/>
  </r>
  <r>
    <d v="2025-09-08T00:00:00"/>
    <x v="73"/>
    <x v="1"/>
    <s v="J-2490/25-26"/>
    <n v="740"/>
    <m/>
  </r>
  <r>
    <d v="2025-09-08T00:00:00"/>
    <x v="23"/>
    <x v="1"/>
    <s v="J-2491/25-26"/>
    <n v="2220"/>
    <m/>
  </r>
  <r>
    <d v="2025-09-08T00:00:00"/>
    <x v="805"/>
    <x v="1"/>
    <s v="J-2492/25-26"/>
    <n v="21173"/>
    <m/>
  </r>
  <r>
    <d v="2025-09-08T00:00:00"/>
    <x v="806"/>
    <x v="1"/>
    <s v="J-2493/25-26"/>
    <n v="370"/>
    <m/>
  </r>
  <r>
    <d v="2025-09-08T00:00:00"/>
    <x v="140"/>
    <x v="1"/>
    <s v="J-2494/25-26"/>
    <n v="8615"/>
    <m/>
  </r>
  <r>
    <d v="2025-09-08T00:00:00"/>
    <x v="163"/>
    <x v="1"/>
    <s v="J-2495/25-26"/>
    <n v="60"/>
    <m/>
  </r>
  <r>
    <d v="2025-09-08T00:00:00"/>
    <x v="23"/>
    <x v="1"/>
    <s v="J-2496/25-26"/>
    <n v="9711"/>
    <m/>
  </r>
  <r>
    <d v="2025-09-08T00:00:00"/>
    <x v="259"/>
    <x v="1"/>
    <s v="J-2497/25-26"/>
    <n v="688"/>
    <m/>
  </r>
  <r>
    <d v="2025-09-08T00:00:00"/>
    <x v="11"/>
    <x v="1"/>
    <s v="J-2498/25-26"/>
    <n v="8"/>
    <m/>
  </r>
  <r>
    <d v="2025-09-08T00:00:00"/>
    <x v="524"/>
    <x v="1"/>
    <s v="J-2499/25-26"/>
    <n v="2826"/>
    <m/>
  </r>
  <r>
    <d v="2025-09-08T00:00:00"/>
    <x v="630"/>
    <x v="1"/>
    <s v="J-2500/25-26"/>
    <n v="34215"/>
    <m/>
  </r>
  <r>
    <d v="2025-09-08T00:00:00"/>
    <x v="807"/>
    <x v="1"/>
    <s v="J-2501/25-26"/>
    <n v="13090"/>
    <m/>
  </r>
  <r>
    <d v="2025-09-08T00:00:00"/>
    <x v="592"/>
    <x v="1"/>
    <s v="J-2502/25-26"/>
    <n v="3752"/>
    <m/>
  </r>
  <r>
    <d v="2025-09-08T00:00:00"/>
    <x v="791"/>
    <x v="1"/>
    <s v="J-2503/25-26"/>
    <n v="6270"/>
    <m/>
  </r>
  <r>
    <d v="2025-09-08T00:00:00"/>
    <x v="222"/>
    <x v="1"/>
    <s v="J-2504/25-26"/>
    <n v="375"/>
    <m/>
  </r>
  <r>
    <d v="2025-09-08T00:00:00"/>
    <x v="524"/>
    <x v="1"/>
    <s v="J-2505/25-26"/>
    <n v="1598"/>
    <m/>
  </r>
  <r>
    <d v="2025-09-08T00:00:00"/>
    <x v="222"/>
    <x v="1"/>
    <s v="J-2506/25-26"/>
    <n v="540"/>
    <m/>
  </r>
  <r>
    <d v="2025-09-08T00:00:00"/>
    <x v="379"/>
    <x v="1"/>
    <s v="J-2507/25-26"/>
    <n v="282"/>
    <m/>
  </r>
  <r>
    <d v="2025-09-09T00:00:00"/>
    <x v="15"/>
    <x v="0"/>
    <s v="JU-426/25-26"/>
    <n v="13193"/>
    <m/>
  </r>
  <r>
    <d v="2025-09-09T00:00:00"/>
    <x v="4"/>
    <x v="1"/>
    <s v="J-2508/25-26"/>
    <n v="26235"/>
    <m/>
  </r>
  <r>
    <d v="2025-09-09T00:00:00"/>
    <x v="595"/>
    <x v="1"/>
    <s v="J-2509/25-26"/>
    <n v="4822"/>
    <m/>
  </r>
  <r>
    <d v="2025-09-09T00:00:00"/>
    <x v="73"/>
    <x v="1"/>
    <s v="J-2510/25-26"/>
    <n v="740"/>
    <m/>
  </r>
  <r>
    <d v="2025-09-09T00:00:00"/>
    <x v="48"/>
    <x v="1"/>
    <s v="J-2511/25-26"/>
    <n v="200"/>
    <m/>
  </r>
  <r>
    <d v="2025-09-09T00:00:00"/>
    <x v="11"/>
    <x v="1"/>
    <s v="J-2512/25-26"/>
    <n v="12"/>
    <m/>
  </r>
  <r>
    <d v="2025-09-09T00:00:00"/>
    <x v="11"/>
    <x v="1"/>
    <s v="J-2513/25-26"/>
    <n v="9404"/>
    <m/>
  </r>
  <r>
    <d v="2025-09-09T00:00:00"/>
    <x v="12"/>
    <x v="1"/>
    <s v="J-2514/25-26"/>
    <n v="740"/>
    <m/>
  </r>
  <r>
    <d v="2025-09-09T00:00:00"/>
    <x v="808"/>
    <x v="1"/>
    <s v="J-2515/25-26"/>
    <n v="2158"/>
    <m/>
  </r>
  <r>
    <d v="2025-09-09T00:00:00"/>
    <x v="237"/>
    <x v="1"/>
    <s v="J-2516/25-26"/>
    <n v="2220"/>
    <m/>
  </r>
  <r>
    <d v="2025-09-09T00:00:00"/>
    <x v="809"/>
    <x v="1"/>
    <s v="J-2517/25-26"/>
    <n v="120"/>
    <m/>
  </r>
  <r>
    <d v="2025-09-09T00:00:00"/>
    <x v="71"/>
    <x v="1"/>
    <s v="J-2518/25-26"/>
    <n v="2097"/>
    <m/>
  </r>
  <r>
    <d v="2025-09-09T00:00:00"/>
    <x v="23"/>
    <x v="1"/>
    <s v="J-2519/25-26"/>
    <n v="65"/>
    <m/>
  </r>
  <r>
    <d v="2025-09-09T00:00:00"/>
    <x v="222"/>
    <x v="1"/>
    <s v="J-2520/25-26"/>
    <n v="4671"/>
    <m/>
  </r>
  <r>
    <d v="2025-09-09T00:00:00"/>
    <x v="810"/>
    <x v="1"/>
    <s v="J-2521/25-26"/>
    <n v="352"/>
    <m/>
  </r>
  <r>
    <d v="2025-09-09T00:00:00"/>
    <x v="811"/>
    <x v="1"/>
    <s v="J-2522/25-26"/>
    <n v="383"/>
    <m/>
  </r>
  <r>
    <d v="2025-09-10T00:00:00"/>
    <x v="305"/>
    <x v="0"/>
    <s v="JU-427/25-26"/>
    <n v="6926"/>
    <m/>
  </r>
  <r>
    <d v="2025-09-10T00:00:00"/>
    <x v="812"/>
    <x v="0"/>
    <s v="JU-428/25-26"/>
    <n v="34385"/>
    <m/>
  </r>
  <r>
    <d v="2025-09-10T00:00:00"/>
    <x v="475"/>
    <x v="0"/>
    <s v="JU-429/25-26"/>
    <n v="375"/>
    <m/>
  </r>
  <r>
    <d v="2025-09-10T00:00:00"/>
    <x v="813"/>
    <x v="1"/>
    <s v="J-2523/25-26"/>
    <n v="33435"/>
    <m/>
  </r>
  <r>
    <d v="2025-09-10T00:00:00"/>
    <x v="140"/>
    <x v="1"/>
    <s v="J-2524/25-26"/>
    <n v="44330"/>
    <m/>
  </r>
  <r>
    <d v="2025-09-10T00:00:00"/>
    <x v="737"/>
    <x v="1"/>
    <s v="J-2525/25-26"/>
    <n v="6660"/>
    <m/>
  </r>
  <r>
    <d v="2025-09-10T00:00:00"/>
    <x v="12"/>
    <x v="1"/>
    <s v="J-2526/25-26"/>
    <n v="740"/>
    <m/>
  </r>
  <r>
    <d v="2025-09-10T00:00:00"/>
    <x v="20"/>
    <x v="1"/>
    <s v="J-2527/25-26"/>
    <n v="50"/>
    <m/>
  </r>
  <r>
    <d v="2025-09-10T00:00:00"/>
    <x v="34"/>
    <x v="1"/>
    <s v="J-2528/25-26"/>
    <n v="6680"/>
    <m/>
  </r>
  <r>
    <d v="2025-09-10T00:00:00"/>
    <x v="592"/>
    <x v="1"/>
    <s v="J-2529/25-26"/>
    <n v="2960"/>
    <m/>
  </r>
  <r>
    <d v="2025-09-10T00:00:00"/>
    <x v="11"/>
    <x v="1"/>
    <s v="J-2530/25-26"/>
    <n v="375"/>
    <m/>
  </r>
  <r>
    <d v="2025-09-10T00:00:00"/>
    <x v="211"/>
    <x v="1"/>
    <s v="J-2531/25-26"/>
    <n v="5550"/>
    <m/>
  </r>
  <r>
    <d v="2025-09-10T00:00:00"/>
    <x v="814"/>
    <x v="1"/>
    <s v="J-2532/25-26"/>
    <n v="19954"/>
    <m/>
  </r>
  <r>
    <d v="2025-09-10T00:00:00"/>
    <x v="697"/>
    <x v="1"/>
    <s v="J-2533/25-26"/>
    <n v="370"/>
    <m/>
  </r>
  <r>
    <d v="2025-09-10T00:00:00"/>
    <x v="815"/>
    <x v="1"/>
    <s v="J-2534/25-26"/>
    <n v="1230"/>
    <m/>
  </r>
  <r>
    <d v="2025-09-10T00:00:00"/>
    <x v="29"/>
    <x v="1"/>
    <s v="J-2535/25-26"/>
    <n v="2960"/>
    <m/>
  </r>
  <r>
    <d v="2025-09-10T00:00:00"/>
    <x v="222"/>
    <x v="1"/>
    <s v="J-2536/25-26"/>
    <n v="330"/>
    <m/>
  </r>
  <r>
    <d v="2025-09-10T00:00:00"/>
    <x v="71"/>
    <x v="1"/>
    <s v="J-2537/25-26"/>
    <n v="290"/>
    <m/>
  </r>
  <r>
    <d v="2025-09-10T00:00:00"/>
    <x v="816"/>
    <x v="1"/>
    <s v="J-2538/25-26"/>
    <n v="91"/>
    <m/>
  </r>
  <r>
    <d v="2025-09-10T00:00:00"/>
    <x v="245"/>
    <x v="1"/>
    <s v="J-2539/25-26"/>
    <n v="14600"/>
    <m/>
  </r>
  <r>
    <d v="2025-09-10T00:00:00"/>
    <x v="4"/>
    <x v="1"/>
    <s v="J-2540/25-26"/>
    <n v="18720"/>
    <m/>
  </r>
  <r>
    <d v="2025-09-10T00:00:00"/>
    <x v="11"/>
    <x v="1"/>
    <s v="J-2541/25-26"/>
    <n v="3188"/>
    <m/>
  </r>
  <r>
    <d v="2025-09-10T00:00:00"/>
    <x v="817"/>
    <x v="1"/>
    <s v="J-2542/25-26"/>
    <n v="7313"/>
    <m/>
  </r>
  <r>
    <d v="2025-09-11T00:00:00"/>
    <x v="818"/>
    <x v="0"/>
    <s v="JU-430/25-26"/>
    <n v="513"/>
    <m/>
  </r>
  <r>
    <d v="2025-09-11T00:00:00"/>
    <x v="818"/>
    <x v="0"/>
    <s v="JU-431/25-26"/>
    <n v="200"/>
    <m/>
  </r>
  <r>
    <d v="2025-09-11T00:00:00"/>
    <x v="79"/>
    <x v="1"/>
    <s v="J-2543/25-26"/>
    <n v="740"/>
    <m/>
  </r>
  <r>
    <d v="2025-09-11T00:00:00"/>
    <x v="279"/>
    <x v="1"/>
    <s v="J-2544/25-26"/>
    <n v="9250"/>
    <m/>
  </r>
  <r>
    <d v="2025-09-11T00:00:00"/>
    <x v="34"/>
    <x v="1"/>
    <s v="J-2545/25-26"/>
    <n v="4406"/>
    <m/>
  </r>
  <r>
    <d v="2025-09-11T00:00:00"/>
    <x v="12"/>
    <x v="1"/>
    <s v="J-2546/25-26"/>
    <n v="740"/>
    <m/>
  </r>
  <r>
    <d v="2025-09-11T00:00:00"/>
    <x v="819"/>
    <x v="1"/>
    <s v="J-2547/25-26"/>
    <n v="370"/>
    <m/>
  </r>
  <r>
    <d v="2025-09-11T00:00:00"/>
    <x v="803"/>
    <x v="1"/>
    <s v="J-2548/25-26"/>
    <n v="1110"/>
    <m/>
  </r>
  <r>
    <d v="2025-09-11T00:00:00"/>
    <x v="119"/>
    <x v="1"/>
    <s v="J-2549/25-26"/>
    <n v="2826"/>
    <m/>
  </r>
  <r>
    <d v="2025-09-11T00:00:00"/>
    <x v="541"/>
    <x v="1"/>
    <s v="J-2550/25-26"/>
    <n v="2350"/>
    <m/>
  </r>
  <r>
    <d v="2025-09-11T00:00:00"/>
    <x v="11"/>
    <x v="1"/>
    <s v="J-2551/25-26"/>
    <n v="1260"/>
    <m/>
  </r>
  <r>
    <d v="2025-09-11T00:00:00"/>
    <x v="11"/>
    <x v="1"/>
    <s v="J-2552/25-26"/>
    <n v="3000"/>
    <m/>
  </r>
  <r>
    <d v="2025-09-11T00:00:00"/>
    <x v="820"/>
    <x v="1"/>
    <s v="J-2553/25-26"/>
    <n v="370"/>
    <m/>
  </r>
  <r>
    <d v="2025-09-11T00:00:00"/>
    <x v="12"/>
    <x v="1"/>
    <s v="J-2554/25-26"/>
    <n v="4190"/>
    <m/>
  </r>
  <r>
    <d v="2025-09-11T00:00:00"/>
    <x v="821"/>
    <x v="1"/>
    <s v="J-2555/25-26"/>
    <n v="12255"/>
    <m/>
  </r>
  <r>
    <d v="2025-09-11T00:00:00"/>
    <x v="12"/>
    <x v="1"/>
    <s v="J-2556/25-26"/>
    <n v="740"/>
    <m/>
  </r>
  <r>
    <d v="2025-09-11T00:00:00"/>
    <x v="20"/>
    <x v="1"/>
    <s v="J-2557/25-26"/>
    <n v="650"/>
    <m/>
  </r>
  <r>
    <d v="2025-09-11T00:00:00"/>
    <x v="822"/>
    <x v="1"/>
    <s v="J-2558/25-26"/>
    <n v="9042"/>
    <m/>
  </r>
  <r>
    <d v="2025-09-11T00:00:00"/>
    <x v="11"/>
    <x v="1"/>
    <s v="J-2559/25-26"/>
    <n v="9827"/>
    <m/>
  </r>
  <r>
    <d v="2025-09-11T00:00:00"/>
    <x v="222"/>
    <x v="1"/>
    <s v="J-2560/25-26"/>
    <n v="964"/>
    <m/>
  </r>
  <r>
    <d v="2025-09-11T00:00:00"/>
    <x v="11"/>
    <x v="1"/>
    <s v="J-2561/25-26"/>
    <n v="8758"/>
    <m/>
  </r>
  <r>
    <d v="2025-09-11T00:00:00"/>
    <x v="823"/>
    <x v="1"/>
    <s v="J-2562/25-26"/>
    <n v="2618"/>
    <m/>
  </r>
  <r>
    <d v="2025-09-11T00:00:00"/>
    <x v="824"/>
    <x v="1"/>
    <s v="J-2563/25-26"/>
    <n v="16430"/>
    <m/>
  </r>
  <r>
    <d v="2025-09-12T00:00:00"/>
    <x v="812"/>
    <x v="0"/>
    <s v="JU-432/25-26"/>
    <n v="2480"/>
    <m/>
  </r>
  <r>
    <d v="2025-09-12T00:00:00"/>
    <x v="64"/>
    <x v="0"/>
    <s v="JU-433/25-26"/>
    <n v="24740"/>
    <m/>
  </r>
  <r>
    <d v="2025-09-12T00:00:00"/>
    <x v="571"/>
    <x v="0"/>
    <s v="JU-434/25-26"/>
    <n v="30808"/>
    <m/>
  </r>
  <r>
    <d v="2025-09-12T00:00:00"/>
    <x v="394"/>
    <x v="1"/>
    <s v="J-2564/25-26"/>
    <n v="370"/>
    <m/>
  </r>
  <r>
    <d v="2025-09-12T00:00:00"/>
    <x v="34"/>
    <x v="1"/>
    <s v="J-2565/25-26"/>
    <n v="32952"/>
    <m/>
  </r>
  <r>
    <d v="2025-09-12T00:00:00"/>
    <x v="803"/>
    <x v="1"/>
    <s v="J-2566/25-26"/>
    <n v="1110"/>
    <m/>
  </r>
  <r>
    <d v="2025-09-12T00:00:00"/>
    <x v="266"/>
    <x v="1"/>
    <s v="J-2567/25-26"/>
    <n v="1850"/>
    <m/>
  </r>
  <r>
    <d v="2025-09-12T00:00:00"/>
    <x v="297"/>
    <x v="1"/>
    <s v="J-2568/25-26"/>
    <n v="3700"/>
    <m/>
  </r>
  <r>
    <d v="2025-09-12T00:00:00"/>
    <x v="660"/>
    <x v="1"/>
    <s v="J-2569/25-26"/>
    <n v="25797"/>
    <m/>
  </r>
  <r>
    <d v="2025-09-12T00:00:00"/>
    <x v="88"/>
    <x v="1"/>
    <s v="J-2570/25-26"/>
    <n v="740"/>
    <m/>
  </r>
  <r>
    <d v="2025-09-12T00:00:00"/>
    <x v="825"/>
    <x v="1"/>
    <s v="J-2571/25-26"/>
    <n v="5120"/>
    <m/>
  </r>
  <r>
    <d v="2025-09-12T00:00:00"/>
    <x v="73"/>
    <x v="1"/>
    <s v="J-2572/25-26"/>
    <n v="198"/>
    <m/>
  </r>
  <r>
    <d v="2025-09-12T00:00:00"/>
    <x v="11"/>
    <x v="1"/>
    <s v="J-2573/25-26"/>
    <n v="32"/>
    <m/>
  </r>
  <r>
    <d v="2025-09-12T00:00:00"/>
    <x v="826"/>
    <x v="1"/>
    <s v="J-2574/25-26"/>
    <n v="3420"/>
    <m/>
  </r>
  <r>
    <d v="2025-09-12T00:00:00"/>
    <x v="592"/>
    <x v="1"/>
    <s v="J-2575/25-26"/>
    <n v="1480"/>
    <m/>
  </r>
  <r>
    <d v="2025-09-12T00:00:00"/>
    <x v="20"/>
    <x v="1"/>
    <s v="J-2576/25-26"/>
    <n v="3118"/>
    <m/>
  </r>
  <r>
    <d v="2025-09-12T00:00:00"/>
    <x v="825"/>
    <x v="1"/>
    <s v="J-2577/25-26"/>
    <n v="20"/>
    <m/>
  </r>
  <r>
    <d v="2025-09-12T00:00:00"/>
    <x v="69"/>
    <x v="1"/>
    <s v="J-2578/25-26"/>
    <n v="25485"/>
    <m/>
  </r>
  <r>
    <d v="2025-09-12T00:00:00"/>
    <x v="20"/>
    <x v="1"/>
    <s v="J-2579/25-26"/>
    <n v="3308"/>
    <m/>
  </r>
  <r>
    <d v="2025-09-12T00:00:00"/>
    <x v="815"/>
    <x v="1"/>
    <s v="J-2580/25-26"/>
    <n v="1542"/>
    <m/>
  </r>
  <r>
    <d v="2025-09-12T00:00:00"/>
    <x v="4"/>
    <x v="1"/>
    <s v="J-2581/25-26"/>
    <n v="12416"/>
    <m/>
  </r>
  <r>
    <d v="2025-09-12T00:00:00"/>
    <x v="4"/>
    <x v="1"/>
    <s v="J-2582/25-26"/>
    <n v="1320"/>
    <m/>
  </r>
  <r>
    <d v="2025-09-12T00:00:00"/>
    <x v="230"/>
    <x v="1"/>
    <s v="J-2583/25-26"/>
    <n v="270"/>
    <m/>
  </r>
  <r>
    <d v="2025-09-12T00:00:00"/>
    <x v="245"/>
    <x v="1"/>
    <s v="J-2584/25-26"/>
    <n v="475"/>
    <m/>
  </r>
  <r>
    <d v="2025-09-12T00:00:00"/>
    <x v="753"/>
    <x v="1"/>
    <s v="J-2585/25-26"/>
    <n v="7800"/>
    <m/>
  </r>
  <r>
    <d v="2025-09-12T00:00:00"/>
    <x v="827"/>
    <x v="1"/>
    <s v="J-2586/25-26"/>
    <n v="740"/>
    <m/>
  </r>
  <r>
    <d v="2025-09-12T00:00:00"/>
    <x v="11"/>
    <x v="1"/>
    <s v="J-2587/25-26"/>
    <n v="10"/>
    <m/>
  </r>
  <r>
    <d v="2025-09-12T00:00:00"/>
    <x v="824"/>
    <x v="1"/>
    <s v="J-2588/25-26"/>
    <n v="11"/>
    <m/>
  </r>
  <r>
    <d v="2025-09-12T00:00:00"/>
    <x v="245"/>
    <x v="1"/>
    <s v="J-2589/25-26"/>
    <n v="6936"/>
    <m/>
  </r>
  <r>
    <d v="2025-09-12T00:00:00"/>
    <x v="828"/>
    <x v="1"/>
    <s v="J-2590/25-26"/>
    <n v="14310"/>
    <m/>
  </r>
  <r>
    <d v="2025-09-12T00:00:00"/>
    <x v="829"/>
    <x v="1"/>
    <s v="J-2591/25-26"/>
    <n v="2340"/>
    <m/>
  </r>
  <r>
    <d v="2025-09-12T00:00:00"/>
    <x v="34"/>
    <x v="1"/>
    <s v="J-2592/25-26"/>
    <n v="103310"/>
    <m/>
  </r>
  <r>
    <d v="2025-09-12T00:00:00"/>
    <x v="73"/>
    <x v="1"/>
    <s v="J-2593/25-26"/>
    <n v="9067"/>
    <m/>
  </r>
  <r>
    <d v="2025-09-12T00:00:00"/>
    <x v="817"/>
    <x v="1"/>
    <s v="J-2594/25-26"/>
    <n v="1816"/>
    <m/>
  </r>
  <r>
    <d v="2025-09-12T00:00:00"/>
    <x v="330"/>
    <x v="1"/>
    <s v="J-2595/25-26"/>
    <n v="1046"/>
    <m/>
  </r>
  <r>
    <d v="2025-09-13T00:00:00"/>
    <x v="812"/>
    <x v="0"/>
    <s v="JU-435/25-26"/>
    <n v="1219"/>
    <m/>
  </r>
  <r>
    <d v="2025-09-13T00:00:00"/>
    <x v="689"/>
    <x v="0"/>
    <s v="JU-436/25-26"/>
    <n v="9250"/>
    <m/>
  </r>
  <r>
    <d v="2025-09-13T00:00:00"/>
    <x v="305"/>
    <x v="0"/>
    <s v="JU-437/25-26"/>
    <n v="13792"/>
    <m/>
  </r>
  <r>
    <d v="2025-09-13T00:00:00"/>
    <x v="582"/>
    <x v="1"/>
    <s v="J-2596/25-26"/>
    <n v="1110"/>
    <m/>
  </r>
  <r>
    <d v="2025-09-13T00:00:00"/>
    <x v="47"/>
    <x v="1"/>
    <s v="J-2597/25-26"/>
    <n v="19897"/>
    <m/>
  </r>
  <r>
    <d v="2025-09-13T00:00:00"/>
    <x v="20"/>
    <x v="1"/>
    <s v="J-2598/25-26"/>
    <n v="8763"/>
    <m/>
  </r>
  <r>
    <d v="2025-09-13T00:00:00"/>
    <x v="830"/>
    <x v="1"/>
    <s v="J-2599/25-26"/>
    <n v="400"/>
    <m/>
  </r>
  <r>
    <d v="2025-09-13T00:00:00"/>
    <x v="541"/>
    <x v="1"/>
    <s v="J-2600/25-26"/>
    <n v="400"/>
    <m/>
  </r>
  <r>
    <d v="2025-09-13T00:00:00"/>
    <x v="29"/>
    <x v="1"/>
    <s v="J-2601/25-26"/>
    <n v="1480"/>
    <m/>
  </r>
  <r>
    <d v="2025-09-13T00:00:00"/>
    <x v="119"/>
    <x v="1"/>
    <s v="J-2602/25-26"/>
    <n v="740"/>
    <m/>
  </r>
  <r>
    <d v="2025-09-13T00:00:00"/>
    <x v="550"/>
    <x v="1"/>
    <s v="J-2603/25-26"/>
    <n v="1905"/>
    <m/>
  </r>
  <r>
    <d v="2025-09-13T00:00:00"/>
    <x v="541"/>
    <x v="1"/>
    <s v="J-2604/25-26"/>
    <n v="450"/>
    <m/>
  </r>
  <r>
    <d v="2025-09-13T00:00:00"/>
    <x v="831"/>
    <x v="1"/>
    <s v="J-2605/25-26"/>
    <n v="21088"/>
    <m/>
  </r>
  <r>
    <d v="2025-09-13T00:00:00"/>
    <x v="831"/>
    <x v="1"/>
    <s v="J-2606/25-26"/>
    <n v="320"/>
    <m/>
  </r>
  <r>
    <d v="2025-09-13T00:00:00"/>
    <x v="237"/>
    <x v="1"/>
    <s v="J-2607/25-26"/>
    <n v="9227"/>
    <m/>
  </r>
  <r>
    <d v="2025-09-13T00:00:00"/>
    <x v="832"/>
    <x v="1"/>
    <s v="J-2608/25-26"/>
    <n v="5760"/>
    <m/>
  </r>
  <r>
    <d v="2025-09-13T00:00:00"/>
    <x v="297"/>
    <x v="1"/>
    <s v="J-2609/25-26"/>
    <n v="3700"/>
    <m/>
  </r>
  <r>
    <d v="2025-09-13T00:00:00"/>
    <x v="816"/>
    <x v="1"/>
    <s v="J-2610/25-26"/>
    <n v="14960"/>
    <m/>
  </r>
  <r>
    <d v="2025-09-13T00:00:00"/>
    <x v="230"/>
    <x v="1"/>
    <s v="J-2611/25-26"/>
    <n v="2237"/>
    <m/>
  </r>
  <r>
    <d v="2025-09-13T00:00:00"/>
    <x v="47"/>
    <x v="1"/>
    <s v="J-2612/25-26"/>
    <n v="26854"/>
    <m/>
  </r>
  <r>
    <d v="2025-09-13T00:00:00"/>
    <x v="118"/>
    <x v="1"/>
    <s v="J-2613/25-26"/>
    <n v="300"/>
    <m/>
  </r>
  <r>
    <d v="2025-09-13T00:00:00"/>
    <x v="833"/>
    <x v="1"/>
    <s v="J-2614/25-26"/>
    <n v="960"/>
    <m/>
  </r>
  <r>
    <d v="2025-09-13T00:00:00"/>
    <x v="20"/>
    <x v="1"/>
    <s v="J-2615/25-26"/>
    <n v="9770"/>
    <m/>
  </r>
  <r>
    <d v="2025-09-13T00:00:00"/>
    <x v="20"/>
    <x v="1"/>
    <s v="J-2616/25-26"/>
    <n v="85"/>
    <m/>
  </r>
  <r>
    <d v="2025-09-13T00:00:00"/>
    <x v="834"/>
    <x v="1"/>
    <s v="J-2617/25-26"/>
    <n v="1110"/>
    <m/>
  </r>
  <r>
    <d v="2025-09-13T00:00:00"/>
    <x v="330"/>
    <x v="1"/>
    <s v="J-2618/25-26"/>
    <n v="269"/>
    <m/>
  </r>
  <r>
    <d v="2025-09-15T00:00:00"/>
    <x v="305"/>
    <x v="0"/>
    <s v="JU-438/25-26"/>
    <n v="29524"/>
    <m/>
  </r>
  <r>
    <d v="2025-09-15T00:00:00"/>
    <x v="217"/>
    <x v="0"/>
    <s v="JU-439/25-26"/>
    <n v="9750"/>
    <m/>
  </r>
  <r>
    <d v="2025-09-15T00:00:00"/>
    <x v="835"/>
    <x v="0"/>
    <s v="JU-440/25-26"/>
    <n v="3306"/>
    <m/>
  </r>
  <r>
    <d v="2025-09-15T00:00:00"/>
    <x v="306"/>
    <x v="0"/>
    <s v="JU-441/25-26"/>
    <n v="121554"/>
    <m/>
  </r>
  <r>
    <d v="2025-09-15T00:00:00"/>
    <x v="271"/>
    <x v="0"/>
    <s v="JU-442/25-26"/>
    <n v="3843"/>
    <m/>
  </r>
  <r>
    <d v="2025-09-15T00:00:00"/>
    <x v="11"/>
    <x v="1"/>
    <s v="J-2619/25-26"/>
    <n v="200"/>
    <m/>
  </r>
  <r>
    <d v="2025-09-15T00:00:00"/>
    <x v="68"/>
    <x v="1"/>
    <s v="J-2620/25-26"/>
    <n v="370"/>
    <m/>
  </r>
  <r>
    <d v="2025-09-15T00:00:00"/>
    <x v="543"/>
    <x v="1"/>
    <s v="J-2621/25-26"/>
    <n v="2777"/>
    <m/>
  </r>
  <r>
    <d v="2025-09-15T00:00:00"/>
    <x v="836"/>
    <x v="1"/>
    <s v="J-2622/25-26"/>
    <n v="28986"/>
    <m/>
  </r>
  <r>
    <d v="2025-09-15T00:00:00"/>
    <x v="370"/>
    <x v="1"/>
    <s v="J-2623/25-26"/>
    <n v="38760"/>
    <m/>
  </r>
  <r>
    <d v="2025-09-15T00:00:00"/>
    <x v="806"/>
    <x v="1"/>
    <s v="J-2624/25-26"/>
    <n v="3701"/>
    <m/>
  </r>
  <r>
    <d v="2025-09-15T00:00:00"/>
    <x v="806"/>
    <x v="1"/>
    <s v="J-2625/25-26"/>
    <n v="740"/>
    <m/>
  </r>
  <r>
    <d v="2025-09-15T00:00:00"/>
    <x v="20"/>
    <x v="1"/>
    <s v="J-2626/25-26"/>
    <n v="5353"/>
    <m/>
  </r>
  <r>
    <d v="2025-09-15T00:00:00"/>
    <x v="23"/>
    <x v="1"/>
    <s v="J-2627/25-26"/>
    <n v="525"/>
    <m/>
  </r>
  <r>
    <d v="2025-09-15T00:00:00"/>
    <x v="837"/>
    <x v="1"/>
    <s v="J-2628/25-26"/>
    <n v="370"/>
    <m/>
  </r>
  <r>
    <d v="2025-09-15T00:00:00"/>
    <x v="11"/>
    <x v="1"/>
    <s v="J-2629/25-26"/>
    <n v="11777"/>
    <m/>
  </r>
  <r>
    <d v="2025-09-15T00:00:00"/>
    <x v="838"/>
    <x v="1"/>
    <s v="J-2630/25-26"/>
    <n v="6830"/>
    <m/>
  </r>
  <r>
    <d v="2025-09-15T00:00:00"/>
    <x v="737"/>
    <x v="1"/>
    <s v="J-2631/25-26"/>
    <n v="48138"/>
    <m/>
  </r>
  <r>
    <d v="2025-09-15T00:00:00"/>
    <x v="11"/>
    <x v="1"/>
    <s v="J-2632/25-26"/>
    <n v="3700"/>
    <m/>
  </r>
  <r>
    <d v="2025-09-15T00:00:00"/>
    <x v="330"/>
    <x v="1"/>
    <s v="J-2633/25-26"/>
    <n v="228"/>
    <m/>
  </r>
  <r>
    <d v="2025-09-15T00:00:00"/>
    <x v="4"/>
    <x v="1"/>
    <s v="J-2634/25-26"/>
    <n v="13157"/>
    <m/>
  </r>
  <r>
    <d v="2025-09-15T00:00:00"/>
    <x v="36"/>
    <x v="1"/>
    <s v="J-2635/25-26"/>
    <n v="11865"/>
    <m/>
  </r>
  <r>
    <d v="2025-09-15T00:00:00"/>
    <x v="494"/>
    <x v="1"/>
    <s v="J-2636/25-26"/>
    <n v="10291"/>
    <m/>
  </r>
  <r>
    <d v="2025-09-15T00:00:00"/>
    <x v="257"/>
    <x v="1"/>
    <s v="J-2637/25-26"/>
    <n v="160"/>
    <m/>
  </r>
  <r>
    <d v="2025-09-16T00:00:00"/>
    <x v="760"/>
    <x v="0"/>
    <s v="JU-443/25-26"/>
    <n v="7400"/>
    <m/>
  </r>
  <r>
    <d v="2025-09-16T00:00:00"/>
    <x v="392"/>
    <x v="0"/>
    <s v="JU-444/25-26"/>
    <n v="20370"/>
    <m/>
  </r>
  <r>
    <d v="2025-09-16T00:00:00"/>
    <x v="290"/>
    <x v="0"/>
    <s v="JU-445/25-26"/>
    <n v="3995"/>
    <m/>
  </r>
  <r>
    <d v="2025-09-16T00:00:00"/>
    <x v="217"/>
    <x v="0"/>
    <s v="JU-446/25-26"/>
    <n v="7800"/>
    <m/>
  </r>
  <r>
    <d v="2025-09-16T00:00:00"/>
    <x v="11"/>
    <x v="1"/>
    <s v="J-2638/25-26"/>
    <n v="740"/>
    <m/>
  </r>
  <r>
    <d v="2025-09-16T00:00:00"/>
    <x v="23"/>
    <x v="1"/>
    <s v="J-2639/25-26"/>
    <n v="2590"/>
    <m/>
  </r>
  <r>
    <d v="2025-09-16T00:00:00"/>
    <x v="839"/>
    <x v="1"/>
    <s v="J-2640/25-26"/>
    <n v="55596"/>
    <m/>
  </r>
  <r>
    <d v="2025-09-16T00:00:00"/>
    <x v="19"/>
    <x v="1"/>
    <s v="J-2641/25-26"/>
    <n v="394"/>
    <m/>
  </r>
  <r>
    <d v="2025-09-16T00:00:00"/>
    <x v="25"/>
    <x v="1"/>
    <s v="J-2642/25-26"/>
    <n v="16209"/>
    <m/>
  </r>
  <r>
    <d v="2025-09-16T00:00:00"/>
    <x v="840"/>
    <x v="1"/>
    <s v="J-2643/25-26"/>
    <n v="511"/>
    <m/>
  </r>
  <r>
    <d v="2025-09-16T00:00:00"/>
    <x v="841"/>
    <x v="1"/>
    <s v="J-2644/25-26"/>
    <n v="25181"/>
    <m/>
  </r>
  <r>
    <d v="2025-09-16T00:00:00"/>
    <x v="842"/>
    <x v="1"/>
    <s v="J-2645/25-26"/>
    <n v="370"/>
    <m/>
  </r>
  <r>
    <d v="2025-09-16T00:00:00"/>
    <x v="11"/>
    <x v="1"/>
    <s v="J-2646/25-26"/>
    <n v="12"/>
    <m/>
  </r>
  <r>
    <d v="2025-09-16T00:00:00"/>
    <x v="173"/>
    <x v="1"/>
    <s v="J-2647/25-26"/>
    <n v="120"/>
    <m/>
  </r>
  <r>
    <d v="2025-09-16T00:00:00"/>
    <x v="91"/>
    <x v="1"/>
    <s v="J-2648/25-26"/>
    <n v="160272"/>
    <m/>
  </r>
  <r>
    <d v="2025-09-16T00:00:00"/>
    <x v="205"/>
    <x v="1"/>
    <s v="J-2649/25-26"/>
    <n v="1850"/>
    <m/>
  </r>
  <r>
    <d v="2025-09-16T00:00:00"/>
    <x v="47"/>
    <x v="1"/>
    <s v="J-2650/25-26"/>
    <n v="30"/>
    <m/>
  </r>
  <r>
    <d v="2025-09-16T00:00:00"/>
    <x v="843"/>
    <x v="1"/>
    <s v="J-2651/25-26"/>
    <n v="13715"/>
    <m/>
  </r>
  <r>
    <d v="2025-09-16T00:00:00"/>
    <x v="34"/>
    <x v="1"/>
    <s v="J-2652/25-26"/>
    <n v="2510"/>
    <m/>
  </r>
  <r>
    <d v="2025-09-17T00:00:00"/>
    <x v="513"/>
    <x v="0"/>
    <s v="JU-447/25-26"/>
    <n v="4085"/>
    <m/>
  </r>
  <r>
    <d v="2025-09-17T00:00:00"/>
    <x v="232"/>
    <x v="0"/>
    <s v="JU-448/25-26"/>
    <n v="15300"/>
    <m/>
  </r>
  <r>
    <d v="2025-09-17T00:00:00"/>
    <x v="305"/>
    <x v="0"/>
    <s v="JU-449/25-26"/>
    <n v="51000"/>
    <m/>
  </r>
  <r>
    <d v="2025-09-17T00:00:00"/>
    <x v="211"/>
    <x v="1"/>
    <s v="J-2653/25-26"/>
    <n v="5023"/>
    <m/>
  </r>
  <r>
    <d v="2025-09-17T00:00:00"/>
    <x v="552"/>
    <x v="1"/>
    <s v="J-2654/25-26"/>
    <n v="3190"/>
    <m/>
  </r>
  <r>
    <d v="2025-09-17T00:00:00"/>
    <x v="11"/>
    <x v="1"/>
    <s v="J-2655/25-26"/>
    <n v="1000"/>
    <m/>
  </r>
  <r>
    <d v="2025-09-17T00:00:00"/>
    <x v="55"/>
    <x v="1"/>
    <s v="J-2656/25-26"/>
    <n v="543"/>
    <m/>
  </r>
  <r>
    <d v="2025-09-17T00:00:00"/>
    <x v="844"/>
    <x v="1"/>
    <s v="J-2657/25-26"/>
    <n v="12652"/>
    <m/>
  </r>
  <r>
    <d v="2025-09-17T00:00:00"/>
    <x v="348"/>
    <x v="1"/>
    <s v="J-2658/25-26"/>
    <n v="4112"/>
    <m/>
  </r>
  <r>
    <d v="2025-09-17T00:00:00"/>
    <x v="20"/>
    <x v="1"/>
    <s v="J-2659/25-26"/>
    <n v="7205"/>
    <m/>
  </r>
  <r>
    <d v="2025-09-17T00:00:00"/>
    <x v="301"/>
    <x v="1"/>
    <s v="J-2660/25-26"/>
    <n v="25045"/>
    <m/>
  </r>
  <r>
    <d v="2025-09-17T00:00:00"/>
    <x v="23"/>
    <x v="1"/>
    <s v="J-2661/25-26"/>
    <n v="5223"/>
    <m/>
  </r>
  <r>
    <d v="2025-09-17T00:00:00"/>
    <x v="170"/>
    <x v="1"/>
    <s v="J-2662/25-26"/>
    <n v="6758"/>
    <m/>
  </r>
  <r>
    <d v="2025-09-17T00:00:00"/>
    <x v="11"/>
    <x v="1"/>
    <s v="J-2663/25-26"/>
    <n v="11"/>
    <m/>
  </r>
  <r>
    <d v="2025-09-17T00:00:00"/>
    <x v="55"/>
    <x v="1"/>
    <s v="J-2664/25-26"/>
    <n v="4756"/>
    <m/>
  </r>
  <r>
    <d v="2025-09-17T00:00:00"/>
    <x v="117"/>
    <x v="1"/>
    <s v="J-2665/25-26"/>
    <n v="1970"/>
    <m/>
  </r>
  <r>
    <d v="2025-09-17T00:00:00"/>
    <x v="753"/>
    <x v="1"/>
    <s v="J-2666/25-26"/>
    <n v="5850"/>
    <m/>
  </r>
  <r>
    <d v="2025-09-17T00:00:00"/>
    <x v="163"/>
    <x v="1"/>
    <s v="J-2667/25-26"/>
    <n v="600"/>
    <m/>
  </r>
  <r>
    <d v="2025-09-17T00:00:00"/>
    <x v="11"/>
    <x v="1"/>
    <s v="J-2668/25-26"/>
    <n v="1310"/>
    <m/>
  </r>
  <r>
    <d v="2025-09-17T00:00:00"/>
    <x v="159"/>
    <x v="1"/>
    <s v="J-2669/25-26"/>
    <n v="740"/>
    <m/>
  </r>
  <r>
    <d v="2025-09-18T00:00:00"/>
    <x v="760"/>
    <x v="0"/>
    <s v="JU-450/25-26"/>
    <n v="18520"/>
    <m/>
  </r>
  <r>
    <d v="2025-09-18T00:00:00"/>
    <x v="770"/>
    <x v="1"/>
    <s v="J-2670/25-26"/>
    <n v="2100"/>
    <m/>
  </r>
  <r>
    <d v="2025-09-18T00:00:00"/>
    <x v="119"/>
    <x v="1"/>
    <s v="J-2671/25-26"/>
    <n v="5215"/>
    <m/>
  </r>
  <r>
    <d v="2025-09-18T00:00:00"/>
    <x v="683"/>
    <x v="1"/>
    <s v="J-2672/25-26"/>
    <n v="22373"/>
    <m/>
  </r>
  <r>
    <d v="2025-09-18T00:00:00"/>
    <x v="11"/>
    <x v="1"/>
    <s v="J-2673/25-26"/>
    <n v="350"/>
    <m/>
  </r>
  <r>
    <d v="2025-09-18T00:00:00"/>
    <x v="20"/>
    <x v="1"/>
    <s v="J-2674/25-26"/>
    <n v="18181"/>
    <m/>
  </r>
  <r>
    <d v="2025-09-18T00:00:00"/>
    <x v="845"/>
    <x v="1"/>
    <s v="J-2675/25-26"/>
    <n v="5722"/>
    <m/>
  </r>
  <r>
    <d v="2025-09-18T00:00:00"/>
    <x v="846"/>
    <x v="1"/>
    <s v="J-2676/25-26"/>
    <n v="827"/>
    <m/>
  </r>
  <r>
    <d v="2025-09-18T00:00:00"/>
    <x v="847"/>
    <x v="1"/>
    <s v="J-2677/25-26"/>
    <n v="11322"/>
    <m/>
  </r>
  <r>
    <d v="2025-09-18T00:00:00"/>
    <x v="552"/>
    <x v="1"/>
    <s v="J-2678/25-26"/>
    <n v="200"/>
    <m/>
  </r>
  <r>
    <d v="2025-09-18T00:00:00"/>
    <x v="163"/>
    <x v="1"/>
    <s v="J-2679/25-26"/>
    <n v="17903"/>
    <m/>
  </r>
  <r>
    <d v="2025-09-18T00:00:00"/>
    <x v="848"/>
    <x v="1"/>
    <s v="J-2680/25-26"/>
    <n v="700"/>
    <m/>
  </r>
  <r>
    <d v="2025-09-18T00:00:00"/>
    <x v="47"/>
    <x v="1"/>
    <s v="J-2681/25-26"/>
    <n v="10748"/>
    <m/>
  </r>
  <r>
    <d v="2025-09-18T00:00:00"/>
    <x v="844"/>
    <x v="1"/>
    <s v="J-2682/25-26"/>
    <n v="3850"/>
    <m/>
  </r>
  <r>
    <d v="2025-09-18T00:00:00"/>
    <x v="541"/>
    <x v="1"/>
    <s v="J-2683/25-26"/>
    <n v="1040"/>
    <m/>
  </r>
  <r>
    <d v="2025-09-18T00:00:00"/>
    <x v="25"/>
    <x v="1"/>
    <s v="J-2684/25-26"/>
    <n v="1750"/>
    <m/>
  </r>
  <r>
    <d v="2025-09-18T00:00:00"/>
    <x v="849"/>
    <x v="1"/>
    <s v="J-2685/25-26"/>
    <n v="101"/>
    <m/>
  </r>
  <r>
    <d v="2025-09-18T00:00:00"/>
    <x v="845"/>
    <x v="1"/>
    <s v="J-2686/25-26"/>
    <n v="2686"/>
    <m/>
  </r>
  <r>
    <d v="2025-09-18T00:00:00"/>
    <x v="850"/>
    <x v="1"/>
    <s v="J-2687/25-26"/>
    <n v="37756"/>
    <m/>
  </r>
  <r>
    <d v="2025-09-18T00:00:00"/>
    <x v="528"/>
    <x v="1"/>
    <s v="J-2688/25-26"/>
    <n v="240"/>
    <m/>
  </r>
  <r>
    <d v="2025-09-18T00:00:00"/>
    <x v="847"/>
    <x v="1"/>
    <s v="J-2689/25-26"/>
    <n v="21877"/>
    <m/>
  </r>
  <r>
    <d v="2025-09-18T00:00:00"/>
    <x v="20"/>
    <x v="1"/>
    <s v="J-2690/25-26"/>
    <n v="1912"/>
    <m/>
  </r>
  <r>
    <d v="2025-09-18T00:00:00"/>
    <x v="556"/>
    <x v="1"/>
    <s v="J-2691/25-26"/>
    <n v="22270"/>
    <m/>
  </r>
  <r>
    <d v="2025-09-19T00:00:00"/>
    <x v="14"/>
    <x v="0"/>
    <s v="JU-451/25-26"/>
    <n v="3383"/>
    <m/>
  </r>
  <r>
    <d v="2025-09-19T00:00:00"/>
    <x v="604"/>
    <x v="0"/>
    <s v="JU-452/25-26"/>
    <n v="4370"/>
    <m/>
  </r>
  <r>
    <d v="2025-09-19T00:00:00"/>
    <x v="391"/>
    <x v="0"/>
    <s v="JU-453/25-26"/>
    <n v="416"/>
    <m/>
  </r>
  <r>
    <d v="2025-09-19T00:00:00"/>
    <x v="77"/>
    <x v="0"/>
    <s v="JU-454/25-26"/>
    <n v="13024"/>
    <m/>
  </r>
  <r>
    <d v="2025-09-19T00:00:00"/>
    <x v="11"/>
    <x v="1"/>
    <s v="J-2692/25-26"/>
    <n v="350"/>
    <m/>
  </r>
  <r>
    <d v="2025-09-19T00:00:00"/>
    <x v="8"/>
    <x v="1"/>
    <s v="J-2693/25-26"/>
    <n v="69718"/>
    <m/>
  </r>
  <r>
    <d v="2025-09-19T00:00:00"/>
    <x v="89"/>
    <x v="1"/>
    <s v="J-2694/25-26"/>
    <n v="700"/>
    <m/>
  </r>
  <r>
    <d v="2025-09-19T00:00:00"/>
    <x v="597"/>
    <x v="1"/>
    <s v="J-2695/25-26"/>
    <n v="3500"/>
    <m/>
  </r>
  <r>
    <d v="2025-09-19T00:00:00"/>
    <x v="324"/>
    <x v="1"/>
    <s v="J-2696/25-26"/>
    <n v="65405"/>
    <m/>
  </r>
  <r>
    <d v="2025-09-19T00:00:00"/>
    <x v="845"/>
    <x v="1"/>
    <s v="J-2697/25-26"/>
    <n v="1750"/>
    <m/>
  </r>
  <r>
    <d v="2025-09-19T00:00:00"/>
    <x v="848"/>
    <x v="1"/>
    <s v="J-2698/25-26"/>
    <n v="1050"/>
    <m/>
  </r>
  <r>
    <d v="2025-09-19T00:00:00"/>
    <x v="47"/>
    <x v="1"/>
    <s v="J-2699/25-26"/>
    <n v="3044"/>
    <m/>
  </r>
  <r>
    <d v="2025-09-19T00:00:00"/>
    <x v="11"/>
    <x v="1"/>
    <s v="J-2700/25-26"/>
    <n v="12"/>
    <m/>
  </r>
  <r>
    <d v="2025-09-19T00:00:00"/>
    <x v="851"/>
    <x v="1"/>
    <s v="J-2701/25-26"/>
    <n v="3500"/>
    <m/>
  </r>
  <r>
    <d v="2025-09-19T00:00:00"/>
    <x v="8"/>
    <x v="1"/>
    <s v="J-2702/25-26"/>
    <n v="16126"/>
    <m/>
  </r>
  <r>
    <d v="2025-09-19T00:00:00"/>
    <x v="69"/>
    <x v="1"/>
    <s v="J-2703/25-26"/>
    <n v="38287"/>
    <m/>
  </r>
  <r>
    <d v="2025-09-19T00:00:00"/>
    <x v="839"/>
    <x v="1"/>
    <s v="J-2704/25-26"/>
    <n v="4230"/>
    <m/>
  </r>
  <r>
    <d v="2025-09-19T00:00:00"/>
    <x v="170"/>
    <x v="1"/>
    <s v="J-2705/25-26"/>
    <n v="2982"/>
    <m/>
  </r>
  <r>
    <d v="2025-09-19T00:00:00"/>
    <x v="20"/>
    <x v="1"/>
    <s v="J-2706/25-26"/>
    <n v="10864"/>
    <m/>
  </r>
  <r>
    <d v="2025-09-19T00:00:00"/>
    <x v="198"/>
    <x v="1"/>
    <s v="J-2707/25-26"/>
    <n v="7320"/>
    <m/>
  </r>
  <r>
    <d v="2025-09-19T00:00:00"/>
    <x v="356"/>
    <x v="1"/>
    <s v="J-2708/25-26"/>
    <n v="21635"/>
    <m/>
  </r>
  <r>
    <d v="2025-09-19T00:00:00"/>
    <x v="621"/>
    <x v="1"/>
    <s v="J-2709/25-26"/>
    <n v="50933"/>
    <m/>
  </r>
  <r>
    <d v="2025-09-19T00:00:00"/>
    <x v="73"/>
    <x v="1"/>
    <s v="J-2710/25-26"/>
    <n v="350"/>
    <m/>
  </r>
  <r>
    <d v="2025-09-20T00:00:00"/>
    <x v="812"/>
    <x v="0"/>
    <s v="JU-455/25-26"/>
    <n v="26380"/>
    <m/>
  </r>
  <r>
    <d v="2025-09-20T00:00:00"/>
    <x v="426"/>
    <x v="0"/>
    <s v="JU-456/25-26"/>
    <n v="20253"/>
    <m/>
  </r>
  <r>
    <d v="2025-09-20T00:00:00"/>
    <x v="16"/>
    <x v="0"/>
    <s v="JU-457/25-26"/>
    <n v="14961"/>
    <m/>
  </r>
  <r>
    <d v="2025-09-20T00:00:00"/>
    <x v="604"/>
    <x v="0"/>
    <s v="JU-458/25-26"/>
    <n v="1022"/>
    <m/>
  </r>
  <r>
    <d v="2025-09-20T00:00:00"/>
    <x v="818"/>
    <x v="0"/>
    <s v="JU-459/25-26"/>
    <n v="10683"/>
    <m/>
  </r>
  <r>
    <d v="2025-09-20T00:00:00"/>
    <x v="265"/>
    <x v="0"/>
    <s v="JU-460/25-26"/>
    <n v="8752"/>
    <m/>
  </r>
  <r>
    <d v="2025-09-20T00:00:00"/>
    <x v="34"/>
    <x v="1"/>
    <s v="J-2711/25-26"/>
    <n v="437"/>
    <m/>
  </r>
  <r>
    <d v="2025-09-20T00:00:00"/>
    <x v="852"/>
    <x v="1"/>
    <s v="J-2712/25-26"/>
    <n v="50052"/>
    <m/>
  </r>
  <r>
    <d v="2025-09-20T00:00:00"/>
    <x v="524"/>
    <x v="1"/>
    <s v="J-2713/25-26"/>
    <n v="6604"/>
    <m/>
  </r>
  <r>
    <d v="2025-09-20T00:00:00"/>
    <x v="853"/>
    <x v="1"/>
    <s v="J-2714/25-26"/>
    <n v="7354"/>
    <m/>
  </r>
  <r>
    <d v="2025-09-20T00:00:00"/>
    <x v="683"/>
    <x v="1"/>
    <s v="J-2715/25-26"/>
    <n v="4878"/>
    <m/>
  </r>
  <r>
    <d v="2025-09-20T00:00:00"/>
    <x v="854"/>
    <x v="1"/>
    <s v="J-2716/25-26"/>
    <n v="9099"/>
    <m/>
  </r>
  <r>
    <d v="2025-09-20T00:00:00"/>
    <x v="23"/>
    <x v="1"/>
    <s v="J-2717/25-26"/>
    <n v="4734"/>
    <m/>
  </r>
  <r>
    <d v="2025-09-20T00:00:00"/>
    <x v="706"/>
    <x v="1"/>
    <s v="J-2718/25-26"/>
    <n v="7000"/>
    <m/>
  </r>
  <r>
    <d v="2025-09-20T00:00:00"/>
    <x v="566"/>
    <x v="1"/>
    <s v="J-2719/25-26"/>
    <n v="10588"/>
    <m/>
  </r>
  <r>
    <d v="2025-09-20T00:00:00"/>
    <x v="193"/>
    <x v="1"/>
    <s v="J-2720/25-26"/>
    <n v="219"/>
    <m/>
  </r>
  <r>
    <d v="2025-09-20T00:00:00"/>
    <x v="297"/>
    <x v="1"/>
    <s v="J-2721/25-26"/>
    <n v="3500"/>
    <m/>
  </r>
  <r>
    <d v="2025-09-20T00:00:00"/>
    <x v="11"/>
    <x v="1"/>
    <s v="J-2722/25-26"/>
    <n v="9224"/>
    <m/>
  </r>
  <r>
    <d v="2025-09-20T00:00:00"/>
    <x v="855"/>
    <x v="1"/>
    <s v="J-2723/25-26"/>
    <n v="1150"/>
    <m/>
  </r>
  <r>
    <d v="2025-09-20T00:00:00"/>
    <x v="29"/>
    <x v="1"/>
    <s v="J-2724/25-26"/>
    <n v="3360"/>
    <m/>
  </r>
  <r>
    <d v="2025-09-20T00:00:00"/>
    <x v="330"/>
    <x v="1"/>
    <s v="J-2725/25-26"/>
    <n v="118"/>
    <m/>
  </r>
  <r>
    <d v="2025-09-20T00:00:00"/>
    <x v="845"/>
    <x v="1"/>
    <s v="J-2726/25-26"/>
    <n v="3500"/>
    <m/>
  </r>
  <r>
    <d v="2025-09-20T00:00:00"/>
    <x v="11"/>
    <x v="1"/>
    <s v="J-2727/25-26"/>
    <n v="949"/>
    <m/>
  </r>
  <r>
    <d v="2025-09-20T00:00:00"/>
    <x v="831"/>
    <x v="1"/>
    <s v="J-2728/25-26"/>
    <n v="9045"/>
    <m/>
  </r>
  <r>
    <d v="2025-09-20T00:00:00"/>
    <x v="847"/>
    <x v="1"/>
    <s v="J-2729/25-26"/>
    <n v="1115"/>
    <m/>
  </r>
  <r>
    <d v="2025-09-20T00:00:00"/>
    <x v="566"/>
    <x v="1"/>
    <s v="J-2730/25-26"/>
    <n v="5460"/>
    <m/>
  </r>
  <r>
    <d v="2025-09-20T00:00:00"/>
    <x v="89"/>
    <x v="1"/>
    <s v="J-2731/25-26"/>
    <n v="700"/>
    <m/>
  </r>
  <r>
    <d v="2025-09-20T00:00:00"/>
    <x v="852"/>
    <x v="1"/>
    <s v="J-2732/25-26"/>
    <n v="8666"/>
    <m/>
  </r>
  <r>
    <d v="2025-09-20T00:00:00"/>
    <x v="847"/>
    <x v="1"/>
    <s v="J-2733/25-26"/>
    <n v="2880"/>
    <m/>
  </r>
  <r>
    <d v="2025-09-20T00:00:00"/>
    <x v="266"/>
    <x v="1"/>
    <s v="J-2734/25-26"/>
    <n v="691"/>
    <m/>
  </r>
  <r>
    <d v="2025-09-20T00:00:00"/>
    <x v="843"/>
    <x v="1"/>
    <s v="J-2735/25-26"/>
    <n v="2395"/>
    <m/>
  </r>
  <r>
    <d v="2025-09-20T00:00:00"/>
    <x v="854"/>
    <x v="1"/>
    <s v="J-2736/25-26"/>
    <n v="1202"/>
    <m/>
  </r>
  <r>
    <d v="2025-09-20T00:00:00"/>
    <x v="566"/>
    <x v="1"/>
    <s v="J-2737/25-26"/>
    <n v="8890"/>
    <m/>
  </r>
  <r>
    <d v="2025-09-20T00:00:00"/>
    <x v="816"/>
    <x v="1"/>
    <s v="J-2738/25-26"/>
    <n v="11960"/>
    <m/>
  </r>
  <r>
    <d v="2025-09-20T00:00:00"/>
    <x v="11"/>
    <x v="1"/>
    <s v="J-2739/25-26"/>
    <n v="12"/>
    <m/>
  </r>
  <r>
    <d v="2025-09-20T00:00:00"/>
    <x v="856"/>
    <x v="1"/>
    <s v="J-2740/25-26"/>
    <n v="700"/>
    <m/>
  </r>
  <r>
    <d v="2025-09-20T00:00:00"/>
    <x v="163"/>
    <x v="1"/>
    <s v="J-2741/25-26"/>
    <n v="30"/>
    <m/>
  </r>
  <r>
    <d v="2025-09-20T00:00:00"/>
    <x v="228"/>
    <x v="1"/>
    <s v="J-2742/25-26"/>
    <n v="100"/>
    <m/>
  </r>
  <r>
    <d v="2025-09-20T00:00:00"/>
    <x v="857"/>
    <x v="1"/>
    <s v="J-2743/25-26"/>
    <n v="11831"/>
    <m/>
  </r>
  <r>
    <d v="2025-09-20T00:00:00"/>
    <x v="301"/>
    <x v="1"/>
    <s v="J-2744/25-26"/>
    <n v="306"/>
    <m/>
  </r>
  <r>
    <d v="2025-09-20T00:00:00"/>
    <x v="858"/>
    <x v="1"/>
    <s v="J-2745/25-26"/>
    <n v="2016"/>
    <m/>
  </r>
  <r>
    <d v="2025-09-22T00:00:00"/>
    <x v="64"/>
    <x v="0"/>
    <s v="JU-461/25-26"/>
    <n v="39266"/>
    <m/>
  </r>
  <r>
    <d v="2025-09-22T00:00:00"/>
    <x v="604"/>
    <x v="0"/>
    <s v="JU-462/25-26"/>
    <n v="14554"/>
    <m/>
  </r>
  <r>
    <d v="2025-09-22T00:00:00"/>
    <x v="859"/>
    <x v="0"/>
    <s v="JU-463/25-26"/>
    <n v="3787"/>
    <m/>
  </r>
  <r>
    <d v="2025-09-22T00:00:00"/>
    <x v="391"/>
    <x v="0"/>
    <s v="JU-464/25-26"/>
    <n v="568"/>
    <m/>
  </r>
  <r>
    <d v="2025-09-22T00:00:00"/>
    <x v="79"/>
    <x v="1"/>
    <s v="J-2746/25-26"/>
    <n v="7000"/>
    <m/>
  </r>
  <r>
    <d v="2025-09-22T00:00:00"/>
    <x v="860"/>
    <x v="1"/>
    <s v="J-2747/25-26"/>
    <n v="914"/>
    <m/>
  </r>
  <r>
    <d v="2025-09-22T00:00:00"/>
    <x v="47"/>
    <x v="1"/>
    <s v="J-2748/25-26"/>
    <n v="18847"/>
    <m/>
  </r>
  <r>
    <d v="2025-09-22T00:00:00"/>
    <x v="23"/>
    <x v="1"/>
    <s v="J-2749/25-26"/>
    <n v="1050"/>
    <m/>
  </r>
  <r>
    <d v="2025-09-22T00:00:00"/>
    <x v="211"/>
    <x v="1"/>
    <s v="J-2750/25-26"/>
    <n v="3500"/>
    <m/>
  </r>
  <r>
    <d v="2025-09-22T00:00:00"/>
    <x v="11"/>
    <x v="1"/>
    <s v="J-2751/25-26"/>
    <n v="12"/>
    <m/>
  </r>
  <r>
    <d v="2025-09-22T00:00:00"/>
    <x v="115"/>
    <x v="1"/>
    <s v="J-2752/25-26"/>
    <n v="9222"/>
    <m/>
  </r>
  <r>
    <d v="2025-09-22T00:00:00"/>
    <x v="11"/>
    <x v="1"/>
    <s v="J-2753/25-26"/>
    <n v="700"/>
    <m/>
  </r>
  <r>
    <d v="2025-09-22T00:00:00"/>
    <x v="104"/>
    <x v="1"/>
    <s v="J-2754/25-26"/>
    <n v="425"/>
    <m/>
  </r>
  <r>
    <d v="2025-09-22T00:00:00"/>
    <x v="824"/>
    <x v="1"/>
    <s v="J-2755/25-26"/>
    <n v="1566"/>
    <m/>
  </r>
  <r>
    <d v="2025-09-22T00:00:00"/>
    <x v="861"/>
    <x v="1"/>
    <s v="J-2756/25-26"/>
    <n v="10120"/>
    <m/>
  </r>
  <r>
    <d v="2025-09-22T00:00:00"/>
    <x v="311"/>
    <x v="1"/>
    <s v="J-2757/25-26"/>
    <n v="5239"/>
    <m/>
  </r>
  <r>
    <d v="2025-09-22T00:00:00"/>
    <x v="266"/>
    <x v="1"/>
    <s v="J-2758/25-26"/>
    <n v="1716"/>
    <m/>
  </r>
  <r>
    <d v="2025-09-22T00:00:00"/>
    <x v="25"/>
    <x v="1"/>
    <s v="J-2759/25-26"/>
    <n v="384"/>
    <m/>
  </r>
  <r>
    <d v="2025-09-22T00:00:00"/>
    <x v="4"/>
    <x v="1"/>
    <s v="J-2760/25-26"/>
    <n v="15983"/>
    <m/>
  </r>
  <r>
    <d v="2025-09-22T00:00:00"/>
    <x v="4"/>
    <x v="1"/>
    <s v="J-2761/25-26"/>
    <n v="12060"/>
    <m/>
  </r>
  <r>
    <d v="2025-09-22T00:00:00"/>
    <x v="862"/>
    <x v="1"/>
    <s v="J-2762/25-26"/>
    <n v="4614"/>
    <m/>
  </r>
  <r>
    <d v="2025-09-22T00:00:00"/>
    <x v="20"/>
    <x v="1"/>
    <s v="J-2763/25-26"/>
    <n v="2250"/>
    <m/>
  </r>
  <r>
    <d v="2025-09-22T00:00:00"/>
    <x v="839"/>
    <x v="1"/>
    <s v="J-2764/25-26"/>
    <n v="8396"/>
    <m/>
  </r>
  <r>
    <d v="2025-09-22T00:00:00"/>
    <x v="173"/>
    <x v="1"/>
    <s v="J-2765/25-26"/>
    <n v="2447"/>
    <m/>
  </r>
  <r>
    <d v="2025-09-22T00:00:00"/>
    <x v="848"/>
    <x v="1"/>
    <s v="J-2766/25-26"/>
    <n v="700"/>
    <m/>
  </r>
  <r>
    <d v="2025-09-22T00:00:00"/>
    <x v="824"/>
    <x v="1"/>
    <s v="J-2767/25-26"/>
    <n v="350"/>
    <m/>
  </r>
  <r>
    <d v="2025-09-23T00:00:00"/>
    <x v="305"/>
    <x v="0"/>
    <s v="JU-465/25-26"/>
    <n v="39460"/>
    <m/>
  </r>
  <r>
    <d v="2025-09-23T00:00:00"/>
    <x v="812"/>
    <x v="0"/>
    <s v="JU-466/25-26"/>
    <n v="3240"/>
    <m/>
  </r>
  <r>
    <d v="2025-09-23T00:00:00"/>
    <x v="604"/>
    <x v="0"/>
    <s v="JU-467/25-26"/>
    <n v="3320"/>
    <m/>
  </r>
  <r>
    <d v="2025-09-23T00:00:00"/>
    <x v="863"/>
    <x v="1"/>
    <s v="J-2768/25-26"/>
    <n v="22910"/>
    <m/>
  </r>
  <r>
    <d v="2025-09-23T00:00:00"/>
    <x v="11"/>
    <x v="1"/>
    <s v="J-2769/25-26"/>
    <n v="350"/>
    <m/>
  </r>
  <r>
    <d v="2025-09-23T00:00:00"/>
    <x v="266"/>
    <x v="1"/>
    <s v="J-2770/25-26"/>
    <n v="18250"/>
    <m/>
  </r>
  <r>
    <d v="2025-09-23T00:00:00"/>
    <x v="833"/>
    <x v="1"/>
    <s v="J-2771/25-26"/>
    <n v="14356"/>
    <m/>
  </r>
  <r>
    <d v="2025-09-23T00:00:00"/>
    <x v="324"/>
    <x v="1"/>
    <s v="J-2772/25-26"/>
    <n v="17000"/>
    <m/>
  </r>
  <r>
    <d v="2025-09-23T00:00:00"/>
    <x v="297"/>
    <x v="1"/>
    <s v="J-2773/25-26"/>
    <n v="1750"/>
    <m/>
  </r>
  <r>
    <d v="2025-09-23T00:00:00"/>
    <x v="20"/>
    <x v="1"/>
    <s v="J-2774/25-26"/>
    <n v="1173"/>
    <m/>
  </r>
  <r>
    <d v="2025-09-23T00:00:00"/>
    <x v="864"/>
    <x v="1"/>
    <s v="J-2775/25-26"/>
    <n v="12746"/>
    <m/>
  </r>
  <r>
    <d v="2025-09-23T00:00:00"/>
    <x v="841"/>
    <x v="1"/>
    <s v="J-2776/25-26"/>
    <n v="12436"/>
    <m/>
  </r>
  <r>
    <d v="2025-09-23T00:00:00"/>
    <x v="865"/>
    <x v="1"/>
    <s v="J-2777/25-26"/>
    <n v="1538"/>
    <m/>
  </r>
  <r>
    <d v="2025-09-23T00:00:00"/>
    <x v="245"/>
    <x v="1"/>
    <s v="J-2778/25-26"/>
    <n v="3500"/>
    <m/>
  </r>
  <r>
    <d v="2025-09-23T00:00:00"/>
    <x v="866"/>
    <x v="1"/>
    <s v="J-2779/25-26"/>
    <n v="15795"/>
    <m/>
  </r>
  <r>
    <d v="2025-09-23T00:00:00"/>
    <x v="867"/>
    <x v="1"/>
    <s v="J-2780/25-26"/>
    <n v="700"/>
    <m/>
  </r>
  <r>
    <d v="2025-09-23T00:00:00"/>
    <x v="597"/>
    <x v="1"/>
    <s v="J-2781/25-26"/>
    <n v="9530"/>
    <m/>
  </r>
  <r>
    <d v="2025-09-23T00:00:00"/>
    <x v="485"/>
    <x v="1"/>
    <s v="J-2782/25-26"/>
    <n v="8250"/>
    <m/>
  </r>
  <r>
    <d v="2025-09-23T00:00:00"/>
    <x v="868"/>
    <x v="1"/>
    <s v="J-2783/25-26"/>
    <n v="59776"/>
    <m/>
  </r>
  <r>
    <d v="2025-09-23T00:00:00"/>
    <x v="297"/>
    <x v="1"/>
    <s v="J-2784/25-26"/>
    <n v="700"/>
    <m/>
  </r>
  <r>
    <d v="2025-09-24T00:00:00"/>
    <x v="87"/>
    <x v="0"/>
    <s v="JU-468/25-26"/>
    <n v="3360"/>
    <m/>
  </r>
  <r>
    <d v="2025-09-24T00:00:00"/>
    <x v="571"/>
    <x v="0"/>
    <s v="JU-469/25-26"/>
    <n v="2740"/>
    <m/>
  </r>
  <r>
    <d v="2025-09-24T00:00:00"/>
    <x v="869"/>
    <x v="1"/>
    <s v="J-2785/25-26"/>
    <n v="540"/>
    <m/>
  </r>
  <r>
    <d v="2025-09-24T00:00:00"/>
    <x v="870"/>
    <x v="1"/>
    <s v="J-2786/25-26"/>
    <n v="1050"/>
    <m/>
  </r>
  <r>
    <d v="2025-09-24T00:00:00"/>
    <x v="20"/>
    <x v="1"/>
    <s v="J-2787/25-26"/>
    <n v="3668"/>
    <m/>
  </r>
  <r>
    <d v="2025-09-24T00:00:00"/>
    <x v="871"/>
    <x v="1"/>
    <s v="J-2788/25-26"/>
    <n v="725"/>
    <m/>
  </r>
  <r>
    <d v="2025-09-24T00:00:00"/>
    <x v="872"/>
    <x v="1"/>
    <s v="J-2789/25-26"/>
    <n v="23593"/>
    <m/>
  </r>
  <r>
    <d v="2025-09-24T00:00:00"/>
    <x v="833"/>
    <x v="1"/>
    <s v="J-2790/25-26"/>
    <n v="551"/>
    <m/>
  </r>
  <r>
    <d v="2025-09-24T00:00:00"/>
    <x v="873"/>
    <x v="1"/>
    <s v="J-2791/25-26"/>
    <n v="10350"/>
    <m/>
  </r>
  <r>
    <d v="2025-09-24T00:00:00"/>
    <x v="874"/>
    <x v="1"/>
    <s v="J-2792/25-26"/>
    <n v="787"/>
    <m/>
  </r>
  <r>
    <d v="2025-09-24T00:00:00"/>
    <x v="874"/>
    <x v="1"/>
    <s v="J-2793/25-26"/>
    <n v="2336"/>
    <m/>
  </r>
  <r>
    <d v="2025-09-24T00:00:00"/>
    <x v="524"/>
    <x v="1"/>
    <s v="J-2794/25-26"/>
    <n v="1986"/>
    <m/>
  </r>
  <r>
    <d v="2025-09-24T00:00:00"/>
    <x v="621"/>
    <x v="1"/>
    <s v="J-2795/25-26"/>
    <n v="6440"/>
    <m/>
  </r>
  <r>
    <d v="2025-09-24T00:00:00"/>
    <x v="875"/>
    <x v="1"/>
    <s v="J-2796/25-26"/>
    <n v="50"/>
    <m/>
  </r>
  <r>
    <d v="2025-09-25T00:00:00"/>
    <x v="265"/>
    <x v="0"/>
    <s v="JU-470/25-26"/>
    <n v="10000"/>
    <m/>
  </r>
  <r>
    <d v="2025-09-25T00:00:00"/>
    <x v="290"/>
    <x v="0"/>
    <s v="JU-471/25-26"/>
    <n v="3024"/>
    <m/>
  </r>
  <r>
    <d v="2025-09-25T00:00:00"/>
    <x v="305"/>
    <x v="0"/>
    <s v="JU-472/25-26"/>
    <n v="42138"/>
    <m/>
  </r>
  <r>
    <d v="2025-09-25T00:00:00"/>
    <x v="32"/>
    <x v="0"/>
    <s v="JU-473/25-26"/>
    <n v="2720"/>
    <m/>
  </r>
  <r>
    <d v="2025-09-25T00:00:00"/>
    <x v="876"/>
    <x v="1"/>
    <s v="J-2797/25-26"/>
    <n v="350"/>
    <m/>
  </r>
  <r>
    <d v="2025-09-25T00:00:00"/>
    <x v="592"/>
    <x v="1"/>
    <s v="J-2798/25-26"/>
    <n v="700"/>
    <m/>
  </r>
  <r>
    <d v="2025-09-25T00:00:00"/>
    <x v="839"/>
    <x v="1"/>
    <s v="J-2799/25-26"/>
    <n v="64069"/>
    <m/>
  </r>
  <r>
    <d v="2025-09-25T00:00:00"/>
    <x v="20"/>
    <x v="1"/>
    <s v="J-2800/25-26"/>
    <n v="5958"/>
    <m/>
  </r>
  <r>
    <d v="2025-09-25T00:00:00"/>
    <x v="406"/>
    <x v="1"/>
    <s v="J-2801/25-26"/>
    <n v="90"/>
    <m/>
  </r>
  <r>
    <d v="2025-09-25T00:00:00"/>
    <x v="877"/>
    <x v="1"/>
    <s v="J-2802/25-26"/>
    <n v="24252"/>
    <m/>
  </r>
  <r>
    <d v="2025-09-25T00:00:00"/>
    <x v="844"/>
    <x v="1"/>
    <s v="J-2803/25-26"/>
    <n v="5648"/>
    <m/>
  </r>
  <r>
    <d v="2025-09-25T00:00:00"/>
    <x v="844"/>
    <x v="1"/>
    <s v="J-2804/25-26"/>
    <n v="3198"/>
    <m/>
  </r>
  <r>
    <d v="2025-09-25T00:00:00"/>
    <x v="878"/>
    <x v="1"/>
    <s v="J-2805/25-26"/>
    <n v="2975"/>
    <m/>
  </r>
  <r>
    <d v="2025-09-25T00:00:00"/>
    <x v="485"/>
    <x v="1"/>
    <s v="J-2806/25-26"/>
    <n v="773"/>
    <m/>
  </r>
  <r>
    <d v="2025-09-25T00:00:00"/>
    <x v="89"/>
    <x v="1"/>
    <s v="J-2807/25-26"/>
    <n v="350"/>
    <m/>
  </r>
  <r>
    <d v="2025-09-25T00:00:00"/>
    <x v="4"/>
    <x v="1"/>
    <s v="J-2808/25-26"/>
    <n v="13220"/>
    <m/>
  </r>
  <r>
    <d v="2025-09-25T00:00:00"/>
    <x v="879"/>
    <x v="1"/>
    <s v="J-2809/25-26"/>
    <n v="1139"/>
    <m/>
  </r>
  <r>
    <d v="2025-09-25T00:00:00"/>
    <x v="29"/>
    <x v="1"/>
    <s v="J-2810/25-26"/>
    <n v="700"/>
    <m/>
  </r>
  <r>
    <d v="2025-09-25T00:00:00"/>
    <x v="11"/>
    <x v="1"/>
    <s v="J-2811/25-26"/>
    <n v="1050"/>
    <m/>
  </r>
  <r>
    <d v="2025-09-25T00:00:00"/>
    <x v="880"/>
    <x v="1"/>
    <s v="J-2812/25-26"/>
    <n v="86035"/>
    <m/>
  </r>
  <r>
    <d v="2025-09-25T00:00:00"/>
    <x v="150"/>
    <x v="1"/>
    <s v="J-2813/25-26"/>
    <n v="12580"/>
    <m/>
  </r>
  <r>
    <d v="2025-09-25T00:00:00"/>
    <x v="841"/>
    <x v="1"/>
    <s v="J-2814/25-26"/>
    <n v="904"/>
    <m/>
  </r>
  <r>
    <d v="2025-09-25T00:00:00"/>
    <x v="11"/>
    <x v="1"/>
    <s v="J-2815/25-26"/>
    <n v="1830"/>
    <m/>
  </r>
  <r>
    <d v="2025-09-25T00:00:00"/>
    <x v="414"/>
    <x v="1"/>
    <s v="J-2816/25-26"/>
    <n v="350"/>
    <m/>
  </r>
  <r>
    <d v="2025-09-26T00:00:00"/>
    <x v="290"/>
    <x v="0"/>
    <s v="JU-474/25-26"/>
    <n v="7200"/>
    <m/>
  </r>
  <r>
    <d v="2025-09-26T00:00:00"/>
    <x v="87"/>
    <x v="0"/>
    <s v="JU-475/25-26"/>
    <n v="4027"/>
    <m/>
  </r>
  <r>
    <d v="2025-09-26T00:00:00"/>
    <x v="87"/>
    <x v="0"/>
    <s v="JU-476/25-26"/>
    <n v="250"/>
    <m/>
  </r>
  <r>
    <d v="2025-09-26T00:00:00"/>
    <x v="11"/>
    <x v="1"/>
    <s v="J-2817/25-26"/>
    <n v="700"/>
    <m/>
  </r>
  <r>
    <d v="2025-09-26T00:00:00"/>
    <x v="881"/>
    <x v="1"/>
    <s v="J-2818/25-26"/>
    <n v="34545"/>
    <m/>
  </r>
  <r>
    <d v="2025-09-26T00:00:00"/>
    <x v="882"/>
    <x v="1"/>
    <s v="J-2819/25-26"/>
    <n v="250"/>
    <m/>
  </r>
  <r>
    <d v="2025-09-26T00:00:00"/>
    <x v="34"/>
    <x v="1"/>
    <s v="J-2820/25-26"/>
    <n v="4010"/>
    <m/>
  </r>
  <r>
    <d v="2025-09-26T00:00:00"/>
    <x v="79"/>
    <x v="1"/>
    <s v="J-2821/25-26"/>
    <n v="1050"/>
    <m/>
  </r>
  <r>
    <d v="2025-09-26T00:00:00"/>
    <x v="211"/>
    <x v="1"/>
    <s v="J-2822/25-26"/>
    <n v="3500"/>
    <m/>
  </r>
  <r>
    <d v="2025-09-26T00:00:00"/>
    <x v="197"/>
    <x v="1"/>
    <s v="J-2823/25-26"/>
    <n v="5093"/>
    <m/>
  </r>
  <r>
    <d v="2025-09-26T00:00:00"/>
    <x v="883"/>
    <x v="1"/>
    <s v="J-2824/25-26"/>
    <n v="250"/>
    <m/>
  </r>
  <r>
    <d v="2025-09-26T00:00:00"/>
    <x v="266"/>
    <x v="1"/>
    <s v="J-2825/25-26"/>
    <n v="41632"/>
    <m/>
  </r>
  <r>
    <d v="2025-09-26T00:00:00"/>
    <x v="10"/>
    <x v="1"/>
    <s v="J-2826/25-26"/>
    <n v="67575"/>
    <m/>
  </r>
  <r>
    <d v="2025-09-26T00:00:00"/>
    <x v="248"/>
    <x v="1"/>
    <s v="J-2827/25-26"/>
    <n v="2002"/>
    <m/>
  </r>
  <r>
    <d v="2025-09-26T00:00:00"/>
    <x v="297"/>
    <x v="1"/>
    <s v="J-2828/25-26"/>
    <n v="700"/>
    <m/>
  </r>
  <r>
    <d v="2025-09-26T00:00:00"/>
    <x v="230"/>
    <x v="1"/>
    <s v="J-2829/25-26"/>
    <n v="1570"/>
    <m/>
  </r>
  <r>
    <d v="2025-09-26T00:00:00"/>
    <x v="485"/>
    <x v="1"/>
    <s v="J-2830/25-26"/>
    <n v="215"/>
    <m/>
  </r>
  <r>
    <d v="2025-09-26T00:00:00"/>
    <x v="398"/>
    <x v="1"/>
    <s v="J-2831/25-26"/>
    <n v="2190"/>
    <m/>
  </r>
  <r>
    <d v="2025-09-26T00:00:00"/>
    <x v="884"/>
    <x v="1"/>
    <s v="J-2832/25-26"/>
    <n v="1043"/>
    <m/>
  </r>
  <r>
    <d v="2025-09-26T00:00:00"/>
    <x v="11"/>
    <x v="1"/>
    <s v="J-2833/25-26"/>
    <n v="25"/>
    <m/>
  </r>
  <r>
    <d v="2025-09-26T00:00:00"/>
    <x v="79"/>
    <x v="1"/>
    <s v="J-2834/25-26"/>
    <n v="5530"/>
    <m/>
  </r>
  <r>
    <d v="2025-09-26T00:00:00"/>
    <x v="552"/>
    <x v="1"/>
    <s v="J-2835/25-26"/>
    <n v="2100"/>
    <m/>
  </r>
  <r>
    <d v="2025-09-26T00:00:00"/>
    <x v="8"/>
    <x v="1"/>
    <s v="J-2836/25-26"/>
    <n v="3080"/>
    <m/>
  </r>
  <r>
    <d v="2025-09-26T00:00:00"/>
    <x v="866"/>
    <x v="1"/>
    <s v="J-2837/25-26"/>
    <n v="2815"/>
    <m/>
  </r>
  <r>
    <d v="2025-09-26T00:00:00"/>
    <x v="885"/>
    <x v="1"/>
    <s v="J-2838/25-26"/>
    <n v="785"/>
    <m/>
  </r>
  <r>
    <d v="2025-09-26T00:00:00"/>
    <x v="701"/>
    <x v="1"/>
    <s v="J-2839/25-26"/>
    <n v="290"/>
    <m/>
  </r>
  <r>
    <d v="2025-09-26T00:00:00"/>
    <x v="248"/>
    <x v="1"/>
    <s v="J-2840/25-26"/>
    <n v="2037"/>
    <m/>
  </r>
  <r>
    <d v="2025-09-26T00:00:00"/>
    <x v="550"/>
    <x v="1"/>
    <s v="J-2841/25-26"/>
    <n v="5456"/>
    <m/>
  </r>
  <r>
    <d v="2025-09-26T00:00:00"/>
    <x v="886"/>
    <x v="1"/>
    <s v="J-2842/25-26"/>
    <n v="14367"/>
    <m/>
  </r>
  <r>
    <d v="2025-09-26T00:00:00"/>
    <x v="621"/>
    <x v="1"/>
    <s v="J-2843/25-26"/>
    <n v="64170"/>
    <m/>
  </r>
  <r>
    <d v="2025-09-26T00:00:00"/>
    <x v="414"/>
    <x v="1"/>
    <s v="J-2844/25-26"/>
    <n v="350"/>
    <m/>
  </r>
  <r>
    <d v="2025-09-26T00:00:00"/>
    <x v="844"/>
    <x v="1"/>
    <s v="J-2845/25-26"/>
    <n v="1543"/>
    <m/>
  </r>
  <r>
    <d v="2025-09-27T00:00:00"/>
    <x v="722"/>
    <x v="0"/>
    <s v="JU-477/25-26"/>
    <n v="22010"/>
    <m/>
  </r>
  <r>
    <d v="2025-09-27T00:00:00"/>
    <x v="87"/>
    <x v="0"/>
    <s v="JU-478/25-26"/>
    <n v="350"/>
    <m/>
  </r>
  <r>
    <d v="2025-09-27T00:00:00"/>
    <x v="87"/>
    <x v="0"/>
    <s v="JU-479/25-26"/>
    <n v="350"/>
    <m/>
  </r>
  <r>
    <d v="2025-09-27T00:00:00"/>
    <x v="11"/>
    <x v="1"/>
    <s v="J-2846/25-26"/>
    <n v="12"/>
    <m/>
  </r>
  <r>
    <d v="2025-09-27T00:00:00"/>
    <x v="887"/>
    <x v="1"/>
    <s v="J-2847/25-26"/>
    <n v="700"/>
    <m/>
  </r>
  <r>
    <d v="2025-09-27T00:00:00"/>
    <x v="370"/>
    <x v="1"/>
    <s v="J-2848/25-26"/>
    <n v="7691"/>
    <m/>
  </r>
  <r>
    <d v="2025-09-27T00:00:00"/>
    <x v="888"/>
    <x v="1"/>
    <s v="J-2849/25-26"/>
    <n v="465"/>
    <m/>
  </r>
  <r>
    <d v="2025-09-27T00:00:00"/>
    <x v="524"/>
    <x v="1"/>
    <s v="J-2850/25-26"/>
    <n v="1168"/>
    <m/>
  </r>
  <r>
    <d v="2025-09-27T00:00:00"/>
    <x v="630"/>
    <x v="1"/>
    <s v="J-2851/25-26"/>
    <n v="7200"/>
    <m/>
  </r>
  <r>
    <d v="2025-09-27T00:00:00"/>
    <x v="11"/>
    <x v="1"/>
    <s v="J-2852/25-26"/>
    <n v="6463"/>
    <m/>
  </r>
  <r>
    <d v="2025-09-27T00:00:00"/>
    <x v="436"/>
    <x v="1"/>
    <s v="J-2853/25-26"/>
    <n v="17950"/>
    <m/>
  </r>
  <r>
    <d v="2025-09-27T00:00:00"/>
    <x v="889"/>
    <x v="1"/>
    <s v="J-2854/25-26"/>
    <n v="10500"/>
    <m/>
  </r>
  <r>
    <d v="2025-09-27T00:00:00"/>
    <x v="119"/>
    <x v="1"/>
    <s v="J-2855/25-26"/>
    <n v="1450"/>
    <m/>
  </r>
  <r>
    <d v="2025-09-27T00:00:00"/>
    <x v="890"/>
    <x v="1"/>
    <s v="J-2856/25-26"/>
    <n v="3420"/>
    <m/>
  </r>
  <r>
    <d v="2025-09-27T00:00:00"/>
    <x v="8"/>
    <x v="1"/>
    <s v="J-2857/25-26"/>
    <n v="640"/>
    <m/>
  </r>
  <r>
    <d v="2025-09-27T00:00:00"/>
    <x v="880"/>
    <x v="1"/>
    <s v="J-2858/25-26"/>
    <n v="1950"/>
    <m/>
  </r>
  <r>
    <d v="2025-09-27T00:00:00"/>
    <x v="11"/>
    <x v="1"/>
    <s v="J-2859/25-26"/>
    <n v="12"/>
    <m/>
  </r>
  <r>
    <d v="2025-09-27T00:00:00"/>
    <x v="824"/>
    <x v="1"/>
    <s v="J-2860/25-26"/>
    <n v="27192"/>
    <m/>
  </r>
  <r>
    <d v="2025-09-27T00:00:00"/>
    <x v="47"/>
    <x v="1"/>
    <s v="J-2861/25-26"/>
    <n v="6774"/>
    <m/>
  </r>
  <r>
    <d v="2025-09-27T00:00:00"/>
    <x v="891"/>
    <x v="1"/>
    <s v="J-2862/25-26"/>
    <n v="50"/>
    <m/>
  </r>
  <r>
    <d v="2025-09-27T00:00:00"/>
    <x v="892"/>
    <x v="1"/>
    <s v="J-2863/25-26"/>
    <n v="12513"/>
    <m/>
  </r>
  <r>
    <d v="2025-09-27T00:00:00"/>
    <x v="891"/>
    <x v="1"/>
    <s v="J-2864/25-26"/>
    <n v="2178"/>
    <m/>
  </r>
  <r>
    <d v="2025-09-27T00:00:00"/>
    <x v="893"/>
    <x v="1"/>
    <s v="J-2865/25-26"/>
    <n v="1980"/>
    <m/>
  </r>
  <r>
    <d v="2025-09-29T00:00:00"/>
    <x v="439"/>
    <x v="0"/>
    <s v="JU-480/25-26"/>
    <n v="4883"/>
    <m/>
  </r>
  <r>
    <d v="2025-09-29T00:00:00"/>
    <x v="305"/>
    <x v="0"/>
    <s v="JU-481/25-26"/>
    <n v="22230"/>
    <m/>
  </r>
  <r>
    <d v="2025-09-29T00:00:00"/>
    <x v="305"/>
    <x v="0"/>
    <s v="JU-482/25-26"/>
    <n v="850"/>
    <m/>
  </r>
  <r>
    <d v="2025-09-29T00:00:00"/>
    <x v="290"/>
    <x v="0"/>
    <s v="JU-483/25-26"/>
    <n v="9946"/>
    <m/>
  </r>
  <r>
    <d v="2025-09-29T00:00:00"/>
    <x v="306"/>
    <x v="0"/>
    <s v="JU-484/25-26"/>
    <n v="145038"/>
    <m/>
  </r>
  <r>
    <d v="2025-09-29T00:00:00"/>
    <x v="439"/>
    <x v="0"/>
    <s v="JU-485/25-26"/>
    <n v="4262"/>
    <m/>
  </r>
  <r>
    <d v="2025-09-29T00:00:00"/>
    <x v="290"/>
    <x v="0"/>
    <s v="JU-486/25-26"/>
    <n v="16183"/>
    <m/>
  </r>
  <r>
    <d v="2025-09-29T00:00:00"/>
    <x v="894"/>
    <x v="1"/>
    <s v="J-2866/25-26"/>
    <n v="350"/>
    <m/>
  </r>
  <r>
    <d v="2025-09-29T00:00:00"/>
    <x v="895"/>
    <x v="1"/>
    <s v="J-2867/25-26"/>
    <n v="55"/>
    <m/>
  </r>
  <r>
    <d v="2025-09-29T00:00:00"/>
    <x v="887"/>
    <x v="1"/>
    <s v="J-2868/25-26"/>
    <n v="700"/>
    <m/>
  </r>
  <r>
    <d v="2025-09-29T00:00:00"/>
    <x v="20"/>
    <x v="1"/>
    <s v="J-2869/25-26"/>
    <n v="6251"/>
    <m/>
  </r>
  <r>
    <d v="2025-09-29T00:00:00"/>
    <x v="241"/>
    <x v="1"/>
    <s v="J-2870/25-26"/>
    <n v="3500"/>
    <m/>
  </r>
  <r>
    <d v="2025-09-29T00:00:00"/>
    <x v="118"/>
    <x v="1"/>
    <s v="J-2871/25-26"/>
    <n v="120"/>
    <m/>
  </r>
  <r>
    <d v="2025-09-29T00:00:00"/>
    <x v="887"/>
    <x v="1"/>
    <s v="J-2872/25-26"/>
    <n v="1400"/>
    <m/>
  </r>
  <r>
    <d v="2025-09-29T00:00:00"/>
    <x v="11"/>
    <x v="1"/>
    <s v="J-2873/25-26"/>
    <n v="8"/>
    <m/>
  </r>
  <r>
    <d v="2025-09-29T00:00:00"/>
    <x v="781"/>
    <x v="1"/>
    <s v="J-2874/25-26"/>
    <n v="1050"/>
    <m/>
  </r>
  <r>
    <d v="2025-09-29T00:00:00"/>
    <x v="896"/>
    <x v="1"/>
    <s v="J-2875/25-26"/>
    <n v="26154"/>
    <m/>
  </r>
  <r>
    <d v="2025-09-29T00:00:00"/>
    <x v="266"/>
    <x v="1"/>
    <s v="J-2876/25-26"/>
    <n v="680"/>
    <m/>
  </r>
  <r>
    <d v="2025-09-29T00:00:00"/>
    <x v="4"/>
    <x v="1"/>
    <s v="J-2877/25-26"/>
    <n v="20800"/>
    <m/>
  </r>
  <r>
    <d v="2025-09-29T00:00:00"/>
    <x v="324"/>
    <x v="1"/>
    <s v="J-2878/25-26"/>
    <n v="8305"/>
    <m/>
  </r>
  <r>
    <d v="2025-09-29T00:00:00"/>
    <x v="428"/>
    <x v="1"/>
    <s v="J-2879/25-26"/>
    <n v="18500"/>
    <m/>
  </r>
  <r>
    <d v="2025-09-29T00:00:00"/>
    <x v="524"/>
    <x v="1"/>
    <s v="J-2880/25-26"/>
    <n v="818"/>
    <m/>
  </r>
  <r>
    <d v="2025-09-29T00:00:00"/>
    <x v="897"/>
    <x v="1"/>
    <s v="J-2881/25-26"/>
    <n v="8853"/>
    <m/>
  </r>
  <r>
    <d v="2025-09-29T00:00:00"/>
    <x v="886"/>
    <x v="1"/>
    <s v="J-2882/25-26"/>
    <n v="2731"/>
    <m/>
  </r>
  <r>
    <d v="2025-09-29T00:00:00"/>
    <x v="821"/>
    <x v="1"/>
    <s v="J-2883/25-26"/>
    <n v="23601"/>
    <m/>
  </r>
  <r>
    <d v="2025-09-29T00:00:00"/>
    <x v="34"/>
    <x v="1"/>
    <s v="J-2884/25-26"/>
    <n v="8213"/>
    <m/>
  </r>
  <r>
    <d v="2025-09-29T00:00:00"/>
    <x v="704"/>
    <x v="1"/>
    <s v="J-2885/25-26"/>
    <n v="15361"/>
    <m/>
  </r>
  <r>
    <d v="2025-09-29T00:00:00"/>
    <x v="29"/>
    <x v="1"/>
    <s v="J-2886/25-26"/>
    <n v="350"/>
    <m/>
  </r>
  <r>
    <d v="2025-09-29T00:00:00"/>
    <x v="84"/>
    <x v="1"/>
    <s v="J-2887/25-26"/>
    <n v="20610"/>
    <m/>
  </r>
  <r>
    <d v="2025-09-29T00:00:00"/>
    <x v="716"/>
    <x v="1"/>
    <s v="J-2888/25-26"/>
    <n v="3945"/>
    <m/>
  </r>
  <r>
    <d v="2025-09-29T00:00:00"/>
    <x v="592"/>
    <x v="1"/>
    <s v="J-2889/25-26"/>
    <n v="14248"/>
    <m/>
  </r>
  <r>
    <d v="2025-09-29T00:00:00"/>
    <x v="119"/>
    <x v="1"/>
    <s v="J-2890/25-26"/>
    <n v="350"/>
    <m/>
  </r>
  <r>
    <d v="2025-09-30T00:00:00"/>
    <x v="34"/>
    <x v="1"/>
    <s v="J-2891/25-26"/>
    <n v="460"/>
    <m/>
  </r>
  <r>
    <d v="2025-09-30T00:00:00"/>
    <x v="898"/>
    <x v="1"/>
    <s v="J-2892/25-26"/>
    <n v="380"/>
    <m/>
  </r>
  <r>
    <d v="2025-09-30T00:00:00"/>
    <x v="899"/>
    <x v="1"/>
    <s v="J-2893/25-26"/>
    <n v="6636"/>
    <m/>
  </r>
  <r>
    <d v="2025-09-30T00:00:00"/>
    <x v="848"/>
    <x v="1"/>
    <s v="J-2894/25-26"/>
    <n v="700"/>
    <m/>
  </r>
  <r>
    <d v="2025-09-30T00:00:00"/>
    <x v="737"/>
    <x v="1"/>
    <s v="J-2895/25-26"/>
    <n v="12600"/>
    <m/>
  </r>
  <r>
    <d v="2025-09-30T00:00:00"/>
    <x v="621"/>
    <x v="1"/>
    <s v="J-2896/25-26"/>
    <n v="17760"/>
    <m/>
  </r>
  <r>
    <d v="2025-09-30T00:00:00"/>
    <x v="541"/>
    <x v="1"/>
    <s v="J-2897/25-26"/>
    <n v="615"/>
    <m/>
  </r>
  <r>
    <d v="2025-09-30T00:00:00"/>
    <x v="91"/>
    <x v="1"/>
    <s v="J-2898/25-26"/>
    <n v="2125"/>
    <m/>
  </r>
  <r>
    <d v="2025-09-30T00:00:00"/>
    <x v="197"/>
    <x v="1"/>
    <s v="J-2899/25-26"/>
    <n v="4200"/>
    <m/>
  </r>
  <r>
    <d v="2025-09-30T00:00:00"/>
    <x v="900"/>
    <x v="1"/>
    <s v="J-2900/25-26"/>
    <n v="1050"/>
    <m/>
  </r>
  <r>
    <d v="2025-09-30T00:00:00"/>
    <x v="4"/>
    <x v="1"/>
    <s v="J-2901/25-26"/>
    <n v="520"/>
    <m/>
  </r>
  <r>
    <d v="2025-09-30T00:00:00"/>
    <x v="4"/>
    <x v="1"/>
    <s v="J-2902/25-26"/>
    <n v="29060"/>
    <m/>
  </r>
  <r>
    <d v="2025-09-30T00:00:00"/>
    <x v="459"/>
    <x v="1"/>
    <s v="J-2903/25-26"/>
    <n v="700"/>
    <m/>
  </r>
  <r>
    <d v="2025-09-30T00:00:00"/>
    <x v="266"/>
    <x v="1"/>
    <s v="J-2904/25-26"/>
    <n v="2632"/>
    <m/>
  </r>
  <r>
    <d v="2025-09-30T00:00:00"/>
    <x v="901"/>
    <x v="1"/>
    <s v="J-2905/25-26"/>
    <n v="888"/>
    <m/>
  </r>
  <r>
    <d v="2025-09-30T00:00:00"/>
    <x v="10"/>
    <x v="1"/>
    <s v="J-2906/25-26"/>
    <n v="1315"/>
    <m/>
  </r>
  <r>
    <d v="2025-09-30T00:00:00"/>
    <x v="887"/>
    <x v="1"/>
    <s v="J-2907/25-26"/>
    <n v="800"/>
    <m/>
  </r>
  <r>
    <d v="2025-09-30T00:00:00"/>
    <x v="902"/>
    <x v="1"/>
    <s v="J-2908/25-26"/>
    <n v="116672"/>
    <m/>
  </r>
  <r>
    <d v="2025-09-30T00:00:00"/>
    <x v="621"/>
    <x v="1"/>
    <s v="J-2909/25-26"/>
    <n v="23603"/>
    <m/>
  </r>
  <r>
    <d v="2025-09-30T00:00:00"/>
    <x v="903"/>
    <x v="1"/>
    <s v="J-2910/25-26"/>
    <n v="350"/>
    <m/>
  </r>
  <r>
    <d v="2025-10-01T00:00:00"/>
    <x v="297"/>
    <x v="1"/>
    <s v="J-2911/25-26"/>
    <n v="1750"/>
    <m/>
  </r>
  <r>
    <d v="2025-10-01T00:00:00"/>
    <x v="595"/>
    <x v="1"/>
    <s v="J-2912/25-26"/>
    <n v="7524"/>
    <m/>
  </r>
  <r>
    <d v="2025-10-01T00:00:00"/>
    <x v="904"/>
    <x v="1"/>
    <s v="J-2913/25-26"/>
    <n v="4247"/>
    <m/>
  </r>
  <r>
    <d v="2025-10-01T00:00:00"/>
    <x v="88"/>
    <x v="1"/>
    <s v="J-2914/25-26"/>
    <n v="350"/>
    <m/>
  </r>
  <r>
    <d v="2025-10-01T00:00:00"/>
    <x v="541"/>
    <x v="1"/>
    <s v="J-2915/25-26"/>
    <n v="1050"/>
    <m/>
  </r>
  <r>
    <d v="2025-10-01T00:00:00"/>
    <x v="905"/>
    <x v="1"/>
    <s v="J-2916/25-26"/>
    <n v="12594"/>
    <m/>
  </r>
  <r>
    <d v="2025-10-01T00:00:00"/>
    <x v="248"/>
    <x v="1"/>
    <s v="J-2917/25-26"/>
    <n v="11055"/>
    <m/>
  </r>
  <r>
    <d v="2025-10-01T00:00:00"/>
    <x v="218"/>
    <x v="1"/>
    <s v="J-2918/25-26"/>
    <n v="300"/>
    <m/>
  </r>
  <r>
    <d v="2025-10-01T00:00:00"/>
    <x v="150"/>
    <x v="1"/>
    <s v="J-2919/25-26"/>
    <n v="822"/>
    <m/>
  </r>
  <r>
    <d v="2025-10-01T00:00:00"/>
    <x v="906"/>
    <x v="1"/>
    <s v="J-2920/25-26"/>
    <n v="700"/>
    <m/>
  </r>
  <r>
    <d v="2025-10-02T00:00:00"/>
    <x v="305"/>
    <x v="0"/>
    <s v="JU-487/25-26"/>
    <n v="22770"/>
    <m/>
  </r>
  <r>
    <d v="2025-10-02T00:00:00"/>
    <x v="284"/>
    <x v="0"/>
    <s v="JU-488/25-26"/>
    <n v="3248"/>
    <m/>
  </r>
  <r>
    <d v="2025-10-02T00:00:00"/>
    <x v="475"/>
    <x v="0"/>
    <s v="JU-489/25-26"/>
    <n v="2160"/>
    <m/>
  </r>
  <r>
    <d v="2025-10-02T00:00:00"/>
    <x v="241"/>
    <x v="1"/>
    <s v="J-2921/25-26"/>
    <n v="1200"/>
    <m/>
  </r>
  <r>
    <d v="2025-10-02T00:00:00"/>
    <x v="907"/>
    <x v="1"/>
    <s v="J-2922/25-26"/>
    <n v="1750"/>
    <m/>
  </r>
  <r>
    <d v="2025-10-02T00:00:00"/>
    <x v="781"/>
    <x v="1"/>
    <s v="J-2923/25-26"/>
    <n v="1750"/>
    <m/>
  </r>
  <r>
    <d v="2025-10-02T00:00:00"/>
    <x v="908"/>
    <x v="1"/>
    <s v="J-2924/25-26"/>
    <n v="26221"/>
    <m/>
  </r>
  <r>
    <d v="2025-10-02T00:00:00"/>
    <x v="126"/>
    <x v="1"/>
    <s v="J-2925/25-26"/>
    <n v="3750"/>
    <m/>
  </r>
  <r>
    <d v="2025-10-02T00:00:00"/>
    <x v="630"/>
    <x v="1"/>
    <s v="J-2926/25-26"/>
    <n v="7200"/>
    <m/>
  </r>
  <r>
    <d v="2025-10-02T00:00:00"/>
    <x v="564"/>
    <x v="1"/>
    <s v="J-2927/25-26"/>
    <n v="3400"/>
    <m/>
  </r>
  <r>
    <d v="2025-10-02T00:00:00"/>
    <x v="909"/>
    <x v="1"/>
    <s v="J-2928/25-26"/>
    <n v="3500"/>
    <m/>
  </r>
  <r>
    <d v="2025-10-02T00:00:00"/>
    <x v="470"/>
    <x v="1"/>
    <s v="J-2929/25-26"/>
    <n v="700"/>
    <m/>
  </r>
  <r>
    <d v="2025-10-02T00:00:00"/>
    <x v="910"/>
    <x v="1"/>
    <s v="J-2930/25-26"/>
    <n v="10431"/>
    <m/>
  </r>
  <r>
    <d v="2025-10-02T00:00:00"/>
    <x v="10"/>
    <x v="1"/>
    <s v="J-2931/25-26"/>
    <n v="66483"/>
    <m/>
  </r>
  <r>
    <d v="2025-10-02T00:00:00"/>
    <x v="904"/>
    <x v="1"/>
    <s v="J-2932/25-26"/>
    <n v="159"/>
    <m/>
  </r>
  <r>
    <d v="2025-10-02T00:00:00"/>
    <x v="464"/>
    <x v="1"/>
    <s v="J-2933/25-26"/>
    <n v="4607"/>
    <m/>
  </r>
  <r>
    <d v="2025-10-02T00:00:00"/>
    <x v="78"/>
    <x v="1"/>
    <s v="J-2934/25-26"/>
    <n v="3163"/>
    <m/>
  </r>
  <r>
    <d v="2025-10-02T00:00:00"/>
    <x v="911"/>
    <x v="1"/>
    <s v="J-2935/25-26"/>
    <n v="25443"/>
    <m/>
  </r>
  <r>
    <d v="2025-10-02T00:00:00"/>
    <x v="912"/>
    <x v="1"/>
    <s v="J-2936/25-26"/>
    <n v="572"/>
    <m/>
  </r>
  <r>
    <d v="2025-10-03T00:00:00"/>
    <x v="722"/>
    <x v="0"/>
    <s v="JU-490/25-26"/>
    <n v="6426"/>
    <m/>
  </r>
  <r>
    <d v="2025-10-03T00:00:00"/>
    <x v="305"/>
    <x v="0"/>
    <s v="JU-491/25-26"/>
    <n v="30250.933000000001"/>
    <m/>
  </r>
  <r>
    <d v="2025-10-03T00:00:00"/>
    <x v="868"/>
    <x v="1"/>
    <s v="J-2937/25-26"/>
    <n v="9900"/>
    <m/>
  </r>
  <r>
    <d v="2025-10-03T00:00:00"/>
    <x v="297"/>
    <x v="1"/>
    <s v="J-2938/25-26"/>
    <n v="4835"/>
    <m/>
  </r>
  <r>
    <d v="2025-10-03T00:00:00"/>
    <x v="20"/>
    <x v="1"/>
    <s v="J-2939/25-26"/>
    <n v="7110"/>
    <m/>
  </r>
  <r>
    <d v="2025-10-03T00:00:00"/>
    <x v="23"/>
    <x v="1"/>
    <s v="J-2940/25-26"/>
    <n v="2961"/>
    <m/>
  </r>
  <r>
    <d v="2025-10-03T00:00:00"/>
    <x v="913"/>
    <x v="1"/>
    <s v="J-2941/25-26"/>
    <n v="1400"/>
    <m/>
  </r>
  <r>
    <d v="2025-10-03T00:00:00"/>
    <x v="466"/>
    <x v="1"/>
    <s v="J-2942/25-26"/>
    <n v="19420"/>
    <m/>
  </r>
  <r>
    <d v="2025-10-03T00:00:00"/>
    <x v="11"/>
    <x v="1"/>
    <s v="J-2943/25-26"/>
    <n v="2590"/>
    <m/>
  </r>
  <r>
    <d v="2025-10-03T00:00:00"/>
    <x v="914"/>
    <x v="1"/>
    <s v="J-2944/25-26"/>
    <n v="29795"/>
    <m/>
  </r>
  <r>
    <d v="2025-10-03T00:00:00"/>
    <x v="11"/>
    <x v="1"/>
    <s v="J-2945/25-26"/>
    <n v="12"/>
    <m/>
  </r>
  <r>
    <d v="2025-10-03T00:00:00"/>
    <x v="11"/>
    <x v="1"/>
    <s v="J-2946/25-26"/>
    <n v="12"/>
    <m/>
  </r>
  <r>
    <d v="2025-10-03T00:00:00"/>
    <x v="502"/>
    <x v="1"/>
    <s v="J-2947/25-26"/>
    <n v="5404"/>
    <m/>
  </r>
  <r>
    <d v="2025-10-03T00:00:00"/>
    <x v="4"/>
    <x v="1"/>
    <s v="J-2948/25-26"/>
    <n v="268"/>
    <m/>
  </r>
  <r>
    <d v="2025-10-03T00:00:00"/>
    <x v="436"/>
    <x v="1"/>
    <s v="J-2949/25-26"/>
    <n v="3102"/>
    <m/>
  </r>
  <r>
    <d v="2025-10-03T00:00:00"/>
    <x v="915"/>
    <x v="1"/>
    <s v="J-2950/25-26"/>
    <n v="3080"/>
    <m/>
  </r>
  <r>
    <d v="2025-10-03T00:00:00"/>
    <x v="4"/>
    <x v="1"/>
    <s v="J-2951/25-26"/>
    <n v="240"/>
    <m/>
  </r>
  <r>
    <d v="2025-10-03T00:00:00"/>
    <x v="20"/>
    <x v="1"/>
    <s v="J-2952/25-26"/>
    <n v="2947"/>
    <m/>
  </r>
  <r>
    <d v="2025-10-03T00:00:00"/>
    <x v="899"/>
    <x v="1"/>
    <s v="J-2953/25-26"/>
    <n v="3746"/>
    <m/>
  </r>
  <r>
    <d v="2025-10-03T00:00:00"/>
    <x v="91"/>
    <x v="1"/>
    <s v="J-2954/25-26"/>
    <n v="3947"/>
    <m/>
  </r>
  <r>
    <d v="2025-10-04T00:00:00"/>
    <x v="916"/>
    <x v="0"/>
    <s v="JU-492/25-26"/>
    <n v="32568"/>
    <m/>
  </r>
  <r>
    <d v="2025-10-04T00:00:00"/>
    <x v="868"/>
    <x v="1"/>
    <s v="J-2955/25-26"/>
    <n v="9900"/>
    <m/>
  </r>
  <r>
    <d v="2025-10-04T00:00:00"/>
    <x v="34"/>
    <x v="1"/>
    <s v="J-2956/25-26"/>
    <n v="18200"/>
    <m/>
  </r>
  <r>
    <d v="2025-10-04T00:00:00"/>
    <x v="660"/>
    <x v="1"/>
    <s v="J-2957/25-26"/>
    <n v="44247"/>
    <m/>
  </r>
  <r>
    <d v="2025-10-04T00:00:00"/>
    <x v="115"/>
    <x v="1"/>
    <s v="J-2958/25-26"/>
    <n v="11925"/>
    <m/>
  </r>
  <r>
    <d v="2025-10-04T00:00:00"/>
    <x v="23"/>
    <x v="1"/>
    <s v="J-2959/25-26"/>
    <n v="3376"/>
    <m/>
  </r>
  <r>
    <d v="2025-10-04T00:00:00"/>
    <x v="470"/>
    <x v="1"/>
    <s v="J-2960/25-26"/>
    <n v="680"/>
    <m/>
  </r>
  <r>
    <d v="2025-10-04T00:00:00"/>
    <x v="793"/>
    <x v="1"/>
    <s v="J-2961/25-26"/>
    <n v="340"/>
    <m/>
  </r>
  <r>
    <d v="2025-10-04T00:00:00"/>
    <x v="104"/>
    <x v="1"/>
    <s v="J-2962/25-26"/>
    <n v="310"/>
    <m/>
  </r>
  <r>
    <d v="2025-10-04T00:00:00"/>
    <x v="582"/>
    <x v="1"/>
    <s v="J-2963/25-26"/>
    <n v="388"/>
    <m/>
  </r>
  <r>
    <d v="2025-10-04T00:00:00"/>
    <x v="304"/>
    <x v="1"/>
    <s v="J-2964/25-26"/>
    <n v="100"/>
    <m/>
  </r>
  <r>
    <d v="2025-10-04T00:00:00"/>
    <x v="908"/>
    <x v="1"/>
    <s v="J-2965/25-26"/>
    <n v="2456"/>
    <m/>
  </r>
  <r>
    <d v="2025-10-04T00:00:00"/>
    <x v="904"/>
    <x v="1"/>
    <s v="J-2966/25-26"/>
    <n v="3500"/>
    <m/>
  </r>
  <r>
    <d v="2025-10-04T00:00:00"/>
    <x v="917"/>
    <x v="1"/>
    <s v="J-2967/25-26"/>
    <n v="15274"/>
    <m/>
  </r>
  <r>
    <d v="2025-10-04T00:00:00"/>
    <x v="20"/>
    <x v="1"/>
    <s v="J-2968/25-26"/>
    <n v="723"/>
    <m/>
  </r>
  <r>
    <d v="2025-10-04T00:00:00"/>
    <x v="299"/>
    <x v="1"/>
    <s v="J-2969/25-26"/>
    <n v="2920"/>
    <m/>
  </r>
  <r>
    <d v="2025-10-04T00:00:00"/>
    <x v="173"/>
    <x v="1"/>
    <s v="J-2970/25-26"/>
    <n v="74"/>
    <m/>
  </r>
  <r>
    <d v="2025-10-04T00:00:00"/>
    <x v="267"/>
    <x v="1"/>
    <s v="J-2971/25-26"/>
    <n v="628"/>
    <m/>
  </r>
  <r>
    <d v="2025-10-04T00:00:00"/>
    <x v="541"/>
    <x v="1"/>
    <s v="J-2972/25-26"/>
    <n v="20690"/>
    <m/>
  </r>
  <r>
    <d v="2025-10-04T00:00:00"/>
    <x v="166"/>
    <x v="1"/>
    <s v="J-2973/25-26"/>
    <n v="3580"/>
    <m/>
  </r>
  <r>
    <d v="2025-10-04T00:00:00"/>
    <x v="205"/>
    <x v="1"/>
    <s v="J-2974/25-26"/>
    <n v="2720"/>
    <m/>
  </r>
  <r>
    <d v="2025-10-04T00:00:00"/>
    <x v="11"/>
    <x v="1"/>
    <s v="J-2975/25-26"/>
    <n v="168"/>
    <m/>
  </r>
  <r>
    <d v="2025-10-04T00:00:00"/>
    <x v="197"/>
    <x v="1"/>
    <s v="J-2976/25-26"/>
    <n v="21"/>
    <m/>
  </r>
  <r>
    <d v="2025-10-04T00:00:00"/>
    <x v="918"/>
    <x v="1"/>
    <s v="J-2977/25-26"/>
    <n v="340"/>
    <m/>
  </r>
  <r>
    <d v="2025-10-04T00:00:00"/>
    <x v="919"/>
    <x v="1"/>
    <s v="J-2978/25-26"/>
    <n v="20"/>
    <m/>
  </r>
  <r>
    <d v="2025-10-04T00:00:00"/>
    <x v="904"/>
    <x v="1"/>
    <s v="J-2979/25-26"/>
    <n v="330"/>
    <m/>
  </r>
  <r>
    <d v="2025-10-04T00:00:00"/>
    <x v="920"/>
    <x v="1"/>
    <s v="J-2980/25-26"/>
    <n v="18486"/>
    <m/>
  </r>
  <r>
    <d v="2025-10-04T00:00:00"/>
    <x v="34"/>
    <x v="1"/>
    <s v="J-2981/25-26"/>
    <n v="4645"/>
    <m/>
  </r>
  <r>
    <d v="2025-10-04T00:00:00"/>
    <x v="705"/>
    <x v="1"/>
    <s v="J-2982/25-26"/>
    <n v="4156"/>
    <m/>
  </r>
  <r>
    <d v="2025-10-04T00:00:00"/>
    <x v="11"/>
    <x v="1"/>
    <s v="J-2983/25-26"/>
    <n v="1675"/>
    <m/>
  </r>
  <r>
    <d v="2025-10-06T00:00:00"/>
    <x v="306"/>
    <x v="0"/>
    <s v="JU-493/25-26"/>
    <n v="151219"/>
    <m/>
  </r>
  <r>
    <d v="2025-10-06T00:00:00"/>
    <x v="297"/>
    <x v="1"/>
    <s v="J-2984/25-26"/>
    <n v="1020"/>
    <m/>
  </r>
  <r>
    <d v="2025-10-06T00:00:00"/>
    <x v="394"/>
    <x v="1"/>
    <s v="J-2985/25-26"/>
    <n v="1700"/>
    <m/>
  </r>
  <r>
    <d v="2025-10-06T00:00:00"/>
    <x v="385"/>
    <x v="1"/>
    <s v="J-2986/25-26"/>
    <n v="4685"/>
    <m/>
  </r>
  <r>
    <d v="2025-10-06T00:00:00"/>
    <x v="29"/>
    <x v="1"/>
    <s v="J-2987/25-26"/>
    <n v="1360"/>
    <m/>
  </r>
  <r>
    <d v="2025-10-06T00:00:00"/>
    <x v="921"/>
    <x v="1"/>
    <s v="J-2988/25-26"/>
    <n v="1020"/>
    <m/>
  </r>
  <r>
    <d v="2025-10-06T00:00:00"/>
    <x v="922"/>
    <x v="1"/>
    <s v="J-2989/25-26"/>
    <n v="340"/>
    <m/>
  </r>
  <r>
    <d v="2025-10-06T00:00:00"/>
    <x v="170"/>
    <x v="1"/>
    <s v="J-2990/25-26"/>
    <n v="6556"/>
    <m/>
  </r>
  <r>
    <d v="2025-10-06T00:00:00"/>
    <x v="660"/>
    <x v="1"/>
    <s v="J-2991/25-26"/>
    <n v="8250"/>
    <m/>
  </r>
  <r>
    <d v="2025-10-06T00:00:00"/>
    <x v="923"/>
    <x v="1"/>
    <s v="J-2992/25-26"/>
    <n v="20684"/>
    <m/>
  </r>
  <r>
    <d v="2025-10-06T00:00:00"/>
    <x v="45"/>
    <x v="1"/>
    <s v="J-2993/25-26"/>
    <n v="7334"/>
    <m/>
  </r>
  <r>
    <d v="2025-10-06T00:00:00"/>
    <x v="924"/>
    <x v="1"/>
    <s v="J-2994/25-26"/>
    <n v="200"/>
    <m/>
  </r>
  <r>
    <d v="2025-10-06T00:00:00"/>
    <x v="729"/>
    <x v="1"/>
    <s v="J-2995/25-26"/>
    <n v="340"/>
    <m/>
  </r>
  <r>
    <d v="2025-10-06T00:00:00"/>
    <x v="19"/>
    <x v="1"/>
    <s v="J-2996/25-26"/>
    <n v="1481"/>
    <m/>
  </r>
  <r>
    <d v="2025-10-06T00:00:00"/>
    <x v="914"/>
    <x v="1"/>
    <s v="J-2997/25-26"/>
    <n v="4360"/>
    <m/>
  </r>
  <r>
    <d v="2025-10-06T00:00:00"/>
    <x v="660"/>
    <x v="1"/>
    <s v="J-2998/25-26"/>
    <n v="3026"/>
    <m/>
  </r>
  <r>
    <d v="2025-10-06T00:00:00"/>
    <x v="34"/>
    <x v="1"/>
    <s v="J-2999/25-26"/>
    <n v="1824"/>
    <m/>
  </r>
  <r>
    <d v="2025-10-06T00:00:00"/>
    <x v="642"/>
    <x v="1"/>
    <s v="J-3000/25-26"/>
    <n v="59672"/>
    <m/>
  </r>
  <r>
    <d v="2025-10-06T00:00:00"/>
    <x v="908"/>
    <x v="1"/>
    <s v="J-3001/25-26"/>
    <n v="110"/>
    <m/>
  </r>
  <r>
    <d v="2025-10-06T00:00:00"/>
    <x v="925"/>
    <x v="1"/>
    <s v="J-3002/25-26"/>
    <n v="340"/>
    <m/>
  </r>
  <r>
    <d v="2025-10-07T00:00:00"/>
    <x v="926"/>
    <x v="0"/>
    <s v="JU-494/25-26"/>
    <n v="22843"/>
    <m/>
  </r>
  <r>
    <d v="2025-10-07T00:00:00"/>
    <x v="927"/>
    <x v="1"/>
    <s v="J-3003/25-26"/>
    <n v="1360"/>
    <m/>
  </r>
  <r>
    <d v="2025-10-07T00:00:00"/>
    <x v="637"/>
    <x v="1"/>
    <s v="J-3004/25-26"/>
    <n v="5100"/>
    <m/>
  </r>
  <r>
    <d v="2025-10-07T00:00:00"/>
    <x v="211"/>
    <x v="1"/>
    <s v="J-3005/25-26"/>
    <n v="2040"/>
    <m/>
  </r>
  <r>
    <d v="2025-10-07T00:00:00"/>
    <x v="266"/>
    <x v="1"/>
    <s v="J-3006/25-26"/>
    <n v="5820"/>
    <m/>
  </r>
  <r>
    <d v="2025-10-07T00:00:00"/>
    <x v="241"/>
    <x v="1"/>
    <s v="J-3007/25-26"/>
    <n v="340"/>
    <m/>
  </r>
  <r>
    <d v="2025-10-07T00:00:00"/>
    <x v="297"/>
    <x v="1"/>
    <s v="J-3008/25-26"/>
    <n v="20721"/>
    <m/>
  </r>
  <r>
    <d v="2025-10-07T00:00:00"/>
    <x v="921"/>
    <x v="1"/>
    <s v="J-3009/25-26"/>
    <n v="340"/>
    <m/>
  </r>
  <r>
    <d v="2025-10-07T00:00:00"/>
    <x v="119"/>
    <x v="1"/>
    <s v="J-3010/25-26"/>
    <n v="15117"/>
    <m/>
  </r>
  <r>
    <d v="2025-10-07T00:00:00"/>
    <x v="928"/>
    <x v="1"/>
    <s v="J-3011/25-26"/>
    <n v="6800"/>
    <m/>
  </r>
  <r>
    <d v="2025-10-07T00:00:00"/>
    <x v="50"/>
    <x v="1"/>
    <s v="J-3012/25-26"/>
    <n v="3695"/>
    <m/>
  </r>
  <r>
    <d v="2025-10-07T00:00:00"/>
    <x v="394"/>
    <x v="1"/>
    <s v="J-3013/25-26"/>
    <n v="1020"/>
    <m/>
  </r>
  <r>
    <d v="2025-10-07T00:00:00"/>
    <x v="620"/>
    <x v="1"/>
    <s v="J-3014/25-26"/>
    <n v="3400"/>
    <m/>
  </r>
  <r>
    <d v="2025-10-07T00:00:00"/>
    <x v="929"/>
    <x v="1"/>
    <s v="J-3015/25-26"/>
    <n v="340"/>
    <m/>
  </r>
  <r>
    <d v="2025-10-07T00:00:00"/>
    <x v="11"/>
    <x v="1"/>
    <s v="J-3016/25-26"/>
    <n v="330"/>
    <m/>
  </r>
  <r>
    <d v="2025-10-07T00:00:00"/>
    <x v="11"/>
    <x v="1"/>
    <s v="J-3017/25-26"/>
    <n v="130"/>
    <m/>
  </r>
  <r>
    <d v="2025-10-07T00:00:00"/>
    <x v="930"/>
    <x v="1"/>
    <s v="J-3018/25-26"/>
    <n v="6960"/>
    <m/>
  </r>
  <r>
    <d v="2025-10-07T00:00:00"/>
    <x v="297"/>
    <x v="1"/>
    <s v="J-3019/25-26"/>
    <n v="340"/>
    <m/>
  </r>
  <r>
    <d v="2025-10-07T00:00:00"/>
    <x v="173"/>
    <x v="1"/>
    <s v="J-3020/25-26"/>
    <n v="7918"/>
    <m/>
  </r>
  <r>
    <d v="2025-10-07T00:00:00"/>
    <x v="931"/>
    <x v="1"/>
    <s v="J-3021/25-26"/>
    <n v="2553"/>
    <m/>
  </r>
  <r>
    <d v="2025-10-07T00:00:00"/>
    <x v="11"/>
    <x v="1"/>
    <s v="J-3022/25-26"/>
    <n v="12"/>
    <m/>
  </r>
  <r>
    <d v="2025-10-07T00:00:00"/>
    <x v="237"/>
    <x v="1"/>
    <s v="J-3023/25-26"/>
    <n v="3300"/>
    <m/>
  </r>
  <r>
    <d v="2025-10-07T00:00:00"/>
    <x v="932"/>
    <x v="1"/>
    <s v="J-3024/25-26"/>
    <n v="7793"/>
    <m/>
  </r>
  <r>
    <d v="2025-10-07T00:00:00"/>
    <x v="11"/>
    <x v="1"/>
    <s v="J-3025/25-26"/>
    <n v="340"/>
    <m/>
  </r>
  <r>
    <d v="2025-10-07T00:00:00"/>
    <x v="660"/>
    <x v="1"/>
    <s v="J-3026/25-26"/>
    <n v="286"/>
    <m/>
  </r>
  <r>
    <d v="2025-10-07T00:00:00"/>
    <x v="3"/>
    <x v="1"/>
    <s v="J-3027/25-26"/>
    <n v="9540"/>
    <m/>
  </r>
  <r>
    <d v="2025-10-07T00:00:00"/>
    <x v="11"/>
    <x v="1"/>
    <s v="J-3028/25-26"/>
    <n v="1151"/>
    <m/>
  </r>
  <r>
    <d v="2025-10-07T00:00:00"/>
    <x v="869"/>
    <x v="1"/>
    <s v="J-3029/25-26"/>
    <n v="1600"/>
    <m/>
  </r>
  <r>
    <d v="2025-10-07T00:00:00"/>
    <x v="25"/>
    <x v="1"/>
    <s v="J-3030/25-26"/>
    <n v="10568"/>
    <m/>
  </r>
  <r>
    <d v="2025-10-07T00:00:00"/>
    <x v="541"/>
    <x v="1"/>
    <s v="J-3031/25-26"/>
    <n v="1105"/>
    <m/>
  </r>
  <r>
    <d v="2025-10-07T00:00:00"/>
    <x v="621"/>
    <x v="1"/>
    <s v="J-3032/25-26"/>
    <n v="843"/>
    <m/>
  </r>
  <r>
    <d v="2025-10-08T00:00:00"/>
    <x v="305"/>
    <x v="0"/>
    <s v="JU-495/25-26"/>
    <n v="8250"/>
    <m/>
  </r>
  <r>
    <d v="2025-10-08T00:00:00"/>
    <x v="306"/>
    <x v="0"/>
    <s v="JU-496/25-26"/>
    <n v="30732"/>
    <m/>
  </r>
  <r>
    <d v="2025-10-08T00:00:00"/>
    <x v="439"/>
    <x v="0"/>
    <s v="JU-497/25-26"/>
    <n v="16882"/>
    <m/>
  </r>
  <r>
    <d v="2025-10-08T00:00:00"/>
    <x v="571"/>
    <x v="0"/>
    <s v="JU-498/25-26"/>
    <n v="8341"/>
    <m/>
  </r>
  <r>
    <d v="2025-10-08T00:00:00"/>
    <x v="265"/>
    <x v="0"/>
    <s v="JU-499/25-26"/>
    <n v="5318"/>
    <m/>
  </r>
  <r>
    <d v="2025-10-08T00:00:00"/>
    <x v="933"/>
    <x v="0"/>
    <s v="JU-500/25-26"/>
    <n v="33790"/>
    <m/>
  </r>
  <r>
    <d v="2025-10-08T00:00:00"/>
    <x v="143"/>
    <x v="1"/>
    <s v="J-3033/25-26"/>
    <n v="680"/>
    <m/>
  </r>
  <r>
    <d v="2025-10-08T00:00:00"/>
    <x v="660"/>
    <x v="1"/>
    <s v="J-3034/25-26"/>
    <n v="803"/>
    <m/>
  </r>
  <r>
    <d v="2025-10-08T00:00:00"/>
    <x v="930"/>
    <x v="1"/>
    <s v="J-3035/25-26"/>
    <n v="2531"/>
    <m/>
  </r>
  <r>
    <d v="2025-10-08T00:00:00"/>
    <x v="11"/>
    <x v="1"/>
    <s v="J-3036/25-26"/>
    <n v="12"/>
    <m/>
  </r>
  <r>
    <d v="2025-10-08T00:00:00"/>
    <x v="3"/>
    <x v="1"/>
    <s v="J-3037/25-26"/>
    <n v="5100"/>
    <m/>
  </r>
  <r>
    <d v="2025-10-08T00:00:00"/>
    <x v="11"/>
    <x v="1"/>
    <s v="J-3038/25-26"/>
    <n v="340"/>
    <m/>
  </r>
  <r>
    <d v="2025-10-08T00:00:00"/>
    <x v="42"/>
    <x v="1"/>
    <s v="J-3039/25-26"/>
    <n v="200"/>
    <m/>
  </r>
  <r>
    <d v="2025-10-08T00:00:00"/>
    <x v="934"/>
    <x v="1"/>
    <s v="J-3040/25-26"/>
    <n v="3450"/>
    <m/>
  </r>
  <r>
    <d v="2025-10-08T00:00:00"/>
    <x v="660"/>
    <x v="1"/>
    <s v="J-3041/25-26"/>
    <n v="465"/>
    <m/>
  </r>
  <r>
    <d v="2025-10-08T00:00:00"/>
    <x v="361"/>
    <x v="1"/>
    <s v="J-3042/25-26"/>
    <n v="2722"/>
    <m/>
  </r>
  <r>
    <d v="2025-10-09T00:00:00"/>
    <x v="774"/>
    <x v="0"/>
    <s v="JU-501/25-26"/>
    <n v="1320"/>
    <m/>
  </r>
  <r>
    <d v="2025-10-09T00:00:00"/>
    <x v="14"/>
    <x v="0"/>
    <s v="JU-502/25-26"/>
    <n v="1960"/>
    <m/>
  </r>
  <r>
    <d v="2025-10-09T00:00:00"/>
    <x v="197"/>
    <x v="1"/>
    <s v="J-3043/25-26"/>
    <n v="1020"/>
    <m/>
  </r>
  <r>
    <d v="2025-10-09T00:00:00"/>
    <x v="54"/>
    <x v="1"/>
    <s v="J-3044/25-26"/>
    <n v="1020"/>
    <m/>
  </r>
  <r>
    <d v="2025-10-09T00:00:00"/>
    <x v="370"/>
    <x v="1"/>
    <s v="J-3045/25-26"/>
    <n v="2950"/>
    <m/>
  </r>
  <r>
    <d v="2025-10-09T00:00:00"/>
    <x v="8"/>
    <x v="1"/>
    <s v="J-3046/25-26"/>
    <n v="26733"/>
    <m/>
  </r>
  <r>
    <d v="2025-10-09T00:00:00"/>
    <x v="923"/>
    <x v="1"/>
    <s v="J-3047/25-26"/>
    <n v="5270"/>
    <m/>
  </r>
  <r>
    <d v="2025-10-09T00:00:00"/>
    <x v="935"/>
    <x v="1"/>
    <s v="J-3048/25-26"/>
    <n v="940"/>
    <m/>
  </r>
  <r>
    <d v="2025-10-09T00:00:00"/>
    <x v="324"/>
    <x v="1"/>
    <s v="J-3049/25-26"/>
    <n v="50130"/>
    <m/>
  </r>
  <r>
    <d v="2025-10-09T00:00:00"/>
    <x v="472"/>
    <x v="1"/>
    <s v="J-3050/25-26"/>
    <n v="16616"/>
    <m/>
  </r>
  <r>
    <d v="2025-10-09T00:00:00"/>
    <x v="54"/>
    <x v="1"/>
    <s v="J-3051/25-26"/>
    <n v="1020"/>
    <m/>
  </r>
  <r>
    <d v="2025-10-09T00:00:00"/>
    <x v="936"/>
    <x v="1"/>
    <s v="J-3052/25-26"/>
    <n v="1056"/>
    <m/>
  </r>
  <r>
    <d v="2025-10-09T00:00:00"/>
    <x v="241"/>
    <x v="1"/>
    <s v="J-3053/25-26"/>
    <n v="33342"/>
    <m/>
  </r>
  <r>
    <d v="2025-10-09T00:00:00"/>
    <x v="937"/>
    <x v="1"/>
    <s v="J-3054/25-26"/>
    <n v="10027"/>
    <m/>
  </r>
  <r>
    <d v="2025-10-09T00:00:00"/>
    <x v="592"/>
    <x v="1"/>
    <s v="J-3055/25-26"/>
    <n v="1310"/>
    <m/>
  </r>
  <r>
    <d v="2025-10-09T00:00:00"/>
    <x v="938"/>
    <x v="1"/>
    <s v="J-3056/25-26"/>
    <n v="48607"/>
    <m/>
  </r>
  <r>
    <d v="2025-10-09T00:00:00"/>
    <x v="939"/>
    <x v="1"/>
    <s v="J-3057/25-26"/>
    <n v="29200"/>
    <m/>
  </r>
  <r>
    <d v="2025-10-09T00:00:00"/>
    <x v="47"/>
    <x v="1"/>
    <s v="J-3058/25-26"/>
    <n v="20323"/>
    <m/>
  </r>
  <r>
    <d v="2025-10-09T00:00:00"/>
    <x v="844"/>
    <x v="1"/>
    <s v="J-3059/25-26"/>
    <n v="6972"/>
    <m/>
  </r>
  <r>
    <d v="2025-10-09T00:00:00"/>
    <x v="11"/>
    <x v="1"/>
    <s v="J-3060/25-26"/>
    <n v="580"/>
    <m/>
  </r>
  <r>
    <d v="2025-10-09T00:00:00"/>
    <x v="8"/>
    <x v="1"/>
    <s v="J-3061/25-26"/>
    <n v="1935"/>
    <m/>
  </r>
  <r>
    <d v="2025-10-09T00:00:00"/>
    <x v="89"/>
    <x v="1"/>
    <s v="J-3062/25-26"/>
    <n v="2294"/>
    <m/>
  </r>
  <r>
    <d v="2025-10-09T00:00:00"/>
    <x v="940"/>
    <x v="1"/>
    <s v="J-3063/25-26"/>
    <n v="37108"/>
    <m/>
  </r>
  <r>
    <d v="2025-10-09T00:00:00"/>
    <x v="370"/>
    <x v="1"/>
    <s v="J-3064/25-26"/>
    <n v="11816"/>
    <m/>
  </r>
  <r>
    <d v="2025-10-09T00:00:00"/>
    <x v="267"/>
    <x v="1"/>
    <s v="J-3065/25-26"/>
    <n v="370"/>
    <m/>
  </r>
  <r>
    <d v="2025-10-09T00:00:00"/>
    <x v="941"/>
    <x v="1"/>
    <s v="J-3066/25-26"/>
    <n v="1746"/>
    <m/>
  </r>
  <r>
    <d v="2025-10-09T00:00:00"/>
    <x v="173"/>
    <x v="1"/>
    <s v="J-3067/25-26"/>
    <n v="5382"/>
    <m/>
  </r>
  <r>
    <d v="2025-10-09T00:00:00"/>
    <x v="914"/>
    <x v="1"/>
    <s v="J-3068/25-26"/>
    <n v="3346"/>
    <m/>
  </r>
  <r>
    <d v="2025-10-09T00:00:00"/>
    <x v="163"/>
    <x v="1"/>
    <s v="J-3069/25-26"/>
    <n v="35320"/>
    <m/>
  </r>
  <r>
    <d v="2025-10-09T00:00:00"/>
    <x v="3"/>
    <x v="1"/>
    <s v="J-3070/25-26"/>
    <n v="14878"/>
    <m/>
  </r>
  <r>
    <d v="2025-10-09T00:00:00"/>
    <x v="91"/>
    <x v="1"/>
    <s v="J-3071/25-26"/>
    <n v="2802"/>
    <m/>
  </r>
  <r>
    <d v="2025-10-09T00:00:00"/>
    <x v="20"/>
    <x v="1"/>
    <s v="J-3072/25-26"/>
    <n v="11326"/>
    <m/>
  </r>
  <r>
    <d v="2025-10-09T00:00:00"/>
    <x v="245"/>
    <x v="1"/>
    <s v="J-3073/25-26"/>
    <n v="425"/>
    <m/>
  </r>
  <r>
    <d v="2025-10-09T00:00:00"/>
    <x v="868"/>
    <x v="1"/>
    <s v="J-3074/25-26"/>
    <n v="1700"/>
    <m/>
  </r>
  <r>
    <d v="2025-10-10T00:00:00"/>
    <x v="942"/>
    <x v="1"/>
    <s v="J-3075/25-26"/>
    <n v="3400"/>
    <m/>
  </r>
  <r>
    <d v="2025-10-10T00:00:00"/>
    <x v="370"/>
    <x v="1"/>
    <s v="J-3076/25-26"/>
    <n v="556"/>
    <m/>
  </r>
  <r>
    <d v="2025-10-10T00:00:00"/>
    <x v="586"/>
    <x v="1"/>
    <s v="J-3077/25-26"/>
    <n v="340"/>
    <m/>
  </r>
  <r>
    <d v="2025-10-10T00:00:00"/>
    <x v="34"/>
    <x v="1"/>
    <s v="J-3078/25-26"/>
    <n v="42094"/>
    <m/>
  </r>
  <r>
    <d v="2025-10-10T00:00:00"/>
    <x v="266"/>
    <x v="1"/>
    <s v="J-3079/25-26"/>
    <n v="595"/>
    <m/>
  </r>
  <r>
    <d v="2025-10-10T00:00:00"/>
    <x v="23"/>
    <x v="1"/>
    <s v="J-3080/25-26"/>
    <n v="7820"/>
    <m/>
  </r>
  <r>
    <d v="2025-10-10T00:00:00"/>
    <x v="11"/>
    <x v="1"/>
    <s v="J-3081/25-26"/>
    <n v="340"/>
    <m/>
  </r>
  <r>
    <d v="2025-10-10T00:00:00"/>
    <x v="197"/>
    <x v="1"/>
    <s v="J-3082/25-26"/>
    <n v="680"/>
    <m/>
  </r>
  <r>
    <d v="2025-10-10T00:00:00"/>
    <x v="89"/>
    <x v="1"/>
    <s v="J-3083/25-26"/>
    <n v="1700"/>
    <m/>
  </r>
  <r>
    <d v="2025-10-10T00:00:00"/>
    <x v="943"/>
    <x v="1"/>
    <s v="J-3084/25-26"/>
    <n v="1883"/>
    <m/>
  </r>
  <r>
    <d v="2025-10-10T00:00:00"/>
    <x v="630"/>
    <x v="1"/>
    <s v="J-3085/25-26"/>
    <n v="7000"/>
    <m/>
  </r>
  <r>
    <d v="2025-10-10T00:00:00"/>
    <x v="564"/>
    <x v="1"/>
    <s v="J-3086/25-26"/>
    <n v="3400"/>
    <m/>
  </r>
  <r>
    <d v="2025-10-10T00:00:00"/>
    <x v="117"/>
    <x v="1"/>
    <s v="J-3087/25-26"/>
    <n v="1432"/>
    <m/>
  </r>
  <r>
    <d v="2025-10-10T00:00:00"/>
    <x v="570"/>
    <x v="1"/>
    <s v="J-3088/25-26"/>
    <n v="16784"/>
    <m/>
  </r>
  <r>
    <d v="2025-10-10T00:00:00"/>
    <x v="285"/>
    <x v="1"/>
    <s v="J-3089/25-26"/>
    <n v="1700"/>
    <m/>
  </r>
  <r>
    <d v="2025-10-10T00:00:00"/>
    <x v="944"/>
    <x v="1"/>
    <s v="J-3090/25-26"/>
    <n v="380"/>
    <m/>
  </r>
  <r>
    <d v="2025-10-10T00:00:00"/>
    <x v="940"/>
    <x v="1"/>
    <s v="J-3091/25-26"/>
    <n v="12196"/>
    <m/>
  </r>
  <r>
    <d v="2025-10-10T00:00:00"/>
    <x v="11"/>
    <x v="1"/>
    <s v="J-3092/25-26"/>
    <n v="1"/>
    <m/>
  </r>
  <r>
    <d v="2025-10-10T00:00:00"/>
    <x v="4"/>
    <x v="1"/>
    <s v="J-3093/25-26"/>
    <n v="24655"/>
    <m/>
  </r>
  <r>
    <d v="2025-10-10T00:00:00"/>
    <x v="71"/>
    <x v="1"/>
    <s v="J-3094/25-26"/>
    <n v="530"/>
    <m/>
  </r>
  <r>
    <d v="2025-10-10T00:00:00"/>
    <x v="904"/>
    <x v="1"/>
    <s v="J-3095/25-26"/>
    <n v="340"/>
    <m/>
  </r>
  <r>
    <d v="2025-10-11T00:00:00"/>
    <x v="689"/>
    <x v="0"/>
    <s v="JU-503/25-26"/>
    <n v="8500"/>
    <m/>
  </r>
  <r>
    <d v="2025-10-11T00:00:00"/>
    <x v="32"/>
    <x v="0"/>
    <s v="JU-504/25-26"/>
    <n v="1411"/>
    <m/>
  </r>
  <r>
    <d v="2025-10-11T00:00:00"/>
    <x v="945"/>
    <x v="0"/>
    <s v="JU-505/25-26"/>
    <n v="3400"/>
    <m/>
  </r>
  <r>
    <d v="2025-10-11T00:00:00"/>
    <x v="14"/>
    <x v="0"/>
    <s v="JU-506/25-26"/>
    <n v="1280"/>
    <m/>
  </r>
  <r>
    <d v="2025-10-11T00:00:00"/>
    <x v="868"/>
    <x v="1"/>
    <s v="J-3096/25-26"/>
    <n v="3931"/>
    <m/>
  </r>
  <r>
    <d v="2025-10-11T00:00:00"/>
    <x v="266"/>
    <x v="1"/>
    <s v="J-3097/25-26"/>
    <n v="10950"/>
    <m/>
  </r>
  <r>
    <d v="2025-10-11T00:00:00"/>
    <x v="370"/>
    <x v="1"/>
    <s v="J-3098/25-26"/>
    <n v="263"/>
    <m/>
  </r>
  <r>
    <d v="2025-10-11T00:00:00"/>
    <x v="695"/>
    <x v="1"/>
    <s v="J-3099/25-26"/>
    <n v="8540"/>
    <m/>
  </r>
  <r>
    <d v="2025-10-11T00:00:00"/>
    <x v="47"/>
    <x v="1"/>
    <s v="J-3100/25-26"/>
    <n v="414"/>
    <m/>
  </r>
  <r>
    <d v="2025-10-11T00:00:00"/>
    <x v="10"/>
    <x v="1"/>
    <s v="J-3101/25-26"/>
    <n v="4880"/>
    <m/>
  </r>
  <r>
    <d v="2025-10-11T00:00:00"/>
    <x v="922"/>
    <x v="1"/>
    <s v="J-3102/25-26"/>
    <n v="4177"/>
    <m/>
  </r>
  <r>
    <d v="2025-10-11T00:00:00"/>
    <x v="285"/>
    <x v="1"/>
    <s v="J-3103/25-26"/>
    <n v="1020"/>
    <m/>
  </r>
  <r>
    <d v="2025-10-11T00:00:00"/>
    <x v="91"/>
    <x v="1"/>
    <s v="J-3104/25-26"/>
    <n v="11560"/>
    <m/>
  </r>
  <r>
    <d v="2025-10-11T00:00:00"/>
    <x v="237"/>
    <x v="1"/>
    <s v="J-3105/25-26"/>
    <n v="10200"/>
    <m/>
  </r>
  <r>
    <d v="2025-10-11T00:00:00"/>
    <x v="946"/>
    <x v="1"/>
    <s v="J-3106/25-26"/>
    <n v="863"/>
    <m/>
  </r>
  <r>
    <d v="2025-10-11T00:00:00"/>
    <x v="947"/>
    <x v="1"/>
    <s v="J-3107/25-26"/>
    <n v="340"/>
    <m/>
  </r>
  <r>
    <d v="2025-10-11T00:00:00"/>
    <x v="826"/>
    <x v="1"/>
    <s v="J-3108/25-26"/>
    <n v="4920"/>
    <m/>
  </r>
  <r>
    <d v="2025-10-11T00:00:00"/>
    <x v="923"/>
    <x v="1"/>
    <s v="J-3109/25-26"/>
    <n v="340"/>
    <m/>
  </r>
  <r>
    <d v="2025-10-11T00:00:00"/>
    <x v="948"/>
    <x v="1"/>
    <s v="J-3110/25-26"/>
    <n v="27405"/>
    <m/>
  </r>
  <r>
    <d v="2025-10-11T00:00:00"/>
    <x v="11"/>
    <x v="1"/>
    <s v="J-3111/25-26"/>
    <n v="1428"/>
    <m/>
  </r>
  <r>
    <d v="2025-10-11T00:00:00"/>
    <x v="245"/>
    <x v="1"/>
    <s v="J-3112/25-26"/>
    <n v="4295"/>
    <m/>
  </r>
  <r>
    <d v="2025-10-11T00:00:00"/>
    <x v="949"/>
    <x v="1"/>
    <s v="J-3113/25-26"/>
    <n v="1837"/>
    <m/>
  </r>
  <r>
    <d v="2025-10-11T00:00:00"/>
    <x v="949"/>
    <x v="1"/>
    <s v="J-3114/25-26"/>
    <n v="353"/>
    <m/>
  </r>
  <r>
    <d v="2025-10-11T00:00:00"/>
    <x v="950"/>
    <x v="1"/>
    <s v="J-3115/25-26"/>
    <n v="1980"/>
    <m/>
  </r>
  <r>
    <d v="2025-10-11T00:00:00"/>
    <x v="951"/>
    <x v="1"/>
    <s v="J-3116/25-26"/>
    <n v="1200"/>
    <m/>
  </r>
  <r>
    <d v="2025-10-11T00:00:00"/>
    <x v="370"/>
    <x v="1"/>
    <s v="J-3117/25-26"/>
    <n v="340"/>
    <m/>
  </r>
  <r>
    <d v="2025-10-11T00:00:00"/>
    <x v="4"/>
    <x v="1"/>
    <s v="J-3118/25-26"/>
    <n v="8362"/>
    <m/>
  </r>
  <r>
    <d v="2025-10-11T00:00:00"/>
    <x v="4"/>
    <x v="1"/>
    <s v="J-3119/25-26"/>
    <n v="1700"/>
    <m/>
  </r>
  <r>
    <d v="2025-10-11T00:00:00"/>
    <x v="695"/>
    <x v="1"/>
    <s v="J-3120/25-26"/>
    <n v="1622"/>
    <m/>
  </r>
  <r>
    <d v="2025-10-11T00:00:00"/>
    <x v="717"/>
    <x v="1"/>
    <s v="J-3121/25-26"/>
    <n v="300"/>
    <m/>
  </r>
  <r>
    <d v="2025-10-13T00:00:00"/>
    <x v="305"/>
    <x v="0"/>
    <s v="JU-507/25-26"/>
    <n v="9752"/>
    <m/>
  </r>
  <r>
    <d v="2025-10-13T00:00:00"/>
    <x v="64"/>
    <x v="0"/>
    <s v="JU-508/25-26"/>
    <n v="10334"/>
    <m/>
  </r>
  <r>
    <d v="2025-10-13T00:00:00"/>
    <x v="933"/>
    <x v="0"/>
    <s v="JU-509/25-26"/>
    <n v="27464"/>
    <m/>
  </r>
  <r>
    <d v="2025-10-13T00:00:00"/>
    <x v="290"/>
    <x v="0"/>
    <s v="JU-510/25-26"/>
    <n v="7154"/>
    <m/>
  </r>
  <r>
    <d v="2025-10-13T00:00:00"/>
    <x v="271"/>
    <x v="0"/>
    <s v="JU-511/25-26"/>
    <n v="13114"/>
    <m/>
  </r>
  <r>
    <d v="2025-10-13T00:00:00"/>
    <x v="46"/>
    <x v="1"/>
    <s v="J-3122/25-26"/>
    <n v="1500"/>
    <m/>
  </r>
  <r>
    <d v="2025-10-13T00:00:00"/>
    <x v="11"/>
    <x v="1"/>
    <s v="J-3123/25-26"/>
    <n v="380"/>
    <m/>
  </r>
  <r>
    <d v="2025-10-13T00:00:00"/>
    <x v="695"/>
    <x v="1"/>
    <s v="J-3124/25-26"/>
    <n v="15892"/>
    <m/>
  </r>
  <r>
    <d v="2025-10-13T00:00:00"/>
    <x v="3"/>
    <x v="1"/>
    <s v="J-3125/25-26"/>
    <n v="1270"/>
    <m/>
  </r>
  <r>
    <d v="2025-10-13T00:00:00"/>
    <x v="904"/>
    <x v="1"/>
    <s v="J-3126/25-26"/>
    <n v="50"/>
    <m/>
  </r>
  <r>
    <d v="2025-10-13T00:00:00"/>
    <x v="259"/>
    <x v="1"/>
    <s v="J-3127/25-26"/>
    <n v="2070"/>
    <m/>
  </r>
  <r>
    <d v="2025-10-13T00:00:00"/>
    <x v="96"/>
    <x v="1"/>
    <s v="J-3128/25-26"/>
    <n v="80112"/>
    <m/>
  </r>
  <r>
    <d v="2025-10-13T00:00:00"/>
    <x v="8"/>
    <x v="1"/>
    <s v="J-3129/25-26"/>
    <n v="570"/>
    <m/>
  </r>
  <r>
    <d v="2025-10-13T00:00:00"/>
    <x v="3"/>
    <x v="1"/>
    <s v="J-3130/25-26"/>
    <n v="855"/>
    <m/>
  </r>
  <r>
    <d v="2025-10-13T00:00:00"/>
    <x v="47"/>
    <x v="1"/>
    <s v="J-3131/25-26"/>
    <n v="26979"/>
    <m/>
  </r>
  <r>
    <d v="2025-10-13T00:00:00"/>
    <x v="952"/>
    <x v="1"/>
    <s v="J-3132/25-26"/>
    <n v="27162"/>
    <m/>
  </r>
  <r>
    <d v="2025-10-13T00:00:00"/>
    <x v="241"/>
    <x v="1"/>
    <s v="J-3133/25-26"/>
    <n v="2380"/>
    <m/>
  </r>
  <r>
    <d v="2025-10-13T00:00:00"/>
    <x v="541"/>
    <x v="1"/>
    <s v="J-3134/25-26"/>
    <n v="23849"/>
    <m/>
  </r>
  <r>
    <d v="2025-10-13T00:00:00"/>
    <x v="248"/>
    <x v="1"/>
    <s v="J-3135/25-26"/>
    <n v="6185"/>
    <m/>
  </r>
  <r>
    <d v="2025-10-13T00:00:00"/>
    <x v="89"/>
    <x v="1"/>
    <s v="J-3136/25-26"/>
    <n v="1360"/>
    <m/>
  </r>
  <r>
    <d v="2025-10-13T00:00:00"/>
    <x v="20"/>
    <x v="1"/>
    <s v="J-3137/25-26"/>
    <n v="13110"/>
    <m/>
  </r>
  <r>
    <d v="2025-10-13T00:00:00"/>
    <x v="45"/>
    <x v="1"/>
    <s v="J-3138/25-26"/>
    <n v="2565"/>
    <m/>
  </r>
  <r>
    <d v="2025-10-13T00:00:00"/>
    <x v="904"/>
    <x v="1"/>
    <s v="J-3139/25-26"/>
    <n v="2990"/>
    <m/>
  </r>
  <r>
    <d v="2025-10-14T00:00:00"/>
    <x v="306"/>
    <x v="0"/>
    <s v="JU-512/25-26"/>
    <n v="20112"/>
    <m/>
  </r>
  <r>
    <d v="2025-10-14T00:00:00"/>
    <x v="23"/>
    <x v="1"/>
    <s v="J-3140/25-26"/>
    <n v="16450"/>
    <m/>
  </r>
  <r>
    <d v="2025-10-14T00:00:00"/>
    <x v="47"/>
    <x v="1"/>
    <s v="J-3141/25-26"/>
    <n v="12270"/>
    <m/>
  </r>
  <r>
    <d v="2025-10-14T00:00:00"/>
    <x v="948"/>
    <x v="1"/>
    <s v="J-3142/25-26"/>
    <n v="2645"/>
    <m/>
  </r>
  <r>
    <d v="2025-10-14T00:00:00"/>
    <x v="34"/>
    <x v="1"/>
    <s v="J-3143/25-26"/>
    <n v="120"/>
    <m/>
  </r>
  <r>
    <d v="2025-10-14T00:00:00"/>
    <x v="4"/>
    <x v="1"/>
    <s v="J-3144/25-26"/>
    <n v="5747"/>
    <m/>
  </r>
  <r>
    <d v="2025-10-14T00:00:00"/>
    <x v="23"/>
    <x v="1"/>
    <s v="J-3145/25-26"/>
    <n v="12699"/>
    <m/>
  </r>
  <r>
    <d v="2025-10-14T00:00:00"/>
    <x v="927"/>
    <x v="1"/>
    <s v="J-3146/25-26"/>
    <n v="1136"/>
    <m/>
  </r>
  <r>
    <d v="2025-10-14T00:00:00"/>
    <x v="502"/>
    <x v="1"/>
    <s v="J-3147/25-26"/>
    <n v="11634"/>
    <m/>
  </r>
  <r>
    <d v="2025-10-14T00:00:00"/>
    <x v="953"/>
    <x v="1"/>
    <s v="J-3148/25-26"/>
    <n v="20380"/>
    <m/>
  </r>
  <r>
    <d v="2025-10-15T00:00:00"/>
    <x v="211"/>
    <x v="1"/>
    <s v="J-3149/25-26"/>
    <n v="3400"/>
    <m/>
  </r>
  <r>
    <d v="2025-10-15T00:00:00"/>
    <x v="79"/>
    <x v="1"/>
    <s v="J-3150/25-26"/>
    <n v="14501"/>
    <m/>
  </r>
  <r>
    <d v="2025-10-15T00:00:00"/>
    <x v="23"/>
    <x v="1"/>
    <s v="J-3151/25-26"/>
    <n v="1020"/>
    <m/>
  </r>
  <r>
    <d v="2025-10-15T00:00:00"/>
    <x v="954"/>
    <x v="1"/>
    <s v="J-3152/25-26"/>
    <n v="1021"/>
    <m/>
  </r>
  <r>
    <d v="2025-10-15T00:00:00"/>
    <x v="248"/>
    <x v="1"/>
    <s v="J-3153/25-26"/>
    <n v="12060"/>
    <m/>
  </r>
  <r>
    <d v="2025-10-15T00:00:00"/>
    <x v="4"/>
    <x v="1"/>
    <s v="J-3154/25-26"/>
    <n v="14760"/>
    <m/>
  </r>
  <r>
    <d v="2025-10-15T00:00:00"/>
    <x v="737"/>
    <x v="1"/>
    <s v="J-3155/25-26"/>
    <n v="8500"/>
    <m/>
  </r>
  <r>
    <d v="2025-10-15T00:00:00"/>
    <x v="20"/>
    <x v="1"/>
    <s v="J-3156/25-26"/>
    <n v="863"/>
    <m/>
  </r>
  <r>
    <d v="2025-10-15T00:00:00"/>
    <x v="955"/>
    <x v="1"/>
    <s v="J-3157/25-26"/>
    <n v="760"/>
    <m/>
  </r>
  <r>
    <d v="2025-10-15T00:00:00"/>
    <x v="237"/>
    <x v="1"/>
    <s v="J-3158/25-26"/>
    <n v="2911"/>
    <m/>
  </r>
  <r>
    <d v="2025-10-15T00:00:00"/>
    <x v="956"/>
    <x v="1"/>
    <s v="J-3159/25-26"/>
    <n v="3041"/>
    <m/>
  </r>
  <r>
    <d v="2025-10-15T00:00:00"/>
    <x v="4"/>
    <x v="1"/>
    <s v="J-3160/25-26"/>
    <n v="1320"/>
    <m/>
  </r>
  <r>
    <d v="2025-10-15T00:00:00"/>
    <x v="957"/>
    <x v="1"/>
    <s v="J-3161/25-26"/>
    <n v="5950"/>
    <m/>
  </r>
  <r>
    <d v="2025-10-15T00:00:00"/>
    <x v="630"/>
    <x v="1"/>
    <s v="J-3162/25-26"/>
    <n v="6404"/>
    <m/>
  </r>
  <r>
    <d v="2025-10-15T00:00:00"/>
    <x v="199"/>
    <x v="1"/>
    <s v="J-3163/25-26"/>
    <n v="1020"/>
    <m/>
  </r>
  <r>
    <d v="2025-10-15T00:00:00"/>
    <x v="858"/>
    <x v="1"/>
    <s v="J-3164/25-26"/>
    <n v="26645"/>
    <m/>
  </r>
  <r>
    <d v="2025-10-15T00:00:00"/>
    <x v="904"/>
    <x v="1"/>
    <s v="J-3165/25-26"/>
    <n v="332"/>
    <m/>
  </r>
  <r>
    <d v="2025-10-15T00:00:00"/>
    <x v="927"/>
    <x v="1"/>
    <s v="J-3166/25-26"/>
    <n v="500"/>
    <m/>
  </r>
  <r>
    <d v="2025-10-15T00:00:00"/>
    <x v="115"/>
    <x v="1"/>
    <s v="J-3167/25-26"/>
    <n v="12238"/>
    <m/>
  </r>
  <r>
    <d v="2025-10-15T00:00:00"/>
    <x v="237"/>
    <x v="1"/>
    <s v="J-3168/25-26"/>
    <n v="8500"/>
    <m/>
  </r>
  <r>
    <d v="2025-10-15T00:00:00"/>
    <x v="89"/>
    <x v="1"/>
    <s v="J-3169/25-26"/>
    <n v="1020"/>
    <m/>
  </r>
  <r>
    <d v="2025-10-16T00:00:00"/>
    <x v="305"/>
    <x v="0"/>
    <s v="JU-513/25-26"/>
    <n v="3920"/>
    <m/>
  </r>
  <r>
    <d v="2025-10-16T00:00:00"/>
    <x v="571"/>
    <x v="0"/>
    <s v="JU-514/25-26"/>
    <n v="2052"/>
    <m/>
  </r>
  <r>
    <d v="2025-10-16T00:00:00"/>
    <x v="698"/>
    <x v="0"/>
    <s v="JU-515/25-26"/>
    <n v="32236"/>
    <m/>
  </r>
  <r>
    <d v="2025-10-16T00:00:00"/>
    <x v="958"/>
    <x v="0"/>
    <s v="JU-516/25-26"/>
    <n v="14162"/>
    <m/>
  </r>
  <r>
    <d v="2025-10-16T00:00:00"/>
    <x v="290"/>
    <x v="0"/>
    <s v="JU-517/25-26"/>
    <n v="7000"/>
    <m/>
  </r>
  <r>
    <d v="2025-10-16T00:00:00"/>
    <x v="571"/>
    <x v="0"/>
    <s v="JU-518/25-26"/>
    <n v="1867"/>
    <m/>
  </r>
  <r>
    <d v="2025-10-16T00:00:00"/>
    <x v="77"/>
    <x v="0"/>
    <s v="JU-519/25-26"/>
    <n v="4020"/>
    <m/>
  </r>
  <r>
    <d v="2025-10-16T00:00:00"/>
    <x v="47"/>
    <x v="1"/>
    <s v="J-3170/25-26"/>
    <n v="29370"/>
    <m/>
  </r>
  <r>
    <d v="2025-10-16T00:00:00"/>
    <x v="313"/>
    <x v="1"/>
    <s v="J-3171/25-26"/>
    <n v="3710"/>
    <m/>
  </r>
  <r>
    <d v="2025-10-16T00:00:00"/>
    <x v="3"/>
    <x v="1"/>
    <s v="J-3172/25-26"/>
    <n v="6800"/>
    <m/>
  </r>
  <r>
    <d v="2025-10-16T00:00:00"/>
    <x v="19"/>
    <x v="1"/>
    <s v="J-3173/25-26"/>
    <n v="50"/>
    <m/>
  </r>
  <r>
    <d v="2025-10-16T00:00:00"/>
    <x v="245"/>
    <x v="1"/>
    <s v="J-3174/25-26"/>
    <n v="457"/>
    <m/>
  </r>
  <r>
    <d v="2025-10-16T00:00:00"/>
    <x v="266"/>
    <x v="1"/>
    <s v="J-3175/25-26"/>
    <n v="2380"/>
    <m/>
  </r>
  <r>
    <d v="2025-10-16T00:00:00"/>
    <x v="20"/>
    <x v="1"/>
    <s v="J-3176/25-26"/>
    <n v="2607"/>
    <m/>
  </r>
  <r>
    <d v="2025-10-16T00:00:00"/>
    <x v="20"/>
    <x v="1"/>
    <s v="J-3177/25-26"/>
    <n v="3243"/>
    <m/>
  </r>
  <r>
    <d v="2025-10-16T00:00:00"/>
    <x v="948"/>
    <x v="1"/>
    <s v="J-3178/25-26"/>
    <n v="2490"/>
    <m/>
  </r>
  <r>
    <d v="2025-10-16T00:00:00"/>
    <x v="548"/>
    <x v="1"/>
    <s v="J-3179/25-26"/>
    <n v="5100"/>
    <m/>
  </r>
  <r>
    <d v="2025-10-16T00:00:00"/>
    <x v="163"/>
    <x v="1"/>
    <s v="J-3180/25-26"/>
    <n v="38410"/>
    <m/>
  </r>
  <r>
    <d v="2025-10-16T00:00:00"/>
    <x v="28"/>
    <x v="1"/>
    <s v="J-3181/25-26"/>
    <n v="3300"/>
    <m/>
  </r>
  <r>
    <d v="2025-10-16T00:00:00"/>
    <x v="173"/>
    <x v="1"/>
    <s v="J-3182/25-26"/>
    <n v="1585"/>
    <m/>
  </r>
  <r>
    <d v="2025-10-16T00:00:00"/>
    <x v="959"/>
    <x v="1"/>
    <s v="J-3183/25-26"/>
    <n v="1254"/>
    <m/>
  </r>
  <r>
    <d v="2025-10-16T00:00:00"/>
    <x v="184"/>
    <x v="1"/>
    <s v="J-3184/25-26"/>
    <n v="8737"/>
    <m/>
  </r>
  <r>
    <d v="2025-10-16T00:00:00"/>
    <x v="89"/>
    <x v="1"/>
    <s v="J-3185/25-26"/>
    <n v="340"/>
    <m/>
  </r>
  <r>
    <d v="2025-10-16T00:00:00"/>
    <x v="245"/>
    <x v="1"/>
    <s v="J-3186/25-26"/>
    <n v="4215"/>
    <m/>
  </r>
  <r>
    <d v="2025-10-16T00:00:00"/>
    <x v="11"/>
    <x v="1"/>
    <s v="J-3187/25-26"/>
    <n v="340"/>
    <m/>
  </r>
  <r>
    <d v="2025-10-16T00:00:00"/>
    <x v="957"/>
    <x v="1"/>
    <s v="J-3188/25-26"/>
    <n v="5100"/>
    <m/>
  </r>
  <r>
    <d v="2025-10-16T00:00:00"/>
    <x v="864"/>
    <x v="1"/>
    <s v="J-3189/25-26"/>
    <n v="9236"/>
    <m/>
  </r>
  <r>
    <d v="2025-10-16T00:00:00"/>
    <x v="960"/>
    <x v="1"/>
    <s v="J-3190/25-26"/>
    <n v="27900"/>
    <m/>
  </r>
  <r>
    <d v="2025-10-16T00:00:00"/>
    <x v="897"/>
    <x v="1"/>
    <s v="J-3191/25-26"/>
    <n v="282"/>
    <m/>
  </r>
  <r>
    <d v="2025-10-16T00:00:00"/>
    <x v="47"/>
    <x v="1"/>
    <s v="J-3192/25-26"/>
    <n v="855"/>
    <m/>
  </r>
  <r>
    <d v="2025-10-17T00:00:00"/>
    <x v="305"/>
    <x v="0"/>
    <s v="JU-520/25-26"/>
    <n v="51677"/>
    <m/>
  </r>
  <r>
    <d v="2025-10-17T00:00:00"/>
    <x v="14"/>
    <x v="0"/>
    <s v="JU-521/25-26"/>
    <n v="1256"/>
    <m/>
  </r>
  <r>
    <d v="2025-10-17T00:00:00"/>
    <x v="77"/>
    <x v="0"/>
    <s v="JU-522/25-26"/>
    <n v="1341"/>
    <m/>
  </r>
  <r>
    <d v="2025-10-17T00:00:00"/>
    <x v="32"/>
    <x v="0"/>
    <s v="JU-523/25-26"/>
    <n v="20790"/>
    <m/>
  </r>
  <r>
    <d v="2025-10-17T00:00:00"/>
    <x v="850"/>
    <x v="1"/>
    <s v="J-3193/25-26"/>
    <n v="36731"/>
    <m/>
  </r>
  <r>
    <d v="2025-10-17T00:00:00"/>
    <x v="630"/>
    <x v="1"/>
    <s v="J-3194/25-26"/>
    <n v="8500"/>
    <m/>
  </r>
  <r>
    <d v="2025-10-17T00:00:00"/>
    <x v="88"/>
    <x v="1"/>
    <s v="J-3195/25-26"/>
    <n v="2455"/>
    <m/>
  </r>
  <r>
    <d v="2025-10-17T00:00:00"/>
    <x v="20"/>
    <x v="1"/>
    <s v="J-3196/25-26"/>
    <n v="25"/>
    <m/>
  </r>
  <r>
    <d v="2025-10-17T00:00:00"/>
    <x v="957"/>
    <x v="1"/>
    <s v="J-3197/25-26"/>
    <n v="1805"/>
    <m/>
  </r>
  <r>
    <d v="2025-10-17T00:00:00"/>
    <x v="173"/>
    <x v="1"/>
    <s v="J-3198/25-26"/>
    <n v="128"/>
    <m/>
  </r>
  <r>
    <d v="2025-10-17T00:00:00"/>
    <x v="795"/>
    <x v="1"/>
    <s v="J-3199/25-26"/>
    <n v="4814"/>
    <m/>
  </r>
  <r>
    <d v="2025-10-17T00:00:00"/>
    <x v="89"/>
    <x v="1"/>
    <s v="J-3200/25-26"/>
    <n v="340"/>
    <m/>
  </r>
  <r>
    <d v="2025-10-17T00:00:00"/>
    <x v="541"/>
    <x v="1"/>
    <s v="J-3201/25-26"/>
    <n v="2307"/>
    <m/>
  </r>
  <r>
    <d v="2025-10-17T00:00:00"/>
    <x v="115"/>
    <x v="1"/>
    <s v="J-3202/25-26"/>
    <n v="1693"/>
    <m/>
  </r>
  <r>
    <d v="2025-10-17T00:00:00"/>
    <x v="297"/>
    <x v="1"/>
    <s v="J-3203/25-26"/>
    <n v="340"/>
    <m/>
  </r>
  <r>
    <d v="2025-10-17T00:00:00"/>
    <x v="642"/>
    <x v="1"/>
    <s v="J-3204/25-26"/>
    <n v="46607"/>
    <m/>
  </r>
  <r>
    <d v="2025-10-17T00:00:00"/>
    <x v="961"/>
    <x v="1"/>
    <s v="J-3205/25-26"/>
    <n v="1800"/>
    <m/>
  </r>
  <r>
    <d v="2025-10-17T00:00:00"/>
    <x v="245"/>
    <x v="1"/>
    <s v="J-3206/25-26"/>
    <n v="738"/>
    <m/>
  </r>
  <r>
    <d v="2025-10-17T00:00:00"/>
    <x v="957"/>
    <x v="1"/>
    <s v="J-3207/25-26"/>
    <n v="680"/>
    <m/>
  </r>
  <r>
    <d v="2025-10-18T00:00:00"/>
    <x v="271"/>
    <x v="0"/>
    <s v="JU-524/25-26"/>
    <n v="1063"/>
    <m/>
  </r>
  <r>
    <d v="2025-10-18T00:00:00"/>
    <x v="306"/>
    <x v="0"/>
    <s v="JU-525/25-26"/>
    <n v="7210"/>
    <m/>
  </r>
  <r>
    <d v="2025-10-18T00:00:00"/>
    <x v="23"/>
    <x v="1"/>
    <s v="J-3208/25-26"/>
    <n v="3400"/>
    <m/>
  </r>
  <r>
    <d v="2025-10-18T00:00:00"/>
    <x v="645"/>
    <x v="1"/>
    <s v="J-3209/25-26"/>
    <n v="100"/>
    <m/>
  </r>
  <r>
    <d v="2025-10-18T00:00:00"/>
    <x v="266"/>
    <x v="1"/>
    <s v="J-3210/25-26"/>
    <n v="1700"/>
    <m/>
  </r>
  <r>
    <d v="2025-10-18T00:00:00"/>
    <x v="118"/>
    <x v="1"/>
    <s v="J-3211/25-26"/>
    <n v="389"/>
    <m/>
  </r>
  <r>
    <d v="2025-10-18T00:00:00"/>
    <x v="163"/>
    <x v="1"/>
    <s v="J-3212/25-26"/>
    <n v="24332"/>
    <m/>
  </r>
  <r>
    <d v="2025-10-18T00:00:00"/>
    <x v="245"/>
    <x v="1"/>
    <s v="J-3213/25-26"/>
    <n v="14400"/>
    <m/>
  </r>
  <r>
    <d v="2025-10-18T00:00:00"/>
    <x v="173"/>
    <x v="1"/>
    <s v="J-3214/25-26"/>
    <n v="210"/>
    <m/>
  </r>
  <r>
    <d v="2025-10-18T00:00:00"/>
    <x v="88"/>
    <x v="1"/>
    <s v="J-3215/25-26"/>
    <n v="15858"/>
    <m/>
  </r>
  <r>
    <d v="2025-10-18T00:00:00"/>
    <x v="962"/>
    <x v="1"/>
    <s v="J-3216/25-26"/>
    <n v="1000"/>
    <m/>
  </r>
  <r>
    <d v="2025-10-18T00:00:00"/>
    <x v="630"/>
    <x v="1"/>
    <s v="J-3217/25-26"/>
    <n v="2923"/>
    <m/>
  </r>
  <r>
    <d v="2025-10-18T00:00:00"/>
    <x v="799"/>
    <x v="1"/>
    <s v="J-3218/25-26"/>
    <n v="792"/>
    <m/>
  </r>
  <r>
    <d v="2025-10-18T00:00:00"/>
    <x v="963"/>
    <x v="1"/>
    <s v="J-3219/25-26"/>
    <n v="8380"/>
    <m/>
  </r>
  <r>
    <d v="2025-10-18T00:00:00"/>
    <x v="963"/>
    <x v="1"/>
    <s v="J-3220/25-26"/>
    <n v="1352"/>
    <m/>
  </r>
  <r>
    <d v="2025-10-18T00:00:00"/>
    <x v="957"/>
    <x v="1"/>
    <s v="J-3221/25-26"/>
    <n v="1020"/>
    <m/>
  </r>
  <r>
    <d v="2025-10-18T00:00:00"/>
    <x v="115"/>
    <x v="1"/>
    <s v="J-3222/25-26"/>
    <n v="475"/>
    <m/>
  </r>
  <r>
    <d v="2025-10-18T00:00:00"/>
    <x v="173"/>
    <x v="1"/>
    <s v="J-3223/25-26"/>
    <n v="275"/>
    <m/>
  </r>
  <r>
    <d v="2025-10-18T00:00:00"/>
    <x v="4"/>
    <x v="1"/>
    <s v="J-3224/25-26"/>
    <n v="27845"/>
    <m/>
  </r>
  <r>
    <d v="2025-10-18T00:00:00"/>
    <x v="79"/>
    <x v="1"/>
    <s v="J-3225/25-26"/>
    <n v="1700"/>
    <m/>
  </r>
  <r>
    <d v="2025-10-18T00:00:00"/>
    <x v="862"/>
    <x v="1"/>
    <s v="J-3226/25-26"/>
    <n v="902"/>
    <m/>
  </r>
  <r>
    <d v="2025-10-18T00:00:00"/>
    <x v="46"/>
    <x v="1"/>
    <s v="J-3227/25-26"/>
    <n v="1700"/>
    <m/>
  </r>
  <r>
    <d v="2025-10-18T00:00:00"/>
    <x v="964"/>
    <x v="1"/>
    <s v="J-3228/25-26"/>
    <n v="1465"/>
    <m/>
  </r>
  <r>
    <d v="2025-10-18T00:00:00"/>
    <x v="965"/>
    <x v="1"/>
    <s v="J-3229/25-26"/>
    <n v="802"/>
    <m/>
  </r>
  <r>
    <d v="2025-10-20T00:00:00"/>
    <x v="305"/>
    <x v="0"/>
    <s v="JU-526/25-26"/>
    <n v="15313"/>
    <m/>
  </r>
  <r>
    <d v="2025-10-20T00:00:00"/>
    <x v="306"/>
    <x v="0"/>
    <s v="JU-527/25-26"/>
    <n v="8295"/>
    <m/>
  </r>
  <r>
    <d v="2025-10-20T00:00:00"/>
    <x v="706"/>
    <x v="1"/>
    <s v="J-3230/25-26"/>
    <n v="8500"/>
    <m/>
  </r>
  <r>
    <d v="2025-10-20T00:00:00"/>
    <x v="89"/>
    <x v="1"/>
    <s v="J-3231/25-26"/>
    <n v="5330"/>
    <m/>
  </r>
  <r>
    <d v="2025-10-20T00:00:00"/>
    <x v="170"/>
    <x v="1"/>
    <s v="J-3232/25-26"/>
    <n v="2795"/>
    <m/>
  </r>
  <r>
    <d v="2025-10-20T00:00:00"/>
    <x v="966"/>
    <x v="1"/>
    <s v="J-3233/25-26"/>
    <n v="18740"/>
    <m/>
  </r>
  <r>
    <d v="2025-10-20T00:00:00"/>
    <x v="630"/>
    <x v="1"/>
    <s v="J-3234/25-26"/>
    <n v="6800"/>
    <m/>
  </r>
  <r>
    <d v="2025-10-20T00:00:00"/>
    <x v="297"/>
    <x v="1"/>
    <s v="J-3235/25-26"/>
    <n v="5308"/>
    <m/>
  </r>
  <r>
    <d v="2025-10-20T00:00:00"/>
    <x v="876"/>
    <x v="1"/>
    <s v="J-3236/25-26"/>
    <n v="340"/>
    <m/>
  </r>
  <r>
    <d v="2025-10-20T00:00:00"/>
    <x v="596"/>
    <x v="1"/>
    <s v="J-3237/25-26"/>
    <n v="3675"/>
    <m/>
  </r>
  <r>
    <d v="2025-10-20T00:00:00"/>
    <x v="967"/>
    <x v="1"/>
    <s v="J-3238/25-26"/>
    <n v="22682"/>
    <m/>
  </r>
  <r>
    <d v="2025-10-20T00:00:00"/>
    <x v="683"/>
    <x v="1"/>
    <s v="J-3239/25-26"/>
    <n v="16084"/>
    <m/>
  </r>
  <r>
    <d v="2025-10-20T00:00:00"/>
    <x v="610"/>
    <x v="1"/>
    <s v="J-3240/25-26"/>
    <n v="30"/>
    <m/>
  </r>
  <r>
    <d v="2025-10-20T00:00:00"/>
    <x v="79"/>
    <x v="1"/>
    <s v="J-3241/25-26"/>
    <n v="1600"/>
    <m/>
  </r>
  <r>
    <d v="2025-10-20T00:00:00"/>
    <x v="961"/>
    <x v="1"/>
    <s v="J-3242/25-26"/>
    <n v="4105"/>
    <m/>
  </r>
  <r>
    <d v="2025-10-20T00:00:00"/>
    <x v="868"/>
    <x v="1"/>
    <s v="J-3243/25-26"/>
    <n v="1700"/>
    <m/>
  </r>
  <r>
    <d v="2025-10-21T00:00:00"/>
    <x v="392"/>
    <x v="0"/>
    <s v="JU-528/25-26"/>
    <n v="10001"/>
    <m/>
  </r>
  <r>
    <d v="2025-10-21T00:00:00"/>
    <x v="64"/>
    <x v="0"/>
    <s v="JU-529/25-26"/>
    <n v="72220"/>
    <m/>
  </r>
  <r>
    <d v="2025-10-21T00:00:00"/>
    <x v="689"/>
    <x v="0"/>
    <s v="JU-530/25-26"/>
    <n v="207892"/>
    <m/>
  </r>
  <r>
    <d v="2025-10-21T00:00:00"/>
    <x v="20"/>
    <x v="1"/>
    <s v="J-3244/25-26"/>
    <n v="840"/>
    <m/>
  </r>
  <r>
    <d v="2025-10-21T00:00:00"/>
    <x v="868"/>
    <x v="1"/>
    <s v="J-3245/25-26"/>
    <n v="31536"/>
    <m/>
  </r>
  <r>
    <d v="2025-10-21T00:00:00"/>
    <x v="291"/>
    <x v="1"/>
    <s v="J-3246/25-26"/>
    <n v="4520"/>
    <m/>
  </r>
  <r>
    <d v="2025-10-21T00:00:00"/>
    <x v="89"/>
    <x v="1"/>
    <s v="J-3247/25-26"/>
    <n v="1314"/>
    <m/>
  </r>
  <r>
    <d v="2025-10-21T00:00:00"/>
    <x v="737"/>
    <x v="1"/>
    <s v="J-3248/25-26"/>
    <n v="23474"/>
    <m/>
  </r>
  <r>
    <d v="2025-10-21T00:00:00"/>
    <x v="968"/>
    <x v="1"/>
    <s v="J-3249/25-26"/>
    <n v="3060"/>
    <m/>
  </r>
  <r>
    <d v="2025-10-21T00:00:00"/>
    <x v="173"/>
    <x v="1"/>
    <s v="J-3250/25-26"/>
    <n v="68"/>
    <m/>
  </r>
  <r>
    <d v="2025-10-21T00:00:00"/>
    <x v="88"/>
    <x v="1"/>
    <s v="J-3251/25-26"/>
    <n v="380"/>
    <m/>
  </r>
  <r>
    <d v="2025-10-21T00:00:00"/>
    <x v="969"/>
    <x v="1"/>
    <s v="J-3252/25-26"/>
    <n v="5290"/>
    <m/>
  </r>
  <r>
    <d v="2025-10-21T00:00:00"/>
    <x v="899"/>
    <x v="1"/>
    <s v="J-3253/25-26"/>
    <n v="1482"/>
    <m/>
  </r>
  <r>
    <d v="2025-10-21T00:00:00"/>
    <x v="237"/>
    <x v="1"/>
    <s v="J-3254/25-26"/>
    <n v="5930"/>
    <m/>
  </r>
  <r>
    <d v="2025-10-21T00:00:00"/>
    <x v="970"/>
    <x v="1"/>
    <s v="J-3255/25-26"/>
    <n v="7684"/>
    <m/>
  </r>
  <r>
    <d v="2025-10-21T00:00:00"/>
    <x v="928"/>
    <x v="1"/>
    <s v="J-3256/25-26"/>
    <n v="6800"/>
    <m/>
  </r>
  <r>
    <d v="2025-10-21T00:00:00"/>
    <x v="20"/>
    <x v="1"/>
    <s v="J-3257/25-26"/>
    <n v="1406"/>
    <m/>
  </r>
  <r>
    <d v="2025-10-21T00:00:00"/>
    <x v="266"/>
    <x v="1"/>
    <s v="J-3258/25-26"/>
    <n v="72161"/>
    <m/>
  </r>
  <r>
    <d v="2025-10-21T00:00:00"/>
    <x v="971"/>
    <x v="1"/>
    <s v="J-3259/25-26"/>
    <n v="3851"/>
    <m/>
  </r>
  <r>
    <d v="2025-10-22T00:00:00"/>
    <x v="271"/>
    <x v="0"/>
    <s v="JU-531/25-26"/>
    <n v="1139"/>
    <m/>
  </r>
  <r>
    <d v="2025-10-22T00:00:00"/>
    <x v="698"/>
    <x v="0"/>
    <s v="JU-532/25-26"/>
    <n v="11785"/>
    <m/>
  </r>
  <r>
    <d v="2025-10-22T00:00:00"/>
    <x v="972"/>
    <x v="1"/>
    <s v="J-3260/25-26"/>
    <n v="185"/>
    <m/>
  </r>
  <r>
    <d v="2025-10-22T00:00:00"/>
    <x v="973"/>
    <x v="1"/>
    <s v="J-3261/25-26"/>
    <n v="750"/>
    <m/>
  </r>
  <r>
    <d v="2025-10-22T00:00:00"/>
    <x v="266"/>
    <x v="1"/>
    <s v="J-3262/25-26"/>
    <n v="465"/>
    <m/>
  </r>
  <r>
    <d v="2025-10-22T00:00:00"/>
    <x v="409"/>
    <x v="1"/>
    <s v="J-3263/25-26"/>
    <n v="85"/>
    <m/>
  </r>
  <r>
    <d v="2025-10-22T00:00:00"/>
    <x v="938"/>
    <x v="1"/>
    <s v="J-3264/25-26"/>
    <n v="702"/>
    <m/>
  </r>
  <r>
    <d v="2025-10-22T00:00:00"/>
    <x v="19"/>
    <x v="1"/>
    <s v="J-3265/25-26"/>
    <n v="340"/>
    <m/>
  </r>
  <r>
    <d v="2025-10-22T00:00:00"/>
    <x v="9"/>
    <x v="1"/>
    <s v="J-3266/25-26"/>
    <n v="650"/>
    <m/>
  </r>
  <r>
    <d v="2025-10-22T00:00:00"/>
    <x v="974"/>
    <x v="1"/>
    <s v="J-3267/25-26"/>
    <n v="340"/>
    <m/>
  </r>
  <r>
    <d v="2025-10-22T00:00:00"/>
    <x v="692"/>
    <x v="1"/>
    <s v="J-3268/25-26"/>
    <n v="1210"/>
    <m/>
  </r>
  <r>
    <d v="2025-10-22T00:00:00"/>
    <x v="975"/>
    <x v="1"/>
    <s v="J-3269/25-26"/>
    <n v="360"/>
    <m/>
  </r>
  <r>
    <d v="2025-10-22T00:00:00"/>
    <x v="8"/>
    <x v="1"/>
    <s v="J-3270/25-26"/>
    <n v="853"/>
    <m/>
  </r>
  <r>
    <d v="2025-10-22T00:00:00"/>
    <x v="324"/>
    <x v="1"/>
    <s v="J-3271/25-26"/>
    <n v="47092"/>
    <m/>
  </r>
  <r>
    <d v="2025-10-22T00:00:00"/>
    <x v="173"/>
    <x v="1"/>
    <s v="J-3272/25-26"/>
    <n v="11564"/>
    <m/>
  </r>
  <r>
    <d v="2025-10-22T00:00:00"/>
    <x v="71"/>
    <x v="1"/>
    <s v="J-3273/25-26"/>
    <n v="680"/>
    <m/>
  </r>
  <r>
    <d v="2025-10-22T00:00:00"/>
    <x v="927"/>
    <x v="1"/>
    <s v="J-3274/25-26"/>
    <n v="445"/>
    <m/>
  </r>
  <r>
    <d v="2025-10-22T00:00:00"/>
    <x v="976"/>
    <x v="1"/>
    <s v="J-3275/25-26"/>
    <n v="745"/>
    <m/>
  </r>
  <r>
    <d v="2025-10-22T00:00:00"/>
    <x v="632"/>
    <x v="1"/>
    <s v="J-3276/25-26"/>
    <n v="1020"/>
    <m/>
  </r>
  <r>
    <d v="2025-10-23T00:00:00"/>
    <x v="722"/>
    <x v="0"/>
    <s v="JU-533/25-26"/>
    <n v="8503"/>
    <m/>
  </r>
  <r>
    <d v="2025-10-23T00:00:00"/>
    <x v="977"/>
    <x v="0"/>
    <s v="JU-534/25-26"/>
    <n v="2060"/>
    <m/>
  </r>
  <r>
    <d v="2025-10-23T00:00:00"/>
    <x v="20"/>
    <x v="1"/>
    <s v="J-3277/25-26"/>
    <n v="4320"/>
    <m/>
  </r>
  <r>
    <d v="2025-10-23T00:00:00"/>
    <x v="868"/>
    <x v="1"/>
    <s v="J-3278/25-26"/>
    <n v="18138"/>
    <m/>
  </r>
  <r>
    <d v="2025-10-23T00:00:00"/>
    <x v="104"/>
    <x v="1"/>
    <s v="J-3279/25-26"/>
    <n v="303"/>
    <m/>
  </r>
  <r>
    <d v="2025-10-23T00:00:00"/>
    <x v="241"/>
    <x v="1"/>
    <s v="J-3280/25-26"/>
    <n v="680"/>
    <m/>
  </r>
  <r>
    <d v="2025-10-23T00:00:00"/>
    <x v="297"/>
    <x v="1"/>
    <s v="J-3281/25-26"/>
    <n v="4116"/>
    <m/>
  </r>
  <r>
    <d v="2025-10-23T00:00:00"/>
    <x v="266"/>
    <x v="1"/>
    <s v="J-3282/25-26"/>
    <n v="441"/>
    <m/>
  </r>
  <r>
    <d v="2025-10-23T00:00:00"/>
    <x v="514"/>
    <x v="1"/>
    <s v="J-3283/25-26"/>
    <n v="3711"/>
    <m/>
  </r>
  <r>
    <d v="2025-10-23T00:00:00"/>
    <x v="163"/>
    <x v="1"/>
    <s v="J-3284/25-26"/>
    <n v="1942"/>
    <m/>
  </r>
  <r>
    <d v="2025-10-23T00:00:00"/>
    <x v="978"/>
    <x v="1"/>
    <s v="J-3285/25-26"/>
    <n v="590"/>
    <m/>
  </r>
  <r>
    <d v="2025-10-23T00:00:00"/>
    <x v="23"/>
    <x v="1"/>
    <s v="J-3286/25-26"/>
    <n v="1700"/>
    <m/>
  </r>
  <r>
    <d v="2025-10-23T00:00:00"/>
    <x v="279"/>
    <x v="1"/>
    <s v="J-3287/25-26"/>
    <n v="750"/>
    <m/>
  </r>
  <r>
    <d v="2025-10-23T00:00:00"/>
    <x v="923"/>
    <x v="1"/>
    <s v="J-3288/25-26"/>
    <n v="276"/>
    <m/>
  </r>
  <r>
    <d v="2025-10-23T00:00:00"/>
    <x v="683"/>
    <x v="1"/>
    <s v="J-3289/25-26"/>
    <n v="35030"/>
    <m/>
  </r>
  <r>
    <d v="2025-10-23T00:00:00"/>
    <x v="927"/>
    <x v="1"/>
    <s v="J-3290/25-26"/>
    <n v="288"/>
    <m/>
  </r>
  <r>
    <d v="2025-10-23T00:00:00"/>
    <x v="11"/>
    <x v="1"/>
    <s v="J-3291/25-26"/>
    <n v="26009"/>
    <m/>
  </r>
  <r>
    <d v="2025-10-23T00:00:00"/>
    <x v="91"/>
    <x v="1"/>
    <s v="J-3292/25-26"/>
    <n v="136620"/>
    <m/>
  </r>
  <r>
    <d v="2025-10-23T00:00:00"/>
    <x v="821"/>
    <x v="1"/>
    <s v="J-3293/25-26"/>
    <n v="19403"/>
    <m/>
  </r>
  <r>
    <d v="2025-10-24T00:00:00"/>
    <x v="979"/>
    <x v="0"/>
    <s v="JU-535/25-26"/>
    <n v="49245"/>
    <m/>
  </r>
  <r>
    <d v="2025-10-24T00:00:00"/>
    <x v="979"/>
    <x v="0"/>
    <s v="JU-536/25-26"/>
    <n v="41126"/>
    <m/>
  </r>
  <r>
    <d v="2025-10-24T00:00:00"/>
    <x v="64"/>
    <x v="0"/>
    <s v="JU-537/25-26"/>
    <n v="425"/>
    <m/>
  </r>
  <r>
    <d v="2025-10-24T00:00:00"/>
    <x v="64"/>
    <x v="0"/>
    <s v="JU-538/25-26"/>
    <n v="18620"/>
    <m/>
  </r>
  <r>
    <d v="2025-10-24T00:00:00"/>
    <x v="392"/>
    <x v="0"/>
    <s v="JU-539/25-26"/>
    <n v="28747"/>
    <m/>
  </r>
  <r>
    <d v="2025-10-24T00:00:00"/>
    <x v="266"/>
    <x v="1"/>
    <s v="J-3294/25-26"/>
    <n v="21600"/>
    <m/>
  </r>
  <r>
    <d v="2025-10-24T00:00:00"/>
    <x v="166"/>
    <x v="1"/>
    <s v="J-3295/25-26"/>
    <n v="680"/>
    <m/>
  </r>
  <r>
    <d v="2025-10-24T00:00:00"/>
    <x v="115"/>
    <x v="1"/>
    <s v="J-3296/25-26"/>
    <n v="10933"/>
    <m/>
  </r>
  <r>
    <d v="2025-10-24T00:00:00"/>
    <x v="20"/>
    <x v="1"/>
    <s v="J-3297/25-26"/>
    <n v="3265"/>
    <m/>
  </r>
  <r>
    <d v="2025-10-24T00:00:00"/>
    <x v="241"/>
    <x v="1"/>
    <s v="J-3298/25-26"/>
    <n v="691"/>
    <m/>
  </r>
  <r>
    <d v="2025-10-24T00:00:00"/>
    <x v="980"/>
    <x v="1"/>
    <s v="J-3299/25-26"/>
    <n v="680"/>
    <m/>
  </r>
  <r>
    <d v="2025-10-24T00:00:00"/>
    <x v="868"/>
    <x v="1"/>
    <s v="J-3300/25-26"/>
    <n v="850"/>
    <m/>
  </r>
  <r>
    <d v="2025-10-24T00:00:00"/>
    <x v="564"/>
    <x v="1"/>
    <s v="J-3301/25-26"/>
    <n v="6800"/>
    <m/>
  </r>
  <r>
    <d v="2025-10-24T00:00:00"/>
    <x v="11"/>
    <x v="1"/>
    <s v="J-3302/25-26"/>
    <n v="15"/>
    <m/>
  </r>
  <r>
    <d v="2025-10-24T00:00:00"/>
    <x v="257"/>
    <x v="1"/>
    <s v="J-3303/25-26"/>
    <n v="10096"/>
    <m/>
  </r>
  <r>
    <d v="2025-10-24T00:00:00"/>
    <x v="174"/>
    <x v="1"/>
    <s v="J-3304/25-26"/>
    <n v="750"/>
    <m/>
  </r>
  <r>
    <d v="2025-10-24T00:00:00"/>
    <x v="642"/>
    <x v="1"/>
    <s v="J-3305/25-26"/>
    <n v="1288"/>
    <m/>
  </r>
  <r>
    <d v="2025-10-24T00:00:00"/>
    <x v="981"/>
    <x v="1"/>
    <s v="J-3306/25-26"/>
    <n v="28614"/>
    <m/>
  </r>
  <r>
    <d v="2025-10-24T00:00:00"/>
    <x v="8"/>
    <x v="1"/>
    <s v="J-3307/25-26"/>
    <n v="7940"/>
    <m/>
  </r>
  <r>
    <d v="2025-10-24T00:00:00"/>
    <x v="20"/>
    <x v="1"/>
    <s v="J-3308/25-26"/>
    <n v="1030"/>
    <m/>
  </r>
  <r>
    <d v="2025-10-25T00:00:00"/>
    <x v="689"/>
    <x v="0"/>
    <s v="JU-540/25-26"/>
    <n v="35288"/>
    <m/>
  </r>
  <r>
    <d v="2025-10-25T00:00:00"/>
    <x v="64"/>
    <x v="0"/>
    <s v="JU-541/25-26"/>
    <n v="14610"/>
    <m/>
  </r>
  <r>
    <d v="2025-10-25T00:00:00"/>
    <x v="32"/>
    <x v="0"/>
    <s v="JU-542/25-26"/>
    <n v="7774"/>
    <m/>
  </r>
  <r>
    <d v="2025-10-25T00:00:00"/>
    <x v="64"/>
    <x v="0"/>
    <s v="JU-543/25-26"/>
    <n v="17487"/>
    <m/>
  </r>
  <r>
    <d v="2025-10-25T00:00:00"/>
    <x v="20"/>
    <x v="1"/>
    <s v="J-3309/25-26"/>
    <n v="120"/>
    <m/>
  </r>
  <r>
    <d v="2025-10-25T00:00:00"/>
    <x v="28"/>
    <x v="1"/>
    <s v="J-3310/25-26"/>
    <n v="12278"/>
    <m/>
  </r>
  <r>
    <d v="2025-10-25T00:00:00"/>
    <x v="373"/>
    <x v="1"/>
    <s v="J-3311/25-26"/>
    <n v="419"/>
    <m/>
  </r>
  <r>
    <d v="2025-10-25T00:00:00"/>
    <x v="878"/>
    <x v="1"/>
    <s v="J-3312/25-26"/>
    <n v="5422"/>
    <m/>
  </r>
  <r>
    <d v="2025-10-25T00:00:00"/>
    <x v="91"/>
    <x v="1"/>
    <s v="J-3313/25-26"/>
    <n v="2425"/>
    <m/>
  </r>
  <r>
    <d v="2025-10-25T00:00:00"/>
    <x v="297"/>
    <x v="1"/>
    <s v="J-3314/25-26"/>
    <n v="15040"/>
    <m/>
  </r>
  <r>
    <d v="2025-10-25T00:00:00"/>
    <x v="266"/>
    <x v="1"/>
    <s v="J-3315/25-26"/>
    <n v="2130"/>
    <m/>
  </r>
  <r>
    <d v="2025-10-25T00:00:00"/>
    <x v="241"/>
    <x v="1"/>
    <s v="J-3316/25-26"/>
    <n v="20231"/>
    <m/>
  </r>
  <r>
    <d v="2025-10-25T00:00:00"/>
    <x v="3"/>
    <x v="1"/>
    <s v="J-3317/25-26"/>
    <n v="280"/>
    <m/>
  </r>
  <r>
    <d v="2025-10-25T00:00:00"/>
    <x v="8"/>
    <x v="1"/>
    <s v="J-3318/25-26"/>
    <n v="24708"/>
    <m/>
  </r>
  <r>
    <d v="2025-10-25T00:00:00"/>
    <x v="88"/>
    <x v="1"/>
    <s v="J-3319/25-26"/>
    <n v="1440"/>
    <m/>
  </r>
  <r>
    <d v="2025-10-25T00:00:00"/>
    <x v="477"/>
    <x v="1"/>
    <s v="J-3320/25-26"/>
    <n v="1400"/>
    <m/>
  </r>
  <r>
    <d v="2025-10-25T00:00:00"/>
    <x v="28"/>
    <x v="1"/>
    <s v="J-3321/25-26"/>
    <n v="12862"/>
    <m/>
  </r>
  <r>
    <d v="2025-10-25T00:00:00"/>
    <x v="118"/>
    <x v="1"/>
    <s v="J-3322/25-26"/>
    <n v="875"/>
    <m/>
  </r>
  <r>
    <d v="2025-10-25T00:00:00"/>
    <x v="692"/>
    <x v="1"/>
    <s v="J-3323/25-26"/>
    <n v="3400"/>
    <m/>
  </r>
  <r>
    <d v="2025-10-27T00:00:00"/>
    <x v="64"/>
    <x v="0"/>
    <s v="JU-544/25-26"/>
    <n v="37400"/>
    <m/>
  </r>
  <r>
    <d v="2025-10-27T00:00:00"/>
    <x v="982"/>
    <x v="0"/>
    <s v="JU-545/25-26"/>
    <n v="6264"/>
    <m/>
  </r>
  <r>
    <d v="2025-10-27T00:00:00"/>
    <x v="64"/>
    <x v="0"/>
    <s v="JU-546/25-26"/>
    <n v="3400"/>
    <m/>
  </r>
  <r>
    <d v="2025-10-27T00:00:00"/>
    <x v="868"/>
    <x v="1"/>
    <s v="J-3324/25-26"/>
    <n v="25200"/>
    <m/>
  </r>
  <r>
    <d v="2025-10-27T00:00:00"/>
    <x v="23"/>
    <x v="1"/>
    <s v="J-3325/25-26"/>
    <n v="3400"/>
    <m/>
  </r>
  <r>
    <d v="2025-10-27T00:00:00"/>
    <x v="11"/>
    <x v="1"/>
    <s v="J-3326/25-26"/>
    <n v="340"/>
    <m/>
  </r>
  <r>
    <d v="2025-10-27T00:00:00"/>
    <x v="466"/>
    <x v="1"/>
    <s v="J-3327/25-26"/>
    <n v="680"/>
    <m/>
  </r>
  <r>
    <d v="2025-10-27T00:00:00"/>
    <x v="241"/>
    <x v="1"/>
    <s v="J-3328/25-26"/>
    <n v="5841"/>
    <m/>
  </r>
  <r>
    <d v="2025-10-27T00:00:00"/>
    <x v="983"/>
    <x v="1"/>
    <s v="J-3329/25-26"/>
    <n v="21267"/>
    <m/>
  </r>
  <r>
    <d v="2025-10-27T00:00:00"/>
    <x v="923"/>
    <x v="1"/>
    <s v="J-3330/25-26"/>
    <n v="745"/>
    <m/>
  </r>
  <r>
    <d v="2025-10-27T00:00:00"/>
    <x v="596"/>
    <x v="1"/>
    <s v="J-3331/25-26"/>
    <n v="17093"/>
    <m/>
  </r>
  <r>
    <d v="2025-10-27T00:00:00"/>
    <x v="984"/>
    <x v="1"/>
    <s v="J-3332/25-26"/>
    <n v="1162"/>
    <m/>
  </r>
  <r>
    <d v="2025-10-27T00:00:00"/>
    <x v="11"/>
    <x v="1"/>
    <s v="J-3333/25-26"/>
    <n v="680"/>
    <m/>
  </r>
  <r>
    <d v="2025-10-27T00:00:00"/>
    <x v="91"/>
    <x v="1"/>
    <s v="J-3334/25-26"/>
    <n v="109477"/>
    <m/>
  </r>
  <r>
    <d v="2025-10-28T00:00:00"/>
    <x v="689"/>
    <x v="0"/>
    <s v="JU-547/25-26"/>
    <n v="38718"/>
    <m/>
  </r>
  <r>
    <d v="2025-10-28T00:00:00"/>
    <x v="321"/>
    <x v="0"/>
    <s v="JU-548/25-26"/>
    <n v="3938"/>
    <m/>
  </r>
  <r>
    <d v="2025-10-28T00:00:00"/>
    <x v="89"/>
    <x v="1"/>
    <s v="J-3335/25-26"/>
    <n v="680"/>
    <m/>
  </r>
  <r>
    <d v="2025-10-28T00:00:00"/>
    <x v="466"/>
    <x v="1"/>
    <s v="J-3336/25-26"/>
    <n v="680"/>
    <m/>
  </r>
  <r>
    <d v="2025-10-28T00:00:00"/>
    <x v="11"/>
    <x v="1"/>
    <s v="J-3337/25-26"/>
    <n v="6"/>
    <m/>
  </r>
  <r>
    <d v="2025-10-28T00:00:00"/>
    <x v="497"/>
    <x v="1"/>
    <s v="J-3338/25-26"/>
    <n v="5227"/>
    <m/>
  </r>
  <r>
    <d v="2025-10-28T00:00:00"/>
    <x v="981"/>
    <x v="1"/>
    <s v="J-3339/25-26"/>
    <n v="5307"/>
    <m/>
  </r>
  <r>
    <d v="2025-10-28T00:00:00"/>
    <x v="985"/>
    <x v="1"/>
    <s v="J-3340/25-26"/>
    <n v="17306"/>
    <m/>
  </r>
  <r>
    <d v="2025-10-28T00:00:00"/>
    <x v="11"/>
    <x v="1"/>
    <s v="J-3341/25-26"/>
    <n v="1"/>
    <m/>
  </r>
  <r>
    <d v="2025-10-28T00:00:00"/>
    <x v="826"/>
    <x v="1"/>
    <s v="J-3342/25-26"/>
    <n v="7375"/>
    <m/>
  </r>
  <r>
    <d v="2025-10-28T00:00:00"/>
    <x v="683"/>
    <x v="1"/>
    <s v="J-3343/25-26"/>
    <n v="2878"/>
    <m/>
  </r>
  <r>
    <d v="2025-10-28T00:00:00"/>
    <x v="11"/>
    <x v="1"/>
    <s v="J-3344/25-26"/>
    <n v="1"/>
    <m/>
  </r>
  <r>
    <d v="2025-10-28T00:00:00"/>
    <x v="477"/>
    <x v="1"/>
    <s v="J-3345/25-26"/>
    <n v="1424"/>
    <m/>
  </r>
  <r>
    <d v="2025-10-28T00:00:00"/>
    <x v="986"/>
    <x v="1"/>
    <s v="J-3346/25-26"/>
    <n v="3569"/>
    <m/>
  </r>
  <r>
    <d v="2025-10-28T00:00:00"/>
    <x v="173"/>
    <x v="1"/>
    <s v="J-3347/25-26"/>
    <n v="11"/>
    <m/>
  </r>
  <r>
    <d v="2025-10-28T00:00:00"/>
    <x v="8"/>
    <x v="1"/>
    <s v="J-3348/25-26"/>
    <n v="1498"/>
    <m/>
  </r>
  <r>
    <d v="2025-10-29T00:00:00"/>
    <x v="16"/>
    <x v="0"/>
    <s v="JU-549/25-26"/>
    <n v="25403"/>
    <m/>
  </r>
  <r>
    <d v="2025-10-29T00:00:00"/>
    <x v="290"/>
    <x v="0"/>
    <s v="JU-550/25-26"/>
    <n v="2054"/>
    <m/>
  </r>
  <r>
    <d v="2025-10-29T00:00:00"/>
    <x v="945"/>
    <x v="0"/>
    <s v="JU-551/25-26"/>
    <n v="55745"/>
    <m/>
  </r>
  <r>
    <d v="2025-10-29T00:00:00"/>
    <x v="64"/>
    <x v="0"/>
    <s v="JU-552/25-26"/>
    <n v="4679"/>
    <m/>
  </r>
  <r>
    <d v="2025-10-29T00:00:00"/>
    <x v="571"/>
    <x v="0"/>
    <s v="JU-553/25-26"/>
    <n v="19363"/>
    <m/>
  </r>
  <r>
    <d v="2025-10-29T00:00:00"/>
    <x v="20"/>
    <x v="1"/>
    <s v="J-3349/25-26"/>
    <n v="1850"/>
    <m/>
  </r>
  <r>
    <d v="2025-10-29T00:00:00"/>
    <x v="241"/>
    <x v="1"/>
    <s v="J-3350/25-26"/>
    <n v="25200"/>
    <m/>
  </r>
  <r>
    <d v="2025-10-29T00:00:00"/>
    <x v="987"/>
    <x v="1"/>
    <s v="J-3351/25-26"/>
    <n v="60"/>
    <m/>
  </r>
  <r>
    <d v="2025-10-29T00:00:00"/>
    <x v="8"/>
    <x v="1"/>
    <s v="J-3352/25-26"/>
    <n v="8730"/>
    <m/>
  </r>
  <r>
    <d v="2025-10-29T00:00:00"/>
    <x v="23"/>
    <x v="1"/>
    <s v="J-3353/25-26"/>
    <n v="21061"/>
    <m/>
  </r>
  <r>
    <d v="2025-10-29T00:00:00"/>
    <x v="988"/>
    <x v="1"/>
    <s v="J-3354/25-26"/>
    <n v="31226"/>
    <m/>
  </r>
  <r>
    <d v="2025-10-29T00:00:00"/>
    <x v="11"/>
    <x v="1"/>
    <s v="J-3355/25-26"/>
    <n v="130"/>
    <m/>
  </r>
  <r>
    <d v="2025-10-29T00:00:00"/>
    <x v="989"/>
    <x v="1"/>
    <s v="J-3356/25-26"/>
    <n v="1130"/>
    <m/>
  </r>
  <r>
    <d v="2025-10-29T00:00:00"/>
    <x v="706"/>
    <x v="1"/>
    <s v="J-3357/25-26"/>
    <n v="5100"/>
    <m/>
  </r>
  <r>
    <d v="2025-10-29T00:00:00"/>
    <x v="11"/>
    <x v="1"/>
    <s v="J-3358/25-26"/>
    <n v="1063"/>
    <m/>
  </r>
  <r>
    <d v="2025-10-29T00:00:00"/>
    <x v="990"/>
    <x v="1"/>
    <s v="J-3359/25-26"/>
    <n v="1700"/>
    <m/>
  </r>
  <r>
    <d v="2025-10-29T00:00:00"/>
    <x v="253"/>
    <x v="1"/>
    <s v="J-3360/25-26"/>
    <n v="8056"/>
    <m/>
  </r>
  <r>
    <d v="2025-10-29T00:00:00"/>
    <x v="245"/>
    <x v="1"/>
    <s v="J-3361/25-26"/>
    <n v="720"/>
    <m/>
  </r>
  <r>
    <d v="2025-10-29T00:00:00"/>
    <x v="991"/>
    <x v="1"/>
    <s v="J-3362/25-26"/>
    <n v="29173"/>
    <m/>
  </r>
  <r>
    <d v="2025-10-29T00:00:00"/>
    <x v="11"/>
    <x v="1"/>
    <s v="J-3363/25-26"/>
    <n v="100"/>
    <m/>
  </r>
  <r>
    <d v="2025-10-29T00:00:00"/>
    <x v="11"/>
    <x v="1"/>
    <s v="J-3364/25-26"/>
    <n v="24292"/>
    <m/>
  </r>
  <r>
    <d v="2025-10-29T00:00:00"/>
    <x v="992"/>
    <x v="1"/>
    <s v="J-3365/25-26"/>
    <n v="1295"/>
    <m/>
  </r>
  <r>
    <d v="2025-10-29T00:00:00"/>
    <x v="173"/>
    <x v="1"/>
    <s v="J-3366/25-26"/>
    <n v="30"/>
    <m/>
  </r>
  <r>
    <d v="2025-10-29T00:00:00"/>
    <x v="993"/>
    <x v="1"/>
    <s v="J-3367/25-26"/>
    <n v="27130"/>
    <m/>
  </r>
  <r>
    <d v="2025-10-30T00:00:00"/>
    <x v="994"/>
    <x v="0"/>
    <s v="JU-554/25-26"/>
    <n v="4920"/>
    <m/>
  </r>
  <r>
    <d v="2025-10-30T00:00:00"/>
    <x v="290"/>
    <x v="0"/>
    <s v="JU-555/25-26"/>
    <n v="2675"/>
    <m/>
  </r>
  <r>
    <d v="2025-10-30T00:00:00"/>
    <x v="14"/>
    <x v="0"/>
    <s v="JU-556/25-26"/>
    <n v="340"/>
    <m/>
  </r>
  <r>
    <d v="2025-10-30T00:00:00"/>
    <x v="211"/>
    <x v="1"/>
    <s v="J-3368/25-26"/>
    <n v="12353"/>
    <m/>
  </r>
  <r>
    <d v="2025-10-30T00:00:00"/>
    <x v="115"/>
    <x v="1"/>
    <s v="J-3369/25-26"/>
    <n v="2508"/>
    <m/>
  </r>
  <r>
    <d v="2025-10-30T00:00:00"/>
    <x v="995"/>
    <x v="1"/>
    <s v="J-3370/25-26"/>
    <n v="12042"/>
    <m/>
  </r>
  <r>
    <d v="2025-10-30T00:00:00"/>
    <x v="211"/>
    <x v="1"/>
    <s v="J-3371/25-26"/>
    <n v="9513"/>
    <m/>
  </r>
  <r>
    <d v="2025-10-30T00:00:00"/>
    <x v="23"/>
    <x v="1"/>
    <s v="J-3372/25-26"/>
    <n v="7016"/>
    <m/>
  </r>
  <r>
    <d v="2025-10-30T00:00:00"/>
    <x v="996"/>
    <x v="1"/>
    <s v="J-3373/25-26"/>
    <n v="680"/>
    <m/>
  </r>
  <r>
    <d v="2025-10-30T00:00:00"/>
    <x v="231"/>
    <x v="1"/>
    <s v="J-3374/25-26"/>
    <n v="800"/>
    <m/>
  </r>
  <r>
    <d v="2025-10-30T00:00:00"/>
    <x v="91"/>
    <x v="1"/>
    <s v="J-3375/25-26"/>
    <n v="4250"/>
    <m/>
  </r>
  <r>
    <d v="2025-10-30T00:00:00"/>
    <x v="11"/>
    <x v="1"/>
    <s v="J-3376/25-26"/>
    <n v="15"/>
    <m/>
  </r>
  <r>
    <d v="2025-10-30T00:00:00"/>
    <x v="28"/>
    <x v="1"/>
    <s v="J-3377/25-26"/>
    <n v="9876"/>
    <m/>
  </r>
  <r>
    <d v="2025-10-30T00:00:00"/>
    <x v="28"/>
    <x v="1"/>
    <s v="J-3378/25-26"/>
    <n v="94"/>
    <m/>
  </r>
  <r>
    <d v="2025-10-30T00:00:00"/>
    <x v="253"/>
    <x v="1"/>
    <s v="J-3379/25-26"/>
    <n v="340"/>
    <m/>
  </r>
  <r>
    <d v="2025-10-30T00:00:00"/>
    <x v="997"/>
    <x v="1"/>
    <s v="J-3380/25-26"/>
    <n v="2108"/>
    <m/>
  </r>
  <r>
    <d v="2025-10-30T00:00:00"/>
    <x v="996"/>
    <x v="1"/>
    <s v="J-3381/25-26"/>
    <n v="716"/>
    <m/>
  </r>
  <r>
    <d v="2025-10-30T00:00:00"/>
    <x v="998"/>
    <x v="1"/>
    <s v="J-3382/25-26"/>
    <n v="31040"/>
    <m/>
  </r>
  <r>
    <d v="2025-10-30T00:00:00"/>
    <x v="231"/>
    <x v="1"/>
    <s v="J-3383/25-26"/>
    <n v="1020"/>
    <m/>
  </r>
  <r>
    <d v="2025-10-31T00:00:00"/>
    <x v="271"/>
    <x v="0"/>
    <s v="JU-557/25-26"/>
    <n v="4370"/>
    <m/>
  </r>
  <r>
    <d v="2025-10-31T00:00:00"/>
    <x v="271"/>
    <x v="0"/>
    <s v="JU-558/25-26"/>
    <n v="135"/>
    <m/>
  </r>
  <r>
    <d v="2025-10-31T00:00:00"/>
    <x v="271"/>
    <x v="0"/>
    <s v="JU-559/25-26"/>
    <n v="170"/>
    <m/>
  </r>
  <r>
    <d v="2025-10-31T00:00:00"/>
    <x v="115"/>
    <x v="1"/>
    <s v="J-3384/25-26"/>
    <n v="75044"/>
    <m/>
  </r>
  <r>
    <d v="2025-10-31T00:00:00"/>
    <x v="28"/>
    <x v="1"/>
    <s v="J-3385/25-26"/>
    <n v="5263"/>
    <m/>
  </r>
  <r>
    <d v="2025-10-31T00:00:00"/>
    <x v="297"/>
    <x v="1"/>
    <s v="J-3386/25-26"/>
    <n v="339"/>
    <m/>
  </r>
  <r>
    <d v="2025-10-31T00:00:00"/>
    <x v="968"/>
    <x v="1"/>
    <s v="J-3387/25-26"/>
    <n v="311"/>
    <m/>
  </r>
  <r>
    <d v="2025-10-31T00:00:00"/>
    <x v="999"/>
    <x v="1"/>
    <s v="J-3388/25-26"/>
    <n v="3350"/>
    <m/>
  </r>
  <r>
    <d v="2025-10-31T00:00:00"/>
    <x v="88"/>
    <x v="1"/>
    <s v="J-3389/25-26"/>
    <n v="700"/>
    <m/>
  </r>
  <r>
    <d v="2025-10-31T00:00:00"/>
    <x v="764"/>
    <x v="1"/>
    <s v="J-3390/25-26"/>
    <n v="155"/>
    <m/>
  </r>
  <r>
    <d v="2025-10-31T00:00:00"/>
    <x v="106"/>
    <x v="1"/>
    <s v="J-3391/25-26"/>
    <n v="5423"/>
    <m/>
  </r>
  <r>
    <d v="2025-10-31T00:00:00"/>
    <x v="1000"/>
    <x v="1"/>
    <s v="J-3392/25-26"/>
    <n v="12987"/>
    <m/>
  </r>
  <r>
    <d v="2025-10-31T00:00:00"/>
    <x v="11"/>
    <x v="1"/>
    <s v="J-3393/25-26"/>
    <n v="4050"/>
    <m/>
  </r>
  <r>
    <d v="2025-10-31T00:00:00"/>
    <x v="1001"/>
    <x v="1"/>
    <s v="J-3394/25-26"/>
    <n v="1700"/>
    <m/>
  </r>
  <r>
    <d v="2025-10-31T00:00:00"/>
    <x v="211"/>
    <x v="1"/>
    <s v="J-3395/25-26"/>
    <n v="4502"/>
    <m/>
  </r>
  <r>
    <d v="2025-10-31T00:00:00"/>
    <x v="764"/>
    <x v="1"/>
    <s v="J-3396/25-26"/>
    <n v="60"/>
    <m/>
  </r>
  <r>
    <d v="2025-10-31T00:00:00"/>
    <x v="1002"/>
    <x v="1"/>
    <s v="J-3397/25-26"/>
    <n v="188"/>
    <m/>
  </r>
  <r>
    <d v="2025-10-31T00:00:00"/>
    <x v="11"/>
    <x v="1"/>
    <s v="J-3398/25-26"/>
    <n v="7804"/>
    <m/>
  </r>
  <r>
    <d v="2025-10-31T00:00:00"/>
    <x v="297"/>
    <x v="1"/>
    <s v="J-3399/25-26"/>
    <n v="1700"/>
    <m/>
  </r>
  <r>
    <d v="2025-10-31T00:00:00"/>
    <x v="1003"/>
    <x v="1"/>
    <s v="J-3400/25-26"/>
    <n v="960"/>
    <m/>
  </r>
  <r>
    <d v="2025-10-31T00:00:00"/>
    <x v="3"/>
    <x v="1"/>
    <s v="J-3401/25-26"/>
    <n v="340"/>
    <m/>
  </r>
  <r>
    <d v="2025-10-31T00:00:00"/>
    <x v="737"/>
    <x v="1"/>
    <s v="J-3402/25-26"/>
    <n v="8125"/>
    <m/>
  </r>
  <r>
    <d v="2025-10-31T00:00:00"/>
    <x v="999"/>
    <x v="1"/>
    <s v="J-3403/25-26"/>
    <n v="1005"/>
    <m/>
  </r>
  <r>
    <d v="2025-10-31T00:00:00"/>
    <x v="89"/>
    <x v="1"/>
    <s v="J-3404/25-26"/>
    <n v="340"/>
    <m/>
  </r>
  <r>
    <d v="2025-10-31T00:00:00"/>
    <x v="1004"/>
    <x v="1"/>
    <s v="J-3405/25-26"/>
    <n v="76276"/>
    <m/>
  </r>
  <r>
    <d v="2025-10-31T00:00:00"/>
    <x v="904"/>
    <x v="1"/>
    <s v="J-3406/25-26"/>
    <n v="100"/>
    <m/>
  </r>
  <r>
    <d v="2025-10-31T00:00:00"/>
    <x v="1005"/>
    <x v="1"/>
    <s v="J-3407/25-26"/>
    <n v="3274"/>
    <m/>
  </r>
  <r>
    <d v="2025-11-01T00:00:00"/>
    <x v="14"/>
    <x v="0"/>
    <s v="JU-560/25-26"/>
    <n v="1936"/>
    <m/>
  </r>
  <r>
    <d v="2025-11-01T00:00:00"/>
    <x v="15"/>
    <x v="0"/>
    <s v="JU-561/25-26"/>
    <n v="12176"/>
    <m/>
  </r>
  <r>
    <d v="2025-11-01T00:00:00"/>
    <x v="689"/>
    <x v="0"/>
    <s v="JU-562/25-26"/>
    <n v="10356"/>
    <m/>
  </r>
  <r>
    <d v="2025-11-01T00:00:00"/>
    <x v="1006"/>
    <x v="0"/>
    <s v="JU-563/25-26"/>
    <n v="17836"/>
    <m/>
  </r>
  <r>
    <d v="2025-11-01T00:00:00"/>
    <x v="11"/>
    <x v="1"/>
    <s v="J-3408/25-26"/>
    <n v="50"/>
    <m/>
  </r>
  <r>
    <d v="2025-11-01T00:00:00"/>
    <x v="211"/>
    <x v="1"/>
    <s v="J-3409/25-26"/>
    <n v="8375"/>
    <m/>
  </r>
  <r>
    <d v="2025-11-01T00:00:00"/>
    <x v="494"/>
    <x v="1"/>
    <s v="J-3410/25-26"/>
    <n v="12371"/>
    <m/>
  </r>
  <r>
    <d v="2025-11-01T00:00:00"/>
    <x v="11"/>
    <x v="1"/>
    <s v="J-3411/25-26"/>
    <n v="340"/>
    <m/>
  </r>
  <r>
    <d v="2025-11-01T00:00:00"/>
    <x v="89"/>
    <x v="1"/>
    <s v="J-3412/25-26"/>
    <n v="1700"/>
    <m/>
  </r>
  <r>
    <d v="2025-11-01T00:00:00"/>
    <x v="683"/>
    <x v="1"/>
    <s v="J-3413/25-26"/>
    <n v="13034"/>
    <m/>
  </r>
  <r>
    <d v="2025-11-01T00:00:00"/>
    <x v="8"/>
    <x v="1"/>
    <s v="J-3414/25-26"/>
    <n v="570"/>
    <m/>
  </r>
  <r>
    <d v="2025-11-01T00:00:00"/>
    <x v="79"/>
    <x v="1"/>
    <s v="J-3415/25-26"/>
    <n v="680"/>
    <m/>
  </r>
  <r>
    <d v="2025-11-01T00:00:00"/>
    <x v="1007"/>
    <x v="1"/>
    <s v="J-3416/25-26"/>
    <n v="4096"/>
    <m/>
  </r>
  <r>
    <d v="2025-11-01T00:00:00"/>
    <x v="11"/>
    <x v="1"/>
    <s v="J-3417/25-26"/>
    <n v="8"/>
    <m/>
  </r>
  <r>
    <d v="2025-11-01T00:00:00"/>
    <x v="1008"/>
    <x v="1"/>
    <s v="J-3418/25-26"/>
    <n v="9181"/>
    <m/>
  </r>
  <r>
    <d v="2025-11-01T00:00:00"/>
    <x v="266"/>
    <x v="1"/>
    <s v="J-3419/25-26"/>
    <n v="1397"/>
    <m/>
  </r>
  <r>
    <d v="2025-11-01T00:00:00"/>
    <x v="3"/>
    <x v="1"/>
    <s v="J-3420/25-26"/>
    <n v="256"/>
    <m/>
  </r>
  <r>
    <d v="2025-11-01T00:00:00"/>
    <x v="91"/>
    <x v="1"/>
    <s v="J-3421/25-26"/>
    <n v="3342"/>
    <m/>
  </r>
  <r>
    <d v="2025-11-01T00:00:00"/>
    <x v="630"/>
    <x v="1"/>
    <s v="J-3422/25-26"/>
    <n v="8500"/>
    <m/>
  </r>
  <r>
    <d v="2025-11-01T00:00:00"/>
    <x v="115"/>
    <x v="1"/>
    <s v="J-3423/25-26"/>
    <n v="680"/>
    <m/>
  </r>
  <r>
    <d v="2025-11-01T00:00:00"/>
    <x v="297"/>
    <x v="1"/>
    <s v="J-3424/25-26"/>
    <n v="2596"/>
    <m/>
  </r>
  <r>
    <d v="2025-11-01T00:00:00"/>
    <x v="88"/>
    <x v="1"/>
    <s v="J-3425/25-26"/>
    <n v="720"/>
    <m/>
  </r>
  <r>
    <d v="2025-11-01T00:00:00"/>
    <x v="253"/>
    <x v="1"/>
    <s v="J-3426/25-26"/>
    <n v="11733"/>
    <m/>
  </r>
  <r>
    <d v="2025-11-01T00:00:00"/>
    <x v="1004"/>
    <x v="1"/>
    <s v="J-3427/25-26"/>
    <n v="14082"/>
    <m/>
  </r>
  <r>
    <d v="2025-11-01T00:00:00"/>
    <x v="8"/>
    <x v="1"/>
    <s v="J-3428/25-26"/>
    <n v="351"/>
    <m/>
  </r>
  <r>
    <d v="2025-11-01T00:00:00"/>
    <x v="58"/>
    <x v="1"/>
    <s v="J-3429/25-26"/>
    <n v="4944"/>
    <m/>
  </r>
  <r>
    <d v="2025-11-01T00:00:00"/>
    <x v="833"/>
    <x v="1"/>
    <s v="J-3430/25-26"/>
    <n v="1432"/>
    <m/>
  </r>
  <r>
    <d v="2025-11-01T00:00:00"/>
    <x v="1009"/>
    <x v="1"/>
    <s v="J-3431/25-26"/>
    <n v="9624"/>
    <m/>
  </r>
  <r>
    <d v="2025-11-01T00:00:00"/>
    <x v="696"/>
    <x v="1"/>
    <s v="J-3432/25-26"/>
    <n v="8175"/>
    <m/>
  </r>
  <r>
    <d v="2025-11-03T00:00:00"/>
    <x v="305"/>
    <x v="0"/>
    <s v="JU-564/25-26"/>
    <n v="3218"/>
    <m/>
  </r>
  <r>
    <d v="2025-11-03T00:00:00"/>
    <x v="305"/>
    <x v="0"/>
    <s v="JU-565/25-26"/>
    <n v="2550"/>
    <m/>
  </r>
  <r>
    <d v="2025-11-03T00:00:00"/>
    <x v="77"/>
    <x v="0"/>
    <s v="JU-566/25-26"/>
    <n v="7076"/>
    <m/>
  </r>
  <r>
    <d v="2025-11-03T00:00:00"/>
    <x v="1006"/>
    <x v="0"/>
    <s v="JU-567/25-26"/>
    <n v="1518"/>
    <m/>
  </r>
  <r>
    <d v="2025-11-03T00:00:00"/>
    <x v="1010"/>
    <x v="0"/>
    <s v="JU-568/25-26"/>
    <n v="45745"/>
    <m/>
  </r>
  <r>
    <d v="2025-11-03T00:00:00"/>
    <x v="548"/>
    <x v="1"/>
    <s v="J-3433/25-26"/>
    <n v="11725"/>
    <m/>
  </r>
  <r>
    <d v="2025-11-03T00:00:00"/>
    <x v="1011"/>
    <x v="1"/>
    <s v="J-3434/25-26"/>
    <n v="4016"/>
    <m/>
  </r>
  <r>
    <d v="2025-11-03T00:00:00"/>
    <x v="11"/>
    <x v="1"/>
    <s v="J-3435/25-26"/>
    <n v="30"/>
    <m/>
  </r>
  <r>
    <d v="2025-11-03T00:00:00"/>
    <x v="819"/>
    <x v="1"/>
    <s v="J-3436/25-26"/>
    <n v="440"/>
    <m/>
  </r>
  <r>
    <d v="2025-11-03T00:00:00"/>
    <x v="927"/>
    <x v="1"/>
    <s v="J-3437/25-26"/>
    <n v="680"/>
    <m/>
  </r>
  <r>
    <d v="2025-11-03T00:00:00"/>
    <x v="79"/>
    <x v="1"/>
    <s v="J-3438/25-26"/>
    <n v="3400"/>
    <m/>
  </r>
  <r>
    <d v="2025-11-03T00:00:00"/>
    <x v="34"/>
    <x v="1"/>
    <s v="J-3439/25-26"/>
    <n v="11584"/>
    <m/>
  </r>
  <r>
    <d v="2025-11-03T00:00:00"/>
    <x v="1012"/>
    <x v="1"/>
    <s v="J-3440/25-26"/>
    <n v="11220"/>
    <m/>
  </r>
  <r>
    <d v="2025-11-03T00:00:00"/>
    <x v="757"/>
    <x v="1"/>
    <s v="J-3441/25-26"/>
    <n v="48337"/>
    <m/>
  </r>
  <r>
    <d v="2025-11-03T00:00:00"/>
    <x v="19"/>
    <x v="1"/>
    <s v="J-3442/25-26"/>
    <n v="12"/>
    <m/>
  </r>
  <r>
    <d v="2025-11-03T00:00:00"/>
    <x v="89"/>
    <x v="1"/>
    <s v="J-3443/25-26"/>
    <n v="1020"/>
    <m/>
  </r>
  <r>
    <d v="2025-11-03T00:00:00"/>
    <x v="4"/>
    <x v="1"/>
    <s v="J-3444/25-26"/>
    <n v="11261"/>
    <m/>
  </r>
  <r>
    <d v="2025-11-03T00:00:00"/>
    <x v="3"/>
    <x v="1"/>
    <s v="J-3445/25-26"/>
    <n v="256"/>
    <m/>
  </r>
  <r>
    <d v="2025-11-03T00:00:00"/>
    <x v="1013"/>
    <x v="1"/>
    <s v="J-3446/25-26"/>
    <n v="265"/>
    <m/>
  </r>
  <r>
    <d v="2025-11-03T00:00:00"/>
    <x v="34"/>
    <x v="1"/>
    <s v="J-3447/25-26"/>
    <n v="5943"/>
    <m/>
  </r>
  <r>
    <d v="2025-11-03T00:00:00"/>
    <x v="1014"/>
    <x v="1"/>
    <s v="J-3448/25-26"/>
    <n v="2824"/>
    <m/>
  </r>
  <r>
    <d v="2025-11-03T00:00:00"/>
    <x v="436"/>
    <x v="1"/>
    <s v="J-3449/25-26"/>
    <n v="5903"/>
    <m/>
  </r>
  <r>
    <d v="2025-11-03T00:00:00"/>
    <x v="266"/>
    <x v="1"/>
    <s v="J-3450/25-26"/>
    <n v="2380"/>
    <m/>
  </r>
  <r>
    <d v="2025-11-03T00:00:00"/>
    <x v="299"/>
    <x v="1"/>
    <s v="J-3451/25-26"/>
    <n v="2350"/>
    <m/>
  </r>
  <r>
    <d v="2025-11-04T00:00:00"/>
    <x v="979"/>
    <x v="0"/>
    <s v="JU-569/25-26"/>
    <n v="48910"/>
    <m/>
  </r>
  <r>
    <d v="2025-11-04T00:00:00"/>
    <x v="1015"/>
    <x v="0"/>
    <s v="JU-570/25-26"/>
    <n v="18855"/>
    <m/>
  </r>
  <r>
    <d v="2025-11-04T00:00:00"/>
    <x v="1006"/>
    <x v="0"/>
    <s v="JU-571/25-26"/>
    <n v="861"/>
    <m/>
  </r>
  <r>
    <d v="2025-11-04T00:00:00"/>
    <x v="819"/>
    <x v="1"/>
    <s v="J-3452/25-26"/>
    <n v="85"/>
    <m/>
  </r>
  <r>
    <d v="2025-11-04T00:00:00"/>
    <x v="89"/>
    <x v="1"/>
    <s v="J-3453/25-26"/>
    <n v="340"/>
    <m/>
  </r>
  <r>
    <d v="2025-11-04T00:00:00"/>
    <x v="428"/>
    <x v="1"/>
    <s v="J-3454/25-26"/>
    <n v="1360"/>
    <m/>
  </r>
  <r>
    <d v="2025-11-04T00:00:00"/>
    <x v="279"/>
    <x v="1"/>
    <s v="J-3455/25-26"/>
    <n v="1000"/>
    <m/>
  </r>
  <r>
    <d v="2025-11-04T00:00:00"/>
    <x v="1016"/>
    <x v="1"/>
    <s v="J-3456/25-26"/>
    <n v="8271"/>
    <m/>
  </r>
  <r>
    <d v="2025-11-04T00:00:00"/>
    <x v="597"/>
    <x v="1"/>
    <s v="J-3457/25-26"/>
    <n v="5100"/>
    <m/>
  </r>
  <r>
    <d v="2025-11-04T00:00:00"/>
    <x v="1017"/>
    <x v="1"/>
    <s v="J-3458/25-26"/>
    <n v="1578"/>
    <m/>
  </r>
  <r>
    <d v="2025-11-04T00:00:00"/>
    <x v="3"/>
    <x v="1"/>
    <s v="J-3459/25-26"/>
    <n v="340"/>
    <m/>
  </r>
  <r>
    <d v="2025-11-04T00:00:00"/>
    <x v="34"/>
    <x v="1"/>
    <s v="J-3460/25-26"/>
    <n v="6336"/>
    <m/>
  </r>
  <r>
    <d v="2025-11-04T00:00:00"/>
    <x v="8"/>
    <x v="1"/>
    <s v="J-3461/25-26"/>
    <n v="400"/>
    <m/>
  </r>
  <r>
    <d v="2025-11-04T00:00:00"/>
    <x v="23"/>
    <x v="1"/>
    <s v="J-3462/25-26"/>
    <n v="442"/>
    <m/>
  </r>
  <r>
    <d v="2025-11-04T00:00:00"/>
    <x v="170"/>
    <x v="1"/>
    <s v="J-3463/25-26"/>
    <n v="11563"/>
    <m/>
  </r>
  <r>
    <d v="2025-11-04T00:00:00"/>
    <x v="1018"/>
    <x v="1"/>
    <s v="J-3464/25-26"/>
    <n v="561"/>
    <m/>
  </r>
  <r>
    <d v="2025-11-04T00:00:00"/>
    <x v="711"/>
    <x v="1"/>
    <s v="J-3465/25-26"/>
    <n v="2380"/>
    <m/>
  </r>
  <r>
    <d v="2025-11-04T00:00:00"/>
    <x v="297"/>
    <x v="1"/>
    <s v="J-3466/25-26"/>
    <n v="40466"/>
    <m/>
  </r>
  <r>
    <d v="2025-11-04T00:00:00"/>
    <x v="791"/>
    <x v="1"/>
    <s v="J-3467/25-26"/>
    <n v="1210"/>
    <m/>
  </r>
  <r>
    <d v="2025-11-04T00:00:00"/>
    <x v="11"/>
    <x v="1"/>
    <s v="J-3468/25-26"/>
    <n v="1866"/>
    <m/>
  </r>
  <r>
    <d v="2025-11-04T00:00:00"/>
    <x v="970"/>
    <x v="1"/>
    <s v="J-3469/25-26"/>
    <n v="69"/>
    <m/>
  </r>
  <r>
    <d v="2025-11-04T00:00:00"/>
    <x v="1019"/>
    <x v="1"/>
    <s v="J-3470/25-26"/>
    <n v="100"/>
    <m/>
  </r>
  <r>
    <d v="2025-11-04T00:00:00"/>
    <x v="174"/>
    <x v="1"/>
    <s v="J-3471/25-26"/>
    <n v="2800"/>
    <m/>
  </r>
  <r>
    <d v="2025-11-04T00:00:00"/>
    <x v="764"/>
    <x v="1"/>
    <s v="J-3472/25-26"/>
    <n v="90"/>
    <m/>
  </r>
  <r>
    <d v="2025-11-04T00:00:00"/>
    <x v="764"/>
    <x v="1"/>
    <s v="J-3473/25-26"/>
    <n v="260"/>
    <m/>
  </r>
  <r>
    <d v="2025-11-04T00:00:00"/>
    <x v="1020"/>
    <x v="1"/>
    <s v="J-3474/25-26"/>
    <n v="18820"/>
    <m/>
  </r>
  <r>
    <d v="2025-11-04T00:00:00"/>
    <x v="73"/>
    <x v="1"/>
    <s v="J-3475/25-26"/>
    <n v="340"/>
    <m/>
  </r>
  <r>
    <d v="2025-11-05T00:00:00"/>
    <x v="689"/>
    <x v="0"/>
    <s v="JU-572/25-26"/>
    <n v="78750"/>
    <m/>
  </r>
  <r>
    <d v="2025-11-05T00:00:00"/>
    <x v="859"/>
    <x v="0"/>
    <s v="JU-573/25-26"/>
    <n v="4101"/>
    <m/>
  </r>
  <r>
    <d v="2025-11-05T00:00:00"/>
    <x v="11"/>
    <x v="1"/>
    <s v="J-3476/25-26"/>
    <n v="43"/>
    <m/>
  </r>
  <r>
    <d v="2025-11-05T00:00:00"/>
    <x v="23"/>
    <x v="1"/>
    <s v="J-3477/25-26"/>
    <n v="340"/>
    <m/>
  </r>
  <r>
    <d v="2025-11-05T00:00:00"/>
    <x v="927"/>
    <x v="1"/>
    <s v="J-3478/25-26"/>
    <n v="340"/>
    <m/>
  </r>
  <r>
    <d v="2025-11-05T00:00:00"/>
    <x v="170"/>
    <x v="1"/>
    <s v="J-3479/25-26"/>
    <n v="15770"/>
    <m/>
  </r>
  <r>
    <d v="2025-11-05T00:00:00"/>
    <x v="1021"/>
    <x v="1"/>
    <s v="J-3480/25-26"/>
    <n v="1360"/>
    <m/>
  </r>
  <r>
    <d v="2025-11-05T00:00:00"/>
    <x v="968"/>
    <x v="1"/>
    <s v="J-3481/25-26"/>
    <n v="1700"/>
    <m/>
  </r>
  <r>
    <d v="2025-11-05T00:00:00"/>
    <x v="11"/>
    <x v="1"/>
    <s v="J-3482/25-26"/>
    <n v="43"/>
    <m/>
  </r>
  <r>
    <d v="2025-11-05T00:00:00"/>
    <x v="3"/>
    <x v="1"/>
    <s v="J-3483/25-26"/>
    <n v="340"/>
    <m/>
  </r>
  <r>
    <d v="2025-11-05T00:00:00"/>
    <x v="1022"/>
    <x v="1"/>
    <s v="J-3484/25-26"/>
    <n v="340"/>
    <m/>
  </r>
  <r>
    <d v="2025-11-05T00:00:00"/>
    <x v="163"/>
    <x v="1"/>
    <s v="J-3485/25-26"/>
    <n v="22285"/>
    <m/>
  </r>
  <r>
    <d v="2025-11-05T00:00:00"/>
    <x v="960"/>
    <x v="1"/>
    <s v="J-3486/25-26"/>
    <n v="4628"/>
    <m/>
  </r>
  <r>
    <d v="2025-11-05T00:00:00"/>
    <x v="34"/>
    <x v="1"/>
    <s v="J-3487/25-26"/>
    <n v="125"/>
    <m/>
  </r>
  <r>
    <d v="2025-11-05T00:00:00"/>
    <x v="79"/>
    <x v="1"/>
    <s v="J-3488/25-26"/>
    <n v="2992"/>
    <m/>
  </r>
  <r>
    <d v="2025-11-05T00:00:00"/>
    <x v="998"/>
    <x v="1"/>
    <s v="J-3489/25-26"/>
    <n v="3823"/>
    <m/>
  </r>
  <r>
    <d v="2025-11-05T00:00:00"/>
    <x v="20"/>
    <x v="1"/>
    <s v="J-3490/25-26"/>
    <n v="1120"/>
    <m/>
  </r>
  <r>
    <d v="2025-11-06T00:00:00"/>
    <x v="305"/>
    <x v="0"/>
    <s v="JU-574/25-26"/>
    <n v="15130"/>
    <m/>
  </r>
  <r>
    <d v="2025-11-06T00:00:00"/>
    <x v="571"/>
    <x v="0"/>
    <s v="JU-575/25-26"/>
    <n v="25675"/>
    <m/>
  </r>
  <r>
    <d v="2025-11-06T00:00:00"/>
    <x v="305"/>
    <x v="0"/>
    <s v="JU-576/25-26"/>
    <n v="9600"/>
    <m/>
  </r>
  <r>
    <d v="2025-11-06T00:00:00"/>
    <x v="306"/>
    <x v="0"/>
    <s v="JU-577/25-26"/>
    <n v="71010"/>
    <m/>
  </r>
  <r>
    <d v="2025-11-06T00:00:00"/>
    <x v="927"/>
    <x v="1"/>
    <s v="J-3491/25-26"/>
    <n v="680"/>
    <m/>
  </r>
  <r>
    <d v="2025-11-06T00:00:00"/>
    <x v="23"/>
    <x v="1"/>
    <s v="J-3492/25-26"/>
    <n v="1700"/>
    <m/>
  </r>
  <r>
    <d v="2025-11-06T00:00:00"/>
    <x v="20"/>
    <x v="1"/>
    <s v="J-3493/25-26"/>
    <n v="1223"/>
    <m/>
  </r>
  <r>
    <d v="2025-11-06T00:00:00"/>
    <x v="266"/>
    <x v="1"/>
    <s v="J-3494/25-26"/>
    <n v="2040"/>
    <m/>
  </r>
  <r>
    <d v="2025-11-06T00:00:00"/>
    <x v="998"/>
    <x v="1"/>
    <s v="J-3495/25-26"/>
    <n v="266"/>
    <m/>
  </r>
  <r>
    <d v="2025-11-06T00:00:00"/>
    <x v="1023"/>
    <x v="1"/>
    <s v="J-3496/25-26"/>
    <n v="6012"/>
    <m/>
  </r>
  <r>
    <d v="2025-11-06T00:00:00"/>
    <x v="79"/>
    <x v="1"/>
    <s v="J-3497/25-26"/>
    <n v="2100"/>
    <m/>
  </r>
  <r>
    <d v="2025-11-06T00:00:00"/>
    <x v="8"/>
    <x v="1"/>
    <s v="J-3498/25-26"/>
    <n v="1616"/>
    <m/>
  </r>
  <r>
    <d v="2025-11-06T00:00:00"/>
    <x v="11"/>
    <x v="1"/>
    <s v="J-3499/25-26"/>
    <n v="32856"/>
    <m/>
  </r>
  <r>
    <d v="2025-11-06T00:00:00"/>
    <x v="1024"/>
    <x v="1"/>
    <s v="J-3500/25-26"/>
    <n v="8015"/>
    <m/>
  </r>
  <r>
    <d v="2025-11-06T00:00:00"/>
    <x v="4"/>
    <x v="1"/>
    <s v="J-3501/25-26"/>
    <n v="3250"/>
    <m/>
  </r>
  <r>
    <d v="2025-11-06T00:00:00"/>
    <x v="297"/>
    <x v="1"/>
    <s v="J-3502/25-26"/>
    <n v="5395"/>
    <m/>
  </r>
  <r>
    <d v="2025-11-06T00:00:00"/>
    <x v="79"/>
    <x v="1"/>
    <s v="J-3503/25-26"/>
    <n v="1700"/>
    <m/>
  </r>
  <r>
    <d v="2025-11-06T00:00:00"/>
    <x v="245"/>
    <x v="1"/>
    <s v="J-3504/25-26"/>
    <n v="3651"/>
    <m/>
  </r>
  <r>
    <d v="2025-11-06T00:00:00"/>
    <x v="11"/>
    <x v="1"/>
    <s v="J-3505/25-26"/>
    <n v="5408"/>
    <m/>
  </r>
  <r>
    <d v="2025-11-06T00:00:00"/>
    <x v="1023"/>
    <x v="1"/>
    <s v="J-3506/25-26"/>
    <n v="12610"/>
    <m/>
  </r>
  <r>
    <d v="2025-11-06T00:00:00"/>
    <x v="11"/>
    <x v="1"/>
    <s v="J-3507/25-26"/>
    <n v="8"/>
    <m/>
  </r>
  <r>
    <d v="2025-11-07T00:00:00"/>
    <x v="604"/>
    <x v="0"/>
    <s v="JU-578/25-26"/>
    <n v="36227"/>
    <m/>
  </r>
  <r>
    <d v="2025-11-07T00:00:00"/>
    <x v="271"/>
    <x v="0"/>
    <s v="JU-579/25-26"/>
    <n v="29575"/>
    <m/>
  </r>
  <r>
    <d v="2025-11-07T00:00:00"/>
    <x v="271"/>
    <x v="0"/>
    <s v="JU-580/25-26"/>
    <n v="555"/>
    <m/>
  </r>
  <r>
    <d v="2025-11-07T00:00:00"/>
    <x v="958"/>
    <x v="0"/>
    <s v="JU-581/25-26"/>
    <n v="14427"/>
    <m/>
  </r>
  <r>
    <d v="2025-11-07T00:00:00"/>
    <x v="1025"/>
    <x v="0"/>
    <s v="JU-582/25-26"/>
    <n v="20575"/>
    <m/>
  </r>
  <r>
    <d v="2025-11-07T00:00:00"/>
    <x v="1016"/>
    <x v="1"/>
    <s v="J-3508/25-26"/>
    <n v="28385"/>
    <m/>
  </r>
  <r>
    <d v="2025-11-07T00:00:00"/>
    <x v="23"/>
    <x v="1"/>
    <s v="J-3509/25-26"/>
    <n v="20900"/>
    <m/>
  </r>
  <r>
    <d v="2025-11-07T00:00:00"/>
    <x v="1026"/>
    <x v="1"/>
    <s v="J-3510/25-26"/>
    <n v="680"/>
    <m/>
  </r>
  <r>
    <d v="2025-11-07T00:00:00"/>
    <x v="4"/>
    <x v="1"/>
    <s v="J-3511/25-26"/>
    <n v="33155"/>
    <m/>
  </r>
  <r>
    <d v="2025-11-07T00:00:00"/>
    <x v="115"/>
    <x v="1"/>
    <s v="J-3512/25-26"/>
    <n v="1295"/>
    <m/>
  </r>
  <r>
    <d v="2025-11-07T00:00:00"/>
    <x v="1027"/>
    <x v="1"/>
    <s v="J-3513/25-26"/>
    <n v="581"/>
    <m/>
  </r>
  <r>
    <d v="2025-11-07T00:00:00"/>
    <x v="20"/>
    <x v="1"/>
    <s v="J-3514/25-26"/>
    <n v="1030"/>
    <m/>
  </r>
  <r>
    <d v="2025-11-07T00:00:00"/>
    <x v="173"/>
    <x v="1"/>
    <s v="J-3515/25-26"/>
    <n v="1675"/>
    <m/>
  </r>
  <r>
    <d v="2025-11-07T00:00:00"/>
    <x v="737"/>
    <x v="1"/>
    <s v="J-3516/25-26"/>
    <n v="37576"/>
    <m/>
  </r>
  <r>
    <d v="2025-11-07T00:00:00"/>
    <x v="11"/>
    <x v="1"/>
    <s v="J-3517/25-26"/>
    <n v="3878"/>
    <m/>
  </r>
  <r>
    <d v="2025-11-07T00:00:00"/>
    <x v="1028"/>
    <x v="1"/>
    <s v="J-3518/25-26"/>
    <n v="2446"/>
    <m/>
  </r>
  <r>
    <d v="2025-11-07T00:00:00"/>
    <x v="1029"/>
    <x v="1"/>
    <s v="J-3519/25-26"/>
    <n v="3435"/>
    <m/>
  </r>
  <r>
    <d v="2025-11-07T00:00:00"/>
    <x v="1030"/>
    <x v="1"/>
    <s v="J-3520/25-26"/>
    <n v="32900"/>
    <m/>
  </r>
  <r>
    <d v="2025-11-07T00:00:00"/>
    <x v="1031"/>
    <x v="1"/>
    <s v="J-3521/25-26"/>
    <n v="2080"/>
    <m/>
  </r>
  <r>
    <d v="2025-11-07T00:00:00"/>
    <x v="548"/>
    <x v="1"/>
    <s v="J-3522/25-26"/>
    <n v="1700"/>
    <m/>
  </r>
  <r>
    <d v="2025-11-07T00:00:00"/>
    <x v="963"/>
    <x v="1"/>
    <s v="J-3523/25-26"/>
    <n v="36210"/>
    <m/>
  </r>
  <r>
    <d v="2025-11-07T00:00:00"/>
    <x v="1026"/>
    <x v="1"/>
    <s v="J-3524/25-26"/>
    <n v="340"/>
    <m/>
  </r>
  <r>
    <d v="2025-11-07T00:00:00"/>
    <x v="436"/>
    <x v="1"/>
    <s v="J-3525/25-26"/>
    <n v="1700"/>
    <m/>
  </r>
  <r>
    <d v="2025-11-07T00:00:00"/>
    <x v="1032"/>
    <x v="1"/>
    <s v="J-3526/25-26"/>
    <n v="40403"/>
    <m/>
  </r>
  <r>
    <d v="2025-11-07T00:00:00"/>
    <x v="893"/>
    <x v="1"/>
    <s v="J-3527/25-26"/>
    <n v="340"/>
    <m/>
  </r>
  <r>
    <d v="2025-11-08T00:00:00"/>
    <x v="64"/>
    <x v="0"/>
    <s v="JU-583/25-26"/>
    <n v="32500"/>
    <m/>
  </r>
  <r>
    <d v="2025-11-08T00:00:00"/>
    <x v="271"/>
    <x v="0"/>
    <s v="JU-584/25-26"/>
    <n v="11910"/>
    <m/>
  </r>
  <r>
    <d v="2025-11-08T00:00:00"/>
    <x v="958"/>
    <x v="0"/>
    <s v="JU-585/25-26"/>
    <n v="9620"/>
    <m/>
  </r>
  <r>
    <d v="2025-11-08T00:00:00"/>
    <x v="290"/>
    <x v="0"/>
    <s v="JU-586/25-26"/>
    <n v="340"/>
    <m/>
  </r>
  <r>
    <d v="2025-11-08T00:00:00"/>
    <x v="11"/>
    <x v="1"/>
    <s v="J-3528/25-26"/>
    <n v="340"/>
    <m/>
  </r>
  <r>
    <d v="2025-11-08T00:00:00"/>
    <x v="597"/>
    <x v="1"/>
    <s v="J-3529/25-26"/>
    <n v="3400"/>
    <m/>
  </r>
  <r>
    <d v="2025-11-08T00:00:00"/>
    <x v="297"/>
    <x v="1"/>
    <s v="J-3530/25-26"/>
    <n v="3400"/>
    <m/>
  </r>
  <r>
    <d v="2025-11-08T00:00:00"/>
    <x v="23"/>
    <x v="1"/>
    <s v="J-3531/25-26"/>
    <n v="1500"/>
    <m/>
  </r>
  <r>
    <d v="2025-11-08T00:00:00"/>
    <x v="166"/>
    <x v="1"/>
    <s v="J-3532/25-26"/>
    <n v="160"/>
    <m/>
  </r>
  <r>
    <d v="2025-11-08T00:00:00"/>
    <x v="582"/>
    <x v="1"/>
    <s v="J-3533/25-26"/>
    <n v="4585"/>
    <m/>
  </r>
  <r>
    <d v="2025-11-08T00:00:00"/>
    <x v="11"/>
    <x v="1"/>
    <s v="J-3534/25-26"/>
    <n v="43"/>
    <m/>
  </r>
  <r>
    <d v="2025-11-08T00:00:00"/>
    <x v="163"/>
    <x v="1"/>
    <s v="J-3535/25-26"/>
    <n v="3055"/>
    <m/>
  </r>
  <r>
    <d v="2025-11-08T00:00:00"/>
    <x v="795"/>
    <x v="1"/>
    <s v="J-3536/25-26"/>
    <n v="1890"/>
    <m/>
  </r>
  <r>
    <d v="2025-11-08T00:00:00"/>
    <x v="91"/>
    <x v="1"/>
    <s v="J-3537/25-26"/>
    <n v="1000"/>
    <m/>
  </r>
  <r>
    <d v="2025-11-08T00:00:00"/>
    <x v="650"/>
    <x v="1"/>
    <s v="J-3538/25-26"/>
    <n v="200"/>
    <m/>
  </r>
  <r>
    <d v="2025-11-08T00:00:00"/>
    <x v="1033"/>
    <x v="1"/>
    <s v="J-3539/25-26"/>
    <n v="5336"/>
    <m/>
  </r>
  <r>
    <d v="2025-11-08T00:00:00"/>
    <x v="11"/>
    <x v="1"/>
    <s v="J-3540/25-26"/>
    <n v="8"/>
    <m/>
  </r>
  <r>
    <d v="2025-11-08T00:00:00"/>
    <x v="669"/>
    <x v="1"/>
    <s v="J-3541/25-26"/>
    <n v="340"/>
    <m/>
  </r>
  <r>
    <d v="2025-11-08T00:00:00"/>
    <x v="1034"/>
    <x v="1"/>
    <s v="J-3542/25-26"/>
    <n v="13237"/>
    <m/>
  </r>
  <r>
    <d v="2025-11-08T00:00:00"/>
    <x v="89"/>
    <x v="1"/>
    <s v="J-3543/25-26"/>
    <n v="3300"/>
    <m/>
  </r>
  <r>
    <d v="2025-11-08T00:00:00"/>
    <x v="170"/>
    <x v="1"/>
    <s v="J-3544/25-26"/>
    <n v="4785"/>
    <m/>
  </r>
  <r>
    <d v="2025-11-08T00:00:00"/>
    <x v="1035"/>
    <x v="1"/>
    <s v="J-3545/25-26"/>
    <n v="15303"/>
    <m/>
  </r>
  <r>
    <d v="2025-11-10T00:00:00"/>
    <x v="305"/>
    <x v="0"/>
    <s v="JU-587/25-26"/>
    <n v="37816"/>
    <m/>
  </r>
  <r>
    <d v="2025-11-10T00:00:00"/>
    <x v="1036"/>
    <x v="0"/>
    <s v="JU-588/25-26"/>
    <n v="2870"/>
    <m/>
  </r>
  <r>
    <d v="2025-11-10T00:00:00"/>
    <x v="32"/>
    <x v="0"/>
    <s v="JU-589/25-26"/>
    <n v="401"/>
    <m/>
  </r>
  <r>
    <d v="2025-11-10T00:00:00"/>
    <x v="306"/>
    <x v="0"/>
    <s v="JU-590/25-26"/>
    <n v="14285"/>
    <m/>
  </r>
  <r>
    <d v="2025-11-10T00:00:00"/>
    <x v="999"/>
    <x v="1"/>
    <s v="J-3546/25-26"/>
    <n v="11375"/>
    <m/>
  </r>
  <r>
    <d v="2025-11-10T00:00:00"/>
    <x v="370"/>
    <x v="1"/>
    <s v="J-3547/25-26"/>
    <n v="64350"/>
    <m/>
  </r>
  <r>
    <d v="2025-11-10T00:00:00"/>
    <x v="245"/>
    <x v="1"/>
    <s v="J-3548/25-26"/>
    <n v="808"/>
    <m/>
  </r>
  <r>
    <d v="2025-11-10T00:00:00"/>
    <x v="1037"/>
    <x v="1"/>
    <s v="J-3549/25-26"/>
    <n v="377"/>
    <m/>
  </r>
  <r>
    <d v="2025-11-10T00:00:00"/>
    <x v="88"/>
    <x v="1"/>
    <s v="J-3550/25-26"/>
    <n v="720"/>
    <m/>
  </r>
  <r>
    <d v="2025-11-10T00:00:00"/>
    <x v="23"/>
    <x v="1"/>
    <s v="J-3551/25-26"/>
    <n v="6600"/>
    <m/>
  </r>
  <r>
    <d v="2025-11-10T00:00:00"/>
    <x v="11"/>
    <x v="1"/>
    <s v="J-3552/25-26"/>
    <n v="20"/>
    <m/>
  </r>
  <r>
    <d v="2025-11-10T00:00:00"/>
    <x v="28"/>
    <x v="1"/>
    <s v="J-3553/25-26"/>
    <n v="14815"/>
    <m/>
  </r>
  <r>
    <d v="2025-11-10T00:00:00"/>
    <x v="597"/>
    <x v="1"/>
    <s v="J-3554/25-26"/>
    <n v="5100"/>
    <m/>
  </r>
  <r>
    <d v="2025-11-10T00:00:00"/>
    <x v="1038"/>
    <x v="1"/>
    <s v="J-3555/25-26"/>
    <n v="2680"/>
    <m/>
  </r>
  <r>
    <d v="2025-11-10T00:00:00"/>
    <x v="11"/>
    <x v="1"/>
    <s v="J-3556/25-26"/>
    <n v="362"/>
    <m/>
  </r>
  <r>
    <d v="2025-11-10T00:00:00"/>
    <x v="163"/>
    <x v="1"/>
    <s v="J-3557/25-26"/>
    <n v="210"/>
    <m/>
  </r>
  <r>
    <d v="2025-11-10T00:00:00"/>
    <x v="1039"/>
    <x v="1"/>
    <s v="J-3558/25-26"/>
    <n v="5263"/>
    <m/>
  </r>
  <r>
    <d v="2025-11-10T00:00:00"/>
    <x v="1040"/>
    <x v="1"/>
    <s v="J-3559/25-26"/>
    <n v="4083"/>
    <m/>
  </r>
  <r>
    <d v="2025-11-10T00:00:00"/>
    <x v="990"/>
    <x v="1"/>
    <s v="J-3560/25-26"/>
    <n v="1700"/>
    <m/>
  </r>
  <r>
    <d v="2025-11-10T00:00:00"/>
    <x v="409"/>
    <x v="1"/>
    <s v="J-3561/25-26"/>
    <n v="64"/>
    <m/>
  </r>
  <r>
    <d v="2025-11-10T00:00:00"/>
    <x v="115"/>
    <x v="1"/>
    <s v="J-3562/25-26"/>
    <n v="12135"/>
    <m/>
  </r>
  <r>
    <d v="2025-11-10T00:00:00"/>
    <x v="595"/>
    <x v="1"/>
    <s v="J-3563/25-26"/>
    <n v="23214"/>
    <m/>
  </r>
  <r>
    <d v="2025-11-10T00:00:00"/>
    <x v="904"/>
    <x v="1"/>
    <s v="J-3564/25-26"/>
    <n v="711"/>
    <m/>
  </r>
  <r>
    <d v="2025-11-11T00:00:00"/>
    <x v="1041"/>
    <x v="0"/>
    <s v="JU-591/25-26"/>
    <n v="67290"/>
    <m/>
  </r>
  <r>
    <d v="2025-11-11T00:00:00"/>
    <x v="1042"/>
    <x v="0"/>
    <s v="JU-592/25-26"/>
    <n v="1436"/>
    <m/>
  </r>
  <r>
    <d v="2025-11-11T00:00:00"/>
    <x v="1043"/>
    <x v="1"/>
    <s v="J-3565/25-26"/>
    <n v="340"/>
    <m/>
  </r>
  <r>
    <d v="2025-11-11T00:00:00"/>
    <x v="28"/>
    <x v="1"/>
    <s v="J-3566/25-26"/>
    <n v="100"/>
    <m/>
  </r>
  <r>
    <d v="2025-11-11T00:00:00"/>
    <x v="245"/>
    <x v="1"/>
    <s v="J-3567/25-26"/>
    <n v="470"/>
    <m/>
  </r>
  <r>
    <d v="2025-11-11T00:00:00"/>
    <x v="170"/>
    <x v="1"/>
    <s v="J-3568/25-26"/>
    <n v="38360"/>
    <m/>
  </r>
  <r>
    <d v="2025-11-11T00:00:00"/>
    <x v="595"/>
    <x v="1"/>
    <s v="J-3569/25-26"/>
    <n v="1820"/>
    <m/>
  </r>
  <r>
    <d v="2025-11-11T00:00:00"/>
    <x v="3"/>
    <x v="1"/>
    <s v="J-3570/25-26"/>
    <n v="680"/>
    <m/>
  </r>
  <r>
    <d v="2025-11-11T00:00:00"/>
    <x v="170"/>
    <x v="1"/>
    <s v="J-3571/25-26"/>
    <n v="1370"/>
    <m/>
  </r>
  <r>
    <d v="2025-11-11T00:00:00"/>
    <x v="1035"/>
    <x v="1"/>
    <s v="J-3572/25-26"/>
    <n v="375"/>
    <m/>
  </r>
  <r>
    <d v="2025-11-11T00:00:00"/>
    <x v="1044"/>
    <x v="1"/>
    <s v="J-3573/25-26"/>
    <n v="9689"/>
    <m/>
  </r>
  <r>
    <d v="2025-11-11T00:00:00"/>
    <x v="1045"/>
    <x v="1"/>
    <s v="J-3574/25-26"/>
    <n v="2037"/>
    <m/>
  </r>
  <r>
    <d v="2025-11-11T00:00:00"/>
    <x v="409"/>
    <x v="1"/>
    <s v="J-3575/25-26"/>
    <n v="2383"/>
    <m/>
  </r>
  <r>
    <d v="2025-11-11T00:00:00"/>
    <x v="91"/>
    <x v="1"/>
    <s v="J-3576/25-26"/>
    <n v="751745"/>
    <m/>
  </r>
  <r>
    <d v="2025-11-11T00:00:00"/>
    <x v="297"/>
    <x v="1"/>
    <s v="J-3577/25-26"/>
    <n v="685"/>
    <m/>
  </r>
  <r>
    <d v="2025-11-11T00:00:00"/>
    <x v="97"/>
    <x v="1"/>
    <s v="J-3578/25-26"/>
    <n v="2451"/>
    <m/>
  </r>
  <r>
    <d v="2025-11-11T00:00:00"/>
    <x v="11"/>
    <x v="1"/>
    <s v="J-3579/25-26"/>
    <n v="340"/>
    <m/>
  </r>
  <r>
    <d v="2025-11-11T00:00:00"/>
    <x v="115"/>
    <x v="1"/>
    <s v="J-3580/25-26"/>
    <n v="1450"/>
    <m/>
  </r>
  <r>
    <d v="2025-11-11T00:00:00"/>
    <x v="1016"/>
    <x v="1"/>
    <s v="J-3581/25-26"/>
    <n v="5529"/>
    <m/>
  </r>
  <r>
    <d v="2025-11-11T00:00:00"/>
    <x v="91"/>
    <x v="1"/>
    <s v="J-3582/25-26"/>
    <n v="7375"/>
    <m/>
  </r>
  <r>
    <d v="2025-11-11T00:00:00"/>
    <x v="332"/>
    <x v="1"/>
    <s v="J-3583/25-26"/>
    <n v="1350"/>
    <m/>
  </r>
  <r>
    <d v="2025-11-12T00:00:00"/>
    <x v="64"/>
    <x v="0"/>
    <s v="JU-593/25-26"/>
    <n v="32500"/>
    <m/>
  </r>
  <r>
    <d v="2025-11-12T00:00:00"/>
    <x v="305"/>
    <x v="0"/>
    <s v="JU-594/25-26"/>
    <n v="6500"/>
    <m/>
  </r>
  <r>
    <d v="2025-11-12T00:00:00"/>
    <x v="271"/>
    <x v="0"/>
    <s v="JU-595/25-26"/>
    <n v="15744"/>
    <m/>
  </r>
  <r>
    <d v="2025-11-12T00:00:00"/>
    <x v="211"/>
    <x v="1"/>
    <s v="J-3584/25-26"/>
    <n v="4080"/>
    <m/>
  </r>
  <r>
    <d v="2025-11-12T00:00:00"/>
    <x v="34"/>
    <x v="1"/>
    <s v="J-3585/25-26"/>
    <n v="15865"/>
    <m/>
  </r>
  <r>
    <d v="2025-11-12T00:00:00"/>
    <x v="1046"/>
    <x v="1"/>
    <s v="J-3586/25-26"/>
    <n v="2621"/>
    <m/>
  </r>
  <r>
    <d v="2025-11-12T00:00:00"/>
    <x v="630"/>
    <x v="1"/>
    <s v="J-3587/25-26"/>
    <n v="8500"/>
    <m/>
  </r>
  <r>
    <d v="2025-11-12T00:00:00"/>
    <x v="4"/>
    <x v="1"/>
    <s v="J-3588/25-26"/>
    <n v="14571"/>
    <m/>
  </r>
  <r>
    <d v="2025-11-12T00:00:00"/>
    <x v="166"/>
    <x v="1"/>
    <s v="J-3589/25-26"/>
    <n v="360"/>
    <m/>
  </r>
  <r>
    <d v="2025-11-12T00:00:00"/>
    <x v="170"/>
    <x v="1"/>
    <s v="J-3590/25-26"/>
    <n v="3675"/>
    <m/>
  </r>
  <r>
    <d v="2025-11-12T00:00:00"/>
    <x v="1047"/>
    <x v="1"/>
    <s v="J-3591/25-26"/>
    <n v="57"/>
    <m/>
  </r>
  <r>
    <d v="2025-11-12T00:00:00"/>
    <x v="1035"/>
    <x v="1"/>
    <s v="J-3592/25-26"/>
    <n v="721"/>
    <m/>
  </r>
  <r>
    <d v="2025-11-12T00:00:00"/>
    <x v="1035"/>
    <x v="1"/>
    <s v="J-3593/25-26"/>
    <n v="50"/>
    <m/>
  </r>
  <r>
    <d v="2025-11-12T00:00:00"/>
    <x v="564"/>
    <x v="1"/>
    <s v="J-3594/25-26"/>
    <n v="6800"/>
    <m/>
  </r>
  <r>
    <d v="2025-11-12T00:00:00"/>
    <x v="1048"/>
    <x v="1"/>
    <s v="J-3595/25-26"/>
    <n v="18238"/>
    <m/>
  </r>
  <r>
    <d v="2025-11-12T00:00:00"/>
    <x v="1008"/>
    <x v="1"/>
    <s v="J-3596/25-26"/>
    <n v="620"/>
    <m/>
  </r>
  <r>
    <d v="2025-11-12T00:00:00"/>
    <x v="89"/>
    <x v="1"/>
    <s v="J-3597/25-26"/>
    <n v="680"/>
    <m/>
  </r>
  <r>
    <d v="2025-11-12T00:00:00"/>
    <x v="11"/>
    <x v="1"/>
    <s v="J-3598/25-26"/>
    <n v="3336"/>
    <m/>
  </r>
  <r>
    <d v="2025-11-12T00:00:00"/>
    <x v="737"/>
    <x v="1"/>
    <s v="J-3599/25-26"/>
    <n v="10432"/>
    <m/>
  </r>
  <r>
    <d v="2025-11-12T00:00:00"/>
    <x v="906"/>
    <x v="1"/>
    <s v="J-3600/25-26"/>
    <n v="1020"/>
    <m/>
  </r>
  <r>
    <d v="2025-11-12T00:00:00"/>
    <x v="868"/>
    <x v="1"/>
    <s v="J-3601/25-26"/>
    <n v="29421"/>
    <m/>
  </r>
  <r>
    <d v="2025-11-12T00:00:00"/>
    <x v="1032"/>
    <x v="1"/>
    <s v="J-3602/25-26"/>
    <n v="1445"/>
    <m/>
  </r>
  <r>
    <d v="2025-11-12T00:00:00"/>
    <x v="8"/>
    <x v="1"/>
    <s v="J-3603/25-26"/>
    <n v="25"/>
    <m/>
  </r>
  <r>
    <d v="2025-11-13T00:00:00"/>
    <x v="204"/>
    <x v="0"/>
    <s v="JU-596/25-26"/>
    <n v="13305"/>
    <m/>
  </r>
  <r>
    <d v="2025-11-13T00:00:00"/>
    <x v="449"/>
    <x v="0"/>
    <s v="JU-597/25-26"/>
    <n v="5322"/>
    <m/>
  </r>
  <r>
    <d v="2025-11-13T00:00:00"/>
    <x v="271"/>
    <x v="0"/>
    <s v="JU-598/25-26"/>
    <n v="3240"/>
    <m/>
  </r>
  <r>
    <d v="2025-11-13T00:00:00"/>
    <x v="1010"/>
    <x v="0"/>
    <s v="JU-599/25-26"/>
    <n v="22367"/>
    <m/>
  </r>
  <r>
    <d v="2025-11-13T00:00:00"/>
    <x v="245"/>
    <x v="1"/>
    <s v="J-3604/25-26"/>
    <n v="34100"/>
    <m/>
  </r>
  <r>
    <d v="2025-11-13T00:00:00"/>
    <x v="11"/>
    <x v="1"/>
    <s v="J-3605/25-26"/>
    <n v="3360"/>
    <m/>
  </r>
  <r>
    <d v="2025-11-13T00:00:00"/>
    <x v="1049"/>
    <x v="1"/>
    <s v="J-3606/25-26"/>
    <n v="63614"/>
    <m/>
  </r>
  <r>
    <d v="2025-11-13T00:00:00"/>
    <x v="11"/>
    <x v="1"/>
    <s v="J-3607/25-26"/>
    <n v="340"/>
    <m/>
  </r>
  <r>
    <d v="2025-11-13T00:00:00"/>
    <x v="1050"/>
    <x v="1"/>
    <s v="J-3608/25-26"/>
    <n v="14477"/>
    <m/>
  </r>
  <r>
    <d v="2025-11-13T00:00:00"/>
    <x v="79"/>
    <x v="1"/>
    <s v="J-3609/25-26"/>
    <n v="1360"/>
    <m/>
  </r>
  <r>
    <d v="2025-11-13T00:00:00"/>
    <x v="630"/>
    <x v="1"/>
    <s v="J-3610/25-26"/>
    <n v="1458"/>
    <m/>
  </r>
  <r>
    <d v="2025-11-13T00:00:00"/>
    <x v="163"/>
    <x v="1"/>
    <s v="J-3611/25-26"/>
    <n v="2408"/>
    <m/>
  </r>
  <r>
    <d v="2025-11-13T00:00:00"/>
    <x v="163"/>
    <x v="1"/>
    <s v="J-3612/25-26"/>
    <n v="12171"/>
    <m/>
  </r>
  <r>
    <d v="2025-11-13T00:00:00"/>
    <x v="1016"/>
    <x v="1"/>
    <s v="J-3613/25-26"/>
    <n v="17073"/>
    <m/>
  </r>
  <r>
    <d v="2025-11-13T00:00:00"/>
    <x v="91"/>
    <x v="1"/>
    <s v="J-3614/25-26"/>
    <n v="10000"/>
    <m/>
  </r>
  <r>
    <d v="2025-11-13T00:00:00"/>
    <x v="470"/>
    <x v="1"/>
    <s v="J-3615/25-26"/>
    <n v="1203"/>
    <m/>
  </r>
  <r>
    <d v="2025-11-13T00:00:00"/>
    <x v="4"/>
    <x v="1"/>
    <s v="J-3616/25-26"/>
    <n v="1445"/>
    <m/>
  </r>
  <r>
    <d v="2025-11-13T00:00:00"/>
    <x v="4"/>
    <x v="1"/>
    <s v="J-3617/25-26"/>
    <n v="1920"/>
    <m/>
  </r>
  <r>
    <d v="2025-11-13T00:00:00"/>
    <x v="1035"/>
    <x v="1"/>
    <s v="J-3618/25-26"/>
    <n v="24943"/>
    <m/>
  </r>
  <r>
    <d v="2025-11-13T00:00:00"/>
    <x v="266"/>
    <x v="1"/>
    <s v="J-3619/25-26"/>
    <n v="765"/>
    <m/>
  </r>
  <r>
    <d v="2025-11-13T00:00:00"/>
    <x v="170"/>
    <x v="1"/>
    <s v="J-3620/25-26"/>
    <n v="9603"/>
    <m/>
  </r>
  <r>
    <d v="2025-11-13T00:00:00"/>
    <x v="927"/>
    <x v="1"/>
    <s v="J-3621/25-26"/>
    <n v="1572"/>
    <m/>
  </r>
  <r>
    <d v="2025-11-13T00:00:00"/>
    <x v="96"/>
    <x v="1"/>
    <s v="J-3622/25-26"/>
    <n v="35717"/>
    <m/>
  </r>
  <r>
    <d v="2025-11-13T00:00:00"/>
    <x v="34"/>
    <x v="1"/>
    <s v="J-3623/25-26"/>
    <n v="660"/>
    <m/>
  </r>
  <r>
    <d v="2025-11-13T00:00:00"/>
    <x v="1051"/>
    <x v="1"/>
    <s v="J-3624/25-26"/>
    <n v="1893"/>
    <m/>
  </r>
  <r>
    <d v="2025-11-13T00:00:00"/>
    <x v="266"/>
    <x v="1"/>
    <s v="J-3625/25-26"/>
    <n v="21147"/>
    <m/>
  </r>
  <r>
    <d v="2025-11-14T00:00:00"/>
    <x v="1052"/>
    <x v="0"/>
    <s v="JU-600/25-26"/>
    <n v="12900"/>
    <m/>
  </r>
  <r>
    <d v="2025-11-14T00:00:00"/>
    <x v="1053"/>
    <x v="1"/>
    <s v="J-3626/25-26"/>
    <n v="2424"/>
    <m/>
  </r>
  <r>
    <d v="2025-11-14T00:00:00"/>
    <x v="900"/>
    <x v="1"/>
    <s v="J-3627/25-26"/>
    <n v="995"/>
    <m/>
  </r>
  <r>
    <d v="2025-11-14T00:00:00"/>
    <x v="968"/>
    <x v="1"/>
    <s v="J-3628/25-26"/>
    <n v="1700"/>
    <m/>
  </r>
  <r>
    <d v="2025-11-14T00:00:00"/>
    <x v="11"/>
    <x v="1"/>
    <s v="J-3629/25-26"/>
    <n v="15"/>
    <m/>
  </r>
  <r>
    <d v="2025-11-14T00:00:00"/>
    <x v="1048"/>
    <x v="1"/>
    <s v="J-3630/25-26"/>
    <n v="15197"/>
    <m/>
  </r>
  <r>
    <d v="2025-11-14T00:00:00"/>
    <x v="1053"/>
    <x v="1"/>
    <s v="J-3631/25-26"/>
    <n v="3538"/>
    <m/>
  </r>
  <r>
    <d v="2025-11-14T00:00:00"/>
    <x v="225"/>
    <x v="1"/>
    <s v="J-3632/25-26"/>
    <n v="8487"/>
    <m/>
  </r>
  <r>
    <d v="2025-11-14T00:00:00"/>
    <x v="963"/>
    <x v="1"/>
    <s v="J-3633/25-26"/>
    <n v="19142"/>
    <m/>
  </r>
  <r>
    <d v="2025-11-14T00:00:00"/>
    <x v="11"/>
    <x v="1"/>
    <s v="J-3634/25-26"/>
    <n v="4310"/>
    <m/>
  </r>
  <r>
    <d v="2025-11-14T00:00:00"/>
    <x v="1009"/>
    <x v="1"/>
    <s v="J-3635/25-26"/>
    <n v="4470"/>
    <m/>
  </r>
  <r>
    <d v="2025-11-14T00:00:00"/>
    <x v="79"/>
    <x v="1"/>
    <s v="J-3636/25-26"/>
    <n v="592"/>
    <m/>
  </r>
  <r>
    <d v="2025-11-14T00:00:00"/>
    <x v="1053"/>
    <x v="1"/>
    <s v="J-3637/25-26"/>
    <n v="441"/>
    <m/>
  </r>
  <r>
    <d v="2025-11-14T00:00:00"/>
    <x v="8"/>
    <x v="1"/>
    <s v="J-3638/25-26"/>
    <n v="375"/>
    <m/>
  </r>
  <r>
    <d v="2025-11-14T00:00:00"/>
    <x v="28"/>
    <x v="1"/>
    <s v="J-3639/25-26"/>
    <n v="737"/>
    <m/>
  </r>
  <r>
    <d v="2025-11-14T00:00:00"/>
    <x v="225"/>
    <x v="1"/>
    <s v="J-3640/25-26"/>
    <n v="48"/>
    <m/>
  </r>
  <r>
    <d v="2025-11-14T00:00:00"/>
    <x v="193"/>
    <x v="1"/>
    <s v="J-3641/25-26"/>
    <n v="485"/>
    <m/>
  </r>
  <r>
    <d v="2025-11-14T00:00:00"/>
    <x v="34"/>
    <x v="1"/>
    <s v="J-3642/25-26"/>
    <n v="27734"/>
    <m/>
  </r>
  <r>
    <d v="2025-11-14T00:00:00"/>
    <x v="297"/>
    <x v="1"/>
    <s v="J-3643/25-26"/>
    <n v="170"/>
    <m/>
  </r>
  <r>
    <d v="2025-11-14T00:00:00"/>
    <x v="1054"/>
    <x v="1"/>
    <s v="J-3644/25-26"/>
    <n v="733"/>
    <m/>
  </r>
  <r>
    <d v="2025-11-14T00:00:00"/>
    <x v="266"/>
    <x v="1"/>
    <s v="J-3645/25-26"/>
    <n v="48"/>
    <m/>
  </r>
  <r>
    <d v="2025-11-14T00:00:00"/>
    <x v="904"/>
    <x v="1"/>
    <s v="J-3646/25-26"/>
    <n v="50"/>
    <m/>
  </r>
  <r>
    <d v="2025-11-15T00:00:00"/>
    <x v="1052"/>
    <x v="0"/>
    <s v="JU-601/25-26"/>
    <n v="2988"/>
    <m/>
  </r>
  <r>
    <d v="2025-11-15T00:00:00"/>
    <x v="689"/>
    <x v="0"/>
    <s v="JU-602/25-26"/>
    <n v="36464"/>
    <m/>
  </r>
  <r>
    <d v="2025-11-15T00:00:00"/>
    <x v="266"/>
    <x v="1"/>
    <s v="J-3647/25-26"/>
    <n v="22425"/>
    <m/>
  </r>
  <r>
    <d v="2025-11-15T00:00:00"/>
    <x v="995"/>
    <x v="1"/>
    <s v="J-3648/25-26"/>
    <n v="14742"/>
    <m/>
  </r>
  <r>
    <d v="2025-11-15T00:00:00"/>
    <x v="868"/>
    <x v="1"/>
    <s v="J-3649/25-26"/>
    <n v="5186"/>
    <m/>
  </r>
  <r>
    <d v="2025-11-15T00:00:00"/>
    <x v="96"/>
    <x v="1"/>
    <s v="J-3650/25-26"/>
    <n v="8948"/>
    <m/>
  </r>
  <r>
    <d v="2025-11-15T00:00:00"/>
    <x v="96"/>
    <x v="1"/>
    <s v="J-3651/25-26"/>
    <n v="120"/>
    <m/>
  </r>
  <r>
    <d v="2025-11-15T00:00:00"/>
    <x v="1055"/>
    <x v="1"/>
    <s v="J-3652/25-26"/>
    <n v="90"/>
    <m/>
  </r>
  <r>
    <d v="2025-11-15T00:00:00"/>
    <x v="4"/>
    <x v="1"/>
    <s v="J-3653/25-26"/>
    <n v="9307"/>
    <m/>
  </r>
  <r>
    <d v="2025-11-15T00:00:00"/>
    <x v="297"/>
    <x v="1"/>
    <s v="J-3654/25-26"/>
    <n v="255"/>
    <m/>
  </r>
  <r>
    <d v="2025-11-15T00:00:00"/>
    <x v="11"/>
    <x v="1"/>
    <s v="J-3655/25-26"/>
    <n v="6"/>
    <m/>
  </r>
  <r>
    <d v="2025-11-15T00:00:00"/>
    <x v="11"/>
    <x v="1"/>
    <s v="J-3656/25-26"/>
    <n v="340"/>
    <m/>
  </r>
  <r>
    <d v="2025-11-15T00:00:00"/>
    <x v="295"/>
    <x v="1"/>
    <s v="J-3657/25-26"/>
    <n v="2068"/>
    <m/>
  </r>
  <r>
    <d v="2025-11-15T00:00:00"/>
    <x v="163"/>
    <x v="1"/>
    <s v="J-3658/25-26"/>
    <n v="6224"/>
    <m/>
  </r>
  <r>
    <d v="2025-11-15T00:00:00"/>
    <x v="163"/>
    <x v="1"/>
    <s v="J-3659/25-26"/>
    <n v="400"/>
    <m/>
  </r>
  <r>
    <d v="2025-11-15T00:00:00"/>
    <x v="297"/>
    <x v="1"/>
    <s v="J-3660/25-26"/>
    <n v="5660"/>
    <m/>
  </r>
  <r>
    <d v="2025-11-15T00:00:00"/>
    <x v="1056"/>
    <x v="1"/>
    <s v="J-3661/25-26"/>
    <n v="5575"/>
    <m/>
  </r>
  <r>
    <d v="2025-11-15T00:00:00"/>
    <x v="88"/>
    <x v="1"/>
    <s v="J-3662/25-26"/>
    <n v="700"/>
    <m/>
  </r>
  <r>
    <d v="2025-11-15T00:00:00"/>
    <x v="55"/>
    <x v="1"/>
    <s v="J-3663/25-26"/>
    <n v="2051"/>
    <m/>
  </r>
  <r>
    <d v="2025-11-15T00:00:00"/>
    <x v="614"/>
    <x v="1"/>
    <s v="J-3664/25-26"/>
    <n v="14000"/>
    <m/>
  </r>
  <r>
    <d v="2025-11-15T00:00:00"/>
    <x v="166"/>
    <x v="1"/>
    <s v="J-3665/25-26"/>
    <n v="340"/>
    <m/>
  </r>
  <r>
    <d v="2025-11-15T00:00:00"/>
    <x v="1057"/>
    <x v="1"/>
    <s v="J-3666/25-26"/>
    <n v="150"/>
    <m/>
  </r>
  <r>
    <d v="2025-11-16T00:00:00"/>
    <x v="297"/>
    <x v="1"/>
    <s v="J-3667/25-26"/>
    <n v="19800"/>
    <m/>
  </r>
  <r>
    <d v="2025-11-16T00:00:00"/>
    <x v="11"/>
    <x v="1"/>
    <s v="J-3668/25-26"/>
    <n v="340"/>
    <m/>
  </r>
  <r>
    <d v="2025-11-17T00:00:00"/>
    <x v="305"/>
    <x v="0"/>
    <s v="JU-603/25-26"/>
    <n v="22910"/>
    <m/>
  </r>
  <r>
    <d v="2025-11-17T00:00:00"/>
    <x v="305"/>
    <x v="0"/>
    <s v="JU-604/25-26"/>
    <n v="19383"/>
    <m/>
  </r>
  <r>
    <d v="2025-11-17T00:00:00"/>
    <x v="979"/>
    <x v="0"/>
    <s v="JU-605/25-26"/>
    <n v="11254"/>
    <m/>
  </r>
  <r>
    <d v="2025-11-17T00:00:00"/>
    <x v="321"/>
    <x v="0"/>
    <s v="JU-606/25-26"/>
    <n v="4952"/>
    <m/>
  </r>
  <r>
    <d v="2025-11-17T00:00:00"/>
    <x v="1010"/>
    <x v="0"/>
    <s v="JU-607/25-26"/>
    <n v="2990"/>
    <m/>
  </r>
  <r>
    <d v="2025-11-17T00:00:00"/>
    <x v="1058"/>
    <x v="0"/>
    <s v="JU-608/25-26"/>
    <n v="12845"/>
    <m/>
  </r>
  <r>
    <d v="2025-11-17T00:00:00"/>
    <x v="861"/>
    <x v="1"/>
    <s v="J-3669/25-26"/>
    <n v="3400"/>
    <m/>
  </r>
  <r>
    <d v="2025-11-17T00:00:00"/>
    <x v="23"/>
    <x v="1"/>
    <s v="J-3670/25-26"/>
    <n v="9817"/>
    <m/>
  </r>
  <r>
    <d v="2025-11-17T00:00:00"/>
    <x v="79"/>
    <x v="1"/>
    <s v="J-3671/25-26"/>
    <n v="680"/>
    <m/>
  </r>
  <r>
    <d v="2025-11-17T00:00:00"/>
    <x v="620"/>
    <x v="1"/>
    <s v="J-3672/25-26"/>
    <n v="1110"/>
    <m/>
  </r>
  <r>
    <d v="2025-11-17T00:00:00"/>
    <x v="370"/>
    <x v="1"/>
    <s v="J-3673/25-26"/>
    <n v="1450"/>
    <m/>
  </r>
  <r>
    <d v="2025-11-17T00:00:00"/>
    <x v="1059"/>
    <x v="1"/>
    <s v="J-3674/25-26"/>
    <n v="3400"/>
    <m/>
  </r>
  <r>
    <d v="2025-11-17T00:00:00"/>
    <x v="3"/>
    <x v="1"/>
    <s v="J-3675/25-26"/>
    <n v="5815"/>
    <m/>
  </r>
  <r>
    <d v="2025-11-17T00:00:00"/>
    <x v="4"/>
    <x v="1"/>
    <s v="J-3676/25-26"/>
    <n v="8190"/>
    <m/>
  </r>
  <r>
    <d v="2025-11-17T00:00:00"/>
    <x v="34"/>
    <x v="1"/>
    <s v="J-3677/25-26"/>
    <n v="4681"/>
    <m/>
  </r>
  <r>
    <d v="2025-11-17T00:00:00"/>
    <x v="1033"/>
    <x v="1"/>
    <s v="J-3678/25-26"/>
    <n v="25940"/>
    <m/>
  </r>
  <r>
    <d v="2025-11-17T00:00:00"/>
    <x v="1060"/>
    <x v="1"/>
    <s v="J-3679/25-26"/>
    <n v="4404"/>
    <m/>
  </r>
  <r>
    <d v="2025-11-17T00:00:00"/>
    <x v="163"/>
    <x v="1"/>
    <s v="J-3680/25-26"/>
    <n v="1764"/>
    <m/>
  </r>
  <r>
    <d v="2025-11-17T00:00:00"/>
    <x v="1061"/>
    <x v="1"/>
    <s v="J-3681/25-26"/>
    <n v="16357"/>
    <m/>
  </r>
  <r>
    <d v="2025-11-17T00:00:00"/>
    <x v="968"/>
    <x v="1"/>
    <s v="J-3682/25-26"/>
    <n v="1700"/>
    <m/>
  </r>
  <r>
    <d v="2025-11-17T00:00:00"/>
    <x v="1062"/>
    <x v="1"/>
    <s v="J-3683/25-26"/>
    <n v="7346"/>
    <m/>
  </r>
  <r>
    <d v="2025-11-17T00:00:00"/>
    <x v="1048"/>
    <x v="1"/>
    <s v="J-3684/25-26"/>
    <n v="3554"/>
    <m/>
  </r>
  <r>
    <d v="2025-11-17T00:00:00"/>
    <x v="205"/>
    <x v="1"/>
    <s v="J-3685/25-26"/>
    <n v="2072"/>
    <m/>
  </r>
  <r>
    <d v="2025-11-17T00:00:00"/>
    <x v="225"/>
    <x v="1"/>
    <s v="J-3686/25-26"/>
    <n v="4215"/>
    <m/>
  </r>
  <r>
    <d v="2025-11-17T00:00:00"/>
    <x v="995"/>
    <x v="1"/>
    <s v="J-3687/25-26"/>
    <n v="700"/>
    <m/>
  </r>
  <r>
    <d v="2025-11-17T00:00:00"/>
    <x v="3"/>
    <x v="1"/>
    <s v="J-3688/25-26"/>
    <n v="614"/>
    <m/>
  </r>
  <r>
    <d v="2025-11-17T00:00:00"/>
    <x v="91"/>
    <x v="1"/>
    <s v="J-3689/25-26"/>
    <n v="92108"/>
    <m/>
  </r>
  <r>
    <d v="2025-11-17T00:00:00"/>
    <x v="115"/>
    <x v="1"/>
    <s v="J-3690/25-26"/>
    <n v="1537"/>
    <m/>
  </r>
  <r>
    <d v="2025-11-17T00:00:00"/>
    <x v="79"/>
    <x v="1"/>
    <s v="J-3691/25-26"/>
    <n v="1700"/>
    <m/>
  </r>
  <r>
    <d v="2025-11-17T00:00:00"/>
    <x v="1063"/>
    <x v="1"/>
    <s v="J-3692/25-26"/>
    <n v="6900"/>
    <m/>
  </r>
  <r>
    <d v="2025-11-17T00:00:00"/>
    <x v="170"/>
    <x v="1"/>
    <s v="J-3693/25-26"/>
    <n v="119"/>
    <m/>
  </r>
  <r>
    <d v="2025-11-17T00:00:00"/>
    <x v="550"/>
    <x v="1"/>
    <s v="J-3694/25-26"/>
    <n v="8858"/>
    <m/>
  </r>
  <r>
    <d v="2025-11-17T00:00:00"/>
    <x v="225"/>
    <x v="1"/>
    <s v="J-3695/25-26"/>
    <n v="1437"/>
    <m/>
  </r>
  <r>
    <d v="2025-11-17T00:00:00"/>
    <x v="1064"/>
    <x v="1"/>
    <s v="J-3696/25-26"/>
    <n v="100"/>
    <m/>
  </r>
  <r>
    <d v="2025-11-18T00:00:00"/>
    <x v="391"/>
    <x v="0"/>
    <s v="JU-609/25-26"/>
    <n v="1838"/>
    <m/>
  </r>
  <r>
    <d v="2025-11-18T00:00:00"/>
    <x v="64"/>
    <x v="0"/>
    <s v="JU-610/25-26"/>
    <n v="30588"/>
    <m/>
  </r>
  <r>
    <d v="2025-11-18T00:00:00"/>
    <x v="1065"/>
    <x v="0"/>
    <s v="JU-611/25-26"/>
    <n v="17570"/>
    <m/>
  </r>
  <r>
    <d v="2025-11-18T00:00:00"/>
    <x v="1065"/>
    <x v="0"/>
    <s v="JU-612/25-26"/>
    <n v="1440"/>
    <m/>
  </r>
  <r>
    <d v="2025-11-18T00:00:00"/>
    <x v="958"/>
    <x v="0"/>
    <s v="JU-613/25-26"/>
    <n v="9426"/>
    <m/>
  </r>
  <r>
    <d v="2025-11-18T00:00:00"/>
    <x v="1052"/>
    <x v="0"/>
    <s v="JU-614/25-26"/>
    <n v="352"/>
    <m/>
  </r>
  <r>
    <d v="2025-11-18T00:00:00"/>
    <x v="513"/>
    <x v="0"/>
    <s v="JU-615/25-26"/>
    <n v="7950"/>
    <m/>
  </r>
  <r>
    <d v="2025-11-18T00:00:00"/>
    <x v="14"/>
    <x v="0"/>
    <s v="JU-616/25-26"/>
    <n v="825"/>
    <m/>
  </r>
  <r>
    <d v="2025-11-18T00:00:00"/>
    <x v="833"/>
    <x v="1"/>
    <s v="J-3697/25-26"/>
    <n v="3825"/>
    <m/>
  </r>
  <r>
    <d v="2025-11-18T00:00:00"/>
    <x v="1061"/>
    <x v="1"/>
    <s v="J-3698/25-26"/>
    <n v="6800"/>
    <m/>
  </r>
  <r>
    <d v="2025-11-18T00:00:00"/>
    <x v="11"/>
    <x v="1"/>
    <s v="J-3699/25-26"/>
    <n v="340"/>
    <m/>
  </r>
  <r>
    <d v="2025-11-18T00:00:00"/>
    <x v="1066"/>
    <x v="1"/>
    <s v="J-3700/25-26"/>
    <n v="19650"/>
    <m/>
  </r>
  <r>
    <d v="2025-11-18T00:00:00"/>
    <x v="1033"/>
    <x v="1"/>
    <s v="J-3701/25-26"/>
    <n v="22300"/>
    <m/>
  </r>
  <r>
    <d v="2025-11-18T00:00:00"/>
    <x v="225"/>
    <x v="1"/>
    <s v="J-3702/25-26"/>
    <n v="4644"/>
    <m/>
  </r>
  <r>
    <d v="2025-11-18T00:00:00"/>
    <x v="91"/>
    <x v="1"/>
    <s v="J-3703/25-26"/>
    <n v="302250"/>
    <m/>
  </r>
  <r>
    <d v="2025-11-18T00:00:00"/>
    <x v="1060"/>
    <x v="1"/>
    <s v="J-3704/25-26"/>
    <n v="5165"/>
    <m/>
  </r>
  <r>
    <d v="2025-11-18T00:00:00"/>
    <x v="1060"/>
    <x v="1"/>
    <s v="J-3705/25-26"/>
    <n v="90"/>
    <m/>
  </r>
  <r>
    <d v="2025-11-18T00:00:00"/>
    <x v="225"/>
    <x v="1"/>
    <s v="J-3706/25-26"/>
    <n v="2112"/>
    <m/>
  </r>
  <r>
    <d v="2025-11-18T00:00:00"/>
    <x v="1067"/>
    <x v="1"/>
    <s v="J-3707/25-26"/>
    <n v="5884"/>
    <m/>
  </r>
  <r>
    <d v="2025-11-18T00:00:00"/>
    <x v="1068"/>
    <x v="1"/>
    <s v="J-3708/25-26"/>
    <n v="14460"/>
    <m/>
  </r>
  <r>
    <d v="2025-11-18T00:00:00"/>
    <x v="1069"/>
    <x v="1"/>
    <s v="J-3709/25-26"/>
    <n v="64"/>
    <m/>
  </r>
  <r>
    <d v="2025-11-18T00:00:00"/>
    <x v="1070"/>
    <x v="1"/>
    <s v="J-3710/25-26"/>
    <n v="32936"/>
    <m/>
  </r>
  <r>
    <d v="2025-11-18T00:00:00"/>
    <x v="1071"/>
    <x v="1"/>
    <s v="J-3711/25-26"/>
    <n v="205"/>
    <m/>
  </r>
  <r>
    <d v="2025-11-19T00:00:00"/>
    <x v="689"/>
    <x v="0"/>
    <s v="JU-617/25-26"/>
    <n v="9250"/>
    <m/>
  </r>
  <r>
    <d v="2025-11-19T00:00:00"/>
    <x v="819"/>
    <x v="1"/>
    <s v="J-3712/25-26"/>
    <n v="340"/>
    <m/>
  </r>
  <r>
    <d v="2025-11-19T00:00:00"/>
    <x v="596"/>
    <x v="1"/>
    <s v="J-3713/25-26"/>
    <n v="8250"/>
    <m/>
  </r>
  <r>
    <d v="2025-11-19T00:00:00"/>
    <x v="1049"/>
    <x v="1"/>
    <s v="J-3714/25-26"/>
    <n v="15384"/>
    <m/>
  </r>
  <r>
    <d v="2025-11-19T00:00:00"/>
    <x v="84"/>
    <x v="1"/>
    <s v="J-3715/25-26"/>
    <n v="22603"/>
    <m/>
  </r>
  <r>
    <d v="2025-11-19T00:00:00"/>
    <x v="11"/>
    <x v="1"/>
    <s v="J-3716/25-26"/>
    <n v="370"/>
    <m/>
  </r>
  <r>
    <d v="2025-11-19T00:00:00"/>
    <x v="990"/>
    <x v="1"/>
    <s v="J-3717/25-26"/>
    <n v="3692"/>
    <m/>
  </r>
  <r>
    <d v="2025-11-19T00:00:00"/>
    <x v="1072"/>
    <x v="1"/>
    <s v="J-3718/25-26"/>
    <n v="60"/>
    <m/>
  </r>
  <r>
    <d v="2025-11-19T00:00:00"/>
    <x v="729"/>
    <x v="1"/>
    <s v="J-3719/25-26"/>
    <n v="340"/>
    <m/>
  </r>
  <r>
    <d v="2025-11-19T00:00:00"/>
    <x v="34"/>
    <x v="1"/>
    <s v="J-3720/25-26"/>
    <n v="24566"/>
    <m/>
  </r>
  <r>
    <d v="2025-11-19T00:00:00"/>
    <x v="1033"/>
    <x v="1"/>
    <s v="J-3721/25-26"/>
    <n v="8954"/>
    <m/>
  </r>
  <r>
    <d v="2025-11-19T00:00:00"/>
    <x v="88"/>
    <x v="1"/>
    <s v="J-3722/25-26"/>
    <n v="23930"/>
    <m/>
  </r>
  <r>
    <d v="2025-11-19T00:00:00"/>
    <x v="990"/>
    <x v="1"/>
    <s v="J-3723/25-26"/>
    <n v="12027"/>
    <m/>
  </r>
  <r>
    <d v="2025-11-19T00:00:00"/>
    <x v="147"/>
    <x v="1"/>
    <s v="J-3724/25-26"/>
    <n v="400"/>
    <m/>
  </r>
  <r>
    <d v="2025-11-19T00:00:00"/>
    <x v="1073"/>
    <x v="1"/>
    <s v="J-3725/25-26"/>
    <n v="322"/>
    <m/>
  </r>
  <r>
    <d v="2025-11-19T00:00:00"/>
    <x v="840"/>
    <x v="1"/>
    <s v="J-3726/25-26"/>
    <n v="275"/>
    <m/>
  </r>
  <r>
    <d v="2025-11-19T00:00:00"/>
    <x v="1062"/>
    <x v="1"/>
    <s v="J-3727/25-26"/>
    <n v="262"/>
    <m/>
  </r>
  <r>
    <d v="2025-11-19T00:00:00"/>
    <x v="115"/>
    <x v="1"/>
    <s v="J-3728/25-26"/>
    <n v="125"/>
    <m/>
  </r>
  <r>
    <d v="2025-11-19T00:00:00"/>
    <x v="819"/>
    <x v="1"/>
    <s v="J-3729/25-26"/>
    <n v="340"/>
    <m/>
  </r>
  <r>
    <d v="2025-11-19T00:00:00"/>
    <x v="11"/>
    <x v="1"/>
    <s v="J-3730/25-26"/>
    <n v="1105"/>
    <m/>
  </r>
  <r>
    <d v="2025-11-19T00:00:00"/>
    <x v="11"/>
    <x v="1"/>
    <s v="J-3731/25-26"/>
    <n v="4420"/>
    <m/>
  </r>
  <r>
    <d v="2025-11-19T00:00:00"/>
    <x v="548"/>
    <x v="1"/>
    <s v="J-3732/25-26"/>
    <n v="28454"/>
    <m/>
  </r>
  <r>
    <d v="2025-11-19T00:00:00"/>
    <x v="11"/>
    <x v="1"/>
    <s v="J-3733/25-26"/>
    <n v="20"/>
    <m/>
  </r>
  <r>
    <d v="2025-11-20T00:00:00"/>
    <x v="305"/>
    <x v="0"/>
    <s v="JU-618/25-26"/>
    <n v="110979"/>
    <m/>
  </r>
  <r>
    <d v="2025-11-20T00:00:00"/>
    <x v="958"/>
    <x v="0"/>
    <s v="JU-619/25-26"/>
    <n v="6268"/>
    <m/>
  </r>
  <r>
    <d v="2025-11-20T00:00:00"/>
    <x v="449"/>
    <x v="0"/>
    <s v="JU-620/25-26"/>
    <n v="64860"/>
    <m/>
  </r>
  <r>
    <d v="2025-11-20T00:00:00"/>
    <x v="89"/>
    <x v="1"/>
    <s v="J-3734/25-26"/>
    <n v="6592"/>
    <m/>
  </r>
  <r>
    <d v="2025-11-20T00:00:00"/>
    <x v="928"/>
    <x v="1"/>
    <s v="J-3735/25-26"/>
    <n v="6600"/>
    <m/>
  </r>
  <r>
    <d v="2025-11-20T00:00:00"/>
    <x v="285"/>
    <x v="1"/>
    <s v="J-3736/25-26"/>
    <n v="1360"/>
    <m/>
  </r>
  <r>
    <d v="2025-11-20T00:00:00"/>
    <x v="1074"/>
    <x v="1"/>
    <s v="J-3737/25-26"/>
    <n v="3543"/>
    <m/>
  </r>
  <r>
    <d v="2025-11-20T00:00:00"/>
    <x v="25"/>
    <x v="1"/>
    <s v="J-3738/25-26"/>
    <n v="190"/>
    <m/>
  </r>
  <r>
    <d v="2025-11-20T00:00:00"/>
    <x v="524"/>
    <x v="1"/>
    <s v="J-3739/25-26"/>
    <n v="2932"/>
    <m/>
  </r>
  <r>
    <d v="2025-11-20T00:00:00"/>
    <x v="170"/>
    <x v="1"/>
    <s v="J-3740/25-26"/>
    <n v="33390"/>
    <m/>
  </r>
  <r>
    <d v="2025-11-20T00:00:00"/>
    <x v="225"/>
    <x v="1"/>
    <s v="J-3741/25-26"/>
    <n v="4844"/>
    <m/>
  </r>
  <r>
    <d v="2025-11-20T00:00:00"/>
    <x v="1075"/>
    <x v="1"/>
    <s v="J-3742/25-26"/>
    <n v="8977"/>
    <m/>
  </r>
  <r>
    <d v="2025-11-20T00:00:00"/>
    <x v="1076"/>
    <x v="1"/>
    <s v="J-3743/25-26"/>
    <n v="8722"/>
    <m/>
  </r>
  <r>
    <d v="2025-11-20T00:00:00"/>
    <x v="597"/>
    <x v="1"/>
    <s v="J-3744/25-26"/>
    <n v="5744"/>
    <m/>
  </r>
  <r>
    <d v="2025-11-20T00:00:00"/>
    <x v="470"/>
    <x v="1"/>
    <s v="J-3745/25-26"/>
    <n v="5830"/>
    <m/>
  </r>
  <r>
    <d v="2025-11-20T00:00:00"/>
    <x v="1077"/>
    <x v="1"/>
    <s v="J-3746/25-26"/>
    <n v="5097"/>
    <m/>
  </r>
  <r>
    <d v="2025-11-20T00:00:00"/>
    <x v="370"/>
    <x v="1"/>
    <s v="J-3747/25-26"/>
    <n v="59369"/>
    <m/>
  </r>
  <r>
    <d v="2025-11-20T00:00:00"/>
    <x v="9"/>
    <x v="1"/>
    <s v="J-3748/25-26"/>
    <n v="1456"/>
    <m/>
  </r>
  <r>
    <d v="2025-11-20T00:00:00"/>
    <x v="928"/>
    <x v="1"/>
    <s v="J-3749/25-26"/>
    <n v="1680"/>
    <m/>
  </r>
  <r>
    <d v="2025-11-20T00:00:00"/>
    <x v="1078"/>
    <x v="1"/>
    <s v="J-3750/25-26"/>
    <n v="340"/>
    <m/>
  </r>
  <r>
    <d v="2025-11-20T00:00:00"/>
    <x v="637"/>
    <x v="1"/>
    <s v="J-3751/25-26"/>
    <n v="5337"/>
    <m/>
  </r>
  <r>
    <d v="2025-11-20T00:00:00"/>
    <x v="225"/>
    <x v="1"/>
    <s v="J-3752/25-26"/>
    <n v="481"/>
    <m/>
  </r>
  <r>
    <d v="2025-11-20T00:00:00"/>
    <x v="620"/>
    <x v="1"/>
    <s v="J-3753/25-26"/>
    <n v="968"/>
    <m/>
  </r>
  <r>
    <d v="2025-11-20T00:00:00"/>
    <x v="1033"/>
    <x v="1"/>
    <s v="J-3754/25-26"/>
    <n v="964"/>
    <m/>
  </r>
  <r>
    <d v="2025-11-20T00:00:00"/>
    <x v="313"/>
    <x v="1"/>
    <s v="J-3755/25-26"/>
    <n v="1020"/>
    <m/>
  </r>
  <r>
    <d v="2025-11-20T00:00:00"/>
    <x v="1076"/>
    <x v="1"/>
    <s v="J-3756/25-26"/>
    <n v="1434"/>
    <m/>
  </r>
  <r>
    <d v="2025-11-20T00:00:00"/>
    <x v="550"/>
    <x v="1"/>
    <s v="J-3757/25-26"/>
    <n v="60"/>
    <m/>
  </r>
  <r>
    <d v="2025-11-20T00:00:00"/>
    <x v="173"/>
    <x v="1"/>
    <s v="J-3758/25-26"/>
    <n v="173"/>
    <m/>
  </r>
  <r>
    <d v="2025-11-20T00:00:00"/>
    <x v="533"/>
    <x v="1"/>
    <s v="J-3759/25-26"/>
    <n v="260"/>
    <m/>
  </r>
  <r>
    <d v="2025-11-20T00:00:00"/>
    <x v="626"/>
    <x v="1"/>
    <s v="J-3760/25-26"/>
    <n v="17702"/>
    <m/>
  </r>
  <r>
    <d v="2025-11-20T00:00:00"/>
    <x v="1070"/>
    <x v="1"/>
    <s v="J-3761/25-26"/>
    <n v="1290"/>
    <m/>
  </r>
  <r>
    <d v="2025-11-21T00:00:00"/>
    <x v="305"/>
    <x v="0"/>
    <s v="JU-621/25-26"/>
    <n v="2640"/>
    <m/>
  </r>
  <r>
    <d v="2025-11-21T00:00:00"/>
    <x v="670"/>
    <x v="0"/>
    <s v="JU-622/25-26"/>
    <n v="3300"/>
    <m/>
  </r>
  <r>
    <d v="2025-11-21T00:00:00"/>
    <x v="1065"/>
    <x v="0"/>
    <s v="JU-623/25-26"/>
    <n v="1974"/>
    <m/>
  </r>
  <r>
    <d v="2025-11-21T00:00:00"/>
    <x v="1052"/>
    <x v="0"/>
    <s v="JU-624/25-26"/>
    <n v="240"/>
    <m/>
  </r>
  <r>
    <d v="2025-11-21T00:00:00"/>
    <x v="1011"/>
    <x v="1"/>
    <s v="J-3762/25-26"/>
    <n v="1120"/>
    <m/>
  </r>
  <r>
    <d v="2025-11-21T00:00:00"/>
    <x v="1079"/>
    <x v="1"/>
    <s v="J-3763/25-26"/>
    <n v="829"/>
    <m/>
  </r>
  <r>
    <d v="2025-11-21T00:00:00"/>
    <x v="20"/>
    <x v="1"/>
    <s v="J-3764/25-26"/>
    <n v="12457"/>
    <m/>
  </r>
  <r>
    <d v="2025-11-21T00:00:00"/>
    <x v="1049"/>
    <x v="1"/>
    <s v="J-3765/25-26"/>
    <n v="12537"/>
    <m/>
  </r>
  <r>
    <d v="2025-11-21T00:00:00"/>
    <x v="295"/>
    <x v="1"/>
    <s v="J-3766/25-26"/>
    <n v="2640"/>
    <m/>
  </r>
  <r>
    <d v="2025-11-21T00:00:00"/>
    <x v="747"/>
    <x v="1"/>
    <s v="J-3767/25-26"/>
    <n v="5440.0079999999998"/>
    <m/>
  </r>
  <r>
    <d v="2025-11-21T00:00:00"/>
    <x v="29"/>
    <x v="1"/>
    <s v="J-3768/25-26"/>
    <n v="680"/>
    <m/>
  </r>
  <r>
    <d v="2025-11-21T00:00:00"/>
    <x v="11"/>
    <x v="1"/>
    <s v="J-3769/25-26"/>
    <n v="3400"/>
    <m/>
  </r>
  <r>
    <d v="2025-11-21T00:00:00"/>
    <x v="1080"/>
    <x v="1"/>
    <s v="J-3770/25-26"/>
    <n v="1360"/>
    <m/>
  </r>
  <r>
    <d v="2025-11-21T00:00:00"/>
    <x v="25"/>
    <x v="1"/>
    <s v="J-3771/25-26"/>
    <n v="2291"/>
    <m/>
  </r>
  <r>
    <d v="2025-11-21T00:00:00"/>
    <x v="1077"/>
    <x v="1"/>
    <s v="J-3772/25-26"/>
    <n v="220"/>
    <m/>
  </r>
  <r>
    <d v="2025-11-21T00:00:00"/>
    <x v="1081"/>
    <x v="1"/>
    <s v="J-3773/25-26"/>
    <n v="7307"/>
    <m/>
  </r>
  <r>
    <d v="2025-11-21T00:00:00"/>
    <x v="928"/>
    <x v="1"/>
    <s v="J-3774/25-26"/>
    <n v="1680"/>
    <m/>
  </r>
  <r>
    <d v="2025-11-21T00:00:00"/>
    <x v="1033"/>
    <x v="1"/>
    <s v="J-3775/25-26"/>
    <n v="60"/>
    <m/>
  </r>
  <r>
    <d v="2025-11-21T00:00:00"/>
    <x v="193"/>
    <x v="1"/>
    <s v="J-3776/25-26"/>
    <n v="226"/>
    <m/>
  </r>
  <r>
    <d v="2025-11-21T00:00:00"/>
    <x v="34"/>
    <x v="1"/>
    <s v="J-3777/25-26"/>
    <n v="1505"/>
    <m/>
  </r>
  <r>
    <d v="2025-11-21T00:00:00"/>
    <x v="850"/>
    <x v="1"/>
    <s v="J-3778/25-26"/>
    <n v="49089"/>
    <m/>
  </r>
  <r>
    <d v="2025-11-22T00:00:00"/>
    <x v="64"/>
    <x v="0"/>
    <s v="JU-625/25-26"/>
    <n v="860"/>
    <m/>
  </r>
  <r>
    <d v="2025-11-22T00:00:00"/>
    <x v="15"/>
    <x v="0"/>
    <s v="JU-626/25-26"/>
    <n v="4690"/>
    <m/>
  </r>
  <r>
    <d v="2025-11-22T00:00:00"/>
    <x v="1082"/>
    <x v="1"/>
    <s v="J-3779/25-26"/>
    <n v="2830"/>
    <m/>
  </r>
  <r>
    <d v="2025-11-22T00:00:00"/>
    <x v="91"/>
    <x v="1"/>
    <s v="J-3780/25-26"/>
    <n v="2125"/>
    <m/>
  </r>
  <r>
    <d v="2025-11-22T00:00:00"/>
    <x v="370"/>
    <x v="1"/>
    <s v="J-3781/25-26"/>
    <n v="380"/>
    <m/>
  </r>
  <r>
    <d v="2025-11-22T00:00:00"/>
    <x v="20"/>
    <x v="1"/>
    <s v="J-3782/25-26"/>
    <n v="1494"/>
    <m/>
  </r>
  <r>
    <d v="2025-11-22T00:00:00"/>
    <x v="1051"/>
    <x v="1"/>
    <s v="J-3783/25-26"/>
    <n v="5750"/>
    <m/>
  </r>
  <r>
    <d v="2025-11-22T00:00:00"/>
    <x v="11"/>
    <x v="1"/>
    <s v="J-3784/25-26"/>
    <n v="1180"/>
    <m/>
  </r>
  <r>
    <d v="2025-11-22T00:00:00"/>
    <x v="948"/>
    <x v="1"/>
    <s v="J-3785/25-26"/>
    <n v="22756"/>
    <m/>
  </r>
  <r>
    <d v="2025-11-22T00:00:00"/>
    <x v="1083"/>
    <x v="1"/>
    <s v="J-3786/25-26"/>
    <n v="4490"/>
    <m/>
  </r>
  <r>
    <d v="2025-11-22T00:00:00"/>
    <x v="1084"/>
    <x v="1"/>
    <s v="J-3787/25-26"/>
    <n v="340"/>
    <m/>
  </r>
  <r>
    <d v="2025-11-22T00:00:00"/>
    <x v="1016"/>
    <x v="1"/>
    <s v="J-3788/25-26"/>
    <n v="785"/>
    <m/>
  </r>
  <r>
    <d v="2025-11-22T00:00:00"/>
    <x v="20"/>
    <x v="1"/>
    <s v="J-3789/25-26"/>
    <n v="7332"/>
    <m/>
  </r>
  <r>
    <d v="2025-11-22T00:00:00"/>
    <x v="1085"/>
    <x v="1"/>
    <s v="J-3790/25-26"/>
    <n v="18930"/>
    <m/>
  </r>
  <r>
    <d v="2025-11-22T00:00:00"/>
    <x v="1086"/>
    <x v="1"/>
    <s v="J-3791/25-26"/>
    <n v="15927"/>
    <m/>
  </r>
  <r>
    <d v="2025-11-22T00:00:00"/>
    <x v="597"/>
    <x v="1"/>
    <s v="J-3792/25-26"/>
    <n v="680"/>
    <m/>
  </r>
  <r>
    <d v="2025-11-24T00:00:00"/>
    <x v="1087"/>
    <x v="0"/>
    <s v="JU-627/25-26"/>
    <n v="15271"/>
    <m/>
  </r>
  <r>
    <d v="2025-11-24T00:00:00"/>
    <x v="87"/>
    <x v="0"/>
    <s v="JU-628/25-26"/>
    <n v="5940"/>
    <m/>
  </r>
  <r>
    <d v="2025-11-24T00:00:00"/>
    <x v="305"/>
    <x v="0"/>
    <s v="JU-629/25-26"/>
    <n v="765"/>
    <m/>
  </r>
  <r>
    <d v="2025-11-24T00:00:00"/>
    <x v="1085"/>
    <x v="1"/>
    <s v="J-3793/25-26"/>
    <n v="8250"/>
    <m/>
  </r>
  <r>
    <d v="2025-11-24T00:00:00"/>
    <x v="30"/>
    <x v="1"/>
    <s v="J-3794/25-26"/>
    <n v="1650"/>
    <m/>
  </r>
  <r>
    <d v="2025-11-24T00:00:00"/>
    <x v="477"/>
    <x v="1"/>
    <s v="J-3795/25-26"/>
    <n v="930"/>
    <m/>
  </r>
  <r>
    <d v="2025-11-24T00:00:00"/>
    <x v="104"/>
    <x v="1"/>
    <s v="J-3796/25-26"/>
    <n v="128"/>
    <m/>
  </r>
  <r>
    <d v="2025-11-24T00:00:00"/>
    <x v="247"/>
    <x v="1"/>
    <s v="J-3797/25-26"/>
    <n v="8483"/>
    <m/>
  </r>
  <r>
    <d v="2025-11-24T00:00:00"/>
    <x v="985"/>
    <x v="1"/>
    <s v="J-3798/25-26"/>
    <n v="580"/>
    <m/>
  </r>
  <r>
    <d v="2025-11-24T00:00:00"/>
    <x v="833"/>
    <x v="1"/>
    <s v="J-3799/25-26"/>
    <n v="122"/>
    <m/>
  </r>
  <r>
    <d v="2025-11-24T00:00:00"/>
    <x v="630"/>
    <x v="1"/>
    <s v="J-3800/25-26"/>
    <n v="8500"/>
    <m/>
  </r>
  <r>
    <d v="2025-11-24T00:00:00"/>
    <x v="477"/>
    <x v="1"/>
    <s v="J-3801/25-26"/>
    <n v="330"/>
    <m/>
  </r>
  <r>
    <d v="2025-11-24T00:00:00"/>
    <x v="1085"/>
    <x v="1"/>
    <s v="J-3802/25-26"/>
    <n v="1320"/>
    <m/>
  </r>
  <r>
    <d v="2025-11-24T00:00:00"/>
    <x v="673"/>
    <x v="1"/>
    <s v="J-3803/25-26"/>
    <n v="1580"/>
    <m/>
  </r>
  <r>
    <d v="2025-11-24T00:00:00"/>
    <x v="4"/>
    <x v="1"/>
    <s v="J-3804/25-26"/>
    <n v="24667"/>
    <m/>
  </r>
  <r>
    <d v="2025-11-25T00:00:00"/>
    <x v="1065"/>
    <x v="0"/>
    <s v="JU-630/25-26"/>
    <n v="12888"/>
    <m/>
  </r>
  <r>
    <d v="2025-11-25T00:00:00"/>
    <x v="1025"/>
    <x v="0"/>
    <s v="JU-631/25-26"/>
    <n v="9716"/>
    <m/>
  </r>
  <r>
    <d v="2025-11-25T00:00:00"/>
    <x v="11"/>
    <x v="1"/>
    <s v="J-3805/25-26"/>
    <n v="1020"/>
    <m/>
  </r>
  <r>
    <d v="2025-11-25T00:00:00"/>
    <x v="170"/>
    <x v="1"/>
    <s v="J-3806/25-26"/>
    <n v="30960"/>
    <m/>
  </r>
  <r>
    <d v="2025-11-25T00:00:00"/>
    <x v="297"/>
    <x v="1"/>
    <s v="J-3807/25-26"/>
    <n v="3400"/>
    <m/>
  </r>
  <r>
    <d v="2025-11-25T00:00:00"/>
    <x v="163"/>
    <x v="1"/>
    <s v="J-3808/25-26"/>
    <n v="28792"/>
    <m/>
  </r>
  <r>
    <d v="2025-11-25T00:00:00"/>
    <x v="596"/>
    <x v="1"/>
    <s v="J-3809/25-26"/>
    <n v="1771"/>
    <m/>
  </r>
  <r>
    <d v="2025-11-25T00:00:00"/>
    <x v="948"/>
    <x v="1"/>
    <s v="J-3810/25-26"/>
    <n v="7000"/>
    <m/>
  </r>
  <r>
    <d v="2025-11-25T00:00:00"/>
    <x v="918"/>
    <x v="1"/>
    <s v="J-3811/25-26"/>
    <n v="180"/>
    <m/>
  </r>
  <r>
    <d v="2025-11-25T00:00:00"/>
    <x v="123"/>
    <x v="1"/>
    <s v="J-3812/25-26"/>
    <n v="1447"/>
    <m/>
  </r>
  <r>
    <d v="2025-11-25T00:00:00"/>
    <x v="1088"/>
    <x v="1"/>
    <s v="J-3813/25-26"/>
    <n v="3272"/>
    <m/>
  </r>
  <r>
    <d v="2025-11-25T00:00:00"/>
    <x v="911"/>
    <x v="1"/>
    <s v="J-3814/25-26"/>
    <n v="4251"/>
    <m/>
  </r>
  <r>
    <d v="2025-11-25T00:00:00"/>
    <x v="550"/>
    <x v="1"/>
    <s v="J-3815/25-26"/>
    <n v="12502"/>
    <m/>
  </r>
  <r>
    <d v="2025-11-25T00:00:00"/>
    <x v="1088"/>
    <x v="1"/>
    <s v="J-3816/25-26"/>
    <n v="1280"/>
    <m/>
  </r>
  <r>
    <d v="2025-11-26T00:00:00"/>
    <x v="958"/>
    <x v="0"/>
    <s v="JU-632/25-26"/>
    <n v="270"/>
    <m/>
  </r>
  <r>
    <d v="2025-11-26T00:00:00"/>
    <x v="47"/>
    <x v="1"/>
    <s v="J-3817/25-26"/>
    <n v="80"/>
    <m/>
  </r>
  <r>
    <d v="2025-11-26T00:00:00"/>
    <x v="747"/>
    <x v="1"/>
    <s v="J-3818/25-26"/>
    <n v="5100"/>
    <m/>
  </r>
  <r>
    <d v="2025-11-26T00:00:00"/>
    <x v="23"/>
    <x v="1"/>
    <s v="J-3819/25-26"/>
    <n v="6800"/>
    <m/>
  </r>
  <r>
    <d v="2025-11-26T00:00:00"/>
    <x v="850"/>
    <x v="1"/>
    <s v="J-3820/25-26"/>
    <n v="16280"/>
    <m/>
  </r>
  <r>
    <d v="2025-11-26T00:00:00"/>
    <x v="79"/>
    <x v="1"/>
    <s v="J-3821/25-26"/>
    <n v="3400"/>
    <m/>
  </r>
  <r>
    <d v="2025-11-26T00:00:00"/>
    <x v="960"/>
    <x v="1"/>
    <s v="J-3822/25-26"/>
    <n v="39717"/>
    <m/>
  </r>
  <r>
    <d v="2025-11-26T00:00:00"/>
    <x v="20"/>
    <x v="1"/>
    <s v="J-3823/25-26"/>
    <n v="3746"/>
    <m/>
  </r>
  <r>
    <d v="2025-11-26T00:00:00"/>
    <x v="4"/>
    <x v="1"/>
    <s v="J-3824/25-26"/>
    <n v="1733"/>
    <m/>
  </r>
  <r>
    <d v="2025-11-26T00:00:00"/>
    <x v="104"/>
    <x v="1"/>
    <s v="J-3825/25-26"/>
    <n v="125"/>
    <m/>
  </r>
  <r>
    <d v="2025-11-26T00:00:00"/>
    <x v="948"/>
    <x v="1"/>
    <s v="J-3826/25-26"/>
    <n v="350"/>
    <m/>
  </r>
  <r>
    <d v="2025-11-26T00:00:00"/>
    <x v="34"/>
    <x v="1"/>
    <s v="J-3827/25-26"/>
    <n v="35745"/>
    <m/>
  </r>
  <r>
    <d v="2025-11-26T00:00:00"/>
    <x v="163"/>
    <x v="1"/>
    <s v="J-3828/25-26"/>
    <n v="120"/>
    <m/>
  </r>
  <r>
    <d v="2025-11-26T00:00:00"/>
    <x v="592"/>
    <x v="1"/>
    <s v="J-3829/25-26"/>
    <n v="680"/>
    <m/>
  </r>
  <r>
    <d v="2025-11-26T00:00:00"/>
    <x v="550"/>
    <x v="1"/>
    <s v="J-3830/25-26"/>
    <n v="498"/>
    <m/>
  </r>
  <r>
    <d v="2025-11-26T00:00:00"/>
    <x v="89"/>
    <x v="1"/>
    <s v="J-3831/25-26"/>
    <n v="1340"/>
    <m/>
  </r>
  <r>
    <d v="2025-11-26T00:00:00"/>
    <x v="1089"/>
    <x v="1"/>
    <s v="J-3832/25-26"/>
    <n v="45916"/>
    <m/>
  </r>
  <r>
    <d v="2025-11-27T00:00:00"/>
    <x v="391"/>
    <x v="0"/>
    <s v="JU-633/25-26"/>
    <n v="2902"/>
    <m/>
  </r>
  <r>
    <d v="2025-11-27T00:00:00"/>
    <x v="306"/>
    <x v="0"/>
    <s v="JU-634/25-26"/>
    <n v="61511"/>
    <m/>
  </r>
  <r>
    <d v="2025-11-27T00:00:00"/>
    <x v="561"/>
    <x v="0"/>
    <s v="JU-635/25-26"/>
    <n v="10832"/>
    <m/>
  </r>
  <r>
    <d v="2025-11-27T00:00:00"/>
    <x v="1049"/>
    <x v="1"/>
    <s v="J-3833/25-26"/>
    <n v="360"/>
    <m/>
  </r>
  <r>
    <d v="2025-11-27T00:00:00"/>
    <x v="968"/>
    <x v="1"/>
    <s v="J-3834/25-26"/>
    <n v="3400"/>
    <m/>
  </r>
  <r>
    <d v="2025-11-27T00:00:00"/>
    <x v="20"/>
    <x v="1"/>
    <s v="J-3835/25-26"/>
    <n v="3255"/>
    <m/>
  </r>
  <r>
    <d v="2025-11-27T00:00:00"/>
    <x v="1090"/>
    <x v="1"/>
    <s v="J-3836/25-26"/>
    <n v="13657"/>
    <m/>
  </r>
  <r>
    <d v="2025-11-27T00:00:00"/>
    <x v="1022"/>
    <x v="1"/>
    <s v="J-3837/25-26"/>
    <n v="680"/>
    <m/>
  </r>
  <r>
    <d v="2025-11-27T00:00:00"/>
    <x v="1091"/>
    <x v="1"/>
    <s v="J-3838/25-26"/>
    <n v="3500"/>
    <m/>
  </r>
  <r>
    <d v="2025-11-27T00:00:00"/>
    <x v="79"/>
    <x v="1"/>
    <s v="J-3839/25-26"/>
    <n v="3400"/>
    <m/>
  </r>
  <r>
    <d v="2025-11-27T00:00:00"/>
    <x v="1092"/>
    <x v="1"/>
    <s v="J-3840/25-26"/>
    <n v="1573"/>
    <m/>
  </r>
  <r>
    <d v="2025-11-27T00:00:00"/>
    <x v="596"/>
    <x v="1"/>
    <s v="J-3841/25-26"/>
    <n v="2188"/>
    <m/>
  </r>
  <r>
    <d v="2025-11-27T00:00:00"/>
    <x v="1093"/>
    <x v="1"/>
    <s v="J-3842/25-26"/>
    <n v="340"/>
    <m/>
  </r>
  <r>
    <d v="2025-11-27T00:00:00"/>
    <x v="10"/>
    <x v="1"/>
    <s v="J-3843/25-26"/>
    <n v="81973"/>
    <m/>
  </r>
  <r>
    <d v="2025-11-27T00:00:00"/>
    <x v="1089"/>
    <x v="1"/>
    <s v="J-3844/25-26"/>
    <n v="560"/>
    <m/>
  </r>
  <r>
    <d v="2025-11-27T00:00:00"/>
    <x v="266"/>
    <x v="1"/>
    <s v="J-3845/25-26"/>
    <n v="1353"/>
    <m/>
  </r>
  <r>
    <d v="2025-11-27T00:00:00"/>
    <x v="11"/>
    <x v="1"/>
    <s v="J-3846/25-26"/>
    <n v="50"/>
    <m/>
  </r>
  <r>
    <d v="2025-11-27T00:00:00"/>
    <x v="88"/>
    <x v="1"/>
    <s v="J-3847/25-26"/>
    <n v="5638"/>
    <m/>
  </r>
  <r>
    <d v="2025-11-27T00:00:00"/>
    <x v="89"/>
    <x v="1"/>
    <s v="J-3848/25-26"/>
    <n v="340"/>
    <m/>
  </r>
  <r>
    <d v="2025-11-27T00:00:00"/>
    <x v="1094"/>
    <x v="1"/>
    <s v="J-3849/25-26"/>
    <n v="10"/>
    <m/>
  </r>
  <r>
    <d v="2025-11-27T00:00:00"/>
    <x v="1000"/>
    <x v="1"/>
    <s v="J-3850/25-26"/>
    <n v="18850"/>
    <m/>
  </r>
  <r>
    <d v="2025-11-27T00:00:00"/>
    <x v="1095"/>
    <x v="1"/>
    <s v="J-3851/25-26"/>
    <n v="1760"/>
    <m/>
  </r>
  <r>
    <d v="2025-11-27T00:00:00"/>
    <x v="1096"/>
    <x v="1"/>
    <s v="J-3852/25-26"/>
    <n v="2137"/>
    <m/>
  </r>
  <r>
    <d v="2025-11-28T00:00:00"/>
    <x v="290"/>
    <x v="0"/>
    <s v="JU-636/25-26"/>
    <n v="680"/>
    <m/>
  </r>
  <r>
    <d v="2025-11-28T00:00:00"/>
    <x v="1097"/>
    <x v="0"/>
    <s v="JU-637/25-26"/>
    <n v="10973"/>
    <m/>
  </r>
  <r>
    <d v="2025-11-28T00:00:00"/>
    <x v="1097"/>
    <x v="0"/>
    <s v="JU-638/25-26"/>
    <n v="430"/>
    <m/>
  </r>
  <r>
    <d v="2025-11-28T00:00:00"/>
    <x v="571"/>
    <x v="0"/>
    <s v="JU-639/25-26"/>
    <n v="11883"/>
    <m/>
  </r>
  <r>
    <d v="2025-11-28T00:00:00"/>
    <x v="1052"/>
    <x v="0"/>
    <s v="JU-640/25-26"/>
    <n v="180"/>
    <m/>
  </r>
  <r>
    <d v="2025-11-28T00:00:00"/>
    <x v="1097"/>
    <x v="0"/>
    <s v="JU-641/25-26"/>
    <n v="210"/>
    <m/>
  </r>
  <r>
    <d v="2025-11-28T00:00:00"/>
    <x v="1070"/>
    <x v="1"/>
    <s v="J-3853/25-26"/>
    <n v="42323"/>
    <m/>
  </r>
  <r>
    <d v="2025-11-28T00:00:00"/>
    <x v="524"/>
    <x v="1"/>
    <s v="J-3854/25-26"/>
    <n v="1138"/>
    <m/>
  </r>
  <r>
    <d v="2025-11-28T00:00:00"/>
    <x v="229"/>
    <x v="1"/>
    <s v="J-3855/25-26"/>
    <n v="2420"/>
    <m/>
  </r>
  <r>
    <d v="2025-11-28T00:00:00"/>
    <x v="1098"/>
    <x v="1"/>
    <s v="J-3856/25-26"/>
    <n v="6500"/>
    <m/>
  </r>
  <r>
    <d v="2025-11-28T00:00:00"/>
    <x v="297"/>
    <x v="1"/>
    <s v="J-3857/25-26"/>
    <n v="18591"/>
    <m/>
  </r>
  <r>
    <d v="2025-11-28T00:00:00"/>
    <x v="25"/>
    <x v="1"/>
    <s v="J-3858/25-26"/>
    <n v="480"/>
    <m/>
  </r>
  <r>
    <d v="2025-11-28T00:00:00"/>
    <x v="20"/>
    <x v="1"/>
    <s v="J-3859/25-26"/>
    <n v="2155"/>
    <m/>
  </r>
  <r>
    <d v="2025-11-28T00:00:00"/>
    <x v="1099"/>
    <x v="1"/>
    <s v="J-3860/25-26"/>
    <n v="1030"/>
    <m/>
  </r>
  <r>
    <d v="2025-11-28T00:00:00"/>
    <x v="1090"/>
    <x v="1"/>
    <s v="J-3861/25-26"/>
    <n v="748"/>
    <m/>
  </r>
  <r>
    <d v="2025-11-28T00:00:00"/>
    <x v="88"/>
    <x v="1"/>
    <s v="J-3862/25-26"/>
    <n v="1578"/>
    <m/>
  </r>
  <r>
    <d v="2025-11-28T00:00:00"/>
    <x v="1100"/>
    <x v="1"/>
    <s v="J-3863/25-26"/>
    <n v="80"/>
    <m/>
  </r>
  <r>
    <d v="2025-11-28T00:00:00"/>
    <x v="612"/>
    <x v="1"/>
    <s v="J-3864/25-26"/>
    <n v="647"/>
    <m/>
  </r>
  <r>
    <d v="2025-11-28T00:00:00"/>
    <x v="1101"/>
    <x v="1"/>
    <s v="J-3865/25-26"/>
    <n v="3843"/>
    <m/>
  </r>
  <r>
    <d v="2025-11-28T00:00:00"/>
    <x v="1102"/>
    <x v="1"/>
    <s v="J-3866/25-26"/>
    <n v="4245"/>
    <m/>
  </r>
  <r>
    <d v="2025-11-28T00:00:00"/>
    <x v="140"/>
    <x v="1"/>
    <s v="J-3867/25-26"/>
    <n v="2905"/>
    <m/>
  </r>
  <r>
    <d v="2025-11-28T00:00:00"/>
    <x v="1103"/>
    <x v="1"/>
    <s v="J-3868/25-26"/>
    <n v="500"/>
    <m/>
  </r>
  <r>
    <d v="2025-11-28T00:00:00"/>
    <x v="88"/>
    <x v="1"/>
    <s v="J-3869/25-26"/>
    <n v="700"/>
    <m/>
  </r>
  <r>
    <d v="2025-11-28T00:00:00"/>
    <x v="1104"/>
    <x v="1"/>
    <s v="J-3870/25-26"/>
    <n v="21283"/>
    <m/>
  </r>
  <r>
    <d v="2025-11-28T00:00:00"/>
    <x v="550"/>
    <x v="1"/>
    <s v="J-3871/25-26"/>
    <n v="3117"/>
    <m/>
  </r>
  <r>
    <d v="2025-11-28T00:00:00"/>
    <x v="1105"/>
    <x v="1"/>
    <s v="J-3872/25-26"/>
    <n v="25434"/>
    <m/>
  </r>
  <r>
    <d v="2025-11-28T00:00:00"/>
    <x v="229"/>
    <x v="1"/>
    <s v="J-3873/25-26"/>
    <n v="1096"/>
    <m/>
  </r>
  <r>
    <d v="2025-11-28T00:00:00"/>
    <x v="1106"/>
    <x v="1"/>
    <s v="J-3874/25-26"/>
    <n v="33663"/>
    <m/>
  </r>
  <r>
    <d v="2025-11-29T00:00:00"/>
    <x v="64"/>
    <x v="0"/>
    <s v="JU-642/25-26"/>
    <n v="32500"/>
    <m/>
  </r>
  <r>
    <d v="2025-11-29T00:00:00"/>
    <x v="306"/>
    <x v="0"/>
    <s v="JU-643/25-26"/>
    <n v="31681"/>
    <m/>
  </r>
  <r>
    <d v="2025-11-29T00:00:00"/>
    <x v="1065"/>
    <x v="0"/>
    <s v="JU-644/25-26"/>
    <n v="1462"/>
    <m/>
  </r>
  <r>
    <d v="2025-11-29T00:00:00"/>
    <x v="32"/>
    <x v="0"/>
    <s v="JU-645/25-26"/>
    <n v="8347"/>
    <m/>
  </r>
  <r>
    <d v="2025-11-29T00:00:00"/>
    <x v="945"/>
    <x v="0"/>
    <s v="JU-646/25-26"/>
    <n v="92245"/>
    <m/>
  </r>
  <r>
    <d v="2025-11-29T00:00:00"/>
    <x v="1107"/>
    <x v="0"/>
    <s v="JU-647/25-26"/>
    <n v="30000"/>
    <m/>
  </r>
  <r>
    <d v="2025-11-29T00:00:00"/>
    <x v="20"/>
    <x v="1"/>
    <s v="J-3875/25-26"/>
    <n v="2985"/>
    <m/>
  </r>
  <r>
    <d v="2025-11-29T00:00:00"/>
    <x v="1108"/>
    <x v="1"/>
    <s v="J-3876/25-26"/>
    <n v="1370"/>
    <m/>
  </r>
  <r>
    <d v="2025-11-29T00:00:00"/>
    <x v="973"/>
    <x v="1"/>
    <s v="J-3877/25-26"/>
    <n v="150"/>
    <m/>
  </r>
  <r>
    <d v="2025-11-29T00:00:00"/>
    <x v="4"/>
    <x v="1"/>
    <s v="J-3878/25-26"/>
    <n v="11734"/>
    <m/>
  </r>
  <r>
    <d v="2025-11-29T00:00:00"/>
    <x v="1109"/>
    <x v="1"/>
    <s v="J-3879/25-26"/>
    <n v="12236"/>
    <m/>
  </r>
  <r>
    <d v="2025-11-29T00:00:00"/>
    <x v="706"/>
    <x v="1"/>
    <s v="J-3880/25-26"/>
    <n v="7365"/>
    <m/>
  </r>
  <r>
    <d v="2025-11-29T00:00:00"/>
    <x v="1110"/>
    <x v="1"/>
    <s v="J-3881/25-26"/>
    <n v="12838"/>
    <m/>
  </r>
  <r>
    <d v="2025-11-29T00:00:00"/>
    <x v="23"/>
    <x v="1"/>
    <s v="J-3882/25-26"/>
    <n v="16203"/>
    <m/>
  </r>
  <r>
    <d v="2025-11-29T00:00:00"/>
    <x v="1061"/>
    <x v="1"/>
    <s v="J-3883/25-26"/>
    <n v="3230"/>
    <m/>
  </r>
  <r>
    <d v="2025-11-29T00:00:00"/>
    <x v="1022"/>
    <x v="1"/>
    <s v="J-3884/25-26"/>
    <n v="340"/>
    <m/>
  </r>
  <r>
    <d v="2025-11-29T00:00:00"/>
    <x v="8"/>
    <x v="1"/>
    <s v="J-3885/25-26"/>
    <n v="46948"/>
    <m/>
  </r>
  <r>
    <d v="2025-11-29T00:00:00"/>
    <x v="1095"/>
    <x v="1"/>
    <s v="J-3886/25-26"/>
    <n v="2835"/>
    <m/>
  </r>
  <r>
    <d v="2025-11-29T00:00:00"/>
    <x v="1111"/>
    <x v="1"/>
    <s v="J-3887/25-26"/>
    <n v="50"/>
    <m/>
  </r>
  <r>
    <d v="2025-11-29T00:00:00"/>
    <x v="1081"/>
    <x v="1"/>
    <s v="J-3888/25-26"/>
    <n v="1950"/>
    <m/>
  </r>
  <r>
    <d v="2025-11-29T00:00:00"/>
    <x v="115"/>
    <x v="1"/>
    <s v="J-3889/25-26"/>
    <n v="20382"/>
    <m/>
  </r>
  <r>
    <d v="2025-11-29T00:00:00"/>
    <x v="1000"/>
    <x v="1"/>
    <s v="J-3890/25-26"/>
    <n v="498"/>
    <m/>
  </r>
  <r>
    <d v="2025-11-29T00:00:00"/>
    <x v="1112"/>
    <x v="1"/>
    <s v="J-3891/25-26"/>
    <n v="11237"/>
    <m/>
  </r>
  <r>
    <d v="2025-11-29T00:00:00"/>
    <x v="747"/>
    <x v="1"/>
    <s v="J-3892/25-26"/>
    <n v="680"/>
    <m/>
  </r>
  <r>
    <d v="2025-11-29T00:00:00"/>
    <x v="1113"/>
    <x v="1"/>
    <s v="J-3893/25-26"/>
    <n v="190"/>
    <m/>
  </r>
  <r>
    <d v="2025-11-29T00:00:00"/>
    <x v="330"/>
    <x v="1"/>
    <s v="J-3894/25-26"/>
    <n v="50"/>
    <m/>
  </r>
  <r>
    <d v="2025-11-29T00:00:00"/>
    <x v="4"/>
    <x v="1"/>
    <s v="J-3895/25-26"/>
    <n v="4290"/>
    <m/>
  </r>
  <r>
    <d v="2025-11-29T00:00:00"/>
    <x v="1114"/>
    <x v="1"/>
    <s v="J-3896/25-26"/>
    <n v="892"/>
    <m/>
  </r>
  <r>
    <d v="2025-11-29T00:00:00"/>
    <x v="595"/>
    <x v="1"/>
    <s v="J-3897/25-26"/>
    <n v="15727"/>
    <m/>
  </r>
  <r>
    <d v="2025-12-01T00:00:00"/>
    <x v="651"/>
    <x v="1"/>
    <s v="J-3898/25-26"/>
    <n v="1980"/>
    <m/>
  </r>
  <r>
    <d v="2025-12-01T00:00:00"/>
    <x v="565"/>
    <x v="1"/>
    <s v="J-3899/25-26"/>
    <n v="3105"/>
    <m/>
  </r>
  <r>
    <d v="2025-12-01T00:00:00"/>
    <x v="995"/>
    <x v="1"/>
    <s v="J-3900/25-26"/>
    <n v="680"/>
    <m/>
  </r>
  <r>
    <d v="2025-12-01T00:00:00"/>
    <x v="1108"/>
    <x v="1"/>
    <s v="J-3901/25-26"/>
    <n v="330"/>
    <m/>
  </r>
  <r>
    <d v="2025-12-01T00:00:00"/>
    <x v="23"/>
    <x v="1"/>
    <s v="J-3902/25-26"/>
    <n v="54510"/>
    <m/>
  </r>
  <r>
    <d v="2025-12-01T00:00:00"/>
    <x v="20"/>
    <x v="1"/>
    <s v="J-3903/25-26"/>
    <n v="60"/>
    <m/>
  </r>
  <r>
    <d v="2025-12-01T00:00:00"/>
    <x v="34"/>
    <x v="1"/>
    <s v="J-3904/25-26"/>
    <n v="13772"/>
    <m/>
  </r>
  <r>
    <d v="2025-12-01T00:00:00"/>
    <x v="1070"/>
    <x v="1"/>
    <s v="J-3905/25-26"/>
    <n v="20372"/>
    <m/>
  </r>
  <r>
    <d v="2025-12-01T00:00:00"/>
    <x v="781"/>
    <x v="1"/>
    <s v="J-3906/25-26"/>
    <n v="2720"/>
    <m/>
  </r>
  <r>
    <d v="2025-12-01T00:00:00"/>
    <x v="842"/>
    <x v="1"/>
    <s v="J-3907/25-26"/>
    <n v="3695"/>
    <m/>
  </r>
  <r>
    <d v="2025-12-01T00:00:00"/>
    <x v="48"/>
    <x v="1"/>
    <s v="J-3908/25-26"/>
    <n v="450"/>
    <m/>
  </r>
  <r>
    <d v="2025-12-01T00:00:00"/>
    <x v="1115"/>
    <x v="1"/>
    <s v="J-3909/25-26"/>
    <n v="2571"/>
    <m/>
  </r>
  <r>
    <d v="2025-12-01T00:00:00"/>
    <x v="603"/>
    <x v="1"/>
    <s v="J-3910/25-26"/>
    <n v="7061"/>
    <m/>
  </r>
  <r>
    <d v="2025-12-01T00:00:00"/>
    <x v="541"/>
    <x v="1"/>
    <s v="J-3911/25-26"/>
    <n v="28995"/>
    <m/>
  </r>
  <r>
    <d v="2025-12-01T00:00:00"/>
    <x v="1116"/>
    <x v="1"/>
    <s v="J-3912/25-26"/>
    <n v="7477"/>
    <m/>
  </r>
  <r>
    <d v="2025-12-01T00:00:00"/>
    <x v="48"/>
    <x v="1"/>
    <s v="J-3913/25-26"/>
    <n v="670"/>
    <m/>
  </r>
  <r>
    <d v="2025-12-01T00:00:00"/>
    <x v="1117"/>
    <x v="1"/>
    <s v="J-3914/25-26"/>
    <n v="180"/>
    <m/>
  </r>
  <r>
    <d v="2025-12-01T00:00:00"/>
    <x v="1049"/>
    <x v="1"/>
    <s v="J-3915/25-26"/>
    <n v="3588"/>
    <m/>
  </r>
  <r>
    <d v="2025-12-02T00:00:00"/>
    <x v="1065"/>
    <x v="0"/>
    <s v="JU-648/25-26"/>
    <n v="11126"/>
    <m/>
  </r>
  <r>
    <d v="2025-12-02T00:00:00"/>
    <x v="11"/>
    <x v="1"/>
    <s v="J-3916/25-26"/>
    <n v="49500"/>
    <m/>
  </r>
  <r>
    <d v="2025-12-02T00:00:00"/>
    <x v="596"/>
    <x v="1"/>
    <s v="J-3917/25-26"/>
    <n v="8375"/>
    <m/>
  </r>
  <r>
    <d v="2025-12-02T00:00:00"/>
    <x v="255"/>
    <x v="1"/>
    <s v="J-3918/25-26"/>
    <n v="26636"/>
    <m/>
  </r>
  <r>
    <d v="2025-12-02T00:00:00"/>
    <x v="1118"/>
    <x v="1"/>
    <s v="J-3919/25-26"/>
    <n v="12288"/>
    <m/>
  </r>
  <r>
    <d v="2025-12-02T00:00:00"/>
    <x v="990"/>
    <x v="1"/>
    <s v="J-3920/25-26"/>
    <n v="3142"/>
    <m/>
  </r>
  <r>
    <d v="2025-12-02T00:00:00"/>
    <x v="96"/>
    <x v="1"/>
    <s v="J-3921/25-26"/>
    <n v="5277"/>
    <m/>
  </r>
  <r>
    <d v="2025-12-02T00:00:00"/>
    <x v="96"/>
    <x v="1"/>
    <s v="J-3922/25-26"/>
    <n v="3343"/>
    <m/>
  </r>
  <r>
    <d v="2025-12-02T00:00:00"/>
    <x v="34"/>
    <x v="1"/>
    <s v="J-3923/25-26"/>
    <n v="3543"/>
    <m/>
  </r>
  <r>
    <d v="2025-12-02T00:00:00"/>
    <x v="8"/>
    <x v="1"/>
    <s v="J-3924/25-26"/>
    <n v="685"/>
    <m/>
  </r>
  <r>
    <d v="2025-12-02T00:00:00"/>
    <x v="11"/>
    <x v="1"/>
    <s v="J-3925/25-26"/>
    <n v="2680"/>
    <m/>
  </r>
  <r>
    <d v="2025-12-02T00:00:00"/>
    <x v="266"/>
    <x v="1"/>
    <s v="J-3926/25-26"/>
    <n v="6600"/>
    <m/>
  </r>
  <r>
    <d v="2025-12-02T00:00:00"/>
    <x v="550"/>
    <x v="1"/>
    <s v="J-3927/25-26"/>
    <n v="4043"/>
    <m/>
  </r>
  <r>
    <d v="2025-12-02T00:00:00"/>
    <x v="706"/>
    <x v="1"/>
    <s v="J-3928/25-26"/>
    <n v="1445"/>
    <m/>
  </r>
  <r>
    <d v="2025-12-02T00:00:00"/>
    <x v="610"/>
    <x v="1"/>
    <s v="J-3929/25-26"/>
    <n v="1181"/>
    <m/>
  </r>
  <r>
    <d v="2025-12-02T00:00:00"/>
    <x v="20"/>
    <x v="1"/>
    <s v="J-3930/25-26"/>
    <n v="14215"/>
    <m/>
  </r>
  <r>
    <d v="2025-12-02T00:00:00"/>
    <x v="20"/>
    <x v="1"/>
    <s v="J-3931/25-26"/>
    <n v="3090"/>
    <m/>
  </r>
  <r>
    <d v="2025-12-02T00:00:00"/>
    <x v="1119"/>
    <x v="1"/>
    <s v="J-3932/25-26"/>
    <n v="5574"/>
    <m/>
  </r>
  <r>
    <d v="2025-12-02T00:00:00"/>
    <x v="1022"/>
    <x v="1"/>
    <s v="J-3933/25-26"/>
    <n v="340"/>
    <m/>
  </r>
  <r>
    <d v="2025-12-03T00:00:00"/>
    <x v="1052"/>
    <x v="0"/>
    <s v="JU-649/25-26"/>
    <n v="5386"/>
    <m/>
  </r>
  <r>
    <d v="2025-12-03T00:00:00"/>
    <x v="23"/>
    <x v="1"/>
    <s v="J-3934/25-26"/>
    <n v="3300"/>
    <m/>
  </r>
  <r>
    <d v="2025-12-03T00:00:00"/>
    <x v="297"/>
    <x v="1"/>
    <s v="J-3935/25-26"/>
    <n v="19353"/>
    <m/>
  </r>
  <r>
    <d v="2025-12-03T00:00:00"/>
    <x v="241"/>
    <x v="1"/>
    <s v="J-3936/25-26"/>
    <n v="6904"/>
    <m/>
  </r>
  <r>
    <d v="2025-12-03T00:00:00"/>
    <x v="564"/>
    <x v="1"/>
    <s v="J-3937/25-26"/>
    <n v="6600"/>
    <m/>
  </r>
  <r>
    <d v="2025-12-03T00:00:00"/>
    <x v="11"/>
    <x v="1"/>
    <s v="J-3938/25-26"/>
    <n v="49500"/>
    <m/>
  </r>
  <r>
    <d v="2025-12-03T00:00:00"/>
    <x v="868"/>
    <x v="1"/>
    <s v="J-3939/25-26"/>
    <n v="6600"/>
    <m/>
  </r>
  <r>
    <d v="2025-12-03T00:00:00"/>
    <x v="3"/>
    <x v="1"/>
    <s v="J-3940/25-26"/>
    <n v="330"/>
    <m/>
  </r>
  <r>
    <d v="2025-12-03T00:00:00"/>
    <x v="990"/>
    <x v="1"/>
    <s v="J-3941/25-26"/>
    <n v="2310"/>
    <m/>
  </r>
  <r>
    <d v="2025-12-03T00:00:00"/>
    <x v="1120"/>
    <x v="1"/>
    <s v="J-3942/25-26"/>
    <n v="330"/>
    <m/>
  </r>
  <r>
    <d v="2025-12-03T00:00:00"/>
    <x v="1106"/>
    <x v="1"/>
    <s v="J-3943/25-26"/>
    <n v="740"/>
    <m/>
  </r>
  <r>
    <d v="2025-12-03T00:00:00"/>
    <x v="4"/>
    <x v="1"/>
    <s v="J-3944/25-26"/>
    <n v="4128"/>
    <m/>
  </r>
  <r>
    <d v="2025-12-03T00:00:00"/>
    <x v="23"/>
    <x v="1"/>
    <s v="J-3945/25-26"/>
    <n v="1510"/>
    <m/>
  </r>
  <r>
    <d v="2025-12-03T00:00:00"/>
    <x v="1104"/>
    <x v="1"/>
    <s v="J-3946/25-26"/>
    <n v="21880"/>
    <m/>
  </r>
  <r>
    <d v="2025-12-03T00:00:00"/>
    <x v="755"/>
    <x v="1"/>
    <s v="J-3947/25-26"/>
    <n v="690"/>
    <m/>
  </r>
  <r>
    <d v="2025-12-03T00:00:00"/>
    <x v="416"/>
    <x v="1"/>
    <s v="J-3948/25-26"/>
    <n v="29086"/>
    <m/>
  </r>
  <r>
    <d v="2025-12-03T00:00:00"/>
    <x v="118"/>
    <x v="1"/>
    <s v="J-3949/25-26"/>
    <n v="1078"/>
    <m/>
  </r>
  <r>
    <d v="2025-12-04T00:00:00"/>
    <x v="305"/>
    <x v="0"/>
    <s v="JU-650/25-26"/>
    <n v="1573"/>
    <m/>
  </r>
  <r>
    <d v="2025-12-04T00:00:00"/>
    <x v="297"/>
    <x v="1"/>
    <s v="J-3950/25-26"/>
    <n v="13200"/>
    <m/>
  </r>
  <r>
    <d v="2025-12-04T00:00:00"/>
    <x v="11"/>
    <x v="1"/>
    <s v="J-3951/25-26"/>
    <n v="49500"/>
    <m/>
  </r>
  <r>
    <d v="2025-12-04T00:00:00"/>
    <x v="673"/>
    <x v="1"/>
    <s v="J-3952/25-26"/>
    <n v="2179"/>
    <m/>
  </r>
  <r>
    <d v="2025-12-04T00:00:00"/>
    <x v="995"/>
    <x v="1"/>
    <s v="J-3953/25-26"/>
    <n v="7690"/>
    <m/>
  </r>
  <r>
    <d v="2025-12-04T00:00:00"/>
    <x v="255"/>
    <x v="1"/>
    <s v="J-3954/25-26"/>
    <n v="8125"/>
    <m/>
  </r>
  <r>
    <d v="2025-12-04T00:00:00"/>
    <x v="247"/>
    <x v="1"/>
    <s v="J-3955/25-26"/>
    <n v="2745"/>
    <m/>
  </r>
  <r>
    <d v="2025-12-04T00:00:00"/>
    <x v="255"/>
    <x v="1"/>
    <s v="J-3956/25-26"/>
    <n v="200"/>
    <m/>
  </r>
  <r>
    <d v="2025-12-04T00:00:00"/>
    <x v="8"/>
    <x v="1"/>
    <s v="J-3957/25-26"/>
    <n v="120"/>
    <m/>
  </r>
  <r>
    <d v="2025-12-04T00:00:00"/>
    <x v="1118"/>
    <x v="1"/>
    <s v="J-3958/25-26"/>
    <n v="977"/>
    <m/>
  </r>
  <r>
    <d v="2025-12-04T00:00:00"/>
    <x v="324"/>
    <x v="1"/>
    <s v="J-3959/25-26"/>
    <n v="20842"/>
    <m/>
  </r>
  <r>
    <d v="2025-12-04T00:00:00"/>
    <x v="88"/>
    <x v="1"/>
    <s v="J-3960/25-26"/>
    <n v="1980"/>
    <m/>
  </r>
  <r>
    <d v="2025-12-04T00:00:00"/>
    <x v="20"/>
    <x v="1"/>
    <s v="J-3961/25-26"/>
    <n v="5016"/>
    <m/>
  </r>
  <r>
    <d v="2025-12-04T00:00:00"/>
    <x v="8"/>
    <x v="1"/>
    <s v="J-3962/25-26"/>
    <n v="4970"/>
    <m/>
  </r>
  <r>
    <d v="2025-12-04T00:00:00"/>
    <x v="20"/>
    <x v="1"/>
    <s v="J-3963/25-26"/>
    <n v="1223"/>
    <m/>
  </r>
  <r>
    <d v="2025-12-04T00:00:00"/>
    <x v="1121"/>
    <x v="1"/>
    <s v="J-3964/25-26"/>
    <n v="480"/>
    <m/>
  </r>
  <r>
    <d v="2025-12-05T00:00:00"/>
    <x v="306"/>
    <x v="0"/>
    <s v="JU-651/25-26"/>
    <n v="19450"/>
    <m/>
  </r>
  <r>
    <d v="2025-12-05T00:00:00"/>
    <x v="23"/>
    <x v="1"/>
    <s v="J-3965/25-26"/>
    <n v="20150"/>
    <m/>
  </r>
  <r>
    <d v="2025-12-05T00:00:00"/>
    <x v="485"/>
    <x v="1"/>
    <s v="J-3966/25-26"/>
    <n v="990"/>
    <m/>
  </r>
  <r>
    <d v="2025-12-05T00:00:00"/>
    <x v="1118"/>
    <x v="1"/>
    <s v="J-3967/25-26"/>
    <n v="2426"/>
    <m/>
  </r>
  <r>
    <d v="2025-12-05T00:00:00"/>
    <x v="904"/>
    <x v="1"/>
    <s v="J-3968/25-26"/>
    <n v="330"/>
    <m/>
  </r>
  <r>
    <d v="2025-12-05T00:00:00"/>
    <x v="20"/>
    <x v="1"/>
    <s v="J-3969/25-26"/>
    <n v="1365"/>
    <m/>
  </r>
  <r>
    <d v="2025-12-05T00:00:00"/>
    <x v="295"/>
    <x v="1"/>
    <s v="J-3970/25-26"/>
    <n v="6200"/>
    <m/>
  </r>
  <r>
    <d v="2025-12-05T00:00:00"/>
    <x v="1122"/>
    <x v="1"/>
    <s v="J-3971/25-26"/>
    <n v="10966"/>
    <m/>
  </r>
  <r>
    <d v="2025-12-05T00:00:00"/>
    <x v="23"/>
    <x v="1"/>
    <s v="J-3972/25-26"/>
    <n v="8130"/>
    <m/>
  </r>
  <r>
    <d v="2025-12-05T00:00:00"/>
    <x v="1123"/>
    <x v="1"/>
    <s v="J-3973/25-26"/>
    <n v="11140"/>
    <m/>
  </r>
  <r>
    <d v="2025-12-05T00:00:00"/>
    <x v="1124"/>
    <x v="1"/>
    <s v="J-3974/25-26"/>
    <n v="5093"/>
    <m/>
  </r>
  <r>
    <d v="2025-12-05T00:00:00"/>
    <x v="1109"/>
    <x v="1"/>
    <s v="J-3975/25-26"/>
    <n v="3100"/>
    <m/>
  </r>
  <r>
    <d v="2025-12-05T00:00:00"/>
    <x v="550"/>
    <x v="1"/>
    <s v="J-3976/25-26"/>
    <n v="15484"/>
    <m/>
  </r>
  <r>
    <d v="2025-12-05T00:00:00"/>
    <x v="11"/>
    <x v="1"/>
    <s v="J-3977/25-26"/>
    <n v="200"/>
    <m/>
  </r>
  <r>
    <d v="2025-12-05T00:00:00"/>
    <x v="1125"/>
    <x v="1"/>
    <s v="J-3978/25-26"/>
    <n v="6804"/>
    <m/>
  </r>
  <r>
    <d v="2025-12-05T00:00:00"/>
    <x v="1016"/>
    <x v="1"/>
    <s v="J-3979/25-26"/>
    <n v="23487"/>
    <m/>
  </r>
  <r>
    <d v="2025-12-05T00:00:00"/>
    <x v="630"/>
    <x v="1"/>
    <s v="J-3980/25-26"/>
    <n v="8250"/>
    <m/>
  </r>
  <r>
    <d v="2025-12-05T00:00:00"/>
    <x v="900"/>
    <x v="1"/>
    <s v="J-3981/25-26"/>
    <n v="850"/>
    <m/>
  </r>
  <r>
    <d v="2025-12-05T00:00:00"/>
    <x v="123"/>
    <x v="1"/>
    <s v="J-3982/25-26"/>
    <n v="200"/>
    <m/>
  </r>
  <r>
    <d v="2025-12-05T00:00:00"/>
    <x v="303"/>
    <x v="1"/>
    <s v="J-3983/25-26"/>
    <n v="528"/>
    <m/>
  </r>
  <r>
    <d v="2025-12-05T00:00:00"/>
    <x v="11"/>
    <x v="1"/>
    <s v="J-3984/25-26"/>
    <n v="49500"/>
    <m/>
  </r>
  <r>
    <d v="2025-12-06T00:00:00"/>
    <x v="1126"/>
    <x v="0"/>
    <s v="JU-652/25-26"/>
    <n v="5938"/>
    <m/>
  </r>
  <r>
    <d v="2025-12-06T00:00:00"/>
    <x v="64"/>
    <x v="0"/>
    <s v="JU-653/25-26"/>
    <n v="16000"/>
    <m/>
  </r>
  <r>
    <d v="2025-12-06T00:00:00"/>
    <x v="1127"/>
    <x v="0"/>
    <s v="JU-654/25-26"/>
    <n v="15088"/>
    <m/>
  </r>
  <r>
    <d v="2025-12-06T00:00:00"/>
    <x v="23"/>
    <x v="1"/>
    <s v="J-3985/25-26"/>
    <n v="1860"/>
    <m/>
  </r>
  <r>
    <d v="2025-12-06T00:00:00"/>
    <x v="1128"/>
    <x v="1"/>
    <s v="J-3986/25-26"/>
    <n v="1860"/>
    <m/>
  </r>
  <r>
    <d v="2025-12-06T00:00:00"/>
    <x v="34"/>
    <x v="1"/>
    <s v="J-3987/25-26"/>
    <n v="3465"/>
    <m/>
  </r>
  <r>
    <d v="2025-12-06T00:00:00"/>
    <x v="115"/>
    <x v="1"/>
    <s v="J-3988/25-26"/>
    <n v="2850"/>
    <m/>
  </r>
  <r>
    <d v="2025-12-06T00:00:00"/>
    <x v="23"/>
    <x v="1"/>
    <s v="J-3989/25-26"/>
    <n v="348"/>
    <m/>
  </r>
  <r>
    <d v="2025-12-06T00:00:00"/>
    <x v="8"/>
    <x v="1"/>
    <s v="J-3990/25-26"/>
    <n v="196"/>
    <m/>
  </r>
  <r>
    <d v="2025-12-06T00:00:00"/>
    <x v="173"/>
    <x v="1"/>
    <s v="J-3991/25-26"/>
    <n v="1090"/>
    <m/>
  </r>
  <r>
    <d v="2025-12-06T00:00:00"/>
    <x v="1123"/>
    <x v="1"/>
    <s v="J-3992/25-26"/>
    <n v="958"/>
    <m/>
  </r>
  <r>
    <d v="2025-12-06T00:00:00"/>
    <x v="89"/>
    <x v="1"/>
    <s v="J-3993/25-26"/>
    <n v="650"/>
    <m/>
  </r>
  <r>
    <d v="2025-12-06T00:00:00"/>
    <x v="1129"/>
    <x v="1"/>
    <s v="J-3994/25-26"/>
    <n v="740"/>
    <m/>
  </r>
  <r>
    <d v="2025-12-06T00:00:00"/>
    <x v="4"/>
    <x v="1"/>
    <s v="J-3995/25-26"/>
    <n v="3440"/>
    <m/>
  </r>
  <r>
    <d v="2025-12-06T00:00:00"/>
    <x v="791"/>
    <x v="1"/>
    <s v="J-3996/25-26"/>
    <n v="16005"/>
    <m/>
  </r>
  <r>
    <d v="2025-12-06T00:00:00"/>
    <x v="1057"/>
    <x v="1"/>
    <s v="J-3997/25-26"/>
    <n v="1340"/>
    <m/>
  </r>
  <r>
    <d v="2025-12-06T00:00:00"/>
    <x v="79"/>
    <x v="1"/>
    <s v="J-3998/25-26"/>
    <n v="3858"/>
    <m/>
  </r>
  <r>
    <d v="2025-12-06T00:00:00"/>
    <x v="297"/>
    <x v="1"/>
    <s v="J-3999/25-26"/>
    <n v="3100"/>
    <m/>
  </r>
  <r>
    <d v="2025-12-06T00:00:00"/>
    <x v="1130"/>
    <x v="1"/>
    <s v="J-4000/25-26"/>
    <n v="8838"/>
    <m/>
  </r>
  <r>
    <d v="2025-12-06T00:00:00"/>
    <x v="1070"/>
    <x v="1"/>
    <s v="J-4001/25-26"/>
    <n v="14151"/>
    <m/>
  </r>
  <r>
    <d v="2025-12-06T00:00:00"/>
    <x v="1131"/>
    <x v="1"/>
    <s v="J-4002/25-26"/>
    <n v="2740"/>
    <m/>
  </r>
  <r>
    <d v="2025-12-06T00:00:00"/>
    <x v="485"/>
    <x v="1"/>
    <s v="J-4003/25-26"/>
    <n v="310"/>
    <m/>
  </r>
  <r>
    <d v="2025-12-06T00:00:00"/>
    <x v="890"/>
    <x v="1"/>
    <s v="J-4004/25-26"/>
    <n v="5966"/>
    <m/>
  </r>
  <r>
    <d v="2025-12-06T00:00:00"/>
    <x v="1123"/>
    <x v="1"/>
    <s v="J-4005/25-26"/>
    <n v="965"/>
    <m/>
  </r>
  <r>
    <d v="2025-12-06T00:00:00"/>
    <x v="29"/>
    <x v="1"/>
    <s v="J-4006/25-26"/>
    <n v="319"/>
    <m/>
  </r>
  <r>
    <d v="2025-12-06T00:00:00"/>
    <x v="8"/>
    <x v="1"/>
    <s v="J-4007/25-26"/>
    <n v="919"/>
    <m/>
  </r>
  <r>
    <d v="2025-12-06T00:00:00"/>
    <x v="115"/>
    <x v="1"/>
    <s v="J-4008/25-26"/>
    <n v="5626"/>
    <m/>
  </r>
  <r>
    <d v="2025-12-08T00:00:00"/>
    <x v="1132"/>
    <x v="0"/>
    <s v="JU-655/25-26"/>
    <n v="6875"/>
    <m/>
  </r>
  <r>
    <d v="2025-12-08T00:00:00"/>
    <x v="1127"/>
    <x v="0"/>
    <s v="JU-656/25-26"/>
    <n v="4650"/>
    <m/>
  </r>
  <r>
    <d v="2025-12-08T00:00:00"/>
    <x v="118"/>
    <x v="1"/>
    <s v="J-4009/25-26"/>
    <n v="300"/>
    <m/>
  </r>
  <r>
    <d v="2025-12-08T00:00:00"/>
    <x v="142"/>
    <x v="1"/>
    <s v="J-4010/25-26"/>
    <n v="310"/>
    <m/>
  </r>
  <r>
    <d v="2025-12-08T00:00:00"/>
    <x v="237"/>
    <x v="1"/>
    <s v="J-4011/25-26"/>
    <n v="1786"/>
    <m/>
  </r>
  <r>
    <d v="2025-12-08T00:00:00"/>
    <x v="330"/>
    <x v="1"/>
    <s v="J-4012/25-26"/>
    <n v="253"/>
    <m/>
  </r>
  <r>
    <d v="2025-12-08T00:00:00"/>
    <x v="23"/>
    <x v="1"/>
    <s v="J-4013/25-26"/>
    <n v="21652"/>
    <m/>
  </r>
  <r>
    <d v="2025-12-08T00:00:00"/>
    <x v="791"/>
    <x v="1"/>
    <s v="J-4014/25-26"/>
    <n v="672"/>
    <m/>
  </r>
  <r>
    <d v="2025-12-08T00:00:00"/>
    <x v="623"/>
    <x v="1"/>
    <s v="J-4015/25-26"/>
    <n v="700"/>
    <m/>
  </r>
  <r>
    <d v="2025-12-08T00:00:00"/>
    <x v="173"/>
    <x v="1"/>
    <s v="J-4016/25-26"/>
    <n v="150"/>
    <m/>
  </r>
  <r>
    <d v="2025-12-08T00:00:00"/>
    <x v="89"/>
    <x v="1"/>
    <s v="J-4017/25-26"/>
    <n v="1240"/>
    <m/>
  </r>
  <r>
    <d v="2025-12-08T00:00:00"/>
    <x v="890"/>
    <x v="1"/>
    <s v="J-4018/25-26"/>
    <n v="3336"/>
    <m/>
  </r>
  <r>
    <d v="2025-12-08T00:00:00"/>
    <x v="11"/>
    <x v="1"/>
    <s v="J-4019/25-26"/>
    <n v="1611"/>
    <m/>
  </r>
  <r>
    <d v="2025-12-08T00:00:00"/>
    <x v="255"/>
    <x v="1"/>
    <s v="J-4020/25-26"/>
    <n v="200"/>
    <m/>
  </r>
  <r>
    <d v="2025-12-08T00:00:00"/>
    <x v="1133"/>
    <x v="1"/>
    <s v="J-4021/25-26"/>
    <n v="1240"/>
    <m/>
  </r>
  <r>
    <d v="2025-12-08T00:00:00"/>
    <x v="245"/>
    <x v="1"/>
    <s v="J-4022/25-26"/>
    <n v="340"/>
    <m/>
  </r>
  <r>
    <d v="2025-12-08T00:00:00"/>
    <x v="1000"/>
    <x v="1"/>
    <s v="J-4023/25-26"/>
    <n v="19120"/>
    <m/>
  </r>
  <r>
    <d v="2025-12-08T00:00:00"/>
    <x v="1134"/>
    <x v="1"/>
    <s v="J-4024/25-26"/>
    <n v="23004"/>
    <m/>
  </r>
  <r>
    <d v="2025-12-08T00:00:00"/>
    <x v="1135"/>
    <x v="1"/>
    <s v="J-4025/25-26"/>
    <n v="18580"/>
    <m/>
  </r>
  <r>
    <d v="2025-12-08T00:00:00"/>
    <x v="11"/>
    <x v="1"/>
    <s v="J-4026/25-26"/>
    <n v="320"/>
    <m/>
  </r>
  <r>
    <d v="2025-12-09T00:00:00"/>
    <x v="958"/>
    <x v="0"/>
    <s v="JU-657/25-26"/>
    <n v="2890"/>
    <m/>
  </r>
  <r>
    <d v="2025-12-09T00:00:00"/>
    <x v="241"/>
    <x v="1"/>
    <s v="J-4027/25-26"/>
    <n v="6400"/>
    <m/>
  </r>
  <r>
    <d v="2025-12-09T00:00:00"/>
    <x v="385"/>
    <x v="1"/>
    <s v="J-4028/25-26"/>
    <n v="310"/>
    <m/>
  </r>
  <r>
    <d v="2025-12-09T00:00:00"/>
    <x v="732"/>
    <x v="1"/>
    <s v="J-4029/25-26"/>
    <n v="930"/>
    <m/>
  </r>
  <r>
    <d v="2025-12-09T00:00:00"/>
    <x v="1136"/>
    <x v="1"/>
    <s v="J-4030/25-26"/>
    <n v="1568"/>
    <m/>
  </r>
  <r>
    <d v="2025-12-09T00:00:00"/>
    <x v="20"/>
    <x v="1"/>
    <s v="J-4031/25-26"/>
    <n v="150"/>
    <m/>
  </r>
  <r>
    <d v="2025-12-09T00:00:00"/>
    <x v="29"/>
    <x v="1"/>
    <s v="J-4032/25-26"/>
    <n v="255"/>
    <m/>
  </r>
  <r>
    <d v="2025-12-09T00:00:00"/>
    <x v="1137"/>
    <x v="1"/>
    <s v="J-4033/25-26"/>
    <n v="8308"/>
    <m/>
  </r>
  <r>
    <d v="2025-12-09T00:00:00"/>
    <x v="623"/>
    <x v="1"/>
    <s v="J-4034/25-26"/>
    <n v="350"/>
    <m/>
  </r>
  <r>
    <d v="2025-12-09T00:00:00"/>
    <x v="1138"/>
    <x v="1"/>
    <s v="J-4035/25-26"/>
    <n v="1730"/>
    <m/>
  </r>
  <r>
    <d v="2025-12-09T00:00:00"/>
    <x v="1135"/>
    <x v="1"/>
    <s v="J-4036/25-26"/>
    <n v="2810"/>
    <m/>
  </r>
  <r>
    <d v="2025-12-09T00:00:00"/>
    <x v="890"/>
    <x v="1"/>
    <s v="J-4037/25-26"/>
    <n v="310"/>
    <m/>
  </r>
  <r>
    <d v="2025-12-09T00:00:00"/>
    <x v="1139"/>
    <x v="1"/>
    <s v="J-4038/25-26"/>
    <n v="5639"/>
    <m/>
  </r>
  <r>
    <d v="2025-12-10T00:00:00"/>
    <x v="958"/>
    <x v="0"/>
    <s v="JU-658/25-26"/>
    <n v="6750"/>
    <m/>
  </r>
  <r>
    <d v="2025-12-10T00:00:00"/>
    <x v="1140"/>
    <x v="0"/>
    <s v="JU-659/25-26"/>
    <n v="8664"/>
    <m/>
  </r>
  <r>
    <d v="2025-12-10T00:00:00"/>
    <x v="324"/>
    <x v="1"/>
    <s v="J-4039/25-26"/>
    <n v="46216"/>
    <m/>
  </r>
  <r>
    <d v="2025-12-10T00:00:00"/>
    <x v="595"/>
    <x v="1"/>
    <s v="J-4040/25-26"/>
    <n v="2505"/>
    <m/>
  </r>
  <r>
    <d v="2025-12-10T00:00:00"/>
    <x v="1141"/>
    <x v="1"/>
    <s v="J-4041/25-26"/>
    <n v="1550"/>
    <m/>
  </r>
  <r>
    <d v="2025-12-10T00:00:00"/>
    <x v="255"/>
    <x v="1"/>
    <s v="J-4042/25-26"/>
    <n v="22598"/>
    <m/>
  </r>
  <r>
    <d v="2025-12-10T00:00:00"/>
    <x v="8"/>
    <x v="1"/>
    <s v="J-4043/25-26"/>
    <n v="502"/>
    <m/>
  </r>
  <r>
    <d v="2025-12-10T00:00:00"/>
    <x v="1118"/>
    <x v="1"/>
    <s v="J-4044/25-26"/>
    <n v="1550"/>
    <m/>
  </r>
  <r>
    <d v="2025-12-10T00:00:00"/>
    <x v="582"/>
    <x v="1"/>
    <s v="J-4045/25-26"/>
    <n v="620"/>
    <m/>
  </r>
  <r>
    <d v="2025-12-10T00:00:00"/>
    <x v="637"/>
    <x v="1"/>
    <s v="J-4046/25-26"/>
    <n v="4886"/>
    <m/>
  </r>
  <r>
    <d v="2025-12-10T00:00:00"/>
    <x v="582"/>
    <x v="1"/>
    <s v="J-4047/25-26"/>
    <n v="6584"/>
    <m/>
  </r>
  <r>
    <d v="2025-12-10T00:00:00"/>
    <x v="23"/>
    <x v="1"/>
    <s v="J-4048/25-26"/>
    <n v="13277"/>
    <m/>
  </r>
  <r>
    <d v="2025-12-10T00:00:00"/>
    <x v="8"/>
    <x v="1"/>
    <s v="J-4049/25-26"/>
    <n v="9990"/>
    <m/>
  </r>
  <r>
    <d v="2025-12-10T00:00:00"/>
    <x v="245"/>
    <x v="1"/>
    <s v="J-4050/25-26"/>
    <n v="3400"/>
    <m/>
  </r>
  <r>
    <d v="2025-12-10T00:00:00"/>
    <x v="1142"/>
    <x v="1"/>
    <s v="J-4051/25-26"/>
    <n v="20110"/>
    <m/>
  </r>
  <r>
    <d v="2025-12-10T00:00:00"/>
    <x v="4"/>
    <x v="1"/>
    <s v="J-4052/25-26"/>
    <n v="14785"/>
    <m/>
  </r>
  <r>
    <d v="2025-12-10T00:00:00"/>
    <x v="8"/>
    <x v="1"/>
    <s v="J-4053/25-26"/>
    <n v="508"/>
    <m/>
  </r>
  <r>
    <d v="2025-12-10T00:00:00"/>
    <x v="1143"/>
    <x v="1"/>
    <s v="J-4054/25-26"/>
    <n v="28525"/>
    <m/>
  </r>
  <r>
    <d v="2025-12-10T00:00:00"/>
    <x v="11"/>
    <x v="1"/>
    <s v="J-4055/25-26"/>
    <n v="49500"/>
    <m/>
  </r>
  <r>
    <d v="2025-12-10T00:00:00"/>
    <x v="297"/>
    <x v="1"/>
    <s v="J-4056/25-26"/>
    <n v="3100"/>
    <m/>
  </r>
  <r>
    <d v="2025-12-10T00:00:00"/>
    <x v="1135"/>
    <x v="1"/>
    <s v="J-4057/25-26"/>
    <n v="1521"/>
    <m/>
  </r>
  <r>
    <d v="2025-12-10T00:00:00"/>
    <x v="89"/>
    <x v="1"/>
    <s v="J-4058/25-26"/>
    <n v="310"/>
    <m/>
  </r>
  <r>
    <d v="2025-12-10T00:00:00"/>
    <x v="332"/>
    <x v="1"/>
    <s v="J-4059/25-26"/>
    <n v="1710"/>
    <m/>
  </r>
  <r>
    <d v="2025-12-10T00:00:00"/>
    <x v="1144"/>
    <x v="1"/>
    <s v="J-4060/25-26"/>
    <n v="25320"/>
    <m/>
  </r>
  <r>
    <d v="2025-12-10T00:00:00"/>
    <x v="1000"/>
    <x v="1"/>
    <s v="J-4061/25-26"/>
    <n v="14974"/>
    <m/>
  </r>
  <r>
    <d v="2025-12-11T00:00:00"/>
    <x v="604"/>
    <x v="0"/>
    <s v="JU-660/25-26"/>
    <n v="4650"/>
    <m/>
  </r>
  <r>
    <d v="2025-12-11T00:00:00"/>
    <x v="1145"/>
    <x v="0"/>
    <s v="JU-661/25-26"/>
    <n v="4736"/>
    <m/>
  </r>
  <r>
    <d v="2025-12-11T00:00:00"/>
    <x v="1146"/>
    <x v="0"/>
    <s v="JU-662/25-26"/>
    <n v="3802"/>
    <m/>
  </r>
  <r>
    <d v="2025-12-11T00:00:00"/>
    <x v="1127"/>
    <x v="0"/>
    <s v="JU-663/25-26"/>
    <n v="13926"/>
    <m/>
  </r>
  <r>
    <d v="2025-12-11T00:00:00"/>
    <x v="564"/>
    <x v="1"/>
    <s v="J-4062/25-26"/>
    <n v="3170"/>
    <m/>
  </r>
  <r>
    <d v="2025-12-11T00:00:00"/>
    <x v="1147"/>
    <x v="1"/>
    <s v="J-4063/25-26"/>
    <n v="2680"/>
    <m/>
  </r>
  <r>
    <d v="2025-12-11T00:00:00"/>
    <x v="706"/>
    <x v="1"/>
    <s v="J-4064/25-26"/>
    <n v="9320"/>
    <m/>
  </r>
  <r>
    <d v="2025-12-11T00:00:00"/>
    <x v="986"/>
    <x v="1"/>
    <s v="J-4065/25-26"/>
    <n v="4438"/>
    <m/>
  </r>
  <r>
    <d v="2025-12-11T00:00:00"/>
    <x v="845"/>
    <x v="1"/>
    <s v="J-4066/25-26"/>
    <n v="3650"/>
    <m/>
  </r>
  <r>
    <d v="2025-12-11T00:00:00"/>
    <x v="23"/>
    <x v="1"/>
    <s v="J-4067/25-26"/>
    <n v="6200"/>
    <m/>
  </r>
  <r>
    <d v="2025-12-11T00:00:00"/>
    <x v="11"/>
    <x v="1"/>
    <s v="J-4068/25-26"/>
    <n v="3846"/>
    <m/>
  </r>
  <r>
    <d v="2025-12-11T00:00:00"/>
    <x v="8"/>
    <x v="1"/>
    <s v="J-4069/25-26"/>
    <n v="4467"/>
    <m/>
  </r>
  <r>
    <d v="2025-12-11T00:00:00"/>
    <x v="25"/>
    <x v="1"/>
    <s v="J-4070/25-26"/>
    <n v="3711"/>
    <m/>
  </r>
  <r>
    <d v="2025-12-11T00:00:00"/>
    <x v="1148"/>
    <x v="1"/>
    <s v="J-4071/25-26"/>
    <n v="7000"/>
    <m/>
  </r>
  <r>
    <d v="2025-12-11T00:00:00"/>
    <x v="4"/>
    <x v="1"/>
    <s v="J-4072/25-26"/>
    <n v="12054"/>
    <m/>
  </r>
  <r>
    <d v="2025-12-11T00:00:00"/>
    <x v="1115"/>
    <x v="1"/>
    <s v="J-4073/25-26"/>
    <n v="3931"/>
    <m/>
  </r>
  <r>
    <d v="2025-12-11T00:00:00"/>
    <x v="1149"/>
    <x v="1"/>
    <s v="J-4074/25-26"/>
    <n v="10074"/>
    <m/>
  </r>
  <r>
    <d v="2025-12-11T00:00:00"/>
    <x v="91"/>
    <x v="1"/>
    <s v="J-4075/25-26"/>
    <n v="2302"/>
    <m/>
  </r>
  <r>
    <d v="2025-12-12T00:00:00"/>
    <x v="64"/>
    <x v="0"/>
    <s v="JU-664/25-26"/>
    <n v="32000"/>
    <m/>
  </r>
  <r>
    <d v="2025-12-12T00:00:00"/>
    <x v="306"/>
    <x v="0"/>
    <s v="JU-665/25-26"/>
    <n v="69700"/>
    <m/>
  </r>
  <r>
    <d v="2025-12-12T00:00:00"/>
    <x v="868"/>
    <x v="1"/>
    <s v="J-4076/25-26"/>
    <n v="3100"/>
    <m/>
  </r>
  <r>
    <d v="2025-12-12T00:00:00"/>
    <x v="11"/>
    <x v="1"/>
    <s v="J-4077/25-26"/>
    <n v="49500"/>
    <m/>
  </r>
  <r>
    <d v="2025-12-12T00:00:00"/>
    <x v="170"/>
    <x v="1"/>
    <s v="J-4078/25-26"/>
    <n v="6186"/>
    <m/>
  </r>
  <r>
    <d v="2025-12-12T00:00:00"/>
    <x v="666"/>
    <x v="1"/>
    <s v="J-4079/25-26"/>
    <n v="1550"/>
    <m/>
  </r>
  <r>
    <d v="2025-12-12T00:00:00"/>
    <x v="11"/>
    <x v="1"/>
    <s v="J-4080/25-26"/>
    <n v="49500"/>
    <m/>
  </r>
  <r>
    <d v="2025-12-12T00:00:00"/>
    <x v="1141"/>
    <x v="1"/>
    <s v="J-4081/25-26"/>
    <n v="1712"/>
    <m/>
  </r>
  <r>
    <d v="2025-12-12T00:00:00"/>
    <x v="11"/>
    <x v="1"/>
    <s v="J-4082/25-26"/>
    <n v="49500"/>
    <m/>
  </r>
  <r>
    <d v="2025-12-12T00:00:00"/>
    <x v="23"/>
    <x v="1"/>
    <s v="J-4083/25-26"/>
    <n v="10342"/>
    <m/>
  </r>
  <r>
    <d v="2025-12-12T00:00:00"/>
    <x v="1142"/>
    <x v="1"/>
    <s v="J-4084/25-26"/>
    <n v="3100"/>
    <m/>
  </r>
  <r>
    <d v="2025-12-12T00:00:00"/>
    <x v="706"/>
    <x v="1"/>
    <s v="J-4085/25-26"/>
    <n v="1687"/>
    <m/>
  </r>
  <r>
    <d v="2025-12-12T00:00:00"/>
    <x v="297"/>
    <x v="1"/>
    <s v="J-4086/25-26"/>
    <n v="6200"/>
    <m/>
  </r>
  <r>
    <d v="2025-12-12T00:00:00"/>
    <x v="245"/>
    <x v="1"/>
    <s v="J-4087/25-26"/>
    <n v="425"/>
    <m/>
  </r>
  <r>
    <d v="2025-12-12T00:00:00"/>
    <x v="11"/>
    <x v="1"/>
    <s v="J-4088/25-26"/>
    <n v="1168"/>
    <m/>
  </r>
  <r>
    <d v="2025-12-12T00:00:00"/>
    <x v="11"/>
    <x v="1"/>
    <s v="J-4089/25-26"/>
    <n v="18"/>
    <m/>
  </r>
  <r>
    <d v="2025-12-12T00:00:00"/>
    <x v="163"/>
    <x v="1"/>
    <s v="J-4090/25-26"/>
    <n v="14072"/>
    <m/>
  </r>
  <r>
    <d v="2025-12-13T00:00:00"/>
    <x v="1145"/>
    <x v="0"/>
    <s v="JU-666/25-26"/>
    <n v="5737"/>
    <m/>
  </r>
  <r>
    <d v="2025-12-13T00:00:00"/>
    <x v="306"/>
    <x v="0"/>
    <s v="JU-667/25-26"/>
    <n v="9234"/>
    <m/>
  </r>
  <r>
    <d v="2025-12-13T00:00:00"/>
    <x v="1150"/>
    <x v="1"/>
    <s v="J-4091/25-26"/>
    <n v="9970"/>
    <m/>
  </r>
  <r>
    <d v="2025-12-13T00:00:00"/>
    <x v="279"/>
    <x v="1"/>
    <s v="J-4092/25-26"/>
    <n v="2480"/>
    <m/>
  </r>
  <r>
    <d v="2025-12-13T00:00:00"/>
    <x v="255"/>
    <x v="1"/>
    <s v="J-4093/25-26"/>
    <n v="2500"/>
    <m/>
  </r>
  <r>
    <d v="2025-12-13T00:00:00"/>
    <x v="1022"/>
    <x v="1"/>
    <s v="J-4094/25-26"/>
    <n v="10"/>
    <m/>
  </r>
  <r>
    <d v="2025-12-13T00:00:00"/>
    <x v="1022"/>
    <x v="1"/>
    <s v="J-4095/25-26"/>
    <n v="310"/>
    <m/>
  </r>
  <r>
    <d v="2025-12-13T00:00:00"/>
    <x v="192"/>
    <x v="1"/>
    <s v="J-4096/25-26"/>
    <n v="320"/>
    <m/>
  </r>
  <r>
    <d v="2025-12-13T00:00:00"/>
    <x v="1151"/>
    <x v="1"/>
    <s v="J-4097/25-26"/>
    <n v="22940"/>
    <m/>
  </r>
  <r>
    <d v="2025-12-13T00:00:00"/>
    <x v="986"/>
    <x v="1"/>
    <s v="J-4098/25-26"/>
    <n v="5865"/>
    <m/>
  </r>
  <r>
    <d v="2025-12-13T00:00:00"/>
    <x v="1152"/>
    <x v="1"/>
    <s v="J-4099/25-26"/>
    <n v="2420"/>
    <m/>
  </r>
  <r>
    <d v="2025-12-13T00:00:00"/>
    <x v="245"/>
    <x v="1"/>
    <s v="J-4100/25-26"/>
    <n v="350"/>
    <m/>
  </r>
  <r>
    <d v="2025-12-13T00:00:00"/>
    <x v="1142"/>
    <x v="1"/>
    <s v="J-4101/25-26"/>
    <n v="3100"/>
    <m/>
  </r>
  <r>
    <d v="2025-12-13T00:00:00"/>
    <x v="1135"/>
    <x v="1"/>
    <s v="J-4102/25-26"/>
    <n v="3100"/>
    <m/>
  </r>
  <r>
    <d v="2025-12-13T00:00:00"/>
    <x v="990"/>
    <x v="1"/>
    <s v="J-4103/25-26"/>
    <n v="6224"/>
    <m/>
  </r>
  <r>
    <d v="2025-12-13T00:00:00"/>
    <x v="20"/>
    <x v="1"/>
    <s v="J-4104/25-26"/>
    <n v="1408"/>
    <m/>
  </r>
  <r>
    <d v="2025-12-13T00:00:00"/>
    <x v="595"/>
    <x v="1"/>
    <s v="J-4105/25-26"/>
    <n v="4849"/>
    <m/>
  </r>
  <r>
    <d v="2025-12-13T00:00:00"/>
    <x v="1153"/>
    <x v="1"/>
    <s v="J-4106/25-26"/>
    <n v="300"/>
    <m/>
  </r>
  <r>
    <d v="2025-12-13T00:00:00"/>
    <x v="245"/>
    <x v="1"/>
    <s v="J-4107/25-26"/>
    <n v="213"/>
    <m/>
  </r>
  <r>
    <d v="2025-12-13T00:00:00"/>
    <x v="79"/>
    <x v="1"/>
    <s v="J-4108/25-26"/>
    <n v="602"/>
    <m/>
  </r>
  <r>
    <d v="2025-12-13T00:00:00"/>
    <x v="29"/>
    <x v="1"/>
    <s v="J-4109/25-26"/>
    <n v="930"/>
    <m/>
  </r>
  <r>
    <d v="2025-12-15T00:00:00"/>
    <x v="64"/>
    <x v="0"/>
    <s v="JU-668/25-26"/>
    <n v="2008"/>
    <m/>
  </r>
  <r>
    <d v="2025-12-15T00:00:00"/>
    <x v="306"/>
    <x v="0"/>
    <s v="JU-669/25-26"/>
    <n v="933"/>
    <m/>
  </r>
  <r>
    <d v="2025-12-15T00:00:00"/>
    <x v="32"/>
    <x v="0"/>
    <s v="JU-670/25-26"/>
    <n v="12936"/>
    <m/>
  </r>
  <r>
    <d v="2025-12-15T00:00:00"/>
    <x v="306"/>
    <x v="0"/>
    <s v="JU-671/25-26"/>
    <n v="19390"/>
    <m/>
  </r>
  <r>
    <d v="2025-12-15T00:00:00"/>
    <x v="4"/>
    <x v="1"/>
    <s v="J-4110/25-26"/>
    <n v="1197"/>
    <m/>
  </r>
  <r>
    <d v="2025-12-15T00:00:00"/>
    <x v="596"/>
    <x v="1"/>
    <s v="J-4111/25-26"/>
    <n v="6200"/>
    <m/>
  </r>
  <r>
    <d v="2025-12-15T00:00:00"/>
    <x v="868"/>
    <x v="1"/>
    <s v="J-4112/25-26"/>
    <n v="4650"/>
    <m/>
  </r>
  <r>
    <d v="2025-12-15T00:00:00"/>
    <x v="89"/>
    <x v="1"/>
    <s v="J-4113/25-26"/>
    <n v="310"/>
    <m/>
  </r>
  <r>
    <d v="2025-12-15T00:00:00"/>
    <x v="4"/>
    <x v="1"/>
    <s v="J-4114/25-26"/>
    <n v="13823"/>
    <m/>
  </r>
  <r>
    <d v="2025-12-15T00:00:00"/>
    <x v="1134"/>
    <x v="1"/>
    <s v="J-4115/25-26"/>
    <n v="242"/>
    <m/>
  </r>
  <r>
    <d v="2025-12-15T00:00:00"/>
    <x v="1151"/>
    <x v="1"/>
    <s v="J-4116/25-26"/>
    <n v="570"/>
    <m/>
  </r>
  <r>
    <d v="2025-12-15T00:00:00"/>
    <x v="34"/>
    <x v="1"/>
    <s v="J-4117/25-26"/>
    <n v="10660"/>
    <m/>
  </r>
  <r>
    <d v="2025-12-15T00:00:00"/>
    <x v="273"/>
    <x v="1"/>
    <s v="J-4118/25-26"/>
    <n v="4713"/>
    <m/>
  </r>
  <r>
    <d v="2025-12-15T00:00:00"/>
    <x v="990"/>
    <x v="1"/>
    <s v="J-4119/25-26"/>
    <n v="3300"/>
    <m/>
  </r>
  <r>
    <d v="2025-12-15T00:00:00"/>
    <x v="1154"/>
    <x v="1"/>
    <s v="J-4120/25-26"/>
    <n v="2234"/>
    <m/>
  </r>
  <r>
    <d v="2025-12-15T00:00:00"/>
    <x v="1155"/>
    <x v="1"/>
    <s v="J-4121/25-26"/>
    <n v="1137"/>
    <m/>
  </r>
  <r>
    <d v="2025-12-15T00:00:00"/>
    <x v="567"/>
    <x v="1"/>
    <s v="J-4122/25-26"/>
    <n v="4076"/>
    <m/>
  </r>
  <r>
    <d v="2025-12-15T00:00:00"/>
    <x v="852"/>
    <x v="1"/>
    <s v="J-4123/25-26"/>
    <n v="37792"/>
    <m/>
  </r>
  <r>
    <d v="2025-12-15T00:00:00"/>
    <x v="1156"/>
    <x v="1"/>
    <s v="J-4124/25-26"/>
    <n v="4892"/>
    <m/>
  </r>
  <r>
    <d v="2025-12-15T00:00:00"/>
    <x v="28"/>
    <x v="1"/>
    <s v="J-4125/25-26"/>
    <n v="1860"/>
    <m/>
  </r>
  <r>
    <d v="2025-12-15T00:00:00"/>
    <x v="23"/>
    <x v="1"/>
    <s v="J-4126/25-26"/>
    <n v="20220"/>
    <m/>
  </r>
  <r>
    <d v="2025-12-15T00:00:00"/>
    <x v="477"/>
    <x v="1"/>
    <s v="J-4127/25-26"/>
    <n v="1282"/>
    <m/>
  </r>
  <r>
    <d v="2025-12-15T00:00:00"/>
    <x v="1148"/>
    <x v="1"/>
    <s v="J-4128/25-26"/>
    <n v="7000"/>
    <m/>
  </r>
  <r>
    <d v="2025-12-15T00:00:00"/>
    <x v="1134"/>
    <x v="1"/>
    <s v="J-4129/25-26"/>
    <n v="898"/>
    <m/>
  </r>
  <r>
    <d v="2025-12-15T00:00:00"/>
    <x v="11"/>
    <x v="1"/>
    <s v="J-4130/25-26"/>
    <n v="12"/>
    <m/>
  </r>
  <r>
    <d v="2025-12-15T00:00:00"/>
    <x v="8"/>
    <x v="1"/>
    <s v="J-4131/25-26"/>
    <n v="4930"/>
    <m/>
  </r>
  <r>
    <d v="2025-12-15T00:00:00"/>
    <x v="1157"/>
    <x v="1"/>
    <s v="J-4132/25-26"/>
    <n v="15743"/>
    <m/>
  </r>
  <r>
    <d v="2025-12-15T00:00:00"/>
    <x v="1157"/>
    <x v="1"/>
    <s v="J-4133/25-26"/>
    <n v="840"/>
    <m/>
  </r>
  <r>
    <d v="2025-12-15T00:00:00"/>
    <x v="1157"/>
    <x v="1"/>
    <s v="J-4134/25-26"/>
    <n v="3538"/>
    <m/>
  </r>
  <r>
    <d v="2025-12-15T00:00:00"/>
    <x v="1158"/>
    <x v="1"/>
    <s v="J-4135/25-26"/>
    <n v="300"/>
    <m/>
  </r>
  <r>
    <d v="2025-12-16T00:00:00"/>
    <x v="449"/>
    <x v="0"/>
    <s v="JU-672/25-26"/>
    <n v="3460"/>
    <m/>
  </r>
  <r>
    <d v="2025-12-16T00:00:00"/>
    <x v="410"/>
    <x v="0"/>
    <s v="JU-673/25-26"/>
    <n v="67750"/>
    <m/>
  </r>
  <r>
    <d v="2025-12-16T00:00:00"/>
    <x v="20"/>
    <x v="1"/>
    <s v="J-4136/25-26"/>
    <n v="13035"/>
    <m/>
  </r>
  <r>
    <d v="2025-12-16T00:00:00"/>
    <x v="20"/>
    <x v="1"/>
    <s v="J-4137/25-26"/>
    <n v="14236"/>
    <m/>
  </r>
  <r>
    <d v="2025-12-16T00:00:00"/>
    <x v="20"/>
    <x v="1"/>
    <s v="J-4138/25-26"/>
    <n v="5815"/>
    <m/>
  </r>
  <r>
    <d v="2025-12-16T00:00:00"/>
    <x v="20"/>
    <x v="1"/>
    <s v="J-4139/25-26"/>
    <n v="4860"/>
    <m/>
  </r>
  <r>
    <d v="2025-12-16T00:00:00"/>
    <x v="1159"/>
    <x v="1"/>
    <s v="J-4140/25-26"/>
    <n v="620"/>
    <m/>
  </r>
  <r>
    <d v="2025-12-16T00:00:00"/>
    <x v="1160"/>
    <x v="1"/>
    <s v="J-4141/25-26"/>
    <n v="300"/>
    <m/>
  </r>
  <r>
    <d v="2025-12-16T00:00:00"/>
    <x v="1161"/>
    <x v="1"/>
    <s v="J-4142/25-26"/>
    <n v="310"/>
    <m/>
  </r>
  <r>
    <d v="2025-12-16T00:00:00"/>
    <x v="34"/>
    <x v="1"/>
    <s v="J-4143/25-26"/>
    <n v="3500"/>
    <m/>
  </r>
  <r>
    <d v="2025-12-16T00:00:00"/>
    <x v="868"/>
    <x v="1"/>
    <s v="J-4144/25-26"/>
    <n v="504"/>
    <m/>
  </r>
  <r>
    <d v="2025-12-16T00:00:00"/>
    <x v="1162"/>
    <x v="1"/>
    <s v="J-4145/25-26"/>
    <n v="22984"/>
    <m/>
  </r>
  <r>
    <d v="2025-12-16T00:00:00"/>
    <x v="596"/>
    <x v="1"/>
    <s v="J-4146/25-26"/>
    <n v="4768"/>
    <m/>
  </r>
  <r>
    <d v="2025-12-16T00:00:00"/>
    <x v="11"/>
    <x v="1"/>
    <s v="J-4147/25-26"/>
    <n v="20"/>
    <m/>
  </r>
  <r>
    <d v="2025-12-16T00:00:00"/>
    <x v="692"/>
    <x v="1"/>
    <s v="J-4148/25-26"/>
    <n v="14043"/>
    <m/>
  </r>
  <r>
    <d v="2025-12-16T00:00:00"/>
    <x v="1163"/>
    <x v="1"/>
    <s v="J-4149/25-26"/>
    <n v="310"/>
    <m/>
  </r>
  <r>
    <d v="2025-12-16T00:00:00"/>
    <x v="333"/>
    <x v="1"/>
    <s v="J-4150/25-26"/>
    <n v="2470"/>
    <m/>
  </r>
  <r>
    <d v="2025-12-16T00:00:00"/>
    <x v="1164"/>
    <x v="1"/>
    <s v="J-4151/25-26"/>
    <n v="12"/>
    <m/>
  </r>
  <r>
    <d v="2025-12-16T00:00:00"/>
    <x v="104"/>
    <x v="1"/>
    <s v="J-4152/25-26"/>
    <n v="182"/>
    <m/>
  </r>
  <r>
    <d v="2025-12-16T00:00:00"/>
    <x v="986"/>
    <x v="1"/>
    <s v="J-4153/25-26"/>
    <n v="20600"/>
    <m/>
  </r>
  <r>
    <d v="2025-12-16T00:00:00"/>
    <x v="990"/>
    <x v="1"/>
    <s v="J-4154/25-26"/>
    <n v="128"/>
    <m/>
  </r>
  <r>
    <d v="2025-12-16T00:00:00"/>
    <x v="330"/>
    <x v="1"/>
    <s v="J-4155/25-26"/>
    <n v="1037"/>
    <m/>
  </r>
  <r>
    <d v="2025-12-16T00:00:00"/>
    <x v="833"/>
    <x v="1"/>
    <s v="J-4156/25-26"/>
    <n v="40"/>
    <m/>
  </r>
  <r>
    <d v="2025-12-16T00:00:00"/>
    <x v="4"/>
    <x v="1"/>
    <s v="J-4157/25-26"/>
    <n v="947"/>
    <m/>
  </r>
  <r>
    <d v="2025-12-16T00:00:00"/>
    <x v="1165"/>
    <x v="1"/>
    <s v="J-4158/25-26"/>
    <n v="2792"/>
    <m/>
  </r>
  <r>
    <d v="2025-12-16T00:00:00"/>
    <x v="1134"/>
    <x v="1"/>
    <s v="J-4159/25-26"/>
    <n v="951"/>
    <m/>
  </r>
  <r>
    <d v="2025-12-16T00:00:00"/>
    <x v="11"/>
    <x v="1"/>
    <s v="J-4160/25-26"/>
    <n v="4610"/>
    <m/>
  </r>
  <r>
    <d v="2025-12-17T00:00:00"/>
    <x v="306"/>
    <x v="0"/>
    <s v="JU-674/25-26"/>
    <n v="26530"/>
    <m/>
  </r>
  <r>
    <d v="2025-12-17T00:00:00"/>
    <x v="305"/>
    <x v="0"/>
    <s v="JU-675/25-26"/>
    <n v="44962"/>
    <m/>
  </r>
  <r>
    <d v="2025-12-17T00:00:00"/>
    <x v="671"/>
    <x v="0"/>
    <s v="JU-676/25-26"/>
    <n v="32708"/>
    <m/>
  </r>
  <r>
    <d v="2025-12-17T00:00:00"/>
    <x v="333"/>
    <x v="1"/>
    <s v="J-4161/25-26"/>
    <n v="3100"/>
    <m/>
  </r>
  <r>
    <d v="2025-12-17T00:00:00"/>
    <x v="11"/>
    <x v="1"/>
    <s v="J-4162/25-26"/>
    <n v="30"/>
    <m/>
  </r>
  <r>
    <d v="2025-12-17T00:00:00"/>
    <x v="11"/>
    <x v="1"/>
    <s v="J-4163/25-26"/>
    <n v="310"/>
    <m/>
  </r>
  <r>
    <d v="2025-12-17T00:00:00"/>
    <x v="1166"/>
    <x v="1"/>
    <s v="J-4164/25-26"/>
    <n v="3237"/>
    <m/>
  </r>
  <r>
    <d v="2025-12-17T00:00:00"/>
    <x v="1167"/>
    <x v="1"/>
    <s v="J-4165/25-26"/>
    <n v="3351"/>
    <m/>
  </r>
  <r>
    <d v="2025-12-17T00:00:00"/>
    <x v="794"/>
    <x v="1"/>
    <s v="J-4166/25-26"/>
    <n v="24725"/>
    <m/>
  </r>
  <r>
    <d v="2025-12-17T00:00:00"/>
    <x v="255"/>
    <x v="1"/>
    <s v="J-4167/25-26"/>
    <n v="15500"/>
    <m/>
  </r>
  <r>
    <d v="2025-12-17T00:00:00"/>
    <x v="20"/>
    <x v="1"/>
    <s v="J-4168/25-26"/>
    <n v="685"/>
    <m/>
  </r>
  <r>
    <d v="2025-12-17T00:00:00"/>
    <x v="69"/>
    <x v="1"/>
    <s v="J-4169/25-26"/>
    <n v="24284"/>
    <m/>
  </r>
  <r>
    <d v="2025-12-17T00:00:00"/>
    <x v="4"/>
    <x v="1"/>
    <s v="J-4170/25-26"/>
    <n v="5265"/>
    <m/>
  </r>
  <r>
    <d v="2025-12-17T00:00:00"/>
    <x v="1014"/>
    <x v="1"/>
    <s v="J-4171/25-26"/>
    <n v="434"/>
    <m/>
  </r>
  <r>
    <d v="2025-12-17T00:00:00"/>
    <x v="666"/>
    <x v="1"/>
    <s v="J-4172/25-26"/>
    <n v="9023"/>
    <m/>
  </r>
  <r>
    <d v="2025-12-17T00:00:00"/>
    <x v="596"/>
    <x v="1"/>
    <s v="J-4173/25-26"/>
    <n v="2657"/>
    <m/>
  </r>
  <r>
    <d v="2025-12-17T00:00:00"/>
    <x v="205"/>
    <x v="1"/>
    <s v="J-4174/25-26"/>
    <n v="660"/>
    <m/>
  </r>
  <r>
    <d v="2025-12-17T00:00:00"/>
    <x v="1142"/>
    <x v="1"/>
    <s v="J-4175/25-26"/>
    <n v="4442"/>
    <m/>
  </r>
  <r>
    <d v="2025-12-17T00:00:00"/>
    <x v="69"/>
    <x v="1"/>
    <s v="J-4176/25-26"/>
    <n v="23455"/>
    <m/>
  </r>
  <r>
    <d v="2025-12-17T00:00:00"/>
    <x v="1016"/>
    <x v="1"/>
    <s v="J-4177/25-26"/>
    <n v="6664"/>
    <m/>
  </r>
  <r>
    <d v="2025-12-17T00:00:00"/>
    <x v="241"/>
    <x v="1"/>
    <s v="J-4178/25-26"/>
    <n v="6200"/>
    <m/>
  </r>
  <r>
    <d v="2025-12-17T00:00:00"/>
    <x v="850"/>
    <x v="1"/>
    <s v="J-4179/25-26"/>
    <n v="22287"/>
    <m/>
  </r>
  <r>
    <d v="2025-12-17T00:00:00"/>
    <x v="747"/>
    <x v="1"/>
    <s v="J-4180/25-26"/>
    <n v="310"/>
    <m/>
  </r>
  <r>
    <d v="2025-12-17T00:00:00"/>
    <x v="1168"/>
    <x v="1"/>
    <s v="J-4181/25-26"/>
    <n v="310"/>
    <m/>
  </r>
  <r>
    <d v="2025-12-18T00:00:00"/>
    <x v="604"/>
    <x v="0"/>
    <s v="JU-677/25-26"/>
    <n v="12418"/>
    <m/>
  </r>
  <r>
    <d v="2025-12-18T00:00:00"/>
    <x v="1169"/>
    <x v="0"/>
    <s v="JU-678/25-26"/>
    <n v="9557"/>
    <m/>
  </r>
  <r>
    <d v="2025-12-18T00:00:00"/>
    <x v="604"/>
    <x v="0"/>
    <s v="JU-679/25-26"/>
    <n v="120"/>
    <m/>
  </r>
  <r>
    <d v="2025-12-18T00:00:00"/>
    <x v="23"/>
    <x v="1"/>
    <s v="J-4182/25-26"/>
    <n v="4650"/>
    <m/>
  </r>
  <r>
    <d v="2025-12-18T00:00:00"/>
    <x v="1170"/>
    <x v="1"/>
    <s v="J-4183/25-26"/>
    <n v="600"/>
    <m/>
  </r>
  <r>
    <d v="2025-12-18T00:00:00"/>
    <x v="858"/>
    <x v="1"/>
    <s v="J-4184/25-26"/>
    <n v="20856"/>
    <m/>
  </r>
  <r>
    <d v="2025-12-18T00:00:00"/>
    <x v="170"/>
    <x v="1"/>
    <s v="J-4185/25-26"/>
    <n v="16110"/>
    <m/>
  </r>
  <r>
    <d v="2025-12-18T00:00:00"/>
    <x v="868"/>
    <x v="1"/>
    <s v="J-4186/25-26"/>
    <n v="4650"/>
    <m/>
  </r>
  <r>
    <d v="2025-12-18T00:00:00"/>
    <x v="1162"/>
    <x v="1"/>
    <s v="J-4187/25-26"/>
    <n v="160"/>
    <m/>
  </r>
  <r>
    <d v="2025-12-18T00:00:00"/>
    <x v="245"/>
    <x v="1"/>
    <s v="J-4188/25-26"/>
    <n v="6800"/>
    <m/>
  </r>
  <r>
    <d v="2025-12-18T00:00:00"/>
    <x v="1148"/>
    <x v="1"/>
    <s v="J-4189/25-26"/>
    <n v="7000"/>
    <m/>
  </r>
  <r>
    <d v="2025-12-18T00:00:00"/>
    <x v="1171"/>
    <x v="1"/>
    <s v="J-4190/25-26"/>
    <n v="1451"/>
    <m/>
  </r>
  <r>
    <d v="2025-12-18T00:00:00"/>
    <x v="23"/>
    <x v="1"/>
    <s v="J-4191/25-26"/>
    <n v="1550"/>
    <m/>
  </r>
  <r>
    <d v="2025-12-18T00:00:00"/>
    <x v="597"/>
    <x v="1"/>
    <s v="J-4192/25-26"/>
    <n v="3100"/>
    <m/>
  </r>
  <r>
    <d v="2025-12-18T00:00:00"/>
    <x v="82"/>
    <x v="1"/>
    <s v="J-4193/25-26"/>
    <n v="18407"/>
    <m/>
  </r>
  <r>
    <d v="2025-12-18T00:00:00"/>
    <x v="79"/>
    <x v="1"/>
    <s v="J-4194/25-26"/>
    <n v="620"/>
    <m/>
  </r>
  <r>
    <d v="2025-12-18T00:00:00"/>
    <x v="868"/>
    <x v="1"/>
    <s v="J-4195/25-26"/>
    <n v="213"/>
    <m/>
  </r>
  <r>
    <d v="2025-12-18T00:00:00"/>
    <x v="237"/>
    <x v="1"/>
    <s v="J-4196/25-26"/>
    <n v="1315"/>
    <m/>
  </r>
  <r>
    <d v="2025-12-18T00:00:00"/>
    <x v="20"/>
    <x v="1"/>
    <s v="J-4197/25-26"/>
    <n v="15264"/>
    <m/>
  </r>
  <r>
    <d v="2025-12-18T00:00:00"/>
    <x v="163"/>
    <x v="1"/>
    <s v="J-4198/25-26"/>
    <n v="27355"/>
    <m/>
  </r>
  <r>
    <d v="2025-12-18T00:00:00"/>
    <x v="1051"/>
    <x v="1"/>
    <s v="J-4199/25-26"/>
    <n v="3100"/>
    <m/>
  </r>
  <r>
    <d v="2025-12-18T00:00:00"/>
    <x v="11"/>
    <x v="1"/>
    <s v="J-4200/25-26"/>
    <n v="12"/>
    <m/>
  </r>
  <r>
    <d v="2025-12-18T00:00:00"/>
    <x v="55"/>
    <x v="1"/>
    <s v="J-4201/25-26"/>
    <n v="10745"/>
    <m/>
  </r>
  <r>
    <d v="2025-12-18T00:00:00"/>
    <x v="653"/>
    <x v="1"/>
    <s v="J-4202/25-26"/>
    <n v="38"/>
    <m/>
  </r>
  <r>
    <d v="2025-12-19T00:00:00"/>
    <x v="689"/>
    <x v="0"/>
    <s v="JU-680/25-26"/>
    <n v="474096"/>
    <m/>
  </r>
  <r>
    <d v="2025-12-19T00:00:00"/>
    <x v="1169"/>
    <x v="0"/>
    <s v="JU-681/25-26"/>
    <n v="13827"/>
    <m/>
  </r>
  <r>
    <d v="2025-12-19T00:00:00"/>
    <x v="64"/>
    <x v="0"/>
    <s v="JU-682/25-26"/>
    <n v="40910"/>
    <m/>
  </r>
  <r>
    <d v="2025-12-19T00:00:00"/>
    <x v="1172"/>
    <x v="1"/>
    <s v="J-4203/25-26"/>
    <n v="591"/>
    <m/>
  </r>
  <r>
    <d v="2025-12-19T00:00:00"/>
    <x v="968"/>
    <x v="1"/>
    <s v="J-4204/25-26"/>
    <n v="2347"/>
    <m/>
  </r>
  <r>
    <d v="2025-12-19T00:00:00"/>
    <x v="11"/>
    <x v="1"/>
    <s v="J-4205/25-26"/>
    <n v="12"/>
    <m/>
  </r>
  <r>
    <d v="2025-12-19T00:00:00"/>
    <x v="266"/>
    <x v="1"/>
    <s v="J-4206/25-26"/>
    <n v="4875"/>
    <m/>
  </r>
  <r>
    <d v="2025-12-19T00:00:00"/>
    <x v="995"/>
    <x v="1"/>
    <s v="J-4207/25-26"/>
    <n v="3100"/>
    <m/>
  </r>
  <r>
    <d v="2025-12-19T00:00:00"/>
    <x v="1061"/>
    <x v="1"/>
    <s v="J-4208/25-26"/>
    <n v="300"/>
    <m/>
  </r>
  <r>
    <d v="2025-12-19T00:00:00"/>
    <x v="1173"/>
    <x v="1"/>
    <s v="J-4209/25-26"/>
    <n v="921"/>
    <m/>
  </r>
  <r>
    <d v="2025-12-19T00:00:00"/>
    <x v="1174"/>
    <x v="1"/>
    <s v="J-4210/25-26"/>
    <n v="1334"/>
    <m/>
  </r>
  <r>
    <d v="2025-12-19T00:00:00"/>
    <x v="666"/>
    <x v="1"/>
    <s v="J-4211/25-26"/>
    <n v="85"/>
    <m/>
  </r>
  <r>
    <d v="2025-12-19T00:00:00"/>
    <x v="11"/>
    <x v="1"/>
    <s v="J-4212/25-26"/>
    <n v="100"/>
    <m/>
  </r>
  <r>
    <d v="2025-12-19T00:00:00"/>
    <x v="11"/>
    <x v="1"/>
    <s v="J-4213/25-26"/>
    <n v="310"/>
    <m/>
  </r>
  <r>
    <d v="2025-12-19T00:00:00"/>
    <x v="1175"/>
    <x v="1"/>
    <s v="J-4214/25-26"/>
    <n v="7055"/>
    <m/>
  </r>
  <r>
    <d v="2025-12-19T00:00:00"/>
    <x v="47"/>
    <x v="1"/>
    <s v="J-4215/25-26"/>
    <n v="23341"/>
    <m/>
  </r>
  <r>
    <d v="2025-12-19T00:00:00"/>
    <x v="11"/>
    <x v="1"/>
    <s v="J-4216/25-26"/>
    <n v="17"/>
    <m/>
  </r>
  <r>
    <d v="2025-12-19T00:00:00"/>
    <x v="1176"/>
    <x v="1"/>
    <s v="J-4217/25-26"/>
    <n v="10637"/>
    <m/>
  </r>
  <r>
    <d v="2025-12-19T00:00:00"/>
    <x v="4"/>
    <x v="1"/>
    <s v="J-4218/25-26"/>
    <n v="48260"/>
    <m/>
  </r>
  <r>
    <d v="2025-12-19T00:00:00"/>
    <x v="163"/>
    <x v="1"/>
    <s v="J-4219/25-26"/>
    <n v="607"/>
    <m/>
  </r>
  <r>
    <d v="2025-12-19T00:00:00"/>
    <x v="11"/>
    <x v="1"/>
    <s v="J-4220/25-26"/>
    <n v="310"/>
    <m/>
  </r>
  <r>
    <d v="2025-12-19T00:00:00"/>
    <x v="11"/>
    <x v="1"/>
    <s v="J-4221/25-26"/>
    <n v="50"/>
    <m/>
  </r>
  <r>
    <d v="2025-12-19T00:00:00"/>
    <x v="255"/>
    <x v="1"/>
    <s v="J-4222/25-26"/>
    <n v="2177"/>
    <m/>
  </r>
  <r>
    <d v="2025-12-19T00:00:00"/>
    <x v="787"/>
    <x v="1"/>
    <s v="J-4223/25-26"/>
    <n v="310"/>
    <m/>
  </r>
  <r>
    <d v="2025-12-20T00:00:00"/>
    <x v="1169"/>
    <x v="0"/>
    <s v="JU-683/25-26"/>
    <n v="21450"/>
    <m/>
  </r>
  <r>
    <d v="2025-12-20T00:00:00"/>
    <x v="297"/>
    <x v="1"/>
    <s v="J-4224/25-26"/>
    <n v="3100"/>
    <m/>
  </r>
  <r>
    <d v="2025-12-20T00:00:00"/>
    <x v="794"/>
    <x v="1"/>
    <s v="J-4225/25-26"/>
    <n v="32145"/>
    <m/>
  </r>
  <r>
    <d v="2025-12-20T00:00:00"/>
    <x v="163"/>
    <x v="1"/>
    <s v="J-4226/25-26"/>
    <n v="290"/>
    <m/>
  </r>
  <r>
    <d v="2025-12-20T00:00:00"/>
    <x v="1177"/>
    <x v="1"/>
    <s v="J-4227/25-26"/>
    <n v="150"/>
    <m/>
  </r>
  <r>
    <d v="2025-12-20T00:00:00"/>
    <x v="1134"/>
    <x v="1"/>
    <s v="J-4228/25-26"/>
    <n v="125"/>
    <m/>
  </r>
  <r>
    <d v="2025-12-20T00:00:00"/>
    <x v="11"/>
    <x v="1"/>
    <s v="J-4229/25-26"/>
    <n v="8"/>
    <m/>
  </r>
  <r>
    <d v="2025-12-20T00:00:00"/>
    <x v="79"/>
    <x v="1"/>
    <s v="J-4230/25-26"/>
    <n v="4695"/>
    <m/>
  </r>
  <r>
    <d v="2025-12-20T00:00:00"/>
    <x v="330"/>
    <x v="1"/>
    <s v="J-4231/25-26"/>
    <n v="35"/>
    <m/>
  </r>
  <r>
    <d v="2025-12-20T00:00:00"/>
    <x v="1176"/>
    <x v="1"/>
    <s v="J-4232/25-26"/>
    <n v="1624"/>
    <m/>
  </r>
  <r>
    <d v="2025-12-20T00:00:00"/>
    <x v="1142"/>
    <x v="1"/>
    <s v="J-4233/25-26"/>
    <n v="1550"/>
    <m/>
  </r>
  <r>
    <d v="2025-12-20T00:00:00"/>
    <x v="11"/>
    <x v="1"/>
    <s v="J-4234/25-26"/>
    <n v="20"/>
    <m/>
  </r>
  <r>
    <d v="2025-12-20T00:00:00"/>
    <x v="4"/>
    <x v="1"/>
    <s v="J-4235/25-26"/>
    <n v="9850"/>
    <m/>
  </r>
  <r>
    <d v="2025-12-20T00:00:00"/>
    <x v="330"/>
    <x v="1"/>
    <s v="J-4236/25-26"/>
    <n v="3361"/>
    <m/>
  </r>
  <r>
    <d v="2025-12-20T00:00:00"/>
    <x v="11"/>
    <x v="1"/>
    <s v="J-4237/25-26"/>
    <n v="8"/>
    <m/>
  </r>
  <r>
    <d v="2025-12-22T00:00:00"/>
    <x v="342"/>
    <x v="0"/>
    <s v="JU-684/25-26"/>
    <n v="3418"/>
    <m/>
  </r>
  <r>
    <d v="2025-12-22T00:00:00"/>
    <x v="305"/>
    <x v="0"/>
    <s v="JU-685/25-26"/>
    <n v="47588"/>
    <m/>
  </r>
  <r>
    <d v="2025-12-22T00:00:00"/>
    <x v="1127"/>
    <x v="0"/>
    <s v="JU-686/25-26"/>
    <n v="1860"/>
    <m/>
  </r>
  <r>
    <d v="2025-12-22T00:00:00"/>
    <x v="958"/>
    <x v="0"/>
    <s v="JU-687/25-26"/>
    <n v="1946"/>
    <m/>
  </r>
  <r>
    <d v="2025-12-22T00:00:00"/>
    <x v="1142"/>
    <x v="1"/>
    <s v="J-4238/25-26"/>
    <n v="930"/>
    <m/>
  </r>
  <r>
    <d v="2025-12-22T00:00:00"/>
    <x v="205"/>
    <x v="1"/>
    <s v="J-4239/25-26"/>
    <n v="343"/>
    <m/>
  </r>
  <r>
    <d v="2025-12-22T00:00:00"/>
    <x v="988"/>
    <x v="1"/>
    <s v="J-4240/25-26"/>
    <n v="27480"/>
    <m/>
  </r>
  <r>
    <d v="2025-12-22T00:00:00"/>
    <x v="89"/>
    <x v="1"/>
    <s v="J-4241/25-26"/>
    <n v="310"/>
    <m/>
  </r>
  <r>
    <d v="2025-12-22T00:00:00"/>
    <x v="1178"/>
    <x v="1"/>
    <s v="J-4242/25-26"/>
    <n v="618"/>
    <m/>
  </r>
  <r>
    <d v="2025-12-22T00:00:00"/>
    <x v="20"/>
    <x v="1"/>
    <s v="J-4243/25-26"/>
    <n v="2742"/>
    <m/>
  </r>
  <r>
    <d v="2025-12-22T00:00:00"/>
    <x v="297"/>
    <x v="1"/>
    <s v="J-4244/25-26"/>
    <n v="3720"/>
    <m/>
  </r>
  <r>
    <d v="2025-12-22T00:00:00"/>
    <x v="630"/>
    <x v="1"/>
    <s v="J-4245/25-26"/>
    <n v="4650"/>
    <m/>
  </r>
  <r>
    <d v="2025-12-22T00:00:00"/>
    <x v="184"/>
    <x v="1"/>
    <s v="J-4246/25-26"/>
    <n v="37016"/>
    <m/>
  </r>
  <r>
    <d v="2025-12-22T00:00:00"/>
    <x v="762"/>
    <x v="1"/>
    <s v="J-4247/25-26"/>
    <n v="645"/>
    <m/>
  </r>
  <r>
    <d v="2025-12-22T00:00:00"/>
    <x v="737"/>
    <x v="1"/>
    <s v="J-4248/25-26"/>
    <n v="1480"/>
    <m/>
  </r>
  <r>
    <d v="2025-12-22T00:00:00"/>
    <x v="4"/>
    <x v="1"/>
    <s v="J-4249/25-26"/>
    <n v="1190"/>
    <m/>
  </r>
  <r>
    <d v="2025-12-22T00:00:00"/>
    <x v="1179"/>
    <x v="1"/>
    <s v="J-4250/25-26"/>
    <n v="13330"/>
    <m/>
  </r>
  <r>
    <d v="2025-12-22T00:00:00"/>
    <x v="20"/>
    <x v="1"/>
    <s v="J-4251/25-26"/>
    <n v="2474"/>
    <m/>
  </r>
  <r>
    <d v="2025-12-22T00:00:00"/>
    <x v="630"/>
    <x v="1"/>
    <s v="J-4252/25-26"/>
    <n v="20010"/>
    <m/>
  </r>
  <r>
    <d v="2025-12-22T00:00:00"/>
    <x v="20"/>
    <x v="1"/>
    <s v="J-4253/25-26"/>
    <n v="16047"/>
    <m/>
  </r>
  <r>
    <d v="2025-12-22T00:00:00"/>
    <x v="20"/>
    <x v="1"/>
    <s v="J-4254/25-26"/>
    <n v="4108"/>
    <m/>
  </r>
  <r>
    <d v="2025-12-22T00:00:00"/>
    <x v="1134"/>
    <x v="1"/>
    <s v="J-4255/25-26"/>
    <n v="1100"/>
    <m/>
  </r>
  <r>
    <d v="2025-12-22T00:00:00"/>
    <x v="19"/>
    <x v="1"/>
    <s v="J-4256/25-26"/>
    <n v="805"/>
    <m/>
  </r>
  <r>
    <d v="2025-12-23T00:00:00"/>
    <x v="1169"/>
    <x v="0"/>
    <s v="JU-688/25-26"/>
    <n v="16672"/>
    <m/>
  </r>
  <r>
    <d v="2025-12-23T00:00:00"/>
    <x v="306"/>
    <x v="0"/>
    <s v="JU-689/25-26"/>
    <n v="63707"/>
    <m/>
  </r>
  <r>
    <d v="2025-12-23T00:00:00"/>
    <x v="410"/>
    <x v="0"/>
    <s v="JU-690/25-26"/>
    <n v="3981"/>
    <m/>
  </r>
  <r>
    <d v="2025-12-23T00:00:00"/>
    <x v="211"/>
    <x v="1"/>
    <s v="J-4257/25-26"/>
    <n v="3200"/>
    <m/>
  </r>
  <r>
    <d v="2025-12-23T00:00:00"/>
    <x v="69"/>
    <x v="1"/>
    <s v="J-4258/25-26"/>
    <n v="9131"/>
    <m/>
  </r>
  <r>
    <d v="2025-12-23T00:00:00"/>
    <x v="968"/>
    <x v="1"/>
    <s v="J-4259/25-26"/>
    <n v="310"/>
    <m/>
  </r>
  <r>
    <d v="2025-12-23T00:00:00"/>
    <x v="23"/>
    <x v="1"/>
    <s v="J-4260/25-26"/>
    <n v="17245"/>
    <m/>
  </r>
  <r>
    <d v="2025-12-23T00:00:00"/>
    <x v="794"/>
    <x v="1"/>
    <s v="J-4261/25-26"/>
    <n v="3100"/>
    <m/>
  </r>
  <r>
    <d v="2025-12-23T00:00:00"/>
    <x v="1180"/>
    <x v="1"/>
    <s v="J-4262/25-26"/>
    <n v="1025"/>
    <m/>
  </r>
  <r>
    <d v="2025-12-23T00:00:00"/>
    <x v="541"/>
    <x v="1"/>
    <s v="J-4263/25-26"/>
    <n v="700"/>
    <m/>
  </r>
  <r>
    <d v="2025-12-23T00:00:00"/>
    <x v="295"/>
    <x v="1"/>
    <s v="J-4264/25-26"/>
    <n v="2170"/>
    <m/>
  </r>
  <r>
    <d v="2025-12-23T00:00:00"/>
    <x v="163"/>
    <x v="1"/>
    <s v="J-4265/25-26"/>
    <n v="39372"/>
    <m/>
  </r>
  <r>
    <d v="2025-12-23T00:00:00"/>
    <x v="1181"/>
    <x v="1"/>
    <s v="J-4266/25-26"/>
    <n v="5772"/>
    <m/>
  </r>
  <r>
    <d v="2025-12-23T00:00:00"/>
    <x v="227"/>
    <x v="1"/>
    <s v="J-4267/25-26"/>
    <n v="657"/>
    <m/>
  </r>
  <r>
    <d v="2025-12-23T00:00:00"/>
    <x v="255"/>
    <x v="1"/>
    <s v="J-4268/25-26"/>
    <n v="9300"/>
    <m/>
  </r>
  <r>
    <d v="2025-12-23T00:00:00"/>
    <x v="1182"/>
    <x v="1"/>
    <s v="J-4269/25-26"/>
    <n v="4717"/>
    <m/>
  </r>
  <r>
    <d v="2025-12-23T00:00:00"/>
    <x v="1151"/>
    <x v="1"/>
    <s v="J-4270/25-26"/>
    <n v="3287"/>
    <m/>
  </r>
  <r>
    <d v="2025-12-23T00:00:00"/>
    <x v="106"/>
    <x v="1"/>
    <s v="J-4271/25-26"/>
    <n v="10651"/>
    <m/>
  </r>
  <r>
    <d v="2025-12-23T00:00:00"/>
    <x v="4"/>
    <x v="1"/>
    <s v="J-4272/25-26"/>
    <n v="2757"/>
    <m/>
  </r>
  <r>
    <d v="2025-12-23T00:00:00"/>
    <x v="11"/>
    <x v="1"/>
    <s v="J-4273/25-26"/>
    <n v="5991"/>
    <m/>
  </r>
  <r>
    <d v="2025-12-23T00:00:00"/>
    <x v="794"/>
    <x v="1"/>
    <s v="J-4274/25-26"/>
    <n v="1847"/>
    <m/>
  </r>
  <r>
    <d v="2025-12-23T00:00:00"/>
    <x v="1183"/>
    <x v="1"/>
    <s v="J-4275/25-26"/>
    <n v="5916"/>
    <m/>
  </r>
  <r>
    <d v="2025-12-23T00:00:00"/>
    <x v="1184"/>
    <x v="1"/>
    <s v="J-4276/25-26"/>
    <n v="1450"/>
    <m/>
  </r>
  <r>
    <d v="2025-12-23T00:00:00"/>
    <x v="1040"/>
    <x v="1"/>
    <s v="J-4277/25-26"/>
    <n v="216"/>
    <m/>
  </r>
  <r>
    <d v="2025-12-23T00:00:00"/>
    <x v="170"/>
    <x v="1"/>
    <s v="J-4278/25-26"/>
    <n v="5064"/>
    <m/>
  </r>
  <r>
    <d v="2025-12-23T00:00:00"/>
    <x v="47"/>
    <x v="1"/>
    <s v="J-4279/25-26"/>
    <n v="6950"/>
    <m/>
  </r>
  <r>
    <d v="2025-12-23T00:00:00"/>
    <x v="172"/>
    <x v="1"/>
    <s v="J-4280/25-26"/>
    <n v="620"/>
    <m/>
  </r>
  <r>
    <d v="2025-12-24T00:00:00"/>
    <x v="1185"/>
    <x v="0"/>
    <s v="JU-691/25-26"/>
    <n v="24950"/>
    <m/>
  </r>
  <r>
    <d v="2025-12-24T00:00:00"/>
    <x v="1186"/>
    <x v="1"/>
    <s v="J-4281/25-26"/>
    <n v="2608"/>
    <m/>
  </r>
  <r>
    <d v="2025-12-24T00:00:00"/>
    <x v="11"/>
    <x v="1"/>
    <s v="J-4282/25-26"/>
    <n v="290"/>
    <m/>
  </r>
  <r>
    <d v="2025-12-24T00:00:00"/>
    <x v="11"/>
    <x v="1"/>
    <s v="J-4283/25-26"/>
    <n v="18"/>
    <m/>
  </r>
  <r>
    <d v="2025-12-24T00:00:00"/>
    <x v="67"/>
    <x v="1"/>
    <s v="J-4284/25-26"/>
    <n v="29200"/>
    <m/>
  </r>
  <r>
    <d v="2025-12-24T00:00:00"/>
    <x v="1187"/>
    <x v="1"/>
    <s v="J-4285/25-26"/>
    <n v="1550"/>
    <m/>
  </r>
  <r>
    <d v="2025-12-24T00:00:00"/>
    <x v="1151"/>
    <x v="1"/>
    <s v="J-4286/25-26"/>
    <n v="160"/>
    <m/>
  </r>
  <r>
    <d v="2025-12-24T00:00:00"/>
    <x v="106"/>
    <x v="1"/>
    <s v="J-4287/25-26"/>
    <n v="762"/>
    <m/>
  </r>
  <r>
    <d v="2025-12-24T00:00:00"/>
    <x v="297"/>
    <x v="1"/>
    <s v="J-4288/25-26"/>
    <n v="1635"/>
    <m/>
  </r>
  <r>
    <d v="2025-12-24T00:00:00"/>
    <x v="69"/>
    <x v="1"/>
    <s v="J-4289/25-26"/>
    <n v="42586"/>
    <m/>
  </r>
  <r>
    <d v="2025-12-24T00:00:00"/>
    <x v="673"/>
    <x v="1"/>
    <s v="J-4290/25-26"/>
    <n v="1553"/>
    <m/>
  </r>
  <r>
    <d v="2025-12-24T00:00:00"/>
    <x v="1188"/>
    <x v="1"/>
    <s v="J-4291/25-26"/>
    <n v="40703"/>
    <m/>
  </r>
  <r>
    <d v="2025-12-24T00:00:00"/>
    <x v="666"/>
    <x v="1"/>
    <s v="J-4292/25-26"/>
    <n v="3100"/>
    <m/>
  </r>
  <r>
    <d v="2025-12-24T00:00:00"/>
    <x v="20"/>
    <x v="1"/>
    <s v="J-4293/25-26"/>
    <n v="6208"/>
    <m/>
  </r>
  <r>
    <d v="2025-12-24T00:00:00"/>
    <x v="19"/>
    <x v="1"/>
    <s v="J-4294/25-26"/>
    <n v="11"/>
    <m/>
  </r>
  <r>
    <d v="2025-12-24T00:00:00"/>
    <x v="1114"/>
    <x v="1"/>
    <s v="J-4295/25-26"/>
    <n v="269"/>
    <m/>
  </r>
  <r>
    <d v="2025-12-24T00:00:00"/>
    <x v="89"/>
    <x v="1"/>
    <s v="J-4296/25-26"/>
    <n v="310"/>
    <m/>
  </r>
  <r>
    <d v="2025-12-26T00:00:00"/>
    <x v="604"/>
    <x v="0"/>
    <s v="JU-692/25-26"/>
    <n v="1110"/>
    <m/>
  </r>
  <r>
    <d v="2025-12-26T00:00:00"/>
    <x v="305"/>
    <x v="0"/>
    <s v="JU-693/25-26"/>
    <n v="58575"/>
    <m/>
  </r>
  <r>
    <d v="2025-12-26T00:00:00"/>
    <x v="180"/>
    <x v="0"/>
    <s v="JU-694/25-26"/>
    <n v="3992"/>
    <m/>
  </r>
  <r>
    <d v="2025-12-26T00:00:00"/>
    <x v="1189"/>
    <x v="0"/>
    <s v="JU-695/25-26"/>
    <n v="9156"/>
    <m/>
  </r>
  <r>
    <d v="2025-12-26T00:00:00"/>
    <x v="1190"/>
    <x v="1"/>
    <s v="J-4297/25-26"/>
    <n v="3227"/>
    <m/>
  </r>
  <r>
    <d v="2025-12-26T00:00:00"/>
    <x v="78"/>
    <x v="1"/>
    <s v="J-4298/25-26"/>
    <n v="53460"/>
    <m/>
  </r>
  <r>
    <d v="2025-12-26T00:00:00"/>
    <x v="1191"/>
    <x v="1"/>
    <s v="J-4299/25-26"/>
    <n v="1000"/>
    <m/>
  </r>
  <r>
    <d v="2025-12-26T00:00:00"/>
    <x v="1192"/>
    <x v="1"/>
    <s v="J-4300/25-26"/>
    <n v="1500"/>
    <m/>
  </r>
  <r>
    <d v="2025-12-26T00:00:00"/>
    <x v="1151"/>
    <x v="1"/>
    <s v="J-4301/25-26"/>
    <n v="235"/>
    <m/>
  </r>
  <r>
    <d v="2025-12-26T00:00:00"/>
    <x v="25"/>
    <x v="1"/>
    <s v="J-4302/25-26"/>
    <n v="130"/>
    <m/>
  </r>
  <r>
    <d v="2025-12-26T00:00:00"/>
    <x v="1193"/>
    <x v="1"/>
    <s v="J-4303/25-26"/>
    <n v="620"/>
    <m/>
  </r>
  <r>
    <d v="2025-12-26T00:00:00"/>
    <x v="245"/>
    <x v="1"/>
    <s v="J-4304/25-26"/>
    <n v="30485"/>
    <m/>
  </r>
  <r>
    <d v="2025-12-26T00:00:00"/>
    <x v="211"/>
    <x v="1"/>
    <s v="J-4305/25-26"/>
    <n v="1845"/>
    <m/>
  </r>
  <r>
    <d v="2025-12-26T00:00:00"/>
    <x v="1194"/>
    <x v="1"/>
    <s v="J-4306/25-26"/>
    <n v="1774"/>
    <m/>
  </r>
  <r>
    <d v="2025-12-26T00:00:00"/>
    <x v="1195"/>
    <x v="1"/>
    <s v="J-4307/25-26"/>
    <n v="250"/>
    <m/>
  </r>
  <r>
    <d v="2025-12-26T00:00:00"/>
    <x v="861"/>
    <x v="1"/>
    <s v="J-4308/25-26"/>
    <n v="2790"/>
    <m/>
  </r>
  <r>
    <d v="2025-12-26T00:00:00"/>
    <x v="266"/>
    <x v="1"/>
    <s v="J-4309/25-26"/>
    <n v="4875"/>
    <m/>
  </r>
  <r>
    <d v="2025-12-26T00:00:00"/>
    <x v="88"/>
    <x v="1"/>
    <s v="J-4310/25-26"/>
    <n v="15820"/>
    <m/>
  </r>
  <r>
    <d v="2025-12-26T00:00:00"/>
    <x v="25"/>
    <x v="1"/>
    <s v="J-4311/25-26"/>
    <n v="32250"/>
    <m/>
  </r>
  <r>
    <d v="2025-12-26T00:00:00"/>
    <x v="1196"/>
    <x v="1"/>
    <s v="J-4312/25-26"/>
    <n v="12814"/>
    <m/>
  </r>
  <r>
    <d v="2025-12-26T00:00:00"/>
    <x v="11"/>
    <x v="1"/>
    <s v="J-4313/25-26"/>
    <n v="84"/>
    <m/>
  </r>
  <r>
    <d v="2025-12-26T00:00:00"/>
    <x v="596"/>
    <x v="1"/>
    <s v="J-4314/25-26"/>
    <n v="3100"/>
    <m/>
  </r>
  <r>
    <d v="2025-12-26T00:00:00"/>
    <x v="1197"/>
    <x v="1"/>
    <s v="J-4315/25-26"/>
    <n v="2055"/>
    <m/>
  </r>
  <r>
    <d v="2025-12-26T00:00:00"/>
    <x v="1198"/>
    <x v="1"/>
    <s v="J-4316/25-26"/>
    <n v="590"/>
    <m/>
  </r>
  <r>
    <d v="2025-12-26T00:00:00"/>
    <x v="11"/>
    <x v="1"/>
    <s v="J-4317/25-26"/>
    <n v="850"/>
    <m/>
  </r>
  <r>
    <d v="2025-12-26T00:00:00"/>
    <x v="163"/>
    <x v="1"/>
    <s v="J-4318/25-26"/>
    <n v="37776"/>
    <m/>
  </r>
  <r>
    <d v="2025-12-26T00:00:00"/>
    <x v="89"/>
    <x v="1"/>
    <s v="J-4319/25-26"/>
    <n v="2440"/>
    <m/>
  </r>
  <r>
    <d v="2025-12-27T00:00:00"/>
    <x v="604"/>
    <x v="0"/>
    <s v="JU-696/25-26"/>
    <n v="7031"/>
    <m/>
  </r>
  <r>
    <d v="2025-12-27T00:00:00"/>
    <x v="23"/>
    <x v="1"/>
    <s v="J-4320/25-26"/>
    <n v="1550"/>
    <m/>
  </r>
  <r>
    <d v="2025-12-27T00:00:00"/>
    <x v="211"/>
    <x v="1"/>
    <s v="J-4321/25-26"/>
    <n v="738"/>
    <m/>
  </r>
  <r>
    <d v="2025-12-27T00:00:00"/>
    <x v="11"/>
    <x v="1"/>
    <s v="J-4322/25-26"/>
    <n v="310"/>
    <m/>
  </r>
  <r>
    <d v="2025-12-27T00:00:00"/>
    <x v="11"/>
    <x v="1"/>
    <s v="J-4323/25-26"/>
    <n v="310"/>
    <m/>
  </r>
  <r>
    <d v="2025-12-27T00:00:00"/>
    <x v="163"/>
    <x v="1"/>
    <s v="J-4324/25-26"/>
    <n v="300"/>
    <m/>
  </r>
  <r>
    <d v="2025-12-27T00:00:00"/>
    <x v="858"/>
    <x v="1"/>
    <s v="J-4325/25-26"/>
    <n v="44472"/>
    <m/>
  </r>
  <r>
    <d v="2025-12-27T00:00:00"/>
    <x v="1188"/>
    <x v="1"/>
    <s v="J-4326/25-26"/>
    <n v="3100"/>
    <m/>
  </r>
  <r>
    <d v="2025-12-27T00:00:00"/>
    <x v="67"/>
    <x v="1"/>
    <s v="J-4327/25-26"/>
    <n v="4067"/>
    <m/>
  </r>
  <r>
    <d v="2025-12-27T00:00:00"/>
    <x v="10"/>
    <x v="1"/>
    <s v="J-4328/25-26"/>
    <n v="10270"/>
    <m/>
  </r>
  <r>
    <d v="2025-12-27T00:00:00"/>
    <x v="398"/>
    <x v="1"/>
    <s v="J-4329/25-26"/>
    <n v="1237"/>
    <m/>
  </r>
  <r>
    <d v="2025-12-27T00:00:00"/>
    <x v="1199"/>
    <x v="1"/>
    <s v="J-4330/25-26"/>
    <n v="11206"/>
    <m/>
  </r>
  <r>
    <d v="2025-12-27T00:00:00"/>
    <x v="1200"/>
    <x v="1"/>
    <s v="J-4331/25-26"/>
    <n v="7165"/>
    <m/>
  </r>
  <r>
    <d v="2025-12-27T00:00:00"/>
    <x v="1201"/>
    <x v="1"/>
    <s v="J-4332/25-26"/>
    <n v="103024"/>
    <m/>
  </r>
  <r>
    <d v="2025-12-27T00:00:00"/>
    <x v="1202"/>
    <x v="1"/>
    <s v="J-4333/25-26"/>
    <n v="8220"/>
    <m/>
  </r>
  <r>
    <d v="2025-12-27T00:00:00"/>
    <x v="1202"/>
    <x v="1"/>
    <s v="J-4334/25-26"/>
    <n v="340"/>
    <m/>
  </r>
  <r>
    <d v="2025-12-27T00:00:00"/>
    <x v="11"/>
    <x v="1"/>
    <s v="J-4335/25-26"/>
    <n v="3432"/>
    <m/>
  </r>
  <r>
    <d v="2025-12-27T00:00:00"/>
    <x v="11"/>
    <x v="1"/>
    <s v="J-4336/25-26"/>
    <n v="10"/>
    <m/>
  </r>
  <r>
    <d v="2025-12-27T00:00:00"/>
    <x v="759"/>
    <x v="1"/>
    <s v="J-4337/25-26"/>
    <n v="1980"/>
    <m/>
  </r>
  <r>
    <d v="2025-12-27T00:00:00"/>
    <x v="4"/>
    <x v="1"/>
    <s v="J-4338/25-26"/>
    <n v="8478"/>
    <m/>
  </r>
  <r>
    <d v="2025-12-27T00:00:00"/>
    <x v="1080"/>
    <x v="1"/>
    <s v="J-4339/25-26"/>
    <n v="30"/>
    <m/>
  </r>
  <r>
    <d v="2025-12-27T00:00:00"/>
    <x v="370"/>
    <x v="1"/>
    <s v="J-4340/25-26"/>
    <n v="30423"/>
    <m/>
  </r>
  <r>
    <d v="2025-12-27T00:00:00"/>
    <x v="1203"/>
    <x v="1"/>
    <s v="J-4341/25-26"/>
    <n v="70"/>
    <m/>
  </r>
  <r>
    <d v="2025-12-27T00:00:00"/>
    <x v="610"/>
    <x v="1"/>
    <s v="J-4342/25-26"/>
    <n v="74"/>
    <m/>
  </r>
  <r>
    <d v="2025-12-29T00:00:00"/>
    <x v="284"/>
    <x v="0"/>
    <s v="JU-697/25-26"/>
    <n v="29416"/>
    <m/>
  </r>
  <r>
    <d v="2025-12-29T00:00:00"/>
    <x v="597"/>
    <x v="1"/>
    <s v="J-4343/25-26"/>
    <n v="1240"/>
    <m/>
  </r>
  <r>
    <d v="2025-12-29T00:00:00"/>
    <x v="1204"/>
    <x v="1"/>
    <s v="J-4344/25-26"/>
    <n v="4650"/>
    <m/>
  </r>
  <r>
    <d v="2025-12-29T00:00:00"/>
    <x v="23"/>
    <x v="1"/>
    <s v="J-4345/25-26"/>
    <n v="22200"/>
    <m/>
  </r>
  <r>
    <d v="2025-12-29T00:00:00"/>
    <x v="1205"/>
    <x v="1"/>
    <s v="J-4346/25-26"/>
    <n v="310"/>
    <m/>
  </r>
  <r>
    <d v="2025-12-29T00:00:00"/>
    <x v="11"/>
    <x v="1"/>
    <s v="J-4347/25-26"/>
    <n v="48000"/>
    <m/>
  </r>
  <r>
    <d v="2025-12-29T00:00:00"/>
    <x v="78"/>
    <x v="1"/>
    <s v="J-4348/25-26"/>
    <n v="2766"/>
    <m/>
  </r>
  <r>
    <d v="2025-12-29T00:00:00"/>
    <x v="1206"/>
    <x v="1"/>
    <s v="J-4349/25-26"/>
    <n v="2352"/>
    <m/>
  </r>
  <r>
    <d v="2025-12-29T00:00:00"/>
    <x v="868"/>
    <x v="1"/>
    <s v="J-4350/25-26"/>
    <n v="36171"/>
    <m/>
  </r>
  <r>
    <d v="2025-12-29T00:00:00"/>
    <x v="163"/>
    <x v="1"/>
    <s v="J-4351/25-26"/>
    <n v="3978"/>
    <m/>
  </r>
  <r>
    <d v="2025-12-29T00:00:00"/>
    <x v="88"/>
    <x v="1"/>
    <s v="J-4352/25-26"/>
    <n v="1750"/>
    <m/>
  </r>
  <r>
    <d v="2025-12-29T00:00:00"/>
    <x v="1148"/>
    <x v="1"/>
    <s v="J-4353/25-26"/>
    <n v="8750"/>
    <m/>
  </r>
  <r>
    <d v="2025-12-29T00:00:00"/>
    <x v="245"/>
    <x v="1"/>
    <s v="J-4354/25-26"/>
    <n v="80"/>
    <m/>
  </r>
  <r>
    <d v="2025-12-29T00:00:00"/>
    <x v="324"/>
    <x v="1"/>
    <s v="J-4355/25-26"/>
    <n v="34702"/>
    <m/>
  </r>
  <r>
    <d v="2025-12-29T00:00:00"/>
    <x v="291"/>
    <x v="1"/>
    <s v="J-4356/25-26"/>
    <n v="3100"/>
    <m/>
  </r>
  <r>
    <d v="2025-12-29T00:00:00"/>
    <x v="1199"/>
    <x v="1"/>
    <s v="J-4357/25-26"/>
    <n v="10200"/>
    <m/>
  </r>
  <r>
    <d v="2025-12-29T00:00:00"/>
    <x v="1207"/>
    <x v="1"/>
    <s v="J-4358/25-26"/>
    <n v="1240"/>
    <m/>
  </r>
  <r>
    <d v="2025-12-29T00:00:00"/>
    <x v="34"/>
    <x v="1"/>
    <s v="J-4359/25-26"/>
    <n v="1167"/>
    <m/>
  </r>
  <r>
    <d v="2025-12-29T00:00:00"/>
    <x v="69"/>
    <x v="1"/>
    <s v="J-4360/25-26"/>
    <n v="22634"/>
    <m/>
  </r>
  <r>
    <d v="2025-12-29T00:00:00"/>
    <x v="858"/>
    <x v="1"/>
    <s v="J-4361/25-26"/>
    <n v="8800"/>
    <m/>
  </r>
  <r>
    <d v="2025-12-29T00:00:00"/>
    <x v="1208"/>
    <x v="1"/>
    <s v="J-4362/25-26"/>
    <n v="169002"/>
    <m/>
  </r>
  <r>
    <d v="2025-12-29T00:00:00"/>
    <x v="266"/>
    <x v="1"/>
    <s v="J-4363/25-26"/>
    <n v="120"/>
    <m/>
  </r>
  <r>
    <d v="2025-12-29T00:00:00"/>
    <x v="868"/>
    <x v="1"/>
    <s v="J-4364/25-26"/>
    <n v="985"/>
    <m/>
  </r>
  <r>
    <d v="2025-12-29T00:00:00"/>
    <x v="514"/>
    <x v="1"/>
    <s v="J-4365/25-26"/>
    <n v="2316"/>
    <m/>
  </r>
  <r>
    <d v="2025-12-29T00:00:00"/>
    <x v="1209"/>
    <x v="1"/>
    <s v="J-4366/25-26"/>
    <n v="8318"/>
    <m/>
  </r>
  <r>
    <d v="2025-12-29T00:00:00"/>
    <x v="1210"/>
    <x v="1"/>
    <s v="J-4367/25-26"/>
    <n v="1141"/>
    <m/>
  </r>
  <r>
    <d v="2025-12-30T00:00:00"/>
    <x v="1211"/>
    <x v="0"/>
    <s v="JU-698/25-26"/>
    <n v="24398"/>
    <m/>
  </r>
  <r>
    <d v="2025-12-30T00:00:00"/>
    <x v="52"/>
    <x v="0"/>
    <s v="JU-699/25-26"/>
    <n v="136352"/>
    <m/>
  </r>
  <r>
    <d v="2025-12-30T00:00:00"/>
    <x v="979"/>
    <x v="0"/>
    <s v="JU-700/25-26"/>
    <n v="33317"/>
    <m/>
  </r>
  <r>
    <d v="2025-12-30T00:00:00"/>
    <x v="23"/>
    <x v="1"/>
    <s v="J-4368/25-26"/>
    <n v="9300"/>
    <m/>
  </r>
  <r>
    <d v="2025-12-30T00:00:00"/>
    <x v="11"/>
    <x v="1"/>
    <s v="J-4369/25-26"/>
    <n v="49500"/>
    <m/>
  </r>
  <r>
    <d v="2025-12-30T00:00:00"/>
    <x v="11"/>
    <x v="1"/>
    <s v="J-4370/25-26"/>
    <n v="620"/>
    <m/>
  </r>
  <r>
    <d v="2025-12-30T00:00:00"/>
    <x v="1212"/>
    <x v="1"/>
    <s v="J-4371/25-26"/>
    <n v="130"/>
    <m/>
  </r>
  <r>
    <d v="2025-12-30T00:00:00"/>
    <x v="23"/>
    <x v="1"/>
    <s v="J-4372/25-26"/>
    <n v="3291"/>
    <m/>
  </r>
  <r>
    <d v="2025-12-30T00:00:00"/>
    <x v="25"/>
    <x v="1"/>
    <s v="J-4373/25-26"/>
    <n v="610"/>
    <m/>
  </r>
  <r>
    <d v="2025-12-30T00:00:00"/>
    <x v="1213"/>
    <x v="1"/>
    <s v="J-4374/25-26"/>
    <n v="5745"/>
    <m/>
  </r>
  <r>
    <d v="2025-12-30T00:00:00"/>
    <x v="1182"/>
    <x v="1"/>
    <s v="J-4375/25-26"/>
    <n v="4650"/>
    <m/>
  </r>
  <r>
    <d v="2025-12-30T00:00:00"/>
    <x v="1201"/>
    <x v="1"/>
    <s v="J-4376/25-26"/>
    <n v="560"/>
    <m/>
  </r>
  <r>
    <d v="2025-12-30T00:00:00"/>
    <x v="237"/>
    <x v="1"/>
    <s v="J-4377/25-26"/>
    <n v="2381"/>
    <m/>
  </r>
  <r>
    <d v="2025-12-30T00:00:00"/>
    <x v="23"/>
    <x v="1"/>
    <s v="J-4378/25-26"/>
    <n v="9838"/>
    <m/>
  </r>
  <r>
    <d v="2025-12-30T00:00:00"/>
    <x v="1029"/>
    <x v="1"/>
    <s v="J-4379/25-26"/>
    <n v="448"/>
    <m/>
  </r>
  <r>
    <d v="2025-12-30T00:00:00"/>
    <x v="794"/>
    <x v="1"/>
    <s v="J-4380/25-26"/>
    <n v="4887"/>
    <m/>
  </r>
  <r>
    <d v="2025-12-30T00:00:00"/>
    <x v="23"/>
    <x v="1"/>
    <s v="J-4381/25-26"/>
    <n v="5852"/>
    <m/>
  </r>
  <r>
    <d v="2025-12-30T00:00:00"/>
    <x v="5"/>
    <x v="1"/>
    <s v="J-4382/25-26"/>
    <n v="3100"/>
    <m/>
  </r>
  <r>
    <d v="2025-12-30T00:00:00"/>
    <x v="666"/>
    <x v="1"/>
    <s v="J-4383/25-26"/>
    <n v="3100"/>
    <m/>
  </r>
  <r>
    <d v="2025-12-30T00:00:00"/>
    <x v="1183"/>
    <x v="1"/>
    <s v="J-4384/25-26"/>
    <n v="130"/>
    <m/>
  </r>
  <r>
    <d v="2025-12-30T00:00:00"/>
    <x v="255"/>
    <x v="1"/>
    <s v="J-4385/25-26"/>
    <n v="9300"/>
    <m/>
  </r>
  <r>
    <d v="2025-12-30T00:00:00"/>
    <x v="11"/>
    <x v="1"/>
    <s v="J-4386/25-26"/>
    <n v="32100"/>
    <m/>
  </r>
  <r>
    <d v="2025-12-30T00:00:00"/>
    <x v="1193"/>
    <x v="1"/>
    <s v="J-4387/25-26"/>
    <n v="22297"/>
    <m/>
  </r>
  <r>
    <d v="2025-12-30T00:00:00"/>
    <x v="79"/>
    <x v="1"/>
    <s v="J-4388/25-26"/>
    <n v="1193"/>
    <m/>
  </r>
  <r>
    <d v="2025-12-30T00:00:00"/>
    <x v="266"/>
    <x v="1"/>
    <s v="J-4389/25-26"/>
    <n v="77"/>
    <m/>
  </r>
  <r>
    <d v="2025-12-30T00:00:00"/>
    <x v="1214"/>
    <x v="1"/>
    <s v="J-4390/25-26"/>
    <n v="1155"/>
    <m/>
  </r>
  <r>
    <d v="2025-12-31T00:00:00"/>
    <x v="64"/>
    <x v="0"/>
    <s v="JU-701/25-26"/>
    <n v="32000"/>
    <m/>
  </r>
  <r>
    <d v="2025-12-31T00:00:00"/>
    <x v="305"/>
    <x v="0"/>
    <s v="JU-702/25-26"/>
    <n v="21976"/>
    <m/>
  </r>
  <r>
    <d v="2025-12-31T00:00:00"/>
    <x v="1211"/>
    <x v="0"/>
    <s v="JU-703/25-26"/>
    <n v="2641"/>
    <m/>
  </r>
  <r>
    <d v="2025-12-31T00:00:00"/>
    <x v="1215"/>
    <x v="0"/>
    <s v="JU-704/25-26"/>
    <n v="1452"/>
    <m/>
  </r>
  <r>
    <d v="2025-12-31T00:00:00"/>
    <x v="651"/>
    <x v="1"/>
    <s v="J-4391/25-26"/>
    <n v="930"/>
    <m/>
  </r>
  <r>
    <d v="2025-12-31T00:00:00"/>
    <x v="1134"/>
    <x v="1"/>
    <s v="J-4392/25-26"/>
    <n v="225920"/>
    <m/>
  </r>
  <r>
    <d v="2025-12-31T00:00:00"/>
    <x v="34"/>
    <x v="1"/>
    <s v="J-4393/25-26"/>
    <n v="17241"/>
    <m/>
  </r>
  <r>
    <d v="2025-12-31T00:00:00"/>
    <x v="1182"/>
    <x v="1"/>
    <s v="J-4394/25-26"/>
    <n v="10715"/>
    <m/>
  </r>
  <r>
    <d v="2025-12-31T00:00:00"/>
    <x v="11"/>
    <x v="1"/>
    <s v="J-4395/25-26"/>
    <n v="3198"/>
    <m/>
  </r>
  <r>
    <d v="2025-12-31T00:00:00"/>
    <x v="11"/>
    <x v="1"/>
    <s v="J-4396/25-26"/>
    <n v="45000"/>
    <m/>
  </r>
  <r>
    <d v="2025-12-31T00:00:00"/>
    <x v="106"/>
    <x v="1"/>
    <s v="J-4397/25-26"/>
    <n v="6775"/>
    <m/>
  </r>
  <r>
    <d v="2025-12-31T00:00:00"/>
    <x v="550"/>
    <x v="1"/>
    <s v="J-4398/25-26"/>
    <n v="27995"/>
    <m/>
  </r>
  <r>
    <d v="2025-12-31T00:00:00"/>
    <x v="1216"/>
    <x v="1"/>
    <s v="J-4399/25-26"/>
    <n v="42056"/>
    <m/>
  </r>
  <r>
    <d v="2025-12-31T00:00:00"/>
    <x v="163"/>
    <x v="1"/>
    <s v="J-4400/25-26"/>
    <n v="1080"/>
    <m/>
  </r>
  <r>
    <d v="2025-12-31T00:00:00"/>
    <x v="1217"/>
    <x v="1"/>
    <s v="J-4401/25-26"/>
    <n v="3112"/>
    <m/>
  </r>
  <r>
    <d v="2025-12-31T00:00:00"/>
    <x v="82"/>
    <x v="1"/>
    <s v="J-4402/25-26"/>
    <n v="34"/>
    <m/>
  </r>
  <r>
    <d v="2025-12-31T00:00:00"/>
    <x v="184"/>
    <x v="1"/>
    <s v="J-4403/25-26"/>
    <n v="3748"/>
    <m/>
  </r>
  <r>
    <d v="2025-12-31T00:00:00"/>
    <x v="573"/>
    <x v="1"/>
    <s v="J-4404/25-26"/>
    <n v="90"/>
    <m/>
  </r>
  <r>
    <d v="2025-12-31T00:00:00"/>
    <x v="1218"/>
    <x v="1"/>
    <s v="J-4405/25-26"/>
    <n v="948"/>
    <m/>
  </r>
  <r>
    <d v="2025-12-31T00:00:00"/>
    <x v="1190"/>
    <x v="1"/>
    <s v="J-4406/25-26"/>
    <n v="400"/>
    <m/>
  </r>
  <r>
    <d v="2026-01-01T00:00:00"/>
    <x v="64"/>
    <x v="0"/>
    <s v="JU-705/25-26"/>
    <n v="16000"/>
    <m/>
  </r>
  <r>
    <d v="2026-01-01T00:00:00"/>
    <x v="179"/>
    <x v="0"/>
    <s v="JU-706/25-26"/>
    <n v="310"/>
    <m/>
  </r>
  <r>
    <d v="2026-01-01T00:00:00"/>
    <x v="670"/>
    <x v="0"/>
    <s v="JU-707/25-26"/>
    <n v="1860"/>
    <m/>
  </r>
  <r>
    <d v="2026-01-01T00:00:00"/>
    <x v="305"/>
    <x v="0"/>
    <s v="JU-708/25-26"/>
    <n v="14424"/>
    <m/>
  </r>
  <r>
    <d v="2026-01-01T00:00:00"/>
    <x v="11"/>
    <x v="1"/>
    <s v="J-4407/25-26"/>
    <n v="310"/>
    <m/>
  </r>
  <r>
    <d v="2026-01-01T00:00:00"/>
    <x v="11"/>
    <x v="1"/>
    <s v="J-4408/25-26"/>
    <n v="550"/>
    <m/>
  </r>
  <r>
    <d v="2026-01-01T00:00:00"/>
    <x v="11"/>
    <x v="1"/>
    <s v="J-4409/25-26"/>
    <n v="620"/>
    <m/>
  </r>
  <r>
    <d v="2026-01-01T00:00:00"/>
    <x v="11"/>
    <x v="1"/>
    <s v="J-4410/25-26"/>
    <n v="320"/>
    <m/>
  </r>
  <r>
    <d v="2026-01-01T00:00:00"/>
    <x v="266"/>
    <x v="1"/>
    <s v="J-4411/25-26"/>
    <n v="6400"/>
    <m/>
  </r>
  <r>
    <d v="2026-01-01T00:00:00"/>
    <x v="990"/>
    <x v="1"/>
    <s v="J-4412/25-26"/>
    <n v="1550"/>
    <m/>
  </r>
  <r>
    <d v="2026-01-01T00:00:00"/>
    <x v="211"/>
    <x v="1"/>
    <s v="J-4413/25-26"/>
    <n v="5220"/>
    <m/>
  </r>
  <r>
    <d v="2026-01-01T00:00:00"/>
    <x v="1219"/>
    <x v="1"/>
    <s v="J-4414/25-26"/>
    <n v="180"/>
    <m/>
  </r>
  <r>
    <d v="2026-01-01T00:00:00"/>
    <x v="9"/>
    <x v="1"/>
    <s v="J-4415/25-26"/>
    <n v="3463"/>
    <m/>
  </r>
  <r>
    <d v="2026-01-01T00:00:00"/>
    <x v="9"/>
    <x v="1"/>
    <s v="J-4416/25-26"/>
    <n v="900"/>
    <m/>
  </r>
  <r>
    <d v="2026-01-01T00:00:00"/>
    <x v="567"/>
    <x v="1"/>
    <s v="J-4417/25-26"/>
    <n v="17660"/>
    <m/>
  </r>
  <r>
    <d v="2026-01-01T00:00:00"/>
    <x v="67"/>
    <x v="1"/>
    <s v="J-4418/25-26"/>
    <n v="3100"/>
    <m/>
  </r>
  <r>
    <d v="2026-01-01T00:00:00"/>
    <x v="173"/>
    <x v="1"/>
    <s v="J-4419/25-26"/>
    <n v="160"/>
    <m/>
  </r>
  <r>
    <d v="2026-01-01T00:00:00"/>
    <x v="1220"/>
    <x v="1"/>
    <s v="J-4420/25-26"/>
    <n v="33649"/>
    <m/>
  </r>
  <r>
    <d v="2026-01-01T00:00:00"/>
    <x v="550"/>
    <x v="1"/>
    <s v="J-4421/25-26"/>
    <n v="1185"/>
    <m/>
  </r>
  <r>
    <d v="2026-01-01T00:00:00"/>
    <x v="84"/>
    <x v="1"/>
    <s v="J-4422/25-26"/>
    <n v="6492"/>
    <m/>
  </r>
  <r>
    <d v="2026-01-01T00:00:00"/>
    <x v="550"/>
    <x v="1"/>
    <s v="J-4423/25-26"/>
    <n v="2368"/>
    <m/>
  </r>
  <r>
    <d v="2026-01-01T00:00:00"/>
    <x v="350"/>
    <x v="1"/>
    <s v="J-4424/25-26"/>
    <n v="7498"/>
    <m/>
  </r>
  <r>
    <d v="2026-01-01T00:00:00"/>
    <x v="175"/>
    <x v="1"/>
    <s v="J-4425/25-26"/>
    <n v="240"/>
    <m/>
  </r>
  <r>
    <d v="2026-01-02T00:00:00"/>
    <x v="1221"/>
    <x v="0"/>
    <s v="JU-709/25-26"/>
    <n v="874"/>
    <m/>
  </r>
  <r>
    <d v="2026-01-02T00:00:00"/>
    <x v="305"/>
    <x v="0"/>
    <s v="JU-710/25-26"/>
    <n v="4565"/>
    <m/>
  </r>
  <r>
    <d v="2026-01-02T00:00:00"/>
    <x v="1211"/>
    <x v="0"/>
    <s v="JU-711/25-26"/>
    <n v="14030"/>
    <m/>
  </r>
  <r>
    <d v="2026-01-02T00:00:00"/>
    <x v="11"/>
    <x v="1"/>
    <s v="J-4426/25-26"/>
    <n v="305"/>
    <m/>
  </r>
  <r>
    <d v="2026-01-02T00:00:00"/>
    <x v="295"/>
    <x v="1"/>
    <s v="J-4427/25-26"/>
    <n v="12707"/>
    <m/>
  </r>
  <r>
    <d v="2026-01-02T00:00:00"/>
    <x v="23"/>
    <x v="1"/>
    <s v="J-4428/25-26"/>
    <n v="500"/>
    <m/>
  </r>
  <r>
    <d v="2026-01-02T00:00:00"/>
    <x v="1206"/>
    <x v="1"/>
    <s v="J-4429/25-26"/>
    <n v="57358"/>
    <m/>
  </r>
  <r>
    <d v="2026-01-02T00:00:00"/>
    <x v="20"/>
    <x v="1"/>
    <s v="J-4430/25-26"/>
    <n v="6605"/>
    <m/>
  </r>
  <r>
    <d v="2026-01-02T00:00:00"/>
    <x v="163"/>
    <x v="1"/>
    <s v="J-4431/25-26"/>
    <n v="13058"/>
    <m/>
  </r>
  <r>
    <d v="2026-01-02T00:00:00"/>
    <x v="8"/>
    <x v="1"/>
    <s v="J-4432/25-26"/>
    <n v="3000"/>
    <m/>
  </r>
  <r>
    <d v="2026-01-02T00:00:00"/>
    <x v="261"/>
    <x v="1"/>
    <s v="J-4433/25-26"/>
    <n v="6400"/>
    <m/>
  </r>
  <r>
    <d v="2026-01-02T00:00:00"/>
    <x v="175"/>
    <x v="1"/>
    <s v="J-4434/25-26"/>
    <n v="120"/>
    <m/>
  </r>
  <r>
    <d v="2026-01-02T00:00:00"/>
    <x v="1179"/>
    <x v="1"/>
    <s v="J-4435/25-26"/>
    <n v="8700"/>
    <m/>
  </r>
  <r>
    <d v="2026-01-02T00:00:00"/>
    <x v="868"/>
    <x v="1"/>
    <s v="J-4436/25-26"/>
    <n v="10416"/>
    <m/>
  </r>
  <r>
    <d v="2026-01-02T00:00:00"/>
    <x v="1201"/>
    <x v="1"/>
    <s v="J-4437/25-26"/>
    <n v="710"/>
    <m/>
  </r>
  <r>
    <d v="2026-01-02T00:00:00"/>
    <x v="1222"/>
    <x v="1"/>
    <s v="J-4438/25-26"/>
    <n v="422"/>
    <m/>
  </r>
  <r>
    <d v="2026-01-02T00:00:00"/>
    <x v="582"/>
    <x v="1"/>
    <s v="J-4439/25-26"/>
    <n v="620"/>
    <m/>
  </r>
  <r>
    <d v="2026-01-02T00:00:00"/>
    <x v="84"/>
    <x v="1"/>
    <s v="J-4440/25-26"/>
    <n v="666"/>
    <m/>
  </r>
  <r>
    <d v="2026-01-02T00:00:00"/>
    <x v="34"/>
    <x v="1"/>
    <s v="J-4441/25-26"/>
    <n v="458"/>
    <m/>
  </r>
  <r>
    <d v="2026-01-02T00:00:00"/>
    <x v="1217"/>
    <x v="1"/>
    <s v="J-4442/25-26"/>
    <n v="1550"/>
    <m/>
  </r>
  <r>
    <d v="2026-01-02T00:00:00"/>
    <x v="221"/>
    <x v="1"/>
    <s v="J-4443/25-26"/>
    <n v="7231"/>
    <m/>
  </r>
  <r>
    <d v="2026-01-02T00:00:00"/>
    <x v="5"/>
    <x v="1"/>
    <s v="J-4444/25-26"/>
    <n v="430"/>
    <m/>
  </r>
  <r>
    <d v="2026-01-03T00:00:00"/>
    <x v="32"/>
    <x v="0"/>
    <s v="JU-712/25-26"/>
    <n v="20210"/>
    <m/>
  </r>
  <r>
    <d v="2026-01-03T00:00:00"/>
    <x v="1126"/>
    <x v="0"/>
    <s v="JU-713/25-26"/>
    <n v="83275"/>
    <m/>
  </r>
  <r>
    <d v="2026-01-03T00:00:00"/>
    <x v="23"/>
    <x v="1"/>
    <s v="J-4445/25-26"/>
    <n v="3100"/>
    <m/>
  </r>
  <r>
    <d v="2026-01-03T00:00:00"/>
    <x v="1223"/>
    <x v="1"/>
    <s v="J-4446/25-26"/>
    <n v="930"/>
    <m/>
  </r>
  <r>
    <d v="2026-01-03T00:00:00"/>
    <x v="868"/>
    <x v="1"/>
    <s v="J-4447/25-26"/>
    <n v="665"/>
    <m/>
  </r>
  <r>
    <d v="2026-01-03T00:00:00"/>
    <x v="104"/>
    <x v="1"/>
    <s v="J-4448/25-26"/>
    <n v="381"/>
    <m/>
  </r>
  <r>
    <d v="2026-01-03T00:00:00"/>
    <x v="8"/>
    <x v="1"/>
    <s v="J-4449/25-26"/>
    <n v="61386"/>
    <m/>
  </r>
  <r>
    <d v="2026-01-03T00:00:00"/>
    <x v="11"/>
    <x v="1"/>
    <s v="J-4450/25-26"/>
    <n v="11"/>
    <m/>
  </r>
  <r>
    <d v="2026-01-03T00:00:00"/>
    <x v="1224"/>
    <x v="1"/>
    <s v="J-4451/25-26"/>
    <n v="11208"/>
    <m/>
  </r>
  <r>
    <d v="2026-01-03T00:00:00"/>
    <x v="498"/>
    <x v="1"/>
    <s v="J-4452/25-26"/>
    <n v="1326"/>
    <m/>
  </r>
  <r>
    <d v="2026-01-03T00:00:00"/>
    <x v="1220"/>
    <x v="1"/>
    <s v="J-4453/25-26"/>
    <n v="250"/>
    <m/>
  </r>
  <r>
    <d v="2026-01-03T00:00:00"/>
    <x v="1216"/>
    <x v="1"/>
    <s v="J-4454/25-26"/>
    <n v="1251"/>
    <m/>
  </r>
  <r>
    <d v="2026-01-03T00:00:00"/>
    <x v="78"/>
    <x v="1"/>
    <s v="J-4455/25-26"/>
    <n v="26720"/>
    <m/>
  </r>
  <r>
    <d v="2026-01-03T00:00:00"/>
    <x v="79"/>
    <x v="1"/>
    <s v="J-4456/25-26"/>
    <n v="1550"/>
    <m/>
  </r>
  <r>
    <d v="2026-01-03T00:00:00"/>
    <x v="23"/>
    <x v="1"/>
    <s v="J-4457/25-26"/>
    <n v="7801"/>
    <m/>
  </r>
  <r>
    <d v="2026-01-03T00:00:00"/>
    <x v="1034"/>
    <x v="1"/>
    <s v="J-4458/25-26"/>
    <n v="101880"/>
    <m/>
  </r>
  <r>
    <d v="2026-01-03T00:00:00"/>
    <x v="550"/>
    <x v="1"/>
    <s v="J-4459/25-26"/>
    <n v="175"/>
    <m/>
  </r>
  <r>
    <d v="2026-01-03T00:00:00"/>
    <x v="237"/>
    <x v="1"/>
    <s v="J-4460/25-26"/>
    <n v="1476"/>
    <m/>
  </r>
  <r>
    <d v="2026-01-03T00:00:00"/>
    <x v="370"/>
    <x v="1"/>
    <s v="J-4461/25-26"/>
    <n v="34578"/>
    <m/>
  </r>
  <r>
    <d v="2026-01-03T00:00:00"/>
    <x v="1225"/>
    <x v="1"/>
    <s v="J-4462/25-26"/>
    <n v="3100"/>
    <m/>
  </r>
  <r>
    <d v="2026-01-03T00:00:00"/>
    <x v="1182"/>
    <x v="1"/>
    <s v="J-4463/25-26"/>
    <n v="4650"/>
    <m/>
  </r>
  <r>
    <d v="2026-01-03T00:00:00"/>
    <x v="1226"/>
    <x v="1"/>
    <s v="J-4464/25-26"/>
    <n v="9406"/>
    <m/>
  </r>
  <r>
    <d v="2026-01-03T00:00:00"/>
    <x v="846"/>
    <x v="1"/>
    <s v="J-4465/25-26"/>
    <n v="500"/>
    <m/>
  </r>
  <r>
    <d v="2026-01-03T00:00:00"/>
    <x v="1227"/>
    <x v="1"/>
    <s v="J-4466/25-26"/>
    <n v="5345"/>
    <m/>
  </r>
  <r>
    <d v="2026-01-03T00:00:00"/>
    <x v="195"/>
    <x v="1"/>
    <s v="J-4467/25-26"/>
    <n v="310"/>
    <m/>
  </r>
  <r>
    <d v="2026-01-03T00:00:00"/>
    <x v="1220"/>
    <x v="1"/>
    <s v="J-4468/25-26"/>
    <n v="1600"/>
    <m/>
  </r>
  <r>
    <d v="2026-01-03T00:00:00"/>
    <x v="279"/>
    <x v="1"/>
    <s v="J-4469/25-26"/>
    <n v="1750"/>
    <m/>
  </r>
  <r>
    <d v="2026-01-05T00:00:00"/>
    <x v="305"/>
    <x v="0"/>
    <s v="JU-714/25-26"/>
    <n v="4018"/>
    <m/>
  </r>
  <r>
    <d v="2026-01-05T00:00:00"/>
    <x v="305"/>
    <x v="0"/>
    <s v="JU-715/25-26"/>
    <n v="1550"/>
    <m/>
  </r>
  <r>
    <d v="2026-01-05T00:00:00"/>
    <x v="14"/>
    <x v="0"/>
    <s v="JU-716/25-26"/>
    <n v="6231"/>
    <m/>
  </r>
  <r>
    <d v="2026-01-05T00:00:00"/>
    <x v="1228"/>
    <x v="0"/>
    <s v="JU-717/25-26"/>
    <n v="10914"/>
    <m/>
  </r>
  <r>
    <d v="2026-01-05T00:00:00"/>
    <x v="23"/>
    <x v="1"/>
    <s v="J-4470/25-26"/>
    <n v="6200"/>
    <m/>
  </r>
  <r>
    <d v="2026-01-05T00:00:00"/>
    <x v="1229"/>
    <x v="1"/>
    <s v="J-4471/25-26"/>
    <n v="2931"/>
    <m/>
  </r>
  <r>
    <d v="2026-01-05T00:00:00"/>
    <x v="11"/>
    <x v="1"/>
    <s v="J-4472/25-26"/>
    <n v="310"/>
    <m/>
  </r>
  <r>
    <d v="2026-01-05T00:00:00"/>
    <x v="11"/>
    <x v="1"/>
    <s v="J-4473/25-26"/>
    <n v="310"/>
    <m/>
  </r>
  <r>
    <d v="2026-01-05T00:00:00"/>
    <x v="195"/>
    <x v="1"/>
    <s v="J-4474/25-26"/>
    <n v="310"/>
    <m/>
  </r>
  <r>
    <d v="2026-01-05T00:00:00"/>
    <x v="11"/>
    <x v="1"/>
    <s v="J-4475/25-26"/>
    <n v="620"/>
    <m/>
  </r>
  <r>
    <d v="2026-01-05T00:00:00"/>
    <x v="868"/>
    <x v="1"/>
    <s v="J-4476/25-26"/>
    <n v="240"/>
    <m/>
  </r>
  <r>
    <d v="2026-01-05T00:00:00"/>
    <x v="106"/>
    <x v="1"/>
    <s v="J-4477/25-26"/>
    <n v="268"/>
    <m/>
  </r>
  <r>
    <d v="2026-01-05T00:00:00"/>
    <x v="89"/>
    <x v="1"/>
    <s v="J-4478/25-26"/>
    <n v="1240"/>
    <m/>
  </r>
  <r>
    <d v="2026-01-05T00:00:00"/>
    <x v="596"/>
    <x v="1"/>
    <s v="J-4479/25-26"/>
    <n v="1240"/>
    <m/>
  </r>
  <r>
    <d v="2026-01-05T00:00:00"/>
    <x v="295"/>
    <x v="1"/>
    <s v="J-4480/25-26"/>
    <n v="1380"/>
    <m/>
  </r>
  <r>
    <d v="2026-01-05T00:00:00"/>
    <x v="255"/>
    <x v="1"/>
    <s v="J-4481/25-26"/>
    <n v="11300"/>
    <m/>
  </r>
  <r>
    <d v="2026-01-05T00:00:00"/>
    <x v="1230"/>
    <x v="1"/>
    <s v="J-4482/25-26"/>
    <n v="1547"/>
    <m/>
  </r>
  <r>
    <d v="2026-01-05T00:00:00"/>
    <x v="1194"/>
    <x v="1"/>
    <s v="J-4483/25-26"/>
    <n v="843"/>
    <m/>
  </r>
  <r>
    <d v="2026-01-05T00:00:00"/>
    <x v="1231"/>
    <x v="1"/>
    <s v="J-4484/25-26"/>
    <n v="25290"/>
    <m/>
  </r>
  <r>
    <d v="2026-01-05T00:00:00"/>
    <x v="11"/>
    <x v="1"/>
    <s v="J-4485/25-26"/>
    <n v="30"/>
    <m/>
  </r>
  <r>
    <d v="2026-01-05T00:00:00"/>
    <x v="285"/>
    <x v="1"/>
    <s v="J-4486/25-26"/>
    <n v="2790"/>
    <m/>
  </r>
  <r>
    <d v="2026-01-05T00:00:00"/>
    <x v="4"/>
    <x v="1"/>
    <s v="J-4487/25-26"/>
    <n v="65"/>
    <m/>
  </r>
  <r>
    <d v="2026-01-06T00:00:00"/>
    <x v="1228"/>
    <x v="0"/>
    <s v="JU-718/25-26"/>
    <n v="6400"/>
    <m/>
  </r>
  <r>
    <d v="2026-01-06T00:00:00"/>
    <x v="1228"/>
    <x v="0"/>
    <s v="JU-719/25-26"/>
    <n v="1196"/>
    <m/>
  </r>
  <r>
    <d v="2026-01-06T00:00:00"/>
    <x v="490"/>
    <x v="0"/>
    <s v="JU-720/25-26"/>
    <n v="620"/>
    <m/>
  </r>
  <r>
    <d v="2026-01-06T00:00:00"/>
    <x v="1206"/>
    <x v="1"/>
    <s v="J-4488/25-26"/>
    <n v="49520"/>
    <m/>
  </r>
  <r>
    <d v="2026-01-06T00:00:00"/>
    <x v="868"/>
    <x v="1"/>
    <s v="J-4489/25-26"/>
    <n v="12525"/>
    <m/>
  </r>
  <r>
    <d v="2026-01-06T00:00:00"/>
    <x v="1179"/>
    <x v="1"/>
    <s v="J-4490/25-26"/>
    <n v="19533"/>
    <m/>
  </r>
  <r>
    <d v="2026-01-06T00:00:00"/>
    <x v="241"/>
    <x v="1"/>
    <s v="J-4491/25-26"/>
    <n v="15500"/>
    <m/>
  </r>
  <r>
    <d v="2026-01-06T00:00:00"/>
    <x v="243"/>
    <x v="1"/>
    <s v="J-4492/25-26"/>
    <n v="22795"/>
    <m/>
  </r>
  <r>
    <d v="2026-01-06T00:00:00"/>
    <x v="47"/>
    <x v="1"/>
    <s v="J-4493/25-26"/>
    <n v="562"/>
    <m/>
  </r>
  <r>
    <d v="2026-01-06T00:00:00"/>
    <x v="370"/>
    <x v="1"/>
    <s v="J-4494/25-26"/>
    <n v="375"/>
    <m/>
  </r>
  <r>
    <d v="2026-01-06T00:00:00"/>
    <x v="48"/>
    <x v="1"/>
    <s v="J-4495/25-26"/>
    <n v="120"/>
    <m/>
  </r>
  <r>
    <d v="2026-01-06T00:00:00"/>
    <x v="324"/>
    <x v="1"/>
    <s v="J-4496/25-26"/>
    <n v="28725"/>
    <m/>
  </r>
  <r>
    <d v="2026-01-06T00:00:00"/>
    <x v="1217"/>
    <x v="1"/>
    <s v="J-4497/25-26"/>
    <n v="1240"/>
    <m/>
  </r>
  <r>
    <d v="2026-01-07T00:00:00"/>
    <x v="604"/>
    <x v="0"/>
    <s v="JU-721/25-26"/>
    <n v="255"/>
    <m/>
  </r>
  <r>
    <d v="2026-01-07T00:00:00"/>
    <x v="637"/>
    <x v="1"/>
    <s v="J-4498/25-26"/>
    <n v="3100"/>
    <m/>
  </r>
  <r>
    <d v="2026-01-07T00:00:00"/>
    <x v="637"/>
    <x v="1"/>
    <s v="J-4499/25-26"/>
    <n v="5670"/>
    <m/>
  </r>
  <r>
    <d v="2026-01-07T00:00:00"/>
    <x v="295"/>
    <x v="1"/>
    <s v="J-4500/25-26"/>
    <n v="5622"/>
    <m/>
  </r>
  <r>
    <d v="2026-01-07T00:00:00"/>
    <x v="106"/>
    <x v="1"/>
    <s v="J-4501/25-26"/>
    <n v="4907"/>
    <m/>
  </r>
  <r>
    <d v="2026-01-07T00:00:00"/>
    <x v="868"/>
    <x v="1"/>
    <s v="J-4502/25-26"/>
    <n v="1354"/>
    <m/>
  </r>
  <r>
    <d v="2026-01-07T00:00:00"/>
    <x v="370"/>
    <x v="1"/>
    <s v="J-4503/25-26"/>
    <n v="23050"/>
    <m/>
  </r>
  <r>
    <d v="2026-01-07T00:00:00"/>
    <x v="119"/>
    <x v="1"/>
    <s v="J-4504/25-26"/>
    <n v="310"/>
    <m/>
  </r>
  <r>
    <d v="2026-01-07T00:00:00"/>
    <x v="324"/>
    <x v="1"/>
    <s v="J-4505/25-26"/>
    <n v="6155"/>
    <m/>
  </r>
  <r>
    <d v="2026-01-07T00:00:00"/>
    <x v="1232"/>
    <x v="1"/>
    <s v="J-4506/25-26"/>
    <n v="4143"/>
    <m/>
  </r>
  <r>
    <d v="2026-01-07T00:00:00"/>
    <x v="1226"/>
    <x v="1"/>
    <s v="J-4507/25-26"/>
    <n v="26457"/>
    <m/>
  </r>
  <r>
    <d v="2026-01-07T00:00:00"/>
    <x v="442"/>
    <x v="1"/>
    <s v="J-4508/25-26"/>
    <n v="835"/>
    <m/>
  </r>
  <r>
    <d v="2026-01-07T00:00:00"/>
    <x v="297"/>
    <x v="1"/>
    <s v="J-4509/25-26"/>
    <n v="310"/>
    <m/>
  </r>
  <r>
    <d v="2026-01-07T00:00:00"/>
    <x v="195"/>
    <x v="1"/>
    <s v="J-4510/25-26"/>
    <n v="4880"/>
    <m/>
  </r>
  <r>
    <d v="2026-01-07T00:00:00"/>
    <x v="1233"/>
    <x v="1"/>
    <s v="J-4511/25-26"/>
    <n v="4824"/>
    <m/>
  </r>
  <r>
    <d v="2026-01-07T00:00:00"/>
    <x v="749"/>
    <x v="1"/>
    <s v="J-4512/25-26"/>
    <n v="1130"/>
    <m/>
  </r>
  <r>
    <d v="2026-01-07T00:00:00"/>
    <x v="48"/>
    <x v="1"/>
    <s v="J-4513/25-26"/>
    <n v="320"/>
    <m/>
  </r>
  <r>
    <d v="2026-01-08T00:00:00"/>
    <x v="32"/>
    <x v="0"/>
    <s v="JU-722/25-26"/>
    <n v="3394"/>
    <m/>
  </r>
  <r>
    <d v="2026-01-08T00:00:00"/>
    <x v="381"/>
    <x v="0"/>
    <s v="JU-723/25-26"/>
    <n v="34193"/>
    <m/>
  </r>
  <r>
    <d v="2026-01-08T00:00:00"/>
    <x v="84"/>
    <x v="1"/>
    <s v="J-4514/25-26"/>
    <n v="4342"/>
    <m/>
  </r>
  <r>
    <d v="2026-01-08T00:00:00"/>
    <x v="11"/>
    <x v="1"/>
    <s v="J-4515/25-26"/>
    <n v="310"/>
    <m/>
  </r>
  <r>
    <d v="2026-01-08T00:00:00"/>
    <x v="11"/>
    <x v="1"/>
    <s v="J-4516/25-26"/>
    <n v="310"/>
    <m/>
  </r>
  <r>
    <d v="2026-01-08T00:00:00"/>
    <x v="1206"/>
    <x v="1"/>
    <s v="J-4517/25-26"/>
    <n v="9656"/>
    <m/>
  </r>
  <r>
    <d v="2026-01-08T00:00:00"/>
    <x v="11"/>
    <x v="1"/>
    <s v="J-4518/25-26"/>
    <n v="20"/>
    <m/>
  </r>
  <r>
    <d v="2026-01-08T00:00:00"/>
    <x v="1234"/>
    <x v="1"/>
    <s v="J-4519/25-26"/>
    <n v="620"/>
    <m/>
  </r>
  <r>
    <d v="2026-01-08T00:00:00"/>
    <x v="1160"/>
    <x v="1"/>
    <s v="J-4520/25-26"/>
    <n v="68"/>
    <m/>
  </r>
  <r>
    <d v="2026-01-08T00:00:00"/>
    <x v="592"/>
    <x v="1"/>
    <s v="J-4521/25-26"/>
    <n v="1904"/>
    <m/>
  </r>
  <r>
    <d v="2026-01-08T00:00:00"/>
    <x v="237"/>
    <x v="1"/>
    <s v="J-4522/25-26"/>
    <n v="1048"/>
    <m/>
  </r>
  <r>
    <d v="2026-01-08T00:00:00"/>
    <x v="868"/>
    <x v="1"/>
    <s v="J-4523/25-26"/>
    <n v="310"/>
    <m/>
  </r>
  <r>
    <d v="2026-01-08T00:00:00"/>
    <x v="47"/>
    <x v="1"/>
    <s v="J-4524/25-26"/>
    <n v="12730"/>
    <m/>
  </r>
  <r>
    <d v="2026-01-08T00:00:00"/>
    <x v="1226"/>
    <x v="1"/>
    <s v="J-4525/25-26"/>
    <n v="1357"/>
    <m/>
  </r>
  <r>
    <d v="2026-01-08T00:00:00"/>
    <x v="20"/>
    <x v="1"/>
    <s v="J-4526/25-26"/>
    <n v="6652"/>
    <m/>
  </r>
  <r>
    <d v="2026-01-08T00:00:00"/>
    <x v="11"/>
    <x v="1"/>
    <s v="J-4527/25-26"/>
    <n v="1591"/>
    <m/>
  </r>
  <r>
    <d v="2026-01-08T00:00:00"/>
    <x v="1235"/>
    <x v="1"/>
    <s v="J-4528/25-26"/>
    <n v="3100"/>
    <m/>
  </r>
  <r>
    <d v="2026-01-08T00:00:00"/>
    <x v="1061"/>
    <x v="1"/>
    <s v="J-4529/25-26"/>
    <n v="9600"/>
    <m/>
  </r>
  <r>
    <d v="2026-01-08T00:00:00"/>
    <x v="1225"/>
    <x v="1"/>
    <s v="J-4530/25-26"/>
    <n v="9058"/>
    <m/>
  </r>
  <r>
    <d v="2026-01-08T00:00:00"/>
    <x v="25"/>
    <x v="1"/>
    <s v="J-4531/25-26"/>
    <n v="100"/>
    <m/>
  </r>
  <r>
    <d v="2026-01-09T00:00:00"/>
    <x v="979"/>
    <x v="0"/>
    <s v="JU-724/25-26"/>
    <n v="6400"/>
    <m/>
  </r>
  <r>
    <d v="2026-01-09T00:00:00"/>
    <x v="979"/>
    <x v="0"/>
    <s v="JU-725/25-26"/>
    <n v="2476"/>
    <m/>
  </r>
  <r>
    <d v="2026-01-09T00:00:00"/>
    <x v="23"/>
    <x v="1"/>
    <s v="J-4532/25-26"/>
    <n v="10964"/>
    <m/>
  </r>
  <r>
    <d v="2026-01-09T00:00:00"/>
    <x v="633"/>
    <x v="1"/>
    <s v="J-4533/25-26"/>
    <n v="1330"/>
    <m/>
  </r>
  <r>
    <d v="2026-01-09T00:00:00"/>
    <x v="1206"/>
    <x v="1"/>
    <s v="J-4534/25-26"/>
    <n v="248"/>
    <m/>
  </r>
  <r>
    <d v="2026-01-09T00:00:00"/>
    <x v="8"/>
    <x v="1"/>
    <s v="J-4535/25-26"/>
    <n v="61152"/>
    <m/>
  </r>
  <r>
    <d v="2026-01-09T00:00:00"/>
    <x v="1236"/>
    <x v="1"/>
    <s v="J-4536/25-26"/>
    <n v="252330"/>
    <m/>
  </r>
  <r>
    <d v="2026-01-09T00:00:00"/>
    <x v="20"/>
    <x v="1"/>
    <s v="J-4537/25-26"/>
    <n v="3798"/>
    <m/>
  </r>
  <r>
    <d v="2026-01-09T00:00:00"/>
    <x v="11"/>
    <x v="1"/>
    <s v="J-4538/25-26"/>
    <n v="20"/>
    <m/>
  </r>
  <r>
    <d v="2026-01-09T00:00:00"/>
    <x v="237"/>
    <x v="1"/>
    <s v="J-4539/25-26"/>
    <n v="27825"/>
    <m/>
  </r>
  <r>
    <d v="2026-01-09T00:00:00"/>
    <x v="163"/>
    <x v="1"/>
    <s v="J-4540/25-26"/>
    <n v="2018"/>
    <m/>
  </r>
  <r>
    <d v="2026-01-09T00:00:00"/>
    <x v="82"/>
    <x v="1"/>
    <s v="J-4541/25-26"/>
    <n v="5782"/>
    <m/>
  </r>
  <r>
    <d v="2026-01-09T00:00:00"/>
    <x v="237"/>
    <x v="1"/>
    <s v="J-4542/25-26"/>
    <n v="1735"/>
    <m/>
  </r>
  <r>
    <d v="2026-01-09T00:00:00"/>
    <x v="1237"/>
    <x v="1"/>
    <s v="J-4543/25-26"/>
    <n v="6031"/>
    <m/>
  </r>
  <r>
    <d v="2026-01-09T00:00:00"/>
    <x v="370"/>
    <x v="1"/>
    <s v="J-4544/25-26"/>
    <n v="20628"/>
    <m/>
  </r>
  <r>
    <d v="2026-01-09T00:00:00"/>
    <x v="567"/>
    <x v="1"/>
    <s v="J-4545/25-26"/>
    <n v="6592"/>
    <m/>
  </r>
  <r>
    <d v="2026-01-09T00:00:00"/>
    <x v="11"/>
    <x v="1"/>
    <s v="J-4546/25-26"/>
    <n v="11"/>
    <m/>
  </r>
  <r>
    <d v="2026-01-09T00:00:00"/>
    <x v="1238"/>
    <x v="1"/>
    <s v="J-4547/25-26"/>
    <n v="33860"/>
    <m/>
  </r>
  <r>
    <d v="2026-01-09T00:00:00"/>
    <x v="1239"/>
    <x v="1"/>
    <s v="J-4548/25-26"/>
    <n v="37460"/>
    <m/>
  </r>
  <r>
    <d v="2026-01-09T00:00:00"/>
    <x v="20"/>
    <x v="1"/>
    <s v="J-4549/25-26"/>
    <n v="1230"/>
    <m/>
  </r>
  <r>
    <d v="2026-01-09T00:00:00"/>
    <x v="89"/>
    <x v="1"/>
    <s v="J-4550/25-26"/>
    <n v="1600"/>
    <m/>
  </r>
  <r>
    <d v="2026-01-09T00:00:00"/>
    <x v="20"/>
    <x v="1"/>
    <s v="J-4551/25-26"/>
    <n v="375"/>
    <m/>
  </r>
  <r>
    <d v="2026-01-09T00:00:00"/>
    <x v="868"/>
    <x v="1"/>
    <s v="J-4552/25-26"/>
    <n v="880"/>
    <m/>
  </r>
  <r>
    <d v="2026-01-09T00:00:00"/>
    <x v="1225"/>
    <x v="1"/>
    <s v="J-4553/25-26"/>
    <n v="320"/>
    <m/>
  </r>
  <r>
    <d v="2026-01-10T00:00:00"/>
    <x v="1228"/>
    <x v="0"/>
    <s v="JU-726/25-26"/>
    <n v="9600"/>
    <m/>
  </r>
  <r>
    <d v="2026-01-10T00:00:00"/>
    <x v="1240"/>
    <x v="0"/>
    <s v="JU-727/25-26"/>
    <n v="6400"/>
    <m/>
  </r>
  <r>
    <d v="2026-01-10T00:00:00"/>
    <x v="1228"/>
    <x v="0"/>
    <s v="JU-728/25-26"/>
    <n v="6400"/>
    <m/>
  </r>
  <r>
    <d v="2026-01-10T00:00:00"/>
    <x v="979"/>
    <x v="0"/>
    <s v="JU-729/25-26"/>
    <n v="320"/>
    <m/>
  </r>
  <r>
    <d v="2026-01-10T00:00:00"/>
    <x v="571"/>
    <x v="0"/>
    <s v="JU-730/25-26"/>
    <n v="44520"/>
    <m/>
  </r>
  <r>
    <d v="2026-01-10T00:00:00"/>
    <x v="11"/>
    <x v="1"/>
    <s v="J-4554/25-26"/>
    <n v="320"/>
    <m/>
  </r>
  <r>
    <d v="2026-01-10T00:00:00"/>
    <x v="89"/>
    <x v="1"/>
    <s v="J-4555/25-26"/>
    <n v="960"/>
    <m/>
  </r>
  <r>
    <d v="2026-01-10T00:00:00"/>
    <x v="1241"/>
    <x v="1"/>
    <s v="J-4556/25-26"/>
    <n v="29134"/>
    <m/>
  </r>
  <r>
    <d v="2026-01-10T00:00:00"/>
    <x v="904"/>
    <x v="1"/>
    <s v="J-4557/25-26"/>
    <n v="200"/>
    <m/>
  </r>
  <r>
    <d v="2026-01-10T00:00:00"/>
    <x v="1165"/>
    <x v="1"/>
    <s v="J-4558/25-26"/>
    <n v="1240"/>
    <m/>
  </r>
  <r>
    <d v="2026-01-10T00:00:00"/>
    <x v="582"/>
    <x v="1"/>
    <s v="J-4559/25-26"/>
    <n v="640"/>
    <m/>
  </r>
  <r>
    <d v="2026-01-10T00:00:00"/>
    <x v="324"/>
    <x v="1"/>
    <s v="J-4560/25-26"/>
    <n v="5610"/>
    <m/>
  </r>
  <r>
    <d v="2026-01-10T00:00:00"/>
    <x v="67"/>
    <x v="1"/>
    <s v="J-4561/25-26"/>
    <n v="3835"/>
    <m/>
  </r>
  <r>
    <d v="2026-01-10T00:00:00"/>
    <x v="637"/>
    <x v="1"/>
    <s v="J-4562/25-26"/>
    <n v="2876"/>
    <m/>
  </r>
  <r>
    <d v="2026-01-10T00:00:00"/>
    <x v="241"/>
    <x v="1"/>
    <s v="J-4563/25-26"/>
    <n v="6400"/>
    <m/>
  </r>
  <r>
    <d v="2026-01-10T00:00:00"/>
    <x v="89"/>
    <x v="1"/>
    <s v="J-4564/25-26"/>
    <n v="960"/>
    <m/>
  </r>
  <r>
    <d v="2026-01-10T00:00:00"/>
    <x v="237"/>
    <x v="1"/>
    <s v="J-4565/25-26"/>
    <n v="475"/>
    <m/>
  </r>
  <r>
    <d v="2026-01-10T00:00:00"/>
    <x v="8"/>
    <x v="1"/>
    <s v="J-4566/25-26"/>
    <n v="2224"/>
    <m/>
  </r>
  <r>
    <d v="2026-01-10T00:00:00"/>
    <x v="1151"/>
    <x v="1"/>
    <s v="J-4567/25-26"/>
    <n v="22475"/>
    <m/>
  </r>
  <r>
    <d v="2026-01-10T00:00:00"/>
    <x v="295"/>
    <x v="1"/>
    <s v="J-4568/25-26"/>
    <n v="3200"/>
    <m/>
  </r>
  <r>
    <d v="2026-01-10T00:00:00"/>
    <x v="1242"/>
    <x v="1"/>
    <s v="J-4569/25-26"/>
    <n v="50"/>
    <m/>
  </r>
  <r>
    <d v="2026-01-10T00:00:00"/>
    <x v="564"/>
    <x v="1"/>
    <s v="J-4570/25-26"/>
    <n v="10085"/>
    <m/>
  </r>
  <r>
    <d v="2026-01-10T00:00:00"/>
    <x v="11"/>
    <x v="1"/>
    <s v="J-4571/25-26"/>
    <n v="20"/>
    <m/>
  </r>
  <r>
    <d v="2026-01-10T00:00:00"/>
    <x v="1225"/>
    <x v="1"/>
    <s v="J-4572/25-26"/>
    <n v="2880"/>
    <m/>
  </r>
  <r>
    <d v="2026-01-10T00:00:00"/>
    <x v="414"/>
    <x v="1"/>
    <s v="J-4573/25-26"/>
    <n v="751"/>
    <m/>
  </r>
  <r>
    <d v="2026-01-10T00:00:00"/>
    <x v="564"/>
    <x v="1"/>
    <s v="J-4574/25-26"/>
    <n v="3088"/>
    <m/>
  </r>
  <r>
    <d v="2026-01-10T00:00:00"/>
    <x v="163"/>
    <x v="1"/>
    <s v="J-4575/25-26"/>
    <n v="6828"/>
    <m/>
  </r>
  <r>
    <d v="2026-01-10T00:00:00"/>
    <x v="633"/>
    <x v="1"/>
    <s v="J-4576/25-26"/>
    <n v="1330"/>
    <m/>
  </r>
  <r>
    <d v="2026-01-10T00:00:00"/>
    <x v="398"/>
    <x v="1"/>
    <s v="J-4577/25-26"/>
    <n v="603"/>
    <m/>
  </r>
  <r>
    <d v="2026-01-10T00:00:00"/>
    <x v="266"/>
    <x v="1"/>
    <s v="J-4578/25-26"/>
    <n v="4875"/>
    <m/>
  </r>
  <r>
    <d v="2026-01-10T00:00:00"/>
    <x v="1243"/>
    <x v="1"/>
    <s v="J-4579/25-26"/>
    <n v="24064"/>
    <m/>
  </r>
  <r>
    <d v="2026-01-10T00:00:00"/>
    <x v="10"/>
    <x v="1"/>
    <s v="J-4580/25-26"/>
    <n v="92157"/>
    <m/>
  </r>
  <r>
    <d v="2026-01-10T00:00:00"/>
    <x v="1244"/>
    <x v="1"/>
    <s v="J-4581/25-26"/>
    <n v="2981"/>
    <m/>
  </r>
  <r>
    <d v="2026-01-12T00:00:00"/>
    <x v="306"/>
    <x v="0"/>
    <s v="JU-731/25-26"/>
    <n v="9037"/>
    <m/>
  </r>
  <r>
    <d v="2026-01-12T00:00:00"/>
    <x v="1228"/>
    <x v="0"/>
    <s v="JU-732/25-26"/>
    <n v="596"/>
    <m/>
  </r>
  <r>
    <d v="2026-01-12T00:00:00"/>
    <x v="958"/>
    <x v="0"/>
    <s v="JU-733/25-26"/>
    <n v="2970"/>
    <m/>
  </r>
  <r>
    <d v="2026-01-12T00:00:00"/>
    <x v="14"/>
    <x v="0"/>
    <s v="JU-734/25-26"/>
    <n v="2577"/>
    <m/>
  </r>
  <r>
    <d v="2026-01-12T00:00:00"/>
    <x v="1145"/>
    <x v="0"/>
    <s v="JU-735/25-26"/>
    <n v="5333"/>
    <m/>
  </r>
  <r>
    <d v="2026-01-12T00:00:00"/>
    <x v="1245"/>
    <x v="0"/>
    <s v="JU-736/25-26"/>
    <n v="8723"/>
    <m/>
  </r>
  <r>
    <d v="2026-01-12T00:00:00"/>
    <x v="79"/>
    <x v="1"/>
    <s v="J-4582/25-26"/>
    <n v="2240"/>
    <m/>
  </r>
  <r>
    <d v="2026-01-12T00:00:00"/>
    <x v="89"/>
    <x v="1"/>
    <s v="J-4583/25-26"/>
    <n v="960"/>
    <m/>
  </r>
  <r>
    <d v="2026-01-12T00:00:00"/>
    <x v="8"/>
    <x v="1"/>
    <s v="J-4584/25-26"/>
    <n v="12601"/>
    <m/>
  </r>
  <r>
    <d v="2026-01-12T00:00:00"/>
    <x v="231"/>
    <x v="1"/>
    <s v="J-4585/25-26"/>
    <n v="640"/>
    <m/>
  </r>
  <r>
    <d v="2026-01-12T00:00:00"/>
    <x v="644"/>
    <x v="1"/>
    <s v="J-4586/25-26"/>
    <n v="9710"/>
    <m/>
  </r>
  <r>
    <d v="2026-01-12T00:00:00"/>
    <x v="630"/>
    <x v="1"/>
    <s v="J-4587/25-26"/>
    <n v="2560"/>
    <m/>
  </r>
  <r>
    <d v="2026-01-12T00:00:00"/>
    <x v="237"/>
    <x v="1"/>
    <s v="J-4588/25-26"/>
    <n v="1160"/>
    <m/>
  </r>
  <r>
    <d v="2026-01-12T00:00:00"/>
    <x v="386"/>
    <x v="1"/>
    <s v="J-4589/25-26"/>
    <n v="140"/>
    <m/>
  </r>
  <r>
    <d v="2026-01-12T00:00:00"/>
    <x v="1206"/>
    <x v="1"/>
    <s v="J-4590/25-26"/>
    <n v="57147"/>
    <m/>
  </r>
  <r>
    <d v="2026-01-12T00:00:00"/>
    <x v="1246"/>
    <x v="1"/>
    <s v="J-4591/25-26"/>
    <n v="4487"/>
    <m/>
  </r>
  <r>
    <d v="2026-01-12T00:00:00"/>
    <x v="1134"/>
    <x v="1"/>
    <s v="J-4592/25-26"/>
    <n v="965"/>
    <m/>
  </r>
  <r>
    <d v="2026-01-12T00:00:00"/>
    <x v="174"/>
    <x v="1"/>
    <s v="J-4593/25-26"/>
    <n v="1181"/>
    <m/>
  </r>
  <r>
    <d v="2026-01-12T00:00:00"/>
    <x v="1247"/>
    <x v="1"/>
    <s v="J-4594/25-26"/>
    <n v="73530"/>
    <m/>
  </r>
  <r>
    <d v="2026-01-12T00:00:00"/>
    <x v="1248"/>
    <x v="1"/>
    <s v="J-4595/25-26"/>
    <n v="640"/>
    <m/>
  </r>
  <r>
    <d v="2026-01-12T00:00:00"/>
    <x v="163"/>
    <x v="1"/>
    <s v="J-4596/25-26"/>
    <n v="8336"/>
    <m/>
  </r>
  <r>
    <d v="2026-01-12T00:00:00"/>
    <x v="88"/>
    <x v="1"/>
    <s v="J-4597/25-26"/>
    <n v="1800"/>
    <m/>
  </r>
  <r>
    <d v="2026-01-13T00:00:00"/>
    <x v="1249"/>
    <x v="0"/>
    <s v="JU-737/25-26"/>
    <n v="6260"/>
    <m/>
  </r>
  <r>
    <d v="2026-01-13T00:00:00"/>
    <x v="77"/>
    <x v="0"/>
    <s v="JU-738/25-26"/>
    <n v="330"/>
    <m/>
  </r>
  <r>
    <d v="2026-01-13T00:00:00"/>
    <x v="1065"/>
    <x v="0"/>
    <s v="JU-739/25-26"/>
    <n v="10672"/>
    <m/>
  </r>
  <r>
    <d v="2026-01-13T00:00:00"/>
    <x v="1250"/>
    <x v="0"/>
    <s v="JU-740/25-26"/>
    <n v="32568"/>
    <m/>
  </r>
  <r>
    <d v="2026-01-13T00:00:00"/>
    <x v="1251"/>
    <x v="1"/>
    <s v="J-4598/25-26"/>
    <n v="5520"/>
    <m/>
  </r>
  <r>
    <d v="2026-01-13T00:00:00"/>
    <x v="990"/>
    <x v="1"/>
    <s v="J-4599/25-26"/>
    <n v="640"/>
    <m/>
  </r>
  <r>
    <d v="2026-01-13T00:00:00"/>
    <x v="36"/>
    <x v="1"/>
    <s v="J-4600/25-26"/>
    <n v="2064"/>
    <m/>
  </r>
  <r>
    <d v="2026-01-13T00:00:00"/>
    <x v="79"/>
    <x v="1"/>
    <s v="J-4601/25-26"/>
    <n v="1280"/>
    <m/>
  </r>
  <r>
    <d v="2026-01-13T00:00:00"/>
    <x v="4"/>
    <x v="1"/>
    <s v="J-4602/25-26"/>
    <n v="9004"/>
    <m/>
  </r>
  <r>
    <d v="2026-01-13T00:00:00"/>
    <x v="1067"/>
    <x v="1"/>
    <s v="J-4603/25-26"/>
    <n v="8395"/>
    <m/>
  </r>
  <r>
    <d v="2026-01-13T00:00:00"/>
    <x v="1252"/>
    <x v="1"/>
    <s v="J-4604/25-26"/>
    <n v="3100"/>
    <m/>
  </r>
  <r>
    <d v="2026-01-13T00:00:00"/>
    <x v="1252"/>
    <x v="1"/>
    <s v="J-4605/25-26"/>
    <n v="100"/>
    <m/>
  </r>
  <r>
    <d v="2026-01-13T00:00:00"/>
    <x v="89"/>
    <x v="1"/>
    <s v="J-4606/25-26"/>
    <n v="500"/>
    <m/>
  </r>
  <r>
    <d v="2026-01-13T00:00:00"/>
    <x v="231"/>
    <x v="1"/>
    <s v="J-4607/25-26"/>
    <n v="640"/>
    <m/>
  </r>
  <r>
    <d v="2026-01-13T00:00:00"/>
    <x v="1253"/>
    <x v="1"/>
    <s v="J-4608/25-26"/>
    <n v="5960"/>
    <m/>
  </r>
  <r>
    <d v="2026-01-13T00:00:00"/>
    <x v="9"/>
    <x v="1"/>
    <s v="J-4609/25-26"/>
    <n v="1977"/>
    <m/>
  </r>
  <r>
    <d v="2026-01-13T00:00:00"/>
    <x v="69"/>
    <x v="1"/>
    <s v="J-4610/25-26"/>
    <n v="4111"/>
    <m/>
  </r>
  <r>
    <d v="2026-01-13T00:00:00"/>
    <x v="1230"/>
    <x v="1"/>
    <s v="J-4611/25-26"/>
    <n v="3682"/>
    <m/>
  </r>
  <r>
    <d v="2026-01-13T00:00:00"/>
    <x v="1239"/>
    <x v="1"/>
    <s v="J-4612/25-26"/>
    <n v="696"/>
    <m/>
  </r>
  <r>
    <d v="2026-01-13T00:00:00"/>
    <x v="434"/>
    <x v="1"/>
    <s v="J-4613/25-26"/>
    <n v="50"/>
    <m/>
  </r>
  <r>
    <d v="2026-01-13T00:00:00"/>
    <x v="1226"/>
    <x v="1"/>
    <s v="J-4614/25-26"/>
    <n v="32447"/>
    <m/>
  </r>
  <r>
    <d v="2026-01-13T00:00:00"/>
    <x v="106"/>
    <x v="1"/>
    <s v="J-4615/25-26"/>
    <n v="11090"/>
    <m/>
  </r>
  <r>
    <d v="2026-01-13T00:00:00"/>
    <x v="47"/>
    <x v="1"/>
    <s v="J-4616/25-26"/>
    <n v="960"/>
    <m/>
  </r>
  <r>
    <d v="2026-01-13T00:00:00"/>
    <x v="36"/>
    <x v="1"/>
    <s v="J-4617/25-26"/>
    <n v="25960"/>
    <m/>
  </r>
  <r>
    <d v="2026-01-13T00:00:00"/>
    <x v="1239"/>
    <x v="1"/>
    <s v="J-4618/25-26"/>
    <n v="27901"/>
    <m/>
  </r>
  <r>
    <d v="2026-01-13T00:00:00"/>
    <x v="248"/>
    <x v="1"/>
    <s v="J-4619/25-26"/>
    <n v="7292"/>
    <m/>
  </r>
  <r>
    <d v="2026-01-13T00:00:00"/>
    <x v="567"/>
    <x v="1"/>
    <s v="J-4620/25-26"/>
    <n v="5895"/>
    <m/>
  </r>
  <r>
    <d v="2026-01-13T00:00:00"/>
    <x v="11"/>
    <x v="1"/>
    <s v="J-4621/25-26"/>
    <n v="8"/>
    <m/>
  </r>
  <r>
    <d v="2026-01-13T00:00:00"/>
    <x v="747"/>
    <x v="1"/>
    <s v="J-4622/25-26"/>
    <n v="189"/>
    <m/>
  </r>
  <r>
    <d v="2026-01-14T00:00:00"/>
    <x v="1228"/>
    <x v="0"/>
    <s v="JU-741/25-26"/>
    <n v="6282"/>
    <m/>
  </r>
  <r>
    <d v="2026-01-14T00:00:00"/>
    <x v="1228"/>
    <x v="0"/>
    <s v="JU-742/25-26"/>
    <n v="215"/>
    <m/>
  </r>
  <r>
    <d v="2026-01-14T00:00:00"/>
    <x v="64"/>
    <x v="0"/>
    <s v="JU-743/25-26"/>
    <n v="16000"/>
    <m/>
  </r>
  <r>
    <d v="2026-01-14T00:00:00"/>
    <x v="330"/>
    <x v="1"/>
    <s v="J-4623/25-26"/>
    <n v="320"/>
    <m/>
  </r>
  <r>
    <d v="2026-01-14T00:00:00"/>
    <x v="29"/>
    <x v="1"/>
    <s v="J-4624/25-26"/>
    <n v="640"/>
    <m/>
  </r>
  <r>
    <d v="2026-01-14T00:00:00"/>
    <x v="255"/>
    <x v="1"/>
    <s v="J-4625/25-26"/>
    <n v="6122"/>
    <m/>
  </r>
  <r>
    <d v="2026-01-14T00:00:00"/>
    <x v="115"/>
    <x v="1"/>
    <s v="J-4626/25-26"/>
    <n v="330"/>
    <m/>
  </r>
  <r>
    <d v="2026-01-14T00:00:00"/>
    <x v="163"/>
    <x v="1"/>
    <s v="J-4627/25-26"/>
    <n v="90"/>
    <m/>
  </r>
  <r>
    <d v="2026-01-14T00:00:00"/>
    <x v="106"/>
    <x v="1"/>
    <s v="J-4628/25-26"/>
    <n v="1523"/>
    <m/>
  </r>
  <r>
    <d v="2026-01-14T00:00:00"/>
    <x v="245"/>
    <x v="1"/>
    <s v="J-4629/25-26"/>
    <n v="943"/>
    <m/>
  </r>
  <r>
    <d v="2026-01-14T00:00:00"/>
    <x v="587"/>
    <x v="1"/>
    <s v="J-4630/25-26"/>
    <n v="660"/>
    <m/>
  </r>
  <r>
    <d v="2026-01-14T00:00:00"/>
    <x v="237"/>
    <x v="1"/>
    <s v="J-4631/25-26"/>
    <n v="387"/>
    <m/>
  </r>
  <r>
    <d v="2026-01-14T00:00:00"/>
    <x v="227"/>
    <x v="1"/>
    <s v="J-4632/25-26"/>
    <n v="4825"/>
    <m/>
  </r>
  <r>
    <d v="2026-01-14T00:00:00"/>
    <x v="88"/>
    <x v="1"/>
    <s v="J-4633/25-26"/>
    <n v="7066"/>
    <m/>
  </r>
  <r>
    <d v="2026-01-14T00:00:00"/>
    <x v="227"/>
    <x v="1"/>
    <s v="J-4634/25-26"/>
    <n v="1295"/>
    <m/>
  </r>
  <r>
    <d v="2026-01-14T00:00:00"/>
    <x v="1236"/>
    <x v="1"/>
    <s v="J-4635/25-26"/>
    <n v="170"/>
    <m/>
  </r>
  <r>
    <d v="2026-01-14T00:00:00"/>
    <x v="1158"/>
    <x v="1"/>
    <s v="J-4636/25-26"/>
    <n v="286"/>
    <m/>
  </r>
  <r>
    <d v="2026-01-14T00:00:00"/>
    <x v="1225"/>
    <x v="1"/>
    <s v="J-4637/25-26"/>
    <n v="12900"/>
    <m/>
  </r>
  <r>
    <d v="2026-01-15T00:00:00"/>
    <x v="1254"/>
    <x v="0"/>
    <s v="JU-744/25-26"/>
    <n v="16195"/>
    <m/>
  </r>
  <r>
    <d v="2026-01-15T00:00:00"/>
    <x v="1255"/>
    <x v="0"/>
    <s v="JU-745/25-26"/>
    <n v="6233"/>
    <m/>
  </r>
  <r>
    <d v="2026-01-15T00:00:00"/>
    <x v="1249"/>
    <x v="0"/>
    <s v="JU-746/25-26"/>
    <n v="34730"/>
    <m/>
  </r>
  <r>
    <d v="2026-01-15T00:00:00"/>
    <x v="1255"/>
    <x v="0"/>
    <s v="JU-747/25-26"/>
    <n v="13063"/>
    <m/>
  </r>
  <r>
    <d v="2026-01-15T00:00:00"/>
    <x v="1255"/>
    <x v="0"/>
    <s v="JU-748/25-26"/>
    <n v="388"/>
    <m/>
  </r>
  <r>
    <d v="2026-01-15T00:00:00"/>
    <x v="1256"/>
    <x v="1"/>
    <s v="J-4638/25-26"/>
    <n v="1280"/>
    <m/>
  </r>
  <r>
    <d v="2026-01-15T00:00:00"/>
    <x v="1257"/>
    <x v="1"/>
    <s v="J-4639/25-26"/>
    <n v="22207"/>
    <m/>
  </r>
  <r>
    <d v="2026-01-15T00:00:00"/>
    <x v="1134"/>
    <x v="1"/>
    <s v="J-4640/25-26"/>
    <n v="1000"/>
    <m/>
  </r>
  <r>
    <d v="2026-01-15T00:00:00"/>
    <x v="89"/>
    <x v="1"/>
    <s v="J-4641/25-26"/>
    <n v="1280"/>
    <m/>
  </r>
  <r>
    <d v="2026-01-15T00:00:00"/>
    <x v="106"/>
    <x v="1"/>
    <s v="J-4642/25-26"/>
    <n v="1133"/>
    <m/>
  </r>
  <r>
    <d v="2026-01-15T00:00:00"/>
    <x v="11"/>
    <x v="1"/>
    <s v="J-4643/25-26"/>
    <n v="10"/>
    <m/>
  </r>
  <r>
    <d v="2026-01-15T00:00:00"/>
    <x v="1206"/>
    <x v="1"/>
    <s v="J-4644/25-26"/>
    <n v="1618"/>
    <m/>
  </r>
  <r>
    <d v="2026-01-15T00:00:00"/>
    <x v="225"/>
    <x v="1"/>
    <s v="J-4645/25-26"/>
    <n v="1783"/>
    <m/>
  </r>
  <r>
    <d v="2026-01-15T00:00:00"/>
    <x v="1151"/>
    <x v="1"/>
    <s v="J-4646/25-26"/>
    <n v="4692"/>
    <m/>
  </r>
  <r>
    <d v="2026-01-15T00:00:00"/>
    <x v="248"/>
    <x v="1"/>
    <s v="J-4647/25-26"/>
    <n v="11803"/>
    <m/>
  </r>
  <r>
    <d v="2026-01-15T00:00:00"/>
    <x v="1239"/>
    <x v="1"/>
    <s v="J-4648/25-26"/>
    <n v="3063"/>
    <m/>
  </r>
  <r>
    <d v="2026-01-15T00:00:00"/>
    <x v="89"/>
    <x v="1"/>
    <s v="J-4649/25-26"/>
    <n v="1280"/>
    <m/>
  </r>
  <r>
    <d v="2026-01-15T00:00:00"/>
    <x v="4"/>
    <x v="1"/>
    <s v="J-4650/25-26"/>
    <n v="1864"/>
    <m/>
  </r>
  <r>
    <d v="2026-01-15T00:00:00"/>
    <x v="47"/>
    <x v="1"/>
    <s v="J-4651/25-26"/>
    <n v="6840"/>
    <m/>
  </r>
  <r>
    <d v="2026-01-15T00:00:00"/>
    <x v="1258"/>
    <x v="1"/>
    <s v="J-4652/25-26"/>
    <n v="4512"/>
    <m/>
  </r>
  <r>
    <d v="2026-01-15T00:00:00"/>
    <x v="1259"/>
    <x v="1"/>
    <s v="J-4653/25-26"/>
    <n v="140"/>
    <m/>
  </r>
  <r>
    <d v="2026-01-16T00:00:00"/>
    <x v="1249"/>
    <x v="0"/>
    <s v="JU-749/25-26"/>
    <n v="1795"/>
    <m/>
  </r>
  <r>
    <d v="2026-01-16T00:00:00"/>
    <x v="1255"/>
    <x v="0"/>
    <s v="JU-750/25-26"/>
    <n v="480"/>
    <m/>
  </r>
  <r>
    <d v="2026-01-16T00:00:00"/>
    <x v="1257"/>
    <x v="1"/>
    <s v="J-4654/25-26"/>
    <n v="6200"/>
    <m/>
  </r>
  <r>
    <d v="2026-01-16T00:00:00"/>
    <x v="1251"/>
    <x v="1"/>
    <s v="J-4655/25-26"/>
    <n v="3061"/>
    <m/>
  </r>
  <r>
    <d v="2026-01-16T00:00:00"/>
    <x v="1034"/>
    <x v="1"/>
    <s v="J-4656/25-26"/>
    <n v="108407"/>
    <m/>
  </r>
  <r>
    <d v="2026-01-16T00:00:00"/>
    <x v="990"/>
    <x v="1"/>
    <s v="J-4657/25-26"/>
    <n v="320"/>
    <m/>
  </r>
  <r>
    <d v="2026-01-16T00:00:00"/>
    <x v="23"/>
    <x v="1"/>
    <s v="J-4658/25-26"/>
    <n v="711"/>
    <m/>
  </r>
  <r>
    <d v="2026-01-16T00:00:00"/>
    <x v="1260"/>
    <x v="1"/>
    <s v="J-4659/25-26"/>
    <n v="9000"/>
    <m/>
  </r>
  <r>
    <d v="2026-01-16T00:00:00"/>
    <x v="868"/>
    <x v="1"/>
    <s v="J-4660/25-26"/>
    <n v="640"/>
    <m/>
  </r>
  <r>
    <d v="2026-01-16T00:00:00"/>
    <x v="89"/>
    <x v="1"/>
    <s v="J-4661/25-26"/>
    <n v="320"/>
    <m/>
  </r>
  <r>
    <d v="2026-01-16T00:00:00"/>
    <x v="1256"/>
    <x v="1"/>
    <s v="J-4662/25-26"/>
    <n v="620"/>
    <m/>
  </r>
  <r>
    <d v="2026-01-16T00:00:00"/>
    <x v="23"/>
    <x v="1"/>
    <s v="J-4663/25-26"/>
    <n v="1513"/>
    <m/>
  </r>
  <r>
    <d v="2026-01-16T00:00:00"/>
    <x v="163"/>
    <x v="1"/>
    <s v="J-4664/25-26"/>
    <n v="481"/>
    <m/>
  </r>
  <r>
    <d v="2026-01-16T00:00:00"/>
    <x v="1261"/>
    <x v="1"/>
    <s v="J-4665/25-26"/>
    <n v="16543"/>
    <m/>
  </r>
  <r>
    <d v="2026-01-16T00:00:00"/>
    <x v="23"/>
    <x v="1"/>
    <s v="J-4666/25-26"/>
    <n v="11275"/>
    <m/>
  </r>
  <r>
    <d v="2026-01-16T00:00:00"/>
    <x v="115"/>
    <x v="1"/>
    <s v="J-4667/25-26"/>
    <n v="5720"/>
    <m/>
  </r>
  <r>
    <d v="2026-01-16T00:00:00"/>
    <x v="247"/>
    <x v="1"/>
    <s v="J-4668/25-26"/>
    <n v="17783"/>
    <m/>
  </r>
  <r>
    <d v="2026-01-16T00:00:00"/>
    <x v="1206"/>
    <x v="1"/>
    <s v="J-4669/25-26"/>
    <n v="1150"/>
    <m/>
  </r>
  <r>
    <d v="2026-01-16T00:00:00"/>
    <x v="1262"/>
    <x v="1"/>
    <s v="J-4670/25-26"/>
    <n v="4103"/>
    <m/>
  </r>
  <r>
    <d v="2026-01-16T00:00:00"/>
    <x v="47"/>
    <x v="1"/>
    <s v="J-4671/25-26"/>
    <n v="5713"/>
    <m/>
  </r>
  <r>
    <d v="2026-01-16T00:00:00"/>
    <x v="1263"/>
    <x v="1"/>
    <s v="J-4672/25-26"/>
    <n v="320"/>
    <m/>
  </r>
  <r>
    <d v="2026-01-16T00:00:00"/>
    <x v="1222"/>
    <x v="1"/>
    <s v="J-4673/25-26"/>
    <n v="1073"/>
    <m/>
  </r>
  <r>
    <d v="2026-01-16T00:00:00"/>
    <x v="1264"/>
    <x v="1"/>
    <s v="J-4674/25-26"/>
    <n v="320"/>
    <m/>
  </r>
  <r>
    <d v="2026-01-16T00:00:00"/>
    <x v="67"/>
    <x v="1"/>
    <s v="J-4675/25-26"/>
    <n v="4424"/>
    <m/>
  </r>
  <r>
    <d v="2026-01-16T00:00:00"/>
    <x v="556"/>
    <x v="1"/>
    <s v="J-4676/25-26"/>
    <n v="22646"/>
    <m/>
  </r>
  <r>
    <d v="2026-01-16T00:00:00"/>
    <x v="1230"/>
    <x v="1"/>
    <s v="J-4677/25-26"/>
    <n v="1298"/>
    <m/>
  </r>
  <r>
    <d v="2026-01-16T00:00:00"/>
    <x v="8"/>
    <x v="1"/>
    <s v="J-4678/25-26"/>
    <n v="93564"/>
    <m/>
  </r>
  <r>
    <d v="2026-01-16T00:00:00"/>
    <x v="8"/>
    <x v="1"/>
    <s v="J-4679/25-26"/>
    <n v="270"/>
    <m/>
  </r>
  <r>
    <d v="2026-01-16T00:00:00"/>
    <x v="23"/>
    <x v="1"/>
    <s v="J-4680/25-26"/>
    <n v="4004"/>
    <m/>
  </r>
  <r>
    <d v="2026-01-16T00:00:00"/>
    <x v="20"/>
    <x v="1"/>
    <s v="J-4681/25-26"/>
    <n v="6667"/>
    <m/>
  </r>
  <r>
    <d v="2026-01-16T00:00:00"/>
    <x v="567"/>
    <x v="1"/>
    <s v="J-4682/25-26"/>
    <n v="1657"/>
    <m/>
  </r>
  <r>
    <d v="2026-01-16T00:00:00"/>
    <x v="1206"/>
    <x v="1"/>
    <s v="J-4683/25-26"/>
    <n v="2319"/>
    <m/>
  </r>
  <r>
    <d v="2026-01-16T00:00:00"/>
    <x v="630"/>
    <x v="1"/>
    <s v="J-4684/25-26"/>
    <n v="2847"/>
    <m/>
  </r>
  <r>
    <d v="2026-01-16T00:00:00"/>
    <x v="11"/>
    <x v="1"/>
    <s v="J-4685/25-26"/>
    <n v="18"/>
    <m/>
  </r>
  <r>
    <d v="2026-01-17T00:00:00"/>
    <x v="1265"/>
    <x v="0"/>
    <s v="JU-751/25-26"/>
    <n v="1280"/>
    <m/>
  </r>
  <r>
    <d v="2026-01-17T00:00:00"/>
    <x v="1254"/>
    <x v="0"/>
    <s v="JU-752/25-26"/>
    <n v="460"/>
    <m/>
  </r>
  <r>
    <d v="2026-01-17T00:00:00"/>
    <x v="64"/>
    <x v="0"/>
    <s v="JU-753/25-26"/>
    <n v="32000"/>
    <m/>
  </r>
  <r>
    <d v="2026-01-17T00:00:00"/>
    <x v="20"/>
    <x v="1"/>
    <s v="J-4686/25-26"/>
    <n v="300"/>
    <m/>
  </r>
  <r>
    <d v="2026-01-17T00:00:00"/>
    <x v="255"/>
    <x v="1"/>
    <s v="J-4687/25-26"/>
    <n v="3336"/>
    <m/>
  </r>
  <r>
    <d v="2026-01-17T00:00:00"/>
    <x v="117"/>
    <x v="1"/>
    <s v="J-4688/25-26"/>
    <n v="460"/>
    <m/>
  </r>
  <r>
    <d v="2026-01-17T00:00:00"/>
    <x v="266"/>
    <x v="1"/>
    <s v="J-4689/25-26"/>
    <n v="6400"/>
    <m/>
  </r>
  <r>
    <d v="2026-01-17T00:00:00"/>
    <x v="1266"/>
    <x v="1"/>
    <s v="J-4690/25-26"/>
    <n v="21433"/>
    <m/>
  </r>
  <r>
    <d v="2026-01-17T00:00:00"/>
    <x v="8"/>
    <x v="1"/>
    <s v="J-4691/25-26"/>
    <n v="859"/>
    <m/>
  </r>
  <r>
    <d v="2026-01-17T00:00:00"/>
    <x v="1261"/>
    <x v="1"/>
    <s v="J-4692/25-26"/>
    <n v="18790"/>
    <m/>
  </r>
  <r>
    <d v="2026-01-17T00:00:00"/>
    <x v="1267"/>
    <x v="1"/>
    <s v="J-4693/25-26"/>
    <n v="866"/>
    <m/>
  </r>
  <r>
    <d v="2026-01-17T00:00:00"/>
    <x v="48"/>
    <x v="1"/>
    <s v="J-4694/25-26"/>
    <n v="60"/>
    <m/>
  </r>
  <r>
    <d v="2026-01-17T00:00:00"/>
    <x v="4"/>
    <x v="1"/>
    <s v="J-4695/25-26"/>
    <n v="2137"/>
    <m/>
  </r>
  <r>
    <d v="2026-01-17T00:00:00"/>
    <x v="84"/>
    <x v="1"/>
    <s v="J-4696/25-26"/>
    <n v="2655"/>
    <m/>
  </r>
  <r>
    <d v="2026-01-17T00:00:00"/>
    <x v="11"/>
    <x v="1"/>
    <s v="J-4697/25-26"/>
    <n v="20"/>
    <m/>
  </r>
  <r>
    <d v="2026-01-17T00:00:00"/>
    <x v="245"/>
    <x v="1"/>
    <s v="J-4698/25-26"/>
    <n v="3150"/>
    <m/>
  </r>
  <r>
    <d v="2026-01-17T00:00:00"/>
    <x v="1223"/>
    <x v="1"/>
    <s v="J-4699/25-26"/>
    <n v="1600"/>
    <m/>
  </r>
  <r>
    <d v="2026-01-17T00:00:00"/>
    <x v="960"/>
    <x v="1"/>
    <s v="J-4700/25-26"/>
    <n v="1834"/>
    <m/>
  </r>
  <r>
    <d v="2026-01-17T00:00:00"/>
    <x v="1268"/>
    <x v="1"/>
    <s v="J-4701/25-26"/>
    <n v="1833"/>
    <m/>
  </r>
  <r>
    <d v="2026-01-17T00:00:00"/>
    <x v="10"/>
    <x v="1"/>
    <s v="J-4702/25-26"/>
    <n v="28520"/>
    <m/>
  </r>
  <r>
    <d v="2026-01-17T00:00:00"/>
    <x v="1191"/>
    <x v="1"/>
    <s v="J-4703/25-26"/>
    <n v="640"/>
    <m/>
  </r>
  <r>
    <d v="2026-01-17T00:00:00"/>
    <x v="1261"/>
    <x v="1"/>
    <s v="J-4704/25-26"/>
    <n v="260"/>
    <m/>
  </r>
  <r>
    <d v="2026-01-19T00:00:00"/>
    <x v="1269"/>
    <x v="0"/>
    <s v="JU-754/25-26"/>
    <n v="15500"/>
    <m/>
  </r>
  <r>
    <d v="2026-01-19T00:00:00"/>
    <x v="571"/>
    <x v="0"/>
    <s v="JU-755/25-26"/>
    <n v="30587"/>
    <m/>
  </r>
  <r>
    <d v="2026-01-19T00:00:00"/>
    <x v="1270"/>
    <x v="0"/>
    <s v="JU-756/25-26"/>
    <n v="6360"/>
    <m/>
  </r>
  <r>
    <d v="2026-01-19T00:00:00"/>
    <x v="1269"/>
    <x v="0"/>
    <s v="JU-757/25-26"/>
    <n v="109342"/>
    <m/>
  </r>
  <r>
    <d v="2026-01-19T00:00:00"/>
    <x v="617"/>
    <x v="0"/>
    <s v="JU-758/25-26"/>
    <n v="3298"/>
    <m/>
  </r>
  <r>
    <d v="2026-01-19T00:00:00"/>
    <x v="1271"/>
    <x v="0"/>
    <s v="JU-759/25-26"/>
    <n v="22186"/>
    <m/>
  </r>
  <r>
    <d v="2026-01-19T00:00:00"/>
    <x v="32"/>
    <x v="0"/>
    <s v="JU-760/25-26"/>
    <n v="442"/>
    <m/>
  </r>
  <r>
    <d v="2026-01-19T00:00:00"/>
    <x v="11"/>
    <x v="1"/>
    <s v="J-4705/25-26"/>
    <n v="30"/>
    <m/>
  </r>
  <r>
    <d v="2026-01-19T00:00:00"/>
    <x v="23"/>
    <x v="1"/>
    <s v="J-4706/25-26"/>
    <n v="640"/>
    <m/>
  </r>
  <r>
    <d v="2026-01-19T00:00:00"/>
    <x v="852"/>
    <x v="1"/>
    <s v="J-4707/25-26"/>
    <n v="57526"/>
    <m/>
  </r>
  <r>
    <d v="2026-01-19T00:00:00"/>
    <x v="227"/>
    <x v="1"/>
    <s v="J-4708/25-26"/>
    <n v="16002"/>
    <m/>
  </r>
  <r>
    <d v="2026-01-19T00:00:00"/>
    <x v="11"/>
    <x v="1"/>
    <s v="J-4709/25-26"/>
    <n v="20"/>
    <m/>
  </r>
  <r>
    <d v="2026-01-19T00:00:00"/>
    <x v="1272"/>
    <x v="1"/>
    <s v="J-4710/25-26"/>
    <n v="3016"/>
    <m/>
  </r>
  <r>
    <d v="2026-01-19T00:00:00"/>
    <x v="1225"/>
    <x v="1"/>
    <s v="J-4711/25-26"/>
    <n v="1317"/>
    <m/>
  </r>
  <r>
    <d v="2026-01-19T00:00:00"/>
    <x v="297"/>
    <x v="1"/>
    <s v="J-4712/25-26"/>
    <n v="3100"/>
    <m/>
  </r>
  <r>
    <d v="2026-01-19T00:00:00"/>
    <x v="325"/>
    <x v="1"/>
    <s v="J-4713/25-26"/>
    <n v="48344"/>
    <m/>
  </r>
  <r>
    <d v="2026-01-19T00:00:00"/>
    <x v="11"/>
    <x v="1"/>
    <s v="J-4714/25-26"/>
    <n v="20"/>
    <m/>
  </r>
  <r>
    <d v="2026-01-19T00:00:00"/>
    <x v="10"/>
    <x v="1"/>
    <s v="J-4715/25-26"/>
    <n v="33102"/>
    <m/>
  </r>
  <r>
    <d v="2026-01-19T00:00:00"/>
    <x v="1273"/>
    <x v="1"/>
    <s v="J-4716/25-26"/>
    <n v="30"/>
    <m/>
  </r>
  <r>
    <d v="2026-01-19T00:00:00"/>
    <x v="11"/>
    <x v="1"/>
    <s v="J-4717/25-26"/>
    <n v="1650"/>
    <m/>
  </r>
  <r>
    <d v="2026-01-19T00:00:00"/>
    <x v="11"/>
    <x v="1"/>
    <s v="J-4718/25-26"/>
    <n v="12"/>
    <m/>
  </r>
  <r>
    <d v="2026-01-19T00:00:00"/>
    <x v="904"/>
    <x v="1"/>
    <s v="J-4719/25-26"/>
    <n v="960"/>
    <m/>
  </r>
  <r>
    <d v="2026-01-19T00:00:00"/>
    <x v="1274"/>
    <x v="1"/>
    <s v="J-4720/25-26"/>
    <n v="5883"/>
    <m/>
  </r>
  <r>
    <d v="2026-01-19T00:00:00"/>
    <x v="11"/>
    <x v="1"/>
    <s v="J-4721/25-26"/>
    <n v="200"/>
    <m/>
  </r>
  <r>
    <d v="2026-01-19T00:00:00"/>
    <x v="637"/>
    <x v="1"/>
    <s v="J-4722/25-26"/>
    <n v="250"/>
    <m/>
  </r>
  <r>
    <d v="2026-01-19T00:00:00"/>
    <x v="11"/>
    <x v="1"/>
    <s v="J-4723/25-26"/>
    <n v="320"/>
    <m/>
  </r>
  <r>
    <d v="2026-01-19T00:00:00"/>
    <x v="1251"/>
    <x v="1"/>
    <s v="J-4724/25-26"/>
    <n v="2911"/>
    <m/>
  </r>
  <r>
    <d v="2026-01-19T00:00:00"/>
    <x v="199"/>
    <x v="1"/>
    <s v="J-4725/25-26"/>
    <n v="10695"/>
    <m/>
  </r>
  <r>
    <d v="2026-01-20T00:00:00"/>
    <x v="1240"/>
    <x v="0"/>
    <s v="JU-761/25-26"/>
    <n v="12048"/>
    <m/>
  </r>
  <r>
    <d v="2026-01-20T00:00:00"/>
    <x v="869"/>
    <x v="1"/>
    <s v="J-4726/25-26"/>
    <n v="4738"/>
    <m/>
  </r>
  <r>
    <d v="2026-01-20T00:00:00"/>
    <x v="241"/>
    <x v="1"/>
    <s v="J-4727/25-26"/>
    <n v="8000"/>
    <m/>
  </r>
  <r>
    <d v="2026-01-20T00:00:00"/>
    <x v="104"/>
    <x v="1"/>
    <s v="J-4728/25-26"/>
    <n v="365"/>
    <m/>
  </r>
  <r>
    <d v="2026-01-20T00:00:00"/>
    <x v="115"/>
    <x v="1"/>
    <s v="J-4729/25-26"/>
    <n v="4032"/>
    <m/>
  </r>
  <r>
    <d v="2026-01-20T00:00:00"/>
    <x v="8"/>
    <x v="1"/>
    <s v="J-4730/25-26"/>
    <n v="184"/>
    <m/>
  </r>
  <r>
    <d v="2026-01-20T00:00:00"/>
    <x v="88"/>
    <x v="1"/>
    <s v="J-4731/25-26"/>
    <n v="2160"/>
    <m/>
  </r>
  <r>
    <d v="2026-01-20T00:00:00"/>
    <x v="9"/>
    <x v="1"/>
    <s v="J-4732/25-26"/>
    <n v="1535"/>
    <m/>
  </r>
  <r>
    <d v="2026-01-20T00:00:00"/>
    <x v="1275"/>
    <x v="1"/>
    <s v="J-4733/25-26"/>
    <n v="1020"/>
    <m/>
  </r>
  <r>
    <d v="2026-01-20T00:00:00"/>
    <x v="245"/>
    <x v="1"/>
    <s v="J-4734/25-26"/>
    <n v="3200"/>
    <m/>
  </r>
  <r>
    <d v="2026-01-20T00:00:00"/>
    <x v="225"/>
    <x v="1"/>
    <s v="J-4735/25-26"/>
    <n v="16383"/>
    <m/>
  </r>
  <r>
    <d v="2026-01-20T00:00:00"/>
    <x v="4"/>
    <x v="1"/>
    <s v="J-4736/25-26"/>
    <n v="1457"/>
    <m/>
  </r>
  <r>
    <d v="2026-01-20T00:00:00"/>
    <x v="11"/>
    <x v="1"/>
    <s v="J-4737/25-26"/>
    <n v="1100"/>
    <m/>
  </r>
  <r>
    <d v="2026-01-20T00:00:00"/>
    <x v="89"/>
    <x v="1"/>
    <s v="J-4738/25-26"/>
    <n v="1280"/>
    <m/>
  </r>
  <r>
    <d v="2026-01-21T00:00:00"/>
    <x v="179"/>
    <x v="0"/>
    <s v="JU-762/25-26"/>
    <n v="320"/>
    <m/>
  </r>
  <r>
    <d v="2026-01-21T00:00:00"/>
    <x v="333"/>
    <x v="1"/>
    <s v="J-4739/25-26"/>
    <n v="5580"/>
    <m/>
  </r>
  <r>
    <d v="2026-01-21T00:00:00"/>
    <x v="28"/>
    <x v="1"/>
    <s v="J-4740/25-26"/>
    <n v="1600"/>
    <m/>
  </r>
  <r>
    <d v="2026-01-21T00:00:00"/>
    <x v="11"/>
    <x v="1"/>
    <s v="J-4741/25-26"/>
    <n v="2680"/>
    <m/>
  </r>
  <r>
    <d v="2026-01-21T00:00:00"/>
    <x v="79"/>
    <x v="1"/>
    <s v="J-4742/25-26"/>
    <n v="640"/>
    <m/>
  </r>
  <r>
    <d v="2026-01-21T00:00:00"/>
    <x v="47"/>
    <x v="1"/>
    <s v="J-4743/25-26"/>
    <n v="94"/>
    <m/>
  </r>
  <r>
    <d v="2026-01-21T00:00:00"/>
    <x v="1238"/>
    <x v="1"/>
    <s v="J-4744/25-26"/>
    <n v="16510"/>
    <m/>
  </r>
  <r>
    <d v="2026-01-21T00:00:00"/>
    <x v="4"/>
    <x v="1"/>
    <s v="J-4745/25-26"/>
    <n v="4426"/>
    <m/>
  </r>
  <r>
    <d v="2026-01-21T00:00:00"/>
    <x v="1274"/>
    <x v="1"/>
    <s v="J-4746/25-26"/>
    <n v="2840"/>
    <m/>
  </r>
  <r>
    <d v="2026-01-21T00:00:00"/>
    <x v="11"/>
    <x v="1"/>
    <s v="J-4747/25-26"/>
    <n v="10"/>
    <m/>
  </r>
  <r>
    <d v="2026-01-21T00:00:00"/>
    <x v="1247"/>
    <x v="1"/>
    <s v="J-4748/25-26"/>
    <n v="10700"/>
    <m/>
  </r>
  <r>
    <d v="2026-01-21T00:00:00"/>
    <x v="1276"/>
    <x v="1"/>
    <s v="J-4749/25-26"/>
    <n v="1200"/>
    <m/>
  </r>
  <r>
    <d v="2026-01-21T00:00:00"/>
    <x v="108"/>
    <x v="1"/>
    <s v="J-4750/25-26"/>
    <n v="92184"/>
    <m/>
  </r>
  <r>
    <d v="2026-01-21T00:00:00"/>
    <x v="384"/>
    <x v="1"/>
    <s v="J-4751/25-26"/>
    <n v="2095"/>
    <m/>
  </r>
  <r>
    <d v="2026-01-21T00:00:00"/>
    <x v="224"/>
    <x v="1"/>
    <s v="J-4752/25-26"/>
    <n v="22760"/>
    <m/>
  </r>
  <r>
    <d v="2026-01-21T00:00:00"/>
    <x v="1277"/>
    <x v="1"/>
    <s v="J-4753/25-26"/>
    <n v="110"/>
    <m/>
  </r>
  <r>
    <d v="2026-01-21T00:00:00"/>
    <x v="184"/>
    <x v="1"/>
    <s v="J-4754/25-26"/>
    <n v="11564"/>
    <m/>
  </r>
  <r>
    <d v="2026-01-21T00:00:00"/>
    <x v="227"/>
    <x v="1"/>
    <s v="J-4755/25-26"/>
    <n v="4306"/>
    <m/>
  </r>
  <r>
    <d v="2026-01-21T00:00:00"/>
    <x v="1225"/>
    <x v="1"/>
    <s v="J-4756/25-26"/>
    <n v="960"/>
    <m/>
  </r>
  <r>
    <d v="2026-01-21T00:00:00"/>
    <x v="297"/>
    <x v="1"/>
    <s v="J-4757/25-26"/>
    <n v="4650"/>
    <m/>
  </r>
  <r>
    <d v="2026-01-21T00:00:00"/>
    <x v="1278"/>
    <x v="1"/>
    <s v="J-4758/25-26"/>
    <n v="920"/>
    <m/>
  </r>
  <r>
    <d v="2026-01-21T00:00:00"/>
    <x v="1206"/>
    <x v="1"/>
    <s v="J-4759/25-26"/>
    <n v="31105"/>
    <m/>
  </r>
  <r>
    <d v="2026-01-21T00:00:00"/>
    <x v="630"/>
    <x v="1"/>
    <s v="J-4760/25-26"/>
    <n v="1840"/>
    <m/>
  </r>
  <r>
    <d v="2026-01-22T00:00:00"/>
    <x v="1279"/>
    <x v="0"/>
    <s v="JU-763/25-26"/>
    <n v="7532"/>
    <m/>
  </r>
  <r>
    <d v="2026-01-22T00:00:00"/>
    <x v="1280"/>
    <x v="0"/>
    <s v="JU-764/25-26"/>
    <n v="1920"/>
    <m/>
  </r>
  <r>
    <d v="2026-01-22T00:00:00"/>
    <x v="604"/>
    <x v="0"/>
    <s v="JU-765/25-26"/>
    <n v="9600"/>
    <m/>
  </r>
  <r>
    <d v="2026-01-22T00:00:00"/>
    <x v="1281"/>
    <x v="0"/>
    <s v="JU-766/25-26"/>
    <n v="10876"/>
    <m/>
  </r>
  <r>
    <d v="2026-01-22T00:00:00"/>
    <x v="1281"/>
    <x v="0"/>
    <s v="JU-767/25-26"/>
    <n v="1513"/>
    <m/>
  </r>
  <r>
    <d v="2026-01-22T00:00:00"/>
    <x v="1204"/>
    <x v="1"/>
    <s v="J-4761/25-26"/>
    <n v="640"/>
    <m/>
  </r>
  <r>
    <d v="2026-01-22T00:00:00"/>
    <x v="71"/>
    <x v="1"/>
    <s v="J-4762/25-26"/>
    <n v="640"/>
    <m/>
  </r>
  <r>
    <d v="2026-01-22T00:00:00"/>
    <x v="11"/>
    <x v="1"/>
    <s v="J-4763/25-26"/>
    <n v="640"/>
    <m/>
  </r>
  <r>
    <d v="2026-01-22T00:00:00"/>
    <x v="11"/>
    <x v="1"/>
    <s v="J-4764/25-26"/>
    <n v="20"/>
    <m/>
  </r>
  <r>
    <d v="2026-01-22T00:00:00"/>
    <x v="1282"/>
    <x v="1"/>
    <s v="J-4765/25-26"/>
    <n v="5200"/>
    <m/>
  </r>
  <r>
    <d v="2026-01-22T00:00:00"/>
    <x v="115"/>
    <x v="1"/>
    <s v="J-4766/25-26"/>
    <n v="10585"/>
    <m/>
  </r>
  <r>
    <d v="2026-01-22T00:00:00"/>
    <x v="995"/>
    <x v="1"/>
    <s v="J-4767/25-26"/>
    <n v="1600"/>
    <m/>
  </r>
  <r>
    <d v="2026-01-22T00:00:00"/>
    <x v="1283"/>
    <x v="1"/>
    <s v="J-4768/25-26"/>
    <n v="5503"/>
    <m/>
  </r>
  <r>
    <d v="2026-01-22T00:00:00"/>
    <x v="1284"/>
    <x v="1"/>
    <s v="J-4769/25-26"/>
    <n v="100"/>
    <m/>
  </r>
  <r>
    <d v="2026-01-22T00:00:00"/>
    <x v="1285"/>
    <x v="1"/>
    <s v="J-4770/25-26"/>
    <n v="8707"/>
    <m/>
  </r>
  <r>
    <d v="2026-01-22T00:00:00"/>
    <x v="1285"/>
    <x v="1"/>
    <s v="J-4771/25-26"/>
    <n v="357"/>
    <m/>
  </r>
  <r>
    <d v="2026-01-22T00:00:00"/>
    <x v="325"/>
    <x v="1"/>
    <s v="J-4772/25-26"/>
    <n v="43790"/>
    <m/>
  </r>
  <r>
    <d v="2026-01-22T00:00:00"/>
    <x v="1206"/>
    <x v="1"/>
    <s v="J-4773/25-26"/>
    <n v="9164"/>
    <m/>
  </r>
  <r>
    <d v="2026-01-22T00:00:00"/>
    <x v="140"/>
    <x v="1"/>
    <s v="J-4774/25-26"/>
    <n v="78135"/>
    <m/>
  </r>
  <r>
    <d v="2026-01-22T00:00:00"/>
    <x v="313"/>
    <x v="1"/>
    <s v="J-4775/25-26"/>
    <n v="1600"/>
    <m/>
  </r>
  <r>
    <d v="2026-01-22T00:00:00"/>
    <x v="227"/>
    <x v="1"/>
    <s v="J-4776/25-26"/>
    <n v="180"/>
    <m/>
  </r>
  <r>
    <d v="2026-01-22T00:00:00"/>
    <x v="8"/>
    <x v="1"/>
    <s v="J-4777/25-26"/>
    <n v="1443"/>
    <m/>
  </r>
  <r>
    <d v="2026-01-22T00:00:00"/>
    <x v="1021"/>
    <x v="1"/>
    <s v="J-4778/25-26"/>
    <n v="200"/>
    <m/>
  </r>
  <r>
    <d v="2026-01-23T00:00:00"/>
    <x v="1269"/>
    <x v="0"/>
    <s v="JU-768/25-26"/>
    <n v="1335"/>
    <m/>
  </r>
  <r>
    <d v="2026-01-23T00:00:00"/>
    <x v="1286"/>
    <x v="0"/>
    <s v="JU-769/25-26"/>
    <n v="10024"/>
    <m/>
  </r>
  <r>
    <d v="2026-01-23T00:00:00"/>
    <x v="23"/>
    <x v="1"/>
    <s v="J-4779/25-26"/>
    <n v="1600"/>
    <m/>
  </r>
  <r>
    <d v="2026-01-23T00:00:00"/>
    <x v="11"/>
    <x v="1"/>
    <s v="J-4780/25-26"/>
    <n v="320"/>
    <m/>
  </r>
  <r>
    <d v="2026-01-23T00:00:00"/>
    <x v="11"/>
    <x v="1"/>
    <s v="J-4781/25-26"/>
    <n v="20"/>
    <m/>
  </r>
  <r>
    <d v="2026-01-23T00:00:00"/>
    <x v="245"/>
    <x v="1"/>
    <s v="J-4782/25-26"/>
    <n v="6400"/>
    <m/>
  </r>
  <r>
    <d v="2026-01-23T00:00:00"/>
    <x v="247"/>
    <x v="1"/>
    <s v="J-4783/25-26"/>
    <n v="4165"/>
    <m/>
  </r>
  <r>
    <d v="2026-01-23T00:00:00"/>
    <x v="11"/>
    <x v="1"/>
    <s v="J-4784/25-26"/>
    <n v="375"/>
    <m/>
  </r>
  <r>
    <d v="2026-01-23T00:00:00"/>
    <x v="794"/>
    <x v="1"/>
    <s v="J-4785/25-26"/>
    <n v="6214"/>
    <m/>
  </r>
  <r>
    <d v="2026-01-23T00:00:00"/>
    <x v="89"/>
    <x v="1"/>
    <s v="J-4786/25-26"/>
    <n v="1600"/>
    <m/>
  </r>
  <r>
    <d v="2026-01-23T00:00:00"/>
    <x v="1287"/>
    <x v="1"/>
    <s v="J-4787/25-26"/>
    <n v="42791"/>
    <m/>
  </r>
  <r>
    <d v="2026-01-23T00:00:00"/>
    <x v="11"/>
    <x v="1"/>
    <s v="J-4788/25-26"/>
    <n v="302"/>
    <m/>
  </r>
  <r>
    <d v="2026-01-23T00:00:00"/>
    <x v="163"/>
    <x v="1"/>
    <s v="J-4789/25-26"/>
    <n v="4776"/>
    <m/>
  </r>
  <r>
    <d v="2026-01-23T00:00:00"/>
    <x v="398"/>
    <x v="1"/>
    <s v="J-4790/25-26"/>
    <n v="1230"/>
    <m/>
  </r>
  <r>
    <d v="2026-01-23T00:00:00"/>
    <x v="678"/>
    <x v="1"/>
    <s v="J-4791/25-26"/>
    <n v="3246"/>
    <m/>
  </r>
  <r>
    <d v="2026-01-23T00:00:00"/>
    <x v="858"/>
    <x v="1"/>
    <s v="J-4792/25-26"/>
    <n v="47715"/>
    <m/>
  </r>
  <r>
    <d v="2026-01-23T00:00:00"/>
    <x v="173"/>
    <x v="1"/>
    <s v="J-4793/25-26"/>
    <n v="1905"/>
    <m/>
  </r>
  <r>
    <d v="2026-01-23T00:00:00"/>
    <x v="1288"/>
    <x v="1"/>
    <s v="J-4794/25-26"/>
    <n v="770"/>
    <m/>
  </r>
  <r>
    <d v="2026-01-23T00:00:00"/>
    <x v="1247"/>
    <x v="1"/>
    <s v="J-4795/25-26"/>
    <n v="4646"/>
    <m/>
  </r>
  <r>
    <d v="2026-01-23T00:00:00"/>
    <x v="174"/>
    <x v="1"/>
    <s v="J-4796/25-26"/>
    <n v="110"/>
    <m/>
  </r>
  <r>
    <d v="2026-01-23T00:00:00"/>
    <x v="1289"/>
    <x v="1"/>
    <s v="J-4797/25-26"/>
    <n v="385"/>
    <m/>
  </r>
  <r>
    <d v="2026-01-24T00:00:00"/>
    <x v="342"/>
    <x v="0"/>
    <s v="JU-770/25-26"/>
    <n v="769"/>
    <m/>
  </r>
  <r>
    <d v="2026-01-24T00:00:00"/>
    <x v="1269"/>
    <x v="0"/>
    <s v="JU-771/25-26"/>
    <n v="440"/>
    <m/>
  </r>
  <r>
    <d v="2026-01-24T00:00:00"/>
    <x v="1240"/>
    <x v="0"/>
    <s v="JU-772/25-26"/>
    <n v="7134"/>
    <m/>
  </r>
  <r>
    <d v="2026-01-24T00:00:00"/>
    <x v="1240"/>
    <x v="0"/>
    <s v="JU-773/25-26"/>
    <n v="4012"/>
    <m/>
  </r>
  <r>
    <d v="2026-01-24T00:00:00"/>
    <x v="1221"/>
    <x v="0"/>
    <s v="JU-774/25-26"/>
    <n v="1513"/>
    <m/>
  </r>
  <r>
    <d v="2026-01-24T00:00:00"/>
    <x v="313"/>
    <x v="1"/>
    <s v="J-4798/25-26"/>
    <n v="2000"/>
    <m/>
  </r>
  <r>
    <d v="2026-01-24T00:00:00"/>
    <x v="1290"/>
    <x v="1"/>
    <s v="J-4799/25-26"/>
    <n v="50"/>
    <m/>
  </r>
  <r>
    <d v="2026-01-24T00:00:00"/>
    <x v="11"/>
    <x v="1"/>
    <s v="J-4800/25-26"/>
    <n v="320"/>
    <m/>
  </r>
  <r>
    <d v="2026-01-24T00:00:00"/>
    <x v="231"/>
    <x v="1"/>
    <s v="J-4801/25-26"/>
    <n v="2220"/>
    <m/>
  </r>
  <r>
    <d v="2026-01-24T00:00:00"/>
    <x v="225"/>
    <x v="1"/>
    <s v="J-4802/25-26"/>
    <n v="8430"/>
    <m/>
  </r>
  <r>
    <d v="2026-01-24T00:00:00"/>
    <x v="297"/>
    <x v="1"/>
    <s v="J-4803/25-26"/>
    <n v="3100"/>
    <m/>
  </r>
  <r>
    <d v="2026-01-24T00:00:00"/>
    <x v="1225"/>
    <x v="1"/>
    <s v="J-4804/25-26"/>
    <n v="20783"/>
    <m/>
  </r>
  <r>
    <d v="2026-01-24T00:00:00"/>
    <x v="1260"/>
    <x v="1"/>
    <s v="J-4805/25-26"/>
    <n v="3720"/>
    <m/>
  </r>
  <r>
    <d v="2026-01-24T00:00:00"/>
    <x v="589"/>
    <x v="1"/>
    <s v="J-4806/25-26"/>
    <n v="2433"/>
    <m/>
  </r>
  <r>
    <d v="2026-01-24T00:00:00"/>
    <x v="325"/>
    <x v="1"/>
    <s v="J-4807/25-26"/>
    <n v="1266"/>
    <m/>
  </r>
  <r>
    <d v="2026-01-24T00:00:00"/>
    <x v="618"/>
    <x v="1"/>
    <s v="J-4808/25-26"/>
    <n v="585"/>
    <m/>
  </r>
  <r>
    <d v="2026-01-24T00:00:00"/>
    <x v="34"/>
    <x v="1"/>
    <s v="J-4809/25-26"/>
    <n v="770"/>
    <m/>
  </r>
  <r>
    <d v="2026-01-24T00:00:00"/>
    <x v="637"/>
    <x v="1"/>
    <s v="J-4810/25-26"/>
    <n v="1398"/>
    <m/>
  </r>
  <r>
    <d v="2026-01-24T00:00:00"/>
    <x v="8"/>
    <x v="1"/>
    <s v="J-4811/25-26"/>
    <n v="2717"/>
    <m/>
  </r>
  <r>
    <d v="2026-01-24T00:00:00"/>
    <x v="686"/>
    <x v="1"/>
    <s v="J-4812/25-26"/>
    <n v="6100"/>
    <m/>
  </r>
  <r>
    <d v="2026-01-24T00:00:00"/>
    <x v="11"/>
    <x v="1"/>
    <s v="J-4813/25-26"/>
    <n v="598"/>
    <m/>
  </r>
  <r>
    <d v="2026-01-24T00:00:00"/>
    <x v="248"/>
    <x v="1"/>
    <s v="J-4814/25-26"/>
    <n v="2553"/>
    <m/>
  </r>
  <r>
    <d v="2026-01-24T00:00:00"/>
    <x v="11"/>
    <x v="1"/>
    <s v="J-4815/25-26"/>
    <n v="250"/>
    <m/>
  </r>
  <r>
    <d v="2026-01-24T00:00:00"/>
    <x v="11"/>
    <x v="1"/>
    <s v="J-4816/25-26"/>
    <n v="30"/>
    <m/>
  </r>
  <r>
    <d v="2026-01-24T00:00:00"/>
    <x v="1001"/>
    <x v="1"/>
    <s v="J-4817/25-26"/>
    <n v="640"/>
    <m/>
  </r>
  <r>
    <d v="2026-01-24T00:00:00"/>
    <x v="1291"/>
    <x v="1"/>
    <s v="J-4818/25-26"/>
    <n v="225"/>
    <m/>
  </r>
  <r>
    <d v="2026-01-24T00:00:00"/>
    <x v="193"/>
    <x v="1"/>
    <s v="J-4819/25-26"/>
    <n v="563"/>
    <m/>
  </r>
  <r>
    <d v="2026-01-24T00:00:00"/>
    <x v="1082"/>
    <x v="1"/>
    <s v="J-4820/25-26"/>
    <n v="3205"/>
    <m/>
  </r>
  <r>
    <d v="2026-01-24T00:00:00"/>
    <x v="1225"/>
    <x v="1"/>
    <s v="J-4821/25-26"/>
    <n v="12796"/>
    <m/>
  </r>
  <r>
    <d v="2026-01-24T00:00:00"/>
    <x v="1292"/>
    <x v="1"/>
    <s v="J-4822/25-26"/>
    <n v="20804"/>
    <m/>
  </r>
  <r>
    <d v="2026-01-24T00:00:00"/>
    <x v="231"/>
    <x v="1"/>
    <s v="J-4823/25-26"/>
    <n v="320"/>
    <m/>
  </r>
  <r>
    <d v="2026-01-24T00:00:00"/>
    <x v="11"/>
    <x v="1"/>
    <s v="J-4824/25-26"/>
    <n v="20"/>
    <m/>
  </r>
  <r>
    <d v="2026-01-24T00:00:00"/>
    <x v="1293"/>
    <x v="1"/>
    <s v="J-4825/25-26"/>
    <n v="4392"/>
    <m/>
  </r>
  <r>
    <d v="2026-01-24T00:00:00"/>
    <x v="23"/>
    <x v="1"/>
    <s v="J-4826/25-26"/>
    <n v="10778"/>
    <m/>
  </r>
  <r>
    <d v="2026-01-24T00:00:00"/>
    <x v="23"/>
    <x v="1"/>
    <s v="J-4827/25-26"/>
    <n v="170"/>
    <m/>
  </r>
  <r>
    <d v="2026-01-24T00:00:00"/>
    <x v="1294"/>
    <x v="1"/>
    <s v="J-4828/25-26"/>
    <n v="1486"/>
    <m/>
  </r>
  <r>
    <d v="2026-01-24T00:00:00"/>
    <x v="173"/>
    <x v="1"/>
    <s v="J-4829/25-26"/>
    <n v="2306"/>
    <m/>
  </r>
  <r>
    <d v="2026-01-24T00:00:00"/>
    <x v="370"/>
    <x v="1"/>
    <s v="J-4830/25-26"/>
    <n v="26679"/>
    <m/>
  </r>
  <r>
    <d v="2026-01-24T00:00:00"/>
    <x v="533"/>
    <x v="1"/>
    <s v="J-4831/25-26"/>
    <n v="18041"/>
    <m/>
  </r>
  <r>
    <d v="2026-01-24T00:00:00"/>
    <x v="11"/>
    <x v="1"/>
    <s v="J-4832/25-26"/>
    <n v="12"/>
    <m/>
  </r>
  <r>
    <d v="2026-01-24T00:00:00"/>
    <x v="1295"/>
    <x v="1"/>
    <s v="J-4833/25-26"/>
    <n v="520"/>
    <m/>
  </r>
  <r>
    <d v="2026-01-26T00:00:00"/>
    <x v="1286"/>
    <x v="0"/>
    <s v="JU-775/25-26"/>
    <n v="1612"/>
    <m/>
  </r>
  <r>
    <d v="2026-01-26T00:00:00"/>
    <x v="1245"/>
    <x v="0"/>
    <s v="JU-776/25-26"/>
    <n v="18607"/>
    <m/>
  </r>
  <r>
    <d v="2026-01-26T00:00:00"/>
    <x v="11"/>
    <x v="1"/>
    <s v="J-4834/25-26"/>
    <n v="960"/>
    <m/>
  </r>
  <r>
    <d v="2026-01-26T00:00:00"/>
    <x v="1284"/>
    <x v="1"/>
    <s v="J-4835/25-26"/>
    <n v="1280"/>
    <m/>
  </r>
  <r>
    <d v="2026-01-26T00:00:00"/>
    <x v="666"/>
    <x v="1"/>
    <s v="J-4836/25-26"/>
    <n v="3436"/>
    <m/>
  </r>
  <r>
    <d v="2026-01-26T00:00:00"/>
    <x v="533"/>
    <x v="1"/>
    <s v="J-4837/25-26"/>
    <n v="4835"/>
    <m/>
  </r>
  <r>
    <d v="2026-01-26T00:00:00"/>
    <x v="1296"/>
    <x v="1"/>
    <s v="J-4838/25-26"/>
    <n v="22344"/>
    <m/>
  </r>
  <r>
    <d v="2026-01-26T00:00:00"/>
    <x v="1297"/>
    <x v="1"/>
    <s v="J-4839/25-26"/>
    <n v="2280"/>
    <m/>
  </r>
  <r>
    <d v="2026-01-26T00:00:00"/>
    <x v="1298"/>
    <x v="1"/>
    <s v="J-4840/25-26"/>
    <n v="338"/>
    <m/>
  </r>
  <r>
    <d v="2026-01-26T00:00:00"/>
    <x v="20"/>
    <x v="1"/>
    <s v="J-4841/25-26"/>
    <n v="450"/>
    <m/>
  </r>
  <r>
    <d v="2026-01-26T00:00:00"/>
    <x v="1001"/>
    <x v="1"/>
    <s v="J-4842/25-26"/>
    <n v="320"/>
    <m/>
  </r>
  <r>
    <d v="2026-01-26T00:00:00"/>
    <x v="1016"/>
    <x v="1"/>
    <s v="J-4843/25-26"/>
    <n v="5092"/>
    <m/>
  </r>
  <r>
    <d v="2026-01-26T00:00:00"/>
    <x v="4"/>
    <x v="1"/>
    <s v="J-4844/25-26"/>
    <n v="33653"/>
    <m/>
  </r>
  <r>
    <d v="2026-01-26T00:00:00"/>
    <x v="1207"/>
    <x v="1"/>
    <s v="J-4845/25-26"/>
    <n v="29446"/>
    <m/>
  </r>
  <r>
    <d v="2026-01-26T00:00:00"/>
    <x v="1298"/>
    <x v="1"/>
    <s v="J-4846/25-26"/>
    <n v="610"/>
    <m/>
  </r>
  <r>
    <d v="2026-01-26T00:00:00"/>
    <x v="297"/>
    <x v="1"/>
    <s v="J-4847/25-26"/>
    <n v="640"/>
    <m/>
  </r>
  <r>
    <d v="2026-01-26T00:00:00"/>
    <x v="1299"/>
    <x v="1"/>
    <s v="J-4848/25-26"/>
    <n v="640"/>
    <m/>
  </r>
  <r>
    <d v="2026-01-27T00:00:00"/>
    <x v="77"/>
    <x v="0"/>
    <s v="JU-777/25-26"/>
    <n v="5706"/>
    <m/>
  </r>
  <r>
    <d v="2026-01-27T00:00:00"/>
    <x v="11"/>
    <x v="1"/>
    <s v="J-4849/25-26"/>
    <n v="350"/>
    <m/>
  </r>
  <r>
    <d v="2026-01-27T00:00:00"/>
    <x v="887"/>
    <x v="1"/>
    <s v="J-4850/25-26"/>
    <n v="640"/>
    <m/>
  </r>
  <r>
    <d v="2026-01-27T00:00:00"/>
    <x v="556"/>
    <x v="1"/>
    <s v="J-4851/25-26"/>
    <n v="6620"/>
    <m/>
  </r>
  <r>
    <d v="2026-01-27T00:00:00"/>
    <x v="11"/>
    <x v="1"/>
    <s v="J-4852/25-26"/>
    <n v="20"/>
    <m/>
  </r>
  <r>
    <d v="2026-01-27T00:00:00"/>
    <x v="533"/>
    <x v="1"/>
    <s v="J-4853/25-26"/>
    <n v="8850"/>
    <m/>
  </r>
  <r>
    <d v="2026-01-27T00:00:00"/>
    <x v="8"/>
    <x v="1"/>
    <s v="J-4854/25-26"/>
    <n v="3160"/>
    <m/>
  </r>
  <r>
    <d v="2026-01-27T00:00:00"/>
    <x v="900"/>
    <x v="1"/>
    <s v="J-4855/25-26"/>
    <n v="4805"/>
    <m/>
  </r>
  <r>
    <d v="2026-01-27T00:00:00"/>
    <x v="1300"/>
    <x v="1"/>
    <s v="J-4856/25-26"/>
    <n v="240"/>
    <m/>
  </r>
  <r>
    <d v="2026-01-27T00:00:00"/>
    <x v="1301"/>
    <x v="1"/>
    <s v="J-4857/25-26"/>
    <n v="4424"/>
    <m/>
  </r>
  <r>
    <d v="2026-01-27T00:00:00"/>
    <x v="297"/>
    <x v="1"/>
    <s v="J-4858/25-26"/>
    <n v="4650"/>
    <m/>
  </r>
  <r>
    <d v="2026-01-27T00:00:00"/>
    <x v="11"/>
    <x v="1"/>
    <s v="J-4859/25-26"/>
    <n v="850"/>
    <m/>
  </r>
  <r>
    <d v="2026-01-28T00:00:00"/>
    <x v="179"/>
    <x v="0"/>
    <s v="JU-778/25-26"/>
    <n v="1600"/>
    <m/>
  </r>
  <r>
    <d v="2026-01-28T00:00:00"/>
    <x v="571"/>
    <x v="0"/>
    <s v="JU-779/25-26"/>
    <n v="58294"/>
    <m/>
  </r>
  <r>
    <d v="2026-01-28T00:00:00"/>
    <x v="52"/>
    <x v="0"/>
    <s v="JU-780/25-26"/>
    <n v="136172"/>
    <m/>
  </r>
  <r>
    <d v="2026-01-28T00:00:00"/>
    <x v="1302"/>
    <x v="0"/>
    <s v="JU-781/25-26"/>
    <n v="985"/>
    <m/>
  </r>
  <r>
    <d v="2026-01-28T00:00:00"/>
    <x v="1300"/>
    <x v="1"/>
    <s v="J-4860/25-26"/>
    <n v="6400"/>
    <m/>
  </r>
  <r>
    <d v="2026-01-28T00:00:00"/>
    <x v="84"/>
    <x v="1"/>
    <s v="J-4861/25-26"/>
    <n v="460"/>
    <m/>
  </r>
  <r>
    <d v="2026-01-28T00:00:00"/>
    <x v="23"/>
    <x v="1"/>
    <s v="J-4862/25-26"/>
    <n v="700"/>
    <m/>
  </r>
  <r>
    <d v="2026-01-28T00:00:00"/>
    <x v="20"/>
    <x v="1"/>
    <s v="J-4863/25-26"/>
    <n v="6757"/>
    <m/>
  </r>
  <r>
    <d v="2026-01-28T00:00:00"/>
    <x v="1019"/>
    <x v="1"/>
    <s v="J-4864/25-26"/>
    <n v="13764"/>
    <m/>
  </r>
  <r>
    <d v="2026-01-28T00:00:00"/>
    <x v="19"/>
    <x v="1"/>
    <s v="J-4865/25-26"/>
    <n v="90"/>
    <m/>
  </r>
  <r>
    <d v="2026-01-28T00:00:00"/>
    <x v="67"/>
    <x v="1"/>
    <s v="J-4866/25-26"/>
    <n v="5140"/>
    <m/>
  </r>
  <r>
    <d v="2026-01-28T00:00:00"/>
    <x v="297"/>
    <x v="1"/>
    <s v="J-4867/25-26"/>
    <n v="310"/>
    <m/>
  </r>
  <r>
    <d v="2026-01-28T00:00:00"/>
    <x v="89"/>
    <x v="1"/>
    <s v="J-4868/25-26"/>
    <n v="4063"/>
    <m/>
  </r>
  <r>
    <d v="2026-01-28T00:00:00"/>
    <x v="8"/>
    <x v="1"/>
    <s v="J-4869/25-26"/>
    <n v="1374"/>
    <m/>
  </r>
  <r>
    <d v="2026-01-28T00:00:00"/>
    <x v="255"/>
    <x v="1"/>
    <s v="J-4870/25-26"/>
    <n v="490"/>
    <m/>
  </r>
  <r>
    <d v="2026-01-28T00:00:00"/>
    <x v="573"/>
    <x v="1"/>
    <s v="J-4871/25-26"/>
    <n v="770"/>
    <m/>
  </r>
  <r>
    <d v="2026-01-28T00:00:00"/>
    <x v="1303"/>
    <x v="1"/>
    <s v="J-4872/25-26"/>
    <n v="1411"/>
    <m/>
  </r>
  <r>
    <d v="2026-01-28T00:00:00"/>
    <x v="1016"/>
    <x v="1"/>
    <s v="J-4873/25-26"/>
    <n v="9836"/>
    <m/>
  </r>
  <r>
    <d v="2026-01-28T00:00:00"/>
    <x v="1304"/>
    <x v="1"/>
    <s v="J-4874/25-26"/>
    <n v="21635"/>
    <m/>
  </r>
  <r>
    <d v="2026-01-28T00:00:00"/>
    <x v="1305"/>
    <x v="1"/>
    <s v="J-4875/25-26"/>
    <n v="13634"/>
    <m/>
  </r>
  <r>
    <d v="2026-01-28T00:00:00"/>
    <x v="1306"/>
    <x v="1"/>
    <s v="J-4876/25-26"/>
    <n v="750"/>
    <m/>
  </r>
  <r>
    <d v="2026-01-28T00:00:00"/>
    <x v="1307"/>
    <x v="1"/>
    <s v="J-4877/25-26"/>
    <n v="50"/>
    <m/>
  </r>
  <r>
    <d v="2026-01-29T00:00:00"/>
    <x v="1269"/>
    <x v="0"/>
    <s v="JU-782/25-26"/>
    <n v="20150"/>
    <m/>
  </r>
  <r>
    <d v="2026-01-29T00:00:00"/>
    <x v="710"/>
    <x v="0"/>
    <s v="JU-783/25-26"/>
    <n v="960"/>
    <m/>
  </r>
  <r>
    <d v="2026-01-29T00:00:00"/>
    <x v="958"/>
    <x v="0"/>
    <s v="JU-784/25-26"/>
    <n v="6820"/>
    <m/>
  </r>
  <r>
    <d v="2026-01-29T00:00:00"/>
    <x v="11"/>
    <x v="1"/>
    <s v="J-4878/25-26"/>
    <n v="320"/>
    <m/>
  </r>
  <r>
    <d v="2026-01-29T00:00:00"/>
    <x v="266"/>
    <x v="1"/>
    <s v="J-4879/25-26"/>
    <n v="2200"/>
    <m/>
  </r>
  <r>
    <d v="2026-01-29T00:00:00"/>
    <x v="1308"/>
    <x v="1"/>
    <s v="J-4880/25-26"/>
    <n v="3106"/>
    <m/>
  </r>
  <r>
    <d v="2026-01-29T00:00:00"/>
    <x v="1067"/>
    <x v="1"/>
    <s v="J-4881/25-26"/>
    <n v="9394"/>
    <m/>
  </r>
  <r>
    <d v="2026-01-29T00:00:00"/>
    <x v="1206"/>
    <x v="1"/>
    <s v="J-4882/25-26"/>
    <n v="4800"/>
    <m/>
  </r>
  <r>
    <d v="2026-01-29T00:00:00"/>
    <x v="11"/>
    <x v="1"/>
    <s v="J-4883/25-26"/>
    <n v="1343"/>
    <m/>
  </r>
  <r>
    <d v="2026-01-29T00:00:00"/>
    <x v="1309"/>
    <x v="1"/>
    <s v="J-4884/25-26"/>
    <n v="12760"/>
    <m/>
  </r>
  <r>
    <d v="2026-01-29T00:00:00"/>
    <x v="255"/>
    <x v="1"/>
    <s v="J-4885/25-26"/>
    <n v="1777"/>
    <m/>
  </r>
  <r>
    <d v="2026-01-29T00:00:00"/>
    <x v="1019"/>
    <x v="1"/>
    <s v="J-4886/25-26"/>
    <n v="7860"/>
    <m/>
  </r>
  <r>
    <d v="2026-01-29T00:00:00"/>
    <x v="245"/>
    <x v="1"/>
    <s v="J-4887/25-26"/>
    <n v="6400"/>
    <m/>
  </r>
  <r>
    <d v="2026-01-29T00:00:00"/>
    <x v="20"/>
    <x v="1"/>
    <s v="J-4888/25-26"/>
    <n v="84"/>
    <m/>
  </r>
  <r>
    <d v="2026-01-29T00:00:00"/>
    <x v="1188"/>
    <x v="1"/>
    <s v="J-4889/25-26"/>
    <n v="9580"/>
    <m/>
  </r>
  <r>
    <d v="2026-01-29T00:00:00"/>
    <x v="1304"/>
    <x v="1"/>
    <s v="J-4890/25-26"/>
    <n v="1035"/>
    <m/>
  </r>
  <r>
    <d v="2026-01-29T00:00:00"/>
    <x v="1238"/>
    <x v="1"/>
    <s v="J-4891/25-26"/>
    <n v="1704"/>
    <m/>
  </r>
  <r>
    <d v="2026-01-29T00:00:00"/>
    <x v="717"/>
    <x v="1"/>
    <s v="J-4892/25-26"/>
    <n v="320"/>
    <m/>
  </r>
  <r>
    <d v="2026-01-29T00:00:00"/>
    <x v="1305"/>
    <x v="1"/>
    <s v="J-4893/25-26"/>
    <n v="960"/>
    <m/>
  </r>
  <r>
    <d v="2026-01-30T00:00:00"/>
    <x v="64"/>
    <x v="0"/>
    <s v="JU-785/25-26"/>
    <n v="17600"/>
    <m/>
  </r>
  <r>
    <d v="2026-01-30T00:00:00"/>
    <x v="1247"/>
    <x v="1"/>
    <s v="J-4894/25-26"/>
    <n v="20150"/>
    <m/>
  </r>
  <r>
    <d v="2026-01-30T00:00:00"/>
    <x v="11"/>
    <x v="1"/>
    <s v="J-4895/25-26"/>
    <n v="320"/>
    <m/>
  </r>
  <r>
    <d v="2026-01-30T00:00:00"/>
    <x v="23"/>
    <x v="1"/>
    <s v="J-4896/25-26"/>
    <n v="15083"/>
    <m/>
  </r>
  <r>
    <d v="2026-01-30T00:00:00"/>
    <x v="1206"/>
    <x v="1"/>
    <s v="J-4897/25-26"/>
    <n v="15482"/>
    <m/>
  </r>
  <r>
    <d v="2026-01-30T00:00:00"/>
    <x v="1118"/>
    <x v="1"/>
    <s v="J-4898/25-26"/>
    <n v="17300"/>
    <m/>
  </r>
  <r>
    <d v="2026-01-30T00:00:00"/>
    <x v="11"/>
    <x v="1"/>
    <s v="J-4899/25-26"/>
    <n v="320"/>
    <m/>
  </r>
  <r>
    <d v="2026-01-30T00:00:00"/>
    <x v="266"/>
    <x v="1"/>
    <s v="J-4900/25-26"/>
    <n v="6400"/>
    <m/>
  </r>
  <r>
    <d v="2026-01-30T00:00:00"/>
    <x v="11"/>
    <x v="1"/>
    <s v="J-4901/25-26"/>
    <n v="30"/>
    <m/>
  </r>
  <r>
    <d v="2026-01-30T00:00:00"/>
    <x v="794"/>
    <x v="1"/>
    <s v="J-4902/25-26"/>
    <n v="20263"/>
    <m/>
  </r>
  <r>
    <d v="2026-01-30T00:00:00"/>
    <x v="11"/>
    <x v="1"/>
    <s v="J-4903/25-26"/>
    <n v="30"/>
    <m/>
  </r>
  <r>
    <d v="2026-01-30T00:00:00"/>
    <x v="1260"/>
    <x v="1"/>
    <s v="J-4904/25-26"/>
    <n v="1600"/>
    <m/>
  </r>
  <r>
    <d v="2026-01-30T00:00:00"/>
    <x v="28"/>
    <x v="1"/>
    <s v="J-4905/25-26"/>
    <n v="640"/>
    <m/>
  </r>
  <r>
    <d v="2026-01-30T00:00:00"/>
    <x v="11"/>
    <x v="1"/>
    <s v="J-4906/25-26"/>
    <n v="320"/>
    <m/>
  </r>
  <r>
    <d v="2026-01-30T00:00:00"/>
    <x v="11"/>
    <x v="1"/>
    <s v="J-4907/25-26"/>
    <n v="320"/>
    <m/>
  </r>
  <r>
    <d v="2026-01-30T00:00:00"/>
    <x v="11"/>
    <x v="1"/>
    <s v="J-4908/25-26"/>
    <n v="320"/>
    <m/>
  </r>
  <r>
    <d v="2026-01-30T00:00:00"/>
    <x v="11"/>
    <x v="1"/>
    <s v="J-4909/25-26"/>
    <n v="520"/>
    <m/>
  </r>
  <r>
    <d v="2026-01-30T00:00:00"/>
    <x v="1247"/>
    <x v="1"/>
    <s v="J-4910/25-26"/>
    <n v="9300"/>
    <m/>
  </r>
  <r>
    <d v="2026-01-30T00:00:00"/>
    <x v="1206"/>
    <x v="1"/>
    <s v="J-4911/25-26"/>
    <n v="1371"/>
    <m/>
  </r>
  <r>
    <d v="2026-01-30T00:00:00"/>
    <x v="23"/>
    <x v="1"/>
    <s v="J-4912/25-26"/>
    <n v="7350"/>
    <m/>
  </r>
  <r>
    <d v="2026-01-30T00:00:00"/>
    <x v="11"/>
    <x v="1"/>
    <s v="J-4913/25-26"/>
    <n v="350"/>
    <m/>
  </r>
  <r>
    <d v="2026-01-30T00:00:00"/>
    <x v="1310"/>
    <x v="1"/>
    <s v="J-4914/25-26"/>
    <n v="10415"/>
    <m/>
  </r>
  <r>
    <d v="2026-01-30T00:00:00"/>
    <x v="1311"/>
    <x v="1"/>
    <s v="J-4915/25-26"/>
    <n v="160"/>
    <m/>
  </r>
  <r>
    <d v="2026-01-31T00:00:00"/>
    <x v="604"/>
    <x v="0"/>
    <s v="JU-786/25-26"/>
    <n v="410"/>
    <m/>
  </r>
  <r>
    <d v="2026-01-31T00:00:00"/>
    <x v="265"/>
    <x v="0"/>
    <s v="JU-787/25-26"/>
    <n v="7180"/>
    <m/>
  </r>
  <r>
    <d v="2026-01-31T00:00:00"/>
    <x v="1312"/>
    <x v="0"/>
    <s v="JU-788/25-26"/>
    <n v="17468"/>
    <m/>
  </r>
  <r>
    <d v="2026-01-31T00:00:00"/>
    <x v="1269"/>
    <x v="0"/>
    <s v="JU-789/25-26"/>
    <n v="97085"/>
    <m/>
  </r>
  <r>
    <d v="2026-01-31T00:00:00"/>
    <x v="11"/>
    <x v="1"/>
    <s v="J-4916/25-26"/>
    <n v="80"/>
    <m/>
  </r>
  <r>
    <d v="2026-01-31T00:00:00"/>
    <x v="868"/>
    <x v="1"/>
    <s v="J-4917/25-26"/>
    <n v="560"/>
    <m/>
  </r>
  <r>
    <d v="2026-01-31T00:00:00"/>
    <x v="11"/>
    <x v="1"/>
    <s v="J-4918/25-26"/>
    <n v="40"/>
    <m/>
  </r>
  <r>
    <d v="2026-01-31T00:00:00"/>
    <x v="11"/>
    <x v="1"/>
    <s v="J-4919/25-26"/>
    <n v="320"/>
    <m/>
  </r>
  <r>
    <d v="2026-01-31T00:00:00"/>
    <x v="904"/>
    <x v="1"/>
    <s v="J-4920/25-26"/>
    <n v="953"/>
    <m/>
  </r>
  <r>
    <d v="2026-01-31T00:00:00"/>
    <x v="666"/>
    <x v="1"/>
    <s v="J-4921/25-26"/>
    <n v="3100"/>
    <m/>
  </r>
  <r>
    <d v="2026-01-31T00:00:00"/>
    <x v="1170"/>
    <x v="1"/>
    <s v="J-4922/25-26"/>
    <n v="1600"/>
    <m/>
  </r>
  <r>
    <d v="2026-01-31T00:00:00"/>
    <x v="20"/>
    <x v="1"/>
    <s v="J-4923/25-26"/>
    <n v="2042"/>
    <m/>
  </r>
  <r>
    <d v="2026-01-31T00:00:00"/>
    <x v="1313"/>
    <x v="1"/>
    <s v="J-4924/25-26"/>
    <n v="4976"/>
    <m/>
  </r>
  <r>
    <d v="2026-01-31T00:00:00"/>
    <x v="11"/>
    <x v="1"/>
    <s v="J-4925/25-26"/>
    <n v="20"/>
    <m/>
  </r>
  <r>
    <d v="2026-01-31T00:00:00"/>
    <x v="1226"/>
    <x v="1"/>
    <s v="J-4926/25-26"/>
    <n v="6949"/>
    <m/>
  </r>
  <r>
    <d v="2026-01-31T00:00:00"/>
    <x v="11"/>
    <x v="1"/>
    <s v="J-4927/25-26"/>
    <n v="20"/>
    <m/>
  </r>
  <r>
    <d v="2026-01-31T00:00:00"/>
    <x v="1284"/>
    <x v="1"/>
    <s v="J-4928/25-26"/>
    <n v="640"/>
    <m/>
  </r>
  <r>
    <d v="2026-01-31T00:00:00"/>
    <x v="1282"/>
    <x v="1"/>
    <s v="J-4929/25-26"/>
    <n v="48885"/>
    <m/>
  </r>
  <r>
    <d v="2026-01-31T00:00:00"/>
    <x v="1164"/>
    <x v="1"/>
    <s v="J-4930/25-26"/>
    <n v="472"/>
    <m/>
  </r>
  <r>
    <d v="2026-01-31T00:00:00"/>
    <x v="556"/>
    <x v="1"/>
    <s v="J-4931/25-26"/>
    <n v="61290"/>
    <m/>
  </r>
  <r>
    <d v="2026-01-31T00:00:00"/>
    <x v="1282"/>
    <x v="1"/>
    <s v="J-4932/25-26"/>
    <n v="3675"/>
    <m/>
  </r>
  <r>
    <d v="2026-01-31T00:00:00"/>
    <x v="23"/>
    <x v="1"/>
    <s v="J-4933/25-26"/>
    <n v="2917"/>
    <m/>
  </r>
  <r>
    <d v="2026-01-31T00:00:00"/>
    <x v="997"/>
    <x v="1"/>
    <s v="J-4934/25-26"/>
    <n v="4228"/>
    <m/>
  </r>
  <r>
    <d v="2026-01-31T00:00:00"/>
    <x v="868"/>
    <x v="1"/>
    <s v="J-4935/25-26"/>
    <n v="101370"/>
    <m/>
  </r>
  <r>
    <d v="2026-01-31T00:00:00"/>
    <x v="1314"/>
    <x v="1"/>
    <s v="J-4936/25-26"/>
    <n v="1600"/>
    <m/>
  </r>
  <r>
    <d v="2026-01-31T00:00:00"/>
    <x v="1315"/>
    <x v="1"/>
    <s v="J-4937/25-26"/>
    <n v="8334"/>
    <m/>
  </r>
  <r>
    <d v="2026-01-31T00:00:00"/>
    <x v="1311"/>
    <x v="1"/>
    <s v="J-4938/25-26"/>
    <n v="160"/>
    <m/>
  </r>
  <r>
    <d v="2026-02-01T00:00:00"/>
    <x v="67"/>
    <x v="1"/>
    <s v="J-4939/25-26"/>
    <n v="2404"/>
    <m/>
  </r>
  <r>
    <d v="2026-02-02T00:00:00"/>
    <x v="604"/>
    <x v="0"/>
    <s v="JU-790/25-26"/>
    <n v="500"/>
    <m/>
  </r>
  <r>
    <d v="2026-02-02T00:00:00"/>
    <x v="305"/>
    <x v="0"/>
    <s v="JU-791/25-26"/>
    <n v="45405"/>
    <m/>
  </r>
  <r>
    <d v="2026-02-02T00:00:00"/>
    <x v="212"/>
    <x v="0"/>
    <s v="JU-792/25-26"/>
    <n v="12212"/>
    <m/>
  </r>
  <r>
    <d v="2026-02-02T00:00:00"/>
    <x v="1269"/>
    <x v="0"/>
    <s v="JU-793/25-26"/>
    <n v="9300"/>
    <m/>
  </r>
  <r>
    <d v="2026-02-02T00:00:00"/>
    <x v="1316"/>
    <x v="0"/>
    <s v="JU-794/25-26"/>
    <n v="45072"/>
    <m/>
  </r>
  <r>
    <d v="2026-02-02T00:00:00"/>
    <x v="333"/>
    <x v="1"/>
    <s v="J-4940/25-26"/>
    <n v="9400"/>
    <m/>
  </r>
  <r>
    <d v="2026-02-02T00:00:00"/>
    <x v="23"/>
    <x v="1"/>
    <s v="J-4941/25-26"/>
    <n v="12400"/>
    <m/>
  </r>
  <r>
    <d v="2026-02-02T00:00:00"/>
    <x v="140"/>
    <x v="1"/>
    <s v="J-4942/25-26"/>
    <n v="36823"/>
    <m/>
  </r>
  <r>
    <d v="2026-02-02T00:00:00"/>
    <x v="868"/>
    <x v="1"/>
    <s v="J-4943/25-26"/>
    <n v="756"/>
    <m/>
  </r>
  <r>
    <d v="2026-02-02T00:00:00"/>
    <x v="868"/>
    <x v="1"/>
    <s v="J-4944/25-26"/>
    <n v="45500"/>
    <m/>
  </r>
  <r>
    <d v="2026-02-02T00:00:00"/>
    <x v="1317"/>
    <x v="1"/>
    <s v="J-4945/25-26"/>
    <n v="3100"/>
    <m/>
  </r>
  <r>
    <d v="2026-02-02T00:00:00"/>
    <x v="106"/>
    <x v="1"/>
    <s v="J-4946/25-26"/>
    <n v="1910"/>
    <m/>
  </r>
  <r>
    <d v="2026-02-02T00:00:00"/>
    <x v="1282"/>
    <x v="1"/>
    <s v="J-4947/25-26"/>
    <n v="10500"/>
    <m/>
  </r>
  <r>
    <d v="2026-02-02T00:00:00"/>
    <x v="245"/>
    <x v="1"/>
    <s v="J-4948/25-26"/>
    <n v="9900"/>
    <m/>
  </r>
  <r>
    <d v="2026-02-02T00:00:00"/>
    <x v="333"/>
    <x v="1"/>
    <s v="J-4949/25-26"/>
    <n v="3100"/>
    <m/>
  </r>
  <r>
    <d v="2026-02-02T00:00:00"/>
    <x v="516"/>
    <x v="1"/>
    <s v="J-4950/25-26"/>
    <n v="12060"/>
    <m/>
  </r>
  <r>
    <d v="2026-02-02T00:00:00"/>
    <x v="1318"/>
    <x v="1"/>
    <s v="J-4951/25-26"/>
    <n v="6277"/>
    <m/>
  </r>
  <r>
    <d v="2026-02-02T00:00:00"/>
    <x v="1319"/>
    <x v="1"/>
    <s v="J-4952/25-26"/>
    <n v="3945"/>
    <m/>
  </r>
  <r>
    <d v="2026-02-02T00:00:00"/>
    <x v="67"/>
    <x v="1"/>
    <s v="J-4953/25-26"/>
    <n v="2394"/>
    <m/>
  </r>
  <r>
    <d v="2026-02-02T00:00:00"/>
    <x v="89"/>
    <x v="1"/>
    <s v="J-4954/25-26"/>
    <n v="960"/>
    <m/>
  </r>
  <r>
    <d v="2026-02-02T00:00:00"/>
    <x v="190"/>
    <x v="1"/>
    <s v="J-4955/25-26"/>
    <n v="1093"/>
    <m/>
  </r>
  <r>
    <d v="2026-02-02T00:00:00"/>
    <x v="858"/>
    <x v="1"/>
    <s v="J-4956/25-26"/>
    <n v="16843"/>
    <m/>
  </r>
  <r>
    <d v="2026-02-02T00:00:00"/>
    <x v="248"/>
    <x v="1"/>
    <s v="J-4957/25-26"/>
    <n v="10333"/>
    <m/>
  </r>
  <r>
    <d v="2026-02-02T00:00:00"/>
    <x v="1320"/>
    <x v="1"/>
    <s v="J-4958/25-26"/>
    <n v="8436"/>
    <m/>
  </r>
  <r>
    <d v="2026-02-02T00:00:00"/>
    <x v="1201"/>
    <x v="1"/>
    <s v="J-4959/25-26"/>
    <n v="21911"/>
    <m/>
  </r>
  <r>
    <d v="2026-02-02T00:00:00"/>
    <x v="1321"/>
    <x v="1"/>
    <s v="J-4960/25-26"/>
    <n v="83158"/>
    <m/>
  </r>
  <r>
    <d v="2026-02-02T00:00:00"/>
    <x v="1322"/>
    <x v="1"/>
    <s v="J-4961/25-26"/>
    <n v="4156"/>
    <m/>
  </r>
  <r>
    <d v="2026-02-03T00:00:00"/>
    <x v="179"/>
    <x v="0"/>
    <s v="JU-795/25-26"/>
    <n v="320"/>
    <m/>
  </r>
  <r>
    <d v="2026-02-03T00:00:00"/>
    <x v="439"/>
    <x v="0"/>
    <s v="JU-796/25-26"/>
    <n v="7774"/>
    <m/>
  </r>
  <r>
    <d v="2026-02-03T00:00:00"/>
    <x v="958"/>
    <x v="0"/>
    <s v="JU-797/25-26"/>
    <n v="7920"/>
    <m/>
  </r>
  <r>
    <d v="2026-02-03T00:00:00"/>
    <x v="1019"/>
    <x v="1"/>
    <s v="J-4962/25-26"/>
    <n v="1920"/>
    <m/>
  </r>
  <r>
    <d v="2026-02-03T00:00:00"/>
    <x v="1323"/>
    <x v="1"/>
    <s v="J-4963/25-26"/>
    <n v="320"/>
    <m/>
  </r>
  <r>
    <d v="2026-02-03T00:00:00"/>
    <x v="674"/>
    <x v="1"/>
    <s v="J-4964/25-26"/>
    <n v="320"/>
    <m/>
  </r>
  <r>
    <d v="2026-02-03T00:00:00"/>
    <x v="494"/>
    <x v="1"/>
    <s v="J-4965/25-26"/>
    <n v="14340"/>
    <m/>
  </r>
  <r>
    <d v="2026-02-03T00:00:00"/>
    <x v="564"/>
    <x v="1"/>
    <s v="J-4966/25-26"/>
    <n v="6200"/>
    <m/>
  </r>
  <r>
    <d v="2026-02-03T00:00:00"/>
    <x v="11"/>
    <x v="1"/>
    <s v="J-4967/25-26"/>
    <n v="640"/>
    <m/>
  </r>
  <r>
    <d v="2026-02-03T00:00:00"/>
    <x v="556"/>
    <x v="1"/>
    <s v="J-4968/25-26"/>
    <n v="3840"/>
    <m/>
  </r>
  <r>
    <d v="2026-02-03T00:00:00"/>
    <x v="89"/>
    <x v="1"/>
    <s v="J-4969/25-26"/>
    <n v="640"/>
    <m/>
  </r>
  <r>
    <d v="2026-02-03T00:00:00"/>
    <x v="533"/>
    <x v="1"/>
    <s v="J-4970/25-26"/>
    <n v="24922"/>
    <m/>
  </r>
  <r>
    <d v="2026-02-03T00:00:00"/>
    <x v="1118"/>
    <x v="1"/>
    <s v="J-4971/25-26"/>
    <n v="22530"/>
    <m/>
  </r>
  <r>
    <d v="2026-02-03T00:00:00"/>
    <x v="108"/>
    <x v="1"/>
    <s v="J-4972/25-26"/>
    <n v="4220"/>
    <m/>
  </r>
  <r>
    <d v="2026-02-03T00:00:00"/>
    <x v="1324"/>
    <x v="1"/>
    <s v="J-4973/25-26"/>
    <n v="7071"/>
    <m/>
  </r>
  <r>
    <d v="2026-02-03T00:00:00"/>
    <x v="868"/>
    <x v="1"/>
    <s v="J-4974/25-26"/>
    <n v="5244"/>
    <m/>
  </r>
  <r>
    <d v="2026-02-03T00:00:00"/>
    <x v="11"/>
    <x v="1"/>
    <s v="J-4975/25-26"/>
    <n v="320"/>
    <m/>
  </r>
  <r>
    <d v="2026-02-03T00:00:00"/>
    <x v="11"/>
    <x v="1"/>
    <s v="J-4976/25-26"/>
    <n v="352"/>
    <m/>
  </r>
  <r>
    <d v="2026-02-03T00:00:00"/>
    <x v="1325"/>
    <x v="1"/>
    <s v="J-4977/25-26"/>
    <n v="85126"/>
    <m/>
  </r>
  <r>
    <d v="2026-02-03T00:00:00"/>
    <x v="1326"/>
    <x v="1"/>
    <s v="J-4978/25-26"/>
    <n v="7360"/>
    <m/>
  </r>
  <r>
    <d v="2026-02-04T00:00:00"/>
    <x v="64"/>
    <x v="0"/>
    <s v="JU-798/25-26"/>
    <n v="32000"/>
    <m/>
  </r>
  <r>
    <d v="2026-02-04T00:00:00"/>
    <x v="1250"/>
    <x v="0"/>
    <s v="JU-799/25-26"/>
    <n v="45663"/>
    <m/>
  </r>
  <r>
    <d v="2026-02-04T00:00:00"/>
    <x v="1247"/>
    <x v="1"/>
    <s v="J-4979/25-26"/>
    <n v="15500"/>
    <m/>
  </r>
  <r>
    <d v="2026-02-04T00:00:00"/>
    <x v="118"/>
    <x v="1"/>
    <s v="J-4980/25-26"/>
    <n v="60"/>
    <m/>
  </r>
  <r>
    <d v="2026-02-04T00:00:00"/>
    <x v="11"/>
    <x v="1"/>
    <s v="J-4981/25-26"/>
    <n v="20"/>
    <m/>
  </r>
  <r>
    <d v="2026-02-04T00:00:00"/>
    <x v="20"/>
    <x v="1"/>
    <s v="J-4982/25-26"/>
    <n v="110"/>
    <m/>
  </r>
  <r>
    <d v="2026-02-04T00:00:00"/>
    <x v="1206"/>
    <x v="1"/>
    <s v="J-4983/25-26"/>
    <n v="9577"/>
    <m/>
  </r>
  <r>
    <d v="2026-02-04T00:00:00"/>
    <x v="1118"/>
    <x v="1"/>
    <s v="J-4984/25-26"/>
    <n v="10067"/>
    <m/>
  </r>
  <r>
    <d v="2026-02-04T00:00:00"/>
    <x v="1016"/>
    <x v="1"/>
    <s v="J-4985/25-26"/>
    <n v="6736"/>
    <m/>
  </r>
  <r>
    <d v="2026-02-04T00:00:00"/>
    <x v="11"/>
    <x v="1"/>
    <s v="J-4986/25-26"/>
    <n v="320"/>
    <m/>
  </r>
  <r>
    <d v="2026-02-04T00:00:00"/>
    <x v="11"/>
    <x v="1"/>
    <s v="J-4987/25-26"/>
    <n v="310"/>
    <m/>
  </r>
  <r>
    <d v="2026-02-04T00:00:00"/>
    <x v="11"/>
    <x v="1"/>
    <s v="J-4988/25-26"/>
    <n v="110"/>
    <m/>
  </r>
  <r>
    <d v="2026-02-04T00:00:00"/>
    <x v="1178"/>
    <x v="1"/>
    <s v="J-4989/25-26"/>
    <n v="1278"/>
    <m/>
  </r>
  <r>
    <d v="2026-02-04T00:00:00"/>
    <x v="573"/>
    <x v="1"/>
    <s v="J-4990/25-26"/>
    <n v="382"/>
    <m/>
  </r>
  <r>
    <d v="2026-02-04T00:00:00"/>
    <x v="23"/>
    <x v="1"/>
    <s v="J-4991/25-26"/>
    <n v="16840"/>
    <m/>
  </r>
  <r>
    <d v="2026-02-04T00:00:00"/>
    <x v="1304"/>
    <x v="1"/>
    <s v="J-4992/25-26"/>
    <n v="13691"/>
    <m/>
  </r>
  <r>
    <d v="2026-02-04T00:00:00"/>
    <x v="1290"/>
    <x v="1"/>
    <s v="J-4993/25-26"/>
    <n v="100"/>
    <m/>
  </r>
  <r>
    <d v="2026-02-04T00:00:00"/>
    <x v="245"/>
    <x v="1"/>
    <s v="J-4994/25-26"/>
    <n v="9900"/>
    <m/>
  </r>
  <r>
    <d v="2026-02-04T00:00:00"/>
    <x v="904"/>
    <x v="1"/>
    <s v="J-4995/25-26"/>
    <n v="1928"/>
    <m/>
  </r>
  <r>
    <d v="2026-02-04T00:00:00"/>
    <x v="248"/>
    <x v="1"/>
    <s v="J-4996/25-26"/>
    <n v="2088"/>
    <m/>
  </r>
  <r>
    <d v="2026-02-04T00:00:00"/>
    <x v="1327"/>
    <x v="1"/>
    <s v="J-4997/25-26"/>
    <n v="4090"/>
    <m/>
  </r>
  <r>
    <d v="2026-02-04T00:00:00"/>
    <x v="140"/>
    <x v="1"/>
    <s v="J-4998/25-26"/>
    <n v="904"/>
    <m/>
  </r>
  <r>
    <d v="2026-02-05T00:00:00"/>
    <x v="14"/>
    <x v="0"/>
    <s v="JU-800/25-26"/>
    <n v="2973"/>
    <m/>
  </r>
  <r>
    <d v="2026-02-05T00:00:00"/>
    <x v="1328"/>
    <x v="0"/>
    <s v="JU-801/25-26"/>
    <n v="15500"/>
    <m/>
  </r>
  <r>
    <d v="2026-02-05T00:00:00"/>
    <x v="1329"/>
    <x v="0"/>
    <s v="JU-802/25-26"/>
    <n v="9817"/>
    <m/>
  </r>
  <r>
    <d v="2026-02-05T00:00:00"/>
    <x v="604"/>
    <x v="0"/>
    <s v="JU-803/25-26"/>
    <n v="80"/>
    <m/>
  </r>
  <r>
    <d v="2026-02-05T00:00:00"/>
    <x v="14"/>
    <x v="0"/>
    <s v="JU-804/25-26"/>
    <n v="2973"/>
    <m/>
  </r>
  <r>
    <d v="2026-02-05T00:00:00"/>
    <x v="1330"/>
    <x v="0"/>
    <s v="JU-805/25-26"/>
    <n v="47422"/>
    <m/>
  </r>
  <r>
    <d v="2026-02-05T00:00:00"/>
    <x v="11"/>
    <x v="1"/>
    <s v="J-4999/25-26"/>
    <n v="320"/>
    <m/>
  </r>
  <r>
    <d v="2026-02-05T00:00:00"/>
    <x v="1206"/>
    <x v="1"/>
    <s v="J-5000/25-26"/>
    <n v="6348"/>
    <m/>
  </r>
  <r>
    <d v="2026-02-05T00:00:00"/>
    <x v="1147"/>
    <x v="1"/>
    <s v="J-5001/25-26"/>
    <n v="2680"/>
    <m/>
  </r>
  <r>
    <d v="2026-02-05T00:00:00"/>
    <x v="1206"/>
    <x v="1"/>
    <s v="J-5002/25-26"/>
    <n v="4800"/>
    <m/>
  </r>
  <r>
    <d v="2026-02-05T00:00:00"/>
    <x v="1331"/>
    <x v="1"/>
    <s v="J-5003/25-26"/>
    <n v="460"/>
    <m/>
  </r>
  <r>
    <d v="2026-02-05T00:00:00"/>
    <x v="45"/>
    <x v="1"/>
    <s v="J-5004/25-26"/>
    <n v="3652"/>
    <m/>
  </r>
  <r>
    <d v="2026-02-05T00:00:00"/>
    <x v="79"/>
    <x v="1"/>
    <s v="J-5005/25-26"/>
    <n v="1600"/>
    <m/>
  </r>
  <r>
    <d v="2026-02-05T00:00:00"/>
    <x v="781"/>
    <x v="1"/>
    <s v="J-5006/25-26"/>
    <n v="640"/>
    <m/>
  </r>
  <r>
    <d v="2026-02-05T00:00:00"/>
    <x v="67"/>
    <x v="1"/>
    <s v="J-5007/25-26"/>
    <n v="3200"/>
    <m/>
  </r>
  <r>
    <d v="2026-02-05T00:00:00"/>
    <x v="398"/>
    <x v="1"/>
    <s v="J-5008/25-26"/>
    <n v="1206"/>
    <m/>
  </r>
  <r>
    <d v="2026-02-05T00:00:00"/>
    <x v="1135"/>
    <x v="1"/>
    <s v="J-5009/25-26"/>
    <n v="77"/>
    <m/>
  </r>
  <r>
    <d v="2026-02-05T00:00:00"/>
    <x v="1206"/>
    <x v="1"/>
    <s v="J-5010/25-26"/>
    <n v="17394"/>
    <m/>
  </r>
  <r>
    <d v="2026-02-05T00:00:00"/>
    <x v="190"/>
    <x v="1"/>
    <s v="J-5011/25-26"/>
    <n v="454"/>
    <m/>
  </r>
  <r>
    <d v="2026-02-05T00:00:00"/>
    <x v="868"/>
    <x v="1"/>
    <s v="J-5012/25-26"/>
    <n v="7295"/>
    <m/>
  </r>
  <r>
    <d v="2026-02-05T00:00:00"/>
    <x v="89"/>
    <x v="1"/>
    <s v="J-5013/25-26"/>
    <n v="960"/>
    <m/>
  </r>
  <r>
    <d v="2026-02-05T00:00:00"/>
    <x v="1332"/>
    <x v="1"/>
    <s v="J-5014/25-26"/>
    <n v="310"/>
    <m/>
  </r>
  <r>
    <d v="2026-02-05T00:00:00"/>
    <x v="328"/>
    <x v="1"/>
    <s v="J-5015/25-26"/>
    <n v="6416"/>
    <m/>
  </r>
  <r>
    <d v="2026-02-05T00:00:00"/>
    <x v="556"/>
    <x v="1"/>
    <s v="J-5016/25-26"/>
    <n v="8128"/>
    <m/>
  </r>
  <r>
    <d v="2026-02-05T00:00:00"/>
    <x v="248"/>
    <x v="1"/>
    <s v="J-5017/25-26"/>
    <n v="547"/>
    <m/>
  </r>
  <r>
    <d v="2026-02-05T00:00:00"/>
    <x v="1305"/>
    <x v="1"/>
    <s v="J-5018/25-26"/>
    <n v="1280"/>
    <m/>
  </r>
  <r>
    <d v="2026-02-05T00:00:00"/>
    <x v="248"/>
    <x v="1"/>
    <s v="J-5019/25-26"/>
    <n v="22524"/>
    <m/>
  </r>
  <r>
    <d v="2026-02-05T00:00:00"/>
    <x v="84"/>
    <x v="1"/>
    <s v="J-5020/25-26"/>
    <n v="4056"/>
    <m/>
  </r>
  <r>
    <d v="2026-02-05T00:00:00"/>
    <x v="115"/>
    <x v="1"/>
    <s v="J-5021/25-26"/>
    <n v="6688"/>
    <m/>
  </r>
  <r>
    <d v="2026-02-05T00:00:00"/>
    <x v="108"/>
    <x v="1"/>
    <s v="J-5022/25-26"/>
    <n v="104341"/>
    <m/>
  </r>
  <r>
    <d v="2026-02-05T00:00:00"/>
    <x v="1333"/>
    <x v="1"/>
    <s v="J-5023/25-26"/>
    <n v="32606"/>
    <m/>
  </r>
  <r>
    <d v="2026-02-05T00:00:00"/>
    <x v="1334"/>
    <x v="1"/>
    <s v="J-5024/25-26"/>
    <n v="1771"/>
    <m/>
  </r>
  <r>
    <d v="2026-02-06T00:00:00"/>
    <x v="64"/>
    <x v="0"/>
    <s v="JU-806/25-26"/>
    <n v="4332"/>
    <m/>
  </r>
  <r>
    <d v="2026-02-06T00:00:00"/>
    <x v="958"/>
    <x v="0"/>
    <s v="JU-807/25-26"/>
    <n v="765"/>
    <m/>
  </r>
  <r>
    <d v="2026-02-06T00:00:00"/>
    <x v="32"/>
    <x v="0"/>
    <s v="JU-808/25-26"/>
    <n v="11040"/>
    <m/>
  </r>
  <r>
    <d v="2026-02-06T00:00:00"/>
    <x v="1335"/>
    <x v="1"/>
    <s v="J-5025/25-26"/>
    <n v="4160"/>
    <m/>
  </r>
  <r>
    <d v="2026-02-06T00:00:00"/>
    <x v="1300"/>
    <x v="1"/>
    <s v="J-5026/25-26"/>
    <n v="3200"/>
    <m/>
  </r>
  <r>
    <d v="2026-02-06T00:00:00"/>
    <x v="1151"/>
    <x v="1"/>
    <s v="J-5027/25-26"/>
    <n v="8370"/>
    <m/>
  </r>
  <r>
    <d v="2026-02-06T00:00:00"/>
    <x v="248"/>
    <x v="1"/>
    <s v="J-5028/25-26"/>
    <n v="160"/>
    <m/>
  </r>
  <r>
    <d v="2026-02-06T00:00:00"/>
    <x v="313"/>
    <x v="1"/>
    <s v="J-5029/25-26"/>
    <n v="3452"/>
    <m/>
  </r>
  <r>
    <d v="2026-02-06T00:00:00"/>
    <x v="1206"/>
    <x v="1"/>
    <s v="J-5030/25-26"/>
    <n v="435"/>
    <m/>
  </r>
  <r>
    <d v="2026-02-06T00:00:00"/>
    <x v="255"/>
    <x v="1"/>
    <s v="J-5031/25-26"/>
    <n v="1777"/>
    <m/>
  </r>
  <r>
    <d v="2026-02-06T00:00:00"/>
    <x v="295"/>
    <x v="1"/>
    <s v="J-5032/25-26"/>
    <n v="5886"/>
    <m/>
  </r>
  <r>
    <d v="2026-02-06T00:00:00"/>
    <x v="89"/>
    <x v="1"/>
    <s v="J-5033/25-26"/>
    <n v="1600"/>
    <m/>
  </r>
  <r>
    <d v="2026-02-06T00:00:00"/>
    <x v="1336"/>
    <x v="1"/>
    <s v="J-5034/25-26"/>
    <n v="320"/>
    <m/>
  </r>
  <r>
    <d v="2026-02-06T00:00:00"/>
    <x v="1282"/>
    <x v="1"/>
    <s v="J-5035/25-26"/>
    <n v="3500"/>
    <m/>
  </r>
  <r>
    <d v="2026-02-06T00:00:00"/>
    <x v="556"/>
    <x v="1"/>
    <s v="J-5036/25-26"/>
    <n v="76209"/>
    <m/>
  </r>
  <r>
    <d v="2026-02-06T00:00:00"/>
    <x v="11"/>
    <x v="1"/>
    <s v="J-5037/25-26"/>
    <n v="1600"/>
    <m/>
  </r>
  <r>
    <d v="2026-02-06T00:00:00"/>
    <x v="79"/>
    <x v="1"/>
    <s v="J-5038/25-26"/>
    <n v="3200"/>
    <m/>
  </r>
  <r>
    <d v="2026-02-06T00:00:00"/>
    <x v="266"/>
    <x v="1"/>
    <s v="J-5039/25-26"/>
    <n v="10978"/>
    <m/>
  </r>
  <r>
    <d v="2026-02-06T00:00:00"/>
    <x v="89"/>
    <x v="1"/>
    <s v="J-5040/25-26"/>
    <n v="320"/>
    <m/>
  </r>
  <r>
    <d v="2026-02-06T00:00:00"/>
    <x v="11"/>
    <x v="1"/>
    <s v="J-5041/25-26"/>
    <n v="5045"/>
    <m/>
  </r>
  <r>
    <d v="2026-02-06T00:00:00"/>
    <x v="11"/>
    <x v="1"/>
    <s v="J-5042/25-26"/>
    <n v="135"/>
    <m/>
  </r>
  <r>
    <d v="2026-02-06T00:00:00"/>
    <x v="84"/>
    <x v="1"/>
    <s v="J-5043/25-26"/>
    <n v="4235"/>
    <m/>
  </r>
  <r>
    <d v="2026-02-06T00:00:00"/>
    <x v="297"/>
    <x v="1"/>
    <s v="J-5044/25-26"/>
    <n v="15103"/>
    <m/>
  </r>
  <r>
    <d v="2026-02-06T00:00:00"/>
    <x v="556"/>
    <x v="1"/>
    <s v="J-5045/25-26"/>
    <n v="461"/>
    <m/>
  </r>
  <r>
    <d v="2026-02-06T00:00:00"/>
    <x v="1337"/>
    <x v="1"/>
    <s v="J-5046/25-26"/>
    <n v="4800"/>
    <m/>
  </r>
  <r>
    <d v="2026-02-06T00:00:00"/>
    <x v="11"/>
    <x v="1"/>
    <s v="J-5047/25-26"/>
    <n v="404"/>
    <m/>
  </r>
  <r>
    <d v="2026-02-07T00:00:00"/>
    <x v="1265"/>
    <x v="0"/>
    <s v="JU-809/25-26"/>
    <n v="1600"/>
    <m/>
  </r>
  <r>
    <d v="2026-02-07T00:00:00"/>
    <x v="604"/>
    <x v="0"/>
    <s v="JU-810/25-26"/>
    <n v="128"/>
    <m/>
  </r>
  <r>
    <d v="2026-02-07T00:00:00"/>
    <x v="306"/>
    <x v="0"/>
    <s v="JU-811/25-26"/>
    <n v="4435"/>
    <m/>
  </r>
  <r>
    <d v="2026-02-07T00:00:00"/>
    <x v="14"/>
    <x v="0"/>
    <s v="JU-812/25-26"/>
    <n v="1486"/>
    <m/>
  </r>
  <r>
    <d v="2026-02-07T00:00:00"/>
    <x v="1338"/>
    <x v="1"/>
    <s v="J-5048/25-26"/>
    <n v="11812"/>
    <m/>
  </r>
  <r>
    <d v="2026-02-07T00:00:00"/>
    <x v="1045"/>
    <x v="1"/>
    <s v="J-5049/25-26"/>
    <n v="3495"/>
    <m/>
  </r>
  <r>
    <d v="2026-02-07T00:00:00"/>
    <x v="1339"/>
    <x v="1"/>
    <s v="J-5050/25-26"/>
    <n v="300"/>
    <m/>
  </r>
  <r>
    <d v="2026-02-07T00:00:00"/>
    <x v="84"/>
    <x v="1"/>
    <s v="J-5051/25-26"/>
    <n v="1271"/>
    <m/>
  </r>
  <r>
    <d v="2026-02-07T00:00:00"/>
    <x v="23"/>
    <x v="1"/>
    <s v="J-5052/25-26"/>
    <n v="15853"/>
    <m/>
  </r>
  <r>
    <d v="2026-02-07T00:00:00"/>
    <x v="23"/>
    <x v="1"/>
    <s v="J-5053/25-26"/>
    <n v="375"/>
    <m/>
  </r>
  <r>
    <d v="2026-02-07T00:00:00"/>
    <x v="4"/>
    <x v="1"/>
    <s v="J-5054/25-26"/>
    <n v="18100"/>
    <m/>
  </r>
  <r>
    <d v="2026-02-07T00:00:00"/>
    <x v="313"/>
    <x v="1"/>
    <s v="J-5055/25-26"/>
    <n v="1203"/>
    <m/>
  </r>
  <r>
    <d v="2026-02-07T00:00:00"/>
    <x v="193"/>
    <x v="1"/>
    <s v="J-5056/25-26"/>
    <n v="2371"/>
    <m/>
  </r>
  <r>
    <d v="2026-02-07T00:00:00"/>
    <x v="1019"/>
    <x v="1"/>
    <s v="J-5057/25-26"/>
    <n v="640"/>
    <m/>
  </r>
  <r>
    <d v="2026-02-07T00:00:00"/>
    <x v="115"/>
    <x v="1"/>
    <s v="J-5058/25-26"/>
    <n v="975"/>
    <m/>
  </r>
  <r>
    <d v="2026-02-07T00:00:00"/>
    <x v="11"/>
    <x v="1"/>
    <s v="J-5059/25-26"/>
    <n v="18"/>
    <m/>
  </r>
  <r>
    <d v="2026-02-07T00:00:00"/>
    <x v="20"/>
    <x v="1"/>
    <s v="J-5060/25-26"/>
    <n v="4417"/>
    <m/>
  </r>
  <r>
    <d v="2026-02-07T00:00:00"/>
    <x v="1121"/>
    <x v="1"/>
    <s v="J-5061/25-26"/>
    <n v="120"/>
    <m/>
  </r>
  <r>
    <d v="2026-02-07T00:00:00"/>
    <x v="11"/>
    <x v="1"/>
    <s v="J-5062/25-26"/>
    <n v="8"/>
    <m/>
  </r>
  <r>
    <d v="2026-02-07T00:00:00"/>
    <x v="221"/>
    <x v="1"/>
    <s v="J-5063/25-26"/>
    <n v="7790"/>
    <m/>
  </r>
  <r>
    <d v="2026-02-07T00:00:00"/>
    <x v="108"/>
    <x v="1"/>
    <s v="J-5064/25-26"/>
    <n v="1552"/>
    <m/>
  </r>
  <r>
    <d v="2026-02-07T00:00:00"/>
    <x v="11"/>
    <x v="1"/>
    <s v="J-5065/25-26"/>
    <n v="3200"/>
    <m/>
  </r>
  <r>
    <d v="2026-02-07T00:00:00"/>
    <x v="225"/>
    <x v="1"/>
    <s v="J-5066/25-26"/>
    <n v="750"/>
    <m/>
  </r>
  <r>
    <d v="2026-02-07T00:00:00"/>
    <x v="23"/>
    <x v="1"/>
    <s v="J-5067/25-26"/>
    <n v="9600"/>
    <m/>
  </r>
  <r>
    <d v="2026-02-07T00:00:00"/>
    <x v="1340"/>
    <x v="1"/>
    <s v="J-5068/25-26"/>
    <n v="1184"/>
    <m/>
  </r>
  <r>
    <d v="2026-02-07T00:00:00"/>
    <x v="582"/>
    <x v="1"/>
    <s v="J-5069/25-26"/>
    <n v="954"/>
    <m/>
  </r>
  <r>
    <d v="2026-02-07T00:00:00"/>
    <x v="177"/>
    <x v="1"/>
    <s v="J-5070/25-26"/>
    <n v="21"/>
    <m/>
  </r>
  <r>
    <d v="2026-02-07T00:00:00"/>
    <x v="170"/>
    <x v="1"/>
    <s v="J-5071/25-26"/>
    <n v="2705"/>
    <m/>
  </r>
  <r>
    <d v="2026-02-07T00:00:00"/>
    <x v="1224"/>
    <x v="1"/>
    <s v="J-5072/25-26"/>
    <n v="4312"/>
    <m/>
  </r>
  <r>
    <d v="2026-02-07T00:00:00"/>
    <x v="248"/>
    <x v="1"/>
    <s v="J-5073/25-26"/>
    <n v="1078"/>
    <m/>
  </r>
  <r>
    <d v="2026-02-07T00:00:00"/>
    <x v="585"/>
    <x v="1"/>
    <s v="J-5074/25-26"/>
    <n v="76807"/>
    <m/>
  </r>
  <r>
    <d v="2026-02-07T00:00:00"/>
    <x v="556"/>
    <x v="1"/>
    <s v="J-5075/25-26"/>
    <n v="425"/>
    <m/>
  </r>
  <r>
    <d v="2026-02-07T00:00:00"/>
    <x v="999"/>
    <x v="1"/>
    <s v="J-5076/25-26"/>
    <n v="6400"/>
    <m/>
  </r>
  <r>
    <d v="2026-02-07T00:00:00"/>
    <x v="1333"/>
    <x v="1"/>
    <s v="J-5077/25-26"/>
    <n v="16554"/>
    <m/>
  </r>
  <r>
    <d v="2026-02-07T00:00:00"/>
    <x v="1147"/>
    <x v="1"/>
    <s v="J-5078/25-26"/>
    <n v="750"/>
    <m/>
  </r>
  <r>
    <d v="2026-02-07T00:00:00"/>
    <x v="20"/>
    <x v="1"/>
    <s v="J-5079/25-26"/>
    <n v="930"/>
    <m/>
  </r>
  <r>
    <d v="2026-02-09T00:00:00"/>
    <x v="604"/>
    <x v="0"/>
    <s v="JU-813/25-26"/>
    <n v="556"/>
    <m/>
  </r>
  <r>
    <d v="2026-02-09T00:00:00"/>
    <x v="604"/>
    <x v="0"/>
    <s v="JU-814/25-26"/>
    <n v="100"/>
    <m/>
  </r>
  <r>
    <d v="2026-02-09T00:00:00"/>
    <x v="689"/>
    <x v="0"/>
    <s v="JU-815/25-26"/>
    <n v="9300"/>
    <m/>
  </r>
  <r>
    <d v="2026-02-09T00:00:00"/>
    <x v="1329"/>
    <x v="0"/>
    <s v="JU-816/25-26"/>
    <n v="5264"/>
    <m/>
  </r>
  <r>
    <d v="2026-02-09T00:00:00"/>
    <x v="958"/>
    <x v="0"/>
    <s v="JU-817/25-26"/>
    <n v="6452"/>
    <m/>
  </r>
  <r>
    <d v="2026-02-09T00:00:00"/>
    <x v="604"/>
    <x v="0"/>
    <s v="JU-818/25-26"/>
    <n v="395"/>
    <m/>
  </r>
  <r>
    <d v="2026-02-09T00:00:00"/>
    <x v="306"/>
    <x v="0"/>
    <s v="JU-819/25-26"/>
    <n v="8402"/>
    <m/>
  </r>
  <r>
    <d v="2026-02-09T00:00:00"/>
    <x v="1126"/>
    <x v="0"/>
    <s v="JU-820/25-26"/>
    <n v="8427"/>
    <m/>
  </r>
  <r>
    <d v="2026-02-09T00:00:00"/>
    <x v="136"/>
    <x v="0"/>
    <s v="JU-821/25-26"/>
    <n v="30080"/>
    <m/>
  </r>
  <r>
    <d v="2026-02-09T00:00:00"/>
    <x v="1341"/>
    <x v="1"/>
    <s v="J-5080/25-26"/>
    <n v="5896"/>
    <m/>
  </r>
  <r>
    <d v="2026-02-09T00:00:00"/>
    <x v="1019"/>
    <x v="1"/>
    <s v="J-5081/25-26"/>
    <n v="1600"/>
    <m/>
  </r>
  <r>
    <d v="2026-02-09T00:00:00"/>
    <x v="11"/>
    <x v="1"/>
    <s v="J-5082/25-26"/>
    <n v="25"/>
    <m/>
  </r>
  <r>
    <d v="2026-02-09T00:00:00"/>
    <x v="231"/>
    <x v="1"/>
    <s v="J-5083/25-26"/>
    <n v="320"/>
    <m/>
  </r>
  <r>
    <d v="2026-02-09T00:00:00"/>
    <x v="1342"/>
    <x v="1"/>
    <s v="J-5084/25-26"/>
    <n v="1600"/>
    <m/>
  </r>
  <r>
    <d v="2026-02-09T00:00:00"/>
    <x v="765"/>
    <x v="1"/>
    <s v="J-5085/25-26"/>
    <n v="10690"/>
    <m/>
  </r>
  <r>
    <d v="2026-02-09T00:00:00"/>
    <x v="20"/>
    <x v="1"/>
    <s v="J-5086/25-26"/>
    <n v="2146"/>
    <m/>
  </r>
  <r>
    <d v="2026-02-09T00:00:00"/>
    <x v="556"/>
    <x v="1"/>
    <s v="J-5087/25-26"/>
    <n v="1600"/>
    <m/>
  </r>
  <r>
    <d v="2026-02-09T00:00:00"/>
    <x v="1290"/>
    <x v="1"/>
    <s v="J-5088/25-26"/>
    <n v="50"/>
    <m/>
  </r>
  <r>
    <d v="2026-02-09T00:00:00"/>
    <x v="79"/>
    <x v="1"/>
    <s v="J-5089/25-26"/>
    <n v="1600"/>
    <m/>
  </r>
  <r>
    <d v="2026-02-09T00:00:00"/>
    <x v="1343"/>
    <x v="1"/>
    <s v="J-5090/25-26"/>
    <n v="1600"/>
    <m/>
  </r>
  <r>
    <d v="2026-02-09T00:00:00"/>
    <x v="248"/>
    <x v="1"/>
    <s v="J-5091/25-26"/>
    <n v="220"/>
    <m/>
  </r>
  <r>
    <d v="2026-02-09T00:00:00"/>
    <x v="1344"/>
    <x v="1"/>
    <s v="J-5092/25-26"/>
    <n v="280"/>
    <m/>
  </r>
  <r>
    <d v="2026-02-09T00:00:00"/>
    <x v="173"/>
    <x v="1"/>
    <s v="J-5093/25-26"/>
    <n v="2488"/>
    <m/>
  </r>
  <r>
    <d v="2026-02-09T00:00:00"/>
    <x v="1307"/>
    <x v="1"/>
    <s v="J-5094/25-26"/>
    <n v="50"/>
    <m/>
  </r>
  <r>
    <d v="2026-02-09T00:00:00"/>
    <x v="11"/>
    <x v="1"/>
    <s v="J-5095/25-26"/>
    <n v="18"/>
    <m/>
  </r>
  <r>
    <d v="2026-02-09T00:00:00"/>
    <x v="8"/>
    <x v="1"/>
    <s v="J-5096/25-26"/>
    <n v="3205"/>
    <m/>
  </r>
  <r>
    <d v="2026-02-09T00:00:00"/>
    <x v="1345"/>
    <x v="1"/>
    <s v="J-5097/25-26"/>
    <n v="400"/>
    <m/>
  </r>
  <r>
    <d v="2026-02-09T00:00:00"/>
    <x v="4"/>
    <x v="1"/>
    <s v="J-5098/25-26"/>
    <n v="37640"/>
    <m/>
  </r>
  <r>
    <d v="2026-02-09T00:00:00"/>
    <x v="531"/>
    <x v="1"/>
    <s v="J-5099/25-26"/>
    <n v="320"/>
    <m/>
  </r>
  <r>
    <d v="2026-02-09T00:00:00"/>
    <x v="11"/>
    <x v="1"/>
    <s v="J-5100/25-26"/>
    <n v="18"/>
    <m/>
  </r>
  <r>
    <d v="2026-02-09T00:00:00"/>
    <x v="1346"/>
    <x v="1"/>
    <s v="J-5101/25-26"/>
    <n v="5682"/>
    <m/>
  </r>
  <r>
    <d v="2026-02-09T00:00:00"/>
    <x v="11"/>
    <x v="1"/>
    <s v="J-5102/25-26"/>
    <n v="190"/>
    <m/>
  </r>
  <r>
    <d v="2026-02-09T00:00:00"/>
    <x v="163"/>
    <x v="1"/>
    <s v="J-5103/25-26"/>
    <n v="1233"/>
    <m/>
  </r>
  <r>
    <d v="2026-02-10T00:00:00"/>
    <x v="64"/>
    <x v="0"/>
    <s v="JU-822/25-26"/>
    <n v="28843"/>
    <m/>
  </r>
  <r>
    <d v="2026-02-10T00:00:00"/>
    <x v="20"/>
    <x v="1"/>
    <s v="J-5104/25-26"/>
    <n v="10956"/>
    <m/>
  </r>
  <r>
    <d v="2026-02-10T00:00:00"/>
    <x v="159"/>
    <x v="1"/>
    <s v="J-5105/25-26"/>
    <n v="28961"/>
    <m/>
  </r>
  <r>
    <d v="2026-02-10T00:00:00"/>
    <x v="1347"/>
    <x v="1"/>
    <s v="J-5106/25-26"/>
    <n v="330"/>
    <m/>
  </r>
  <r>
    <d v="2026-02-10T00:00:00"/>
    <x v="11"/>
    <x v="1"/>
    <s v="J-5107/25-26"/>
    <n v="1280"/>
    <m/>
  </r>
  <r>
    <d v="2026-02-10T00:00:00"/>
    <x v="370"/>
    <x v="1"/>
    <s v="J-5108/25-26"/>
    <n v="20090"/>
    <m/>
  </r>
  <r>
    <d v="2026-02-10T00:00:00"/>
    <x v="928"/>
    <x v="1"/>
    <s v="J-5109/25-26"/>
    <n v="2066"/>
    <m/>
  </r>
  <r>
    <d v="2026-02-10T00:00:00"/>
    <x v="765"/>
    <x v="1"/>
    <s v="J-5110/25-26"/>
    <n v="12110"/>
    <m/>
  </r>
  <r>
    <d v="2026-02-10T00:00:00"/>
    <x v="107"/>
    <x v="1"/>
    <s v="J-5111/25-26"/>
    <n v="1785"/>
    <m/>
  </r>
  <r>
    <d v="2026-02-10T00:00:00"/>
    <x v="34"/>
    <x v="1"/>
    <s v="J-5112/25-26"/>
    <n v="250"/>
    <m/>
  </r>
  <r>
    <d v="2026-02-10T00:00:00"/>
    <x v="1348"/>
    <x v="1"/>
    <s v="J-5113/25-26"/>
    <n v="42701"/>
    <m/>
  </r>
  <r>
    <d v="2026-02-10T00:00:00"/>
    <x v="255"/>
    <x v="1"/>
    <s v="J-5114/25-26"/>
    <n v="734"/>
    <m/>
  </r>
  <r>
    <d v="2026-02-10T00:00:00"/>
    <x v="8"/>
    <x v="1"/>
    <s v="J-5115/25-26"/>
    <n v="24618"/>
    <m/>
  </r>
  <r>
    <d v="2026-02-10T00:00:00"/>
    <x v="1349"/>
    <x v="1"/>
    <s v="J-5116/25-26"/>
    <n v="4750"/>
    <m/>
  </r>
  <r>
    <d v="2026-02-10T00:00:00"/>
    <x v="1350"/>
    <x v="1"/>
    <s v="J-5117/25-26"/>
    <n v="2000"/>
    <m/>
  </r>
  <r>
    <d v="2026-02-10T00:00:00"/>
    <x v="637"/>
    <x v="1"/>
    <s v="J-5118/25-26"/>
    <n v="734"/>
    <m/>
  </r>
  <r>
    <d v="2026-02-10T00:00:00"/>
    <x v="28"/>
    <x v="1"/>
    <s v="J-5119/25-26"/>
    <n v="560"/>
    <m/>
  </r>
  <r>
    <d v="2026-02-10T00:00:00"/>
    <x v="1351"/>
    <x v="1"/>
    <s v="J-5120/25-26"/>
    <n v="27653"/>
    <m/>
  </r>
  <r>
    <d v="2026-02-10T00:00:00"/>
    <x v="173"/>
    <x v="1"/>
    <s v="J-5121/25-26"/>
    <n v="410"/>
    <m/>
  </r>
  <r>
    <d v="2026-02-10T00:00:00"/>
    <x v="328"/>
    <x v="1"/>
    <s v="J-5122/25-26"/>
    <n v="6740"/>
    <m/>
  </r>
  <r>
    <d v="2026-02-10T00:00:00"/>
    <x v="1300"/>
    <x v="1"/>
    <s v="J-5123/25-26"/>
    <n v="595"/>
    <m/>
  </r>
  <r>
    <d v="2026-02-11T00:00:00"/>
    <x v="14"/>
    <x v="0"/>
    <s v="JU-823/25-26"/>
    <n v="1196"/>
    <m/>
  </r>
  <r>
    <d v="2026-02-11T00:00:00"/>
    <x v="245"/>
    <x v="1"/>
    <s v="J-5124/25-26"/>
    <n v="5500"/>
    <m/>
  </r>
  <r>
    <d v="2026-02-11T00:00:00"/>
    <x v="28"/>
    <x v="1"/>
    <s v="J-5125/25-26"/>
    <n v="24772"/>
    <m/>
  </r>
  <r>
    <d v="2026-02-11T00:00:00"/>
    <x v="706"/>
    <x v="1"/>
    <s v="J-5126/25-26"/>
    <n v="4305"/>
    <m/>
  </r>
  <r>
    <d v="2026-02-11T00:00:00"/>
    <x v="960"/>
    <x v="1"/>
    <s v="J-5127/25-26"/>
    <n v="29503"/>
    <m/>
  </r>
  <r>
    <d v="2026-02-11T00:00:00"/>
    <x v="71"/>
    <x v="1"/>
    <s v="J-5128/25-26"/>
    <n v="3560"/>
    <m/>
  </r>
  <r>
    <d v="2026-02-11T00:00:00"/>
    <x v="1352"/>
    <x v="1"/>
    <s v="J-5129/25-26"/>
    <n v="3460"/>
    <m/>
  </r>
  <r>
    <d v="2026-02-11T00:00:00"/>
    <x v="556"/>
    <x v="1"/>
    <s v="J-5130/25-26"/>
    <n v="54950"/>
    <m/>
  </r>
  <r>
    <d v="2026-02-11T00:00:00"/>
    <x v="1353"/>
    <x v="1"/>
    <s v="J-5131/25-26"/>
    <n v="640"/>
    <m/>
  </r>
  <r>
    <d v="2026-02-11T00:00:00"/>
    <x v="255"/>
    <x v="1"/>
    <s v="J-5132/25-26"/>
    <n v="9437"/>
    <m/>
  </r>
  <r>
    <d v="2026-02-11T00:00:00"/>
    <x v="29"/>
    <x v="1"/>
    <s v="J-5133/25-26"/>
    <n v="475"/>
    <m/>
  </r>
  <r>
    <d v="2026-02-11T00:00:00"/>
    <x v="1354"/>
    <x v="1"/>
    <s v="J-5134/25-26"/>
    <n v="10460"/>
    <m/>
  </r>
  <r>
    <d v="2026-02-11T00:00:00"/>
    <x v="20"/>
    <x v="1"/>
    <s v="J-5135/25-26"/>
    <n v="2170"/>
    <m/>
  </r>
  <r>
    <d v="2026-02-11T00:00:00"/>
    <x v="47"/>
    <x v="1"/>
    <s v="J-5136/25-26"/>
    <n v="2781"/>
    <m/>
  </r>
  <r>
    <d v="2026-02-11T00:00:00"/>
    <x v="266"/>
    <x v="1"/>
    <s v="J-5137/25-26"/>
    <n v="8000"/>
    <m/>
  </r>
  <r>
    <d v="2026-02-11T00:00:00"/>
    <x v="1019"/>
    <x v="1"/>
    <s v="J-5138/25-26"/>
    <n v="640"/>
    <m/>
  </r>
  <r>
    <d v="2026-02-11T00:00:00"/>
    <x v="11"/>
    <x v="1"/>
    <s v="J-5139/25-26"/>
    <n v="932"/>
    <m/>
  </r>
  <r>
    <d v="2026-02-11T00:00:00"/>
    <x v="96"/>
    <x v="1"/>
    <s v="J-5140/25-26"/>
    <n v="2101"/>
    <m/>
  </r>
  <r>
    <d v="2026-02-11T00:00:00"/>
    <x v="637"/>
    <x v="1"/>
    <s v="J-5141/25-26"/>
    <n v="34026"/>
    <m/>
  </r>
  <r>
    <d v="2026-02-11T00:00:00"/>
    <x v="515"/>
    <x v="1"/>
    <s v="J-5142/25-26"/>
    <n v="7504"/>
    <m/>
  </r>
  <r>
    <d v="2026-02-11T00:00:00"/>
    <x v="1355"/>
    <x v="1"/>
    <s v="J-5143/25-26"/>
    <n v="1997"/>
    <m/>
  </r>
  <r>
    <d v="2026-02-11T00:00:00"/>
    <x v="385"/>
    <x v="1"/>
    <s v="J-5144/25-26"/>
    <n v="313"/>
    <m/>
  </r>
  <r>
    <d v="2026-02-11T00:00:00"/>
    <x v="1356"/>
    <x v="1"/>
    <s v="J-5145/25-26"/>
    <n v="100"/>
    <m/>
  </r>
  <r>
    <d v="2026-02-11T00:00:00"/>
    <x v="582"/>
    <x v="1"/>
    <s v="J-5146/25-26"/>
    <n v="640"/>
    <m/>
  </r>
  <r>
    <d v="2026-02-11T00:00:00"/>
    <x v="11"/>
    <x v="1"/>
    <s v="J-5147/25-26"/>
    <n v="1470"/>
    <m/>
  </r>
  <r>
    <d v="2026-02-11T00:00:00"/>
    <x v="1357"/>
    <x v="1"/>
    <s v="J-5148/25-26"/>
    <n v="6380"/>
    <m/>
  </r>
  <r>
    <d v="2026-02-11T00:00:00"/>
    <x v="858"/>
    <x v="1"/>
    <s v="J-5149/25-26"/>
    <n v="11031"/>
    <m/>
  </r>
  <r>
    <d v="2026-02-11T00:00:00"/>
    <x v="385"/>
    <x v="1"/>
    <s v="J-5150/25-26"/>
    <n v="293"/>
    <m/>
  </r>
  <r>
    <d v="2026-02-11T00:00:00"/>
    <x v="1349"/>
    <x v="1"/>
    <s v="J-5151/25-26"/>
    <n v="425"/>
    <m/>
  </r>
  <r>
    <d v="2026-02-11T00:00:00"/>
    <x v="1358"/>
    <x v="1"/>
    <s v="J-5152/25-26"/>
    <n v="6637"/>
    <m/>
  </r>
  <r>
    <d v="2026-02-11T00:00:00"/>
    <x v="1354"/>
    <x v="1"/>
    <s v="J-5153/25-26"/>
    <n v="2894"/>
    <m/>
  </r>
  <r>
    <d v="2026-02-11T00:00:00"/>
    <x v="248"/>
    <x v="1"/>
    <s v="J-5154/25-26"/>
    <n v="2075"/>
    <m/>
  </r>
  <r>
    <d v="2026-02-12T00:00:00"/>
    <x v="297"/>
    <x v="1"/>
    <s v="J-5155/25-26"/>
    <n v="68"/>
    <m/>
  </r>
  <r>
    <d v="2026-02-13T00:00:00"/>
    <x v="1265"/>
    <x v="0"/>
    <s v="JU-824/25-26"/>
    <n v="640"/>
    <m/>
  </r>
  <r>
    <d v="2026-02-13T00:00:00"/>
    <x v="15"/>
    <x v="0"/>
    <s v="JU-825/25-26"/>
    <n v="6676"/>
    <m/>
  </r>
  <r>
    <d v="2026-02-13T00:00:00"/>
    <x v="15"/>
    <x v="0"/>
    <s v="JU-826/25-26"/>
    <n v="21760"/>
    <m/>
  </r>
  <r>
    <d v="2026-02-13T00:00:00"/>
    <x v="342"/>
    <x v="0"/>
    <s v="JU-827/25-26"/>
    <n v="500"/>
    <m/>
  </r>
  <r>
    <d v="2026-02-13T00:00:00"/>
    <x v="79"/>
    <x v="1"/>
    <s v="J-5156/25-26"/>
    <n v="1600"/>
    <m/>
  </r>
  <r>
    <d v="2026-02-13T00:00:00"/>
    <x v="706"/>
    <x v="1"/>
    <s v="J-5157/25-26"/>
    <n v="8258"/>
    <m/>
  </r>
  <r>
    <d v="2026-02-13T00:00:00"/>
    <x v="20"/>
    <x v="1"/>
    <s v="J-5158/25-26"/>
    <n v="545"/>
    <m/>
  </r>
  <r>
    <d v="2026-02-13T00:00:00"/>
    <x v="245"/>
    <x v="1"/>
    <s v="J-5159/25-26"/>
    <n v="3840"/>
    <m/>
  </r>
  <r>
    <d v="2026-02-13T00:00:00"/>
    <x v="11"/>
    <x v="1"/>
    <s v="J-5160/25-26"/>
    <n v="190"/>
    <m/>
  </r>
  <r>
    <d v="2026-02-13T00:00:00"/>
    <x v="1019"/>
    <x v="1"/>
    <s v="J-5161/25-26"/>
    <n v="640"/>
    <m/>
  </r>
  <r>
    <d v="2026-02-13T00:00:00"/>
    <x v="1300"/>
    <x v="1"/>
    <s v="J-5162/25-26"/>
    <n v="8030"/>
    <m/>
  </r>
  <r>
    <d v="2026-02-13T00:00:00"/>
    <x v="89"/>
    <x v="1"/>
    <s v="J-5163/25-26"/>
    <n v="320"/>
    <m/>
  </r>
  <r>
    <d v="2026-02-13T00:00:00"/>
    <x v="556"/>
    <x v="1"/>
    <s v="J-5164/25-26"/>
    <n v="3651"/>
    <m/>
  </r>
  <r>
    <d v="2026-02-13T00:00:00"/>
    <x v="297"/>
    <x v="1"/>
    <s v="J-5165/25-26"/>
    <n v="4137"/>
    <m/>
  </r>
  <r>
    <d v="2026-02-13T00:00:00"/>
    <x v="1282"/>
    <x v="1"/>
    <s v="J-5166/25-26"/>
    <n v="5033"/>
    <m/>
  </r>
  <r>
    <d v="2026-02-13T00:00:00"/>
    <x v="1247"/>
    <x v="1"/>
    <s v="J-5167/25-26"/>
    <n v="88633"/>
    <m/>
  </r>
  <r>
    <d v="2026-02-13T00:00:00"/>
    <x v="1199"/>
    <x v="1"/>
    <s v="J-5168/25-26"/>
    <n v="19433"/>
    <m/>
  </r>
  <r>
    <d v="2026-02-13T00:00:00"/>
    <x v="1359"/>
    <x v="1"/>
    <s v="J-5169/25-26"/>
    <n v="1895"/>
    <m/>
  </r>
  <r>
    <d v="2026-02-13T00:00:00"/>
    <x v="255"/>
    <x v="1"/>
    <s v="J-5170/25-26"/>
    <n v="723"/>
    <m/>
  </r>
  <r>
    <d v="2026-02-13T00:00:00"/>
    <x v="11"/>
    <x v="1"/>
    <s v="J-5171/25-26"/>
    <n v="12"/>
    <m/>
  </r>
  <r>
    <d v="2026-02-13T00:00:00"/>
    <x v="47"/>
    <x v="1"/>
    <s v="J-5172/25-26"/>
    <n v="11369"/>
    <m/>
  </r>
  <r>
    <d v="2026-02-13T00:00:00"/>
    <x v="1353"/>
    <x v="1"/>
    <s v="J-5173/25-26"/>
    <n v="960"/>
    <m/>
  </r>
  <r>
    <d v="2026-02-13T00:00:00"/>
    <x v="11"/>
    <x v="1"/>
    <s v="J-5174/25-26"/>
    <n v="3800"/>
    <m/>
  </r>
  <r>
    <d v="2026-02-13T00:00:00"/>
    <x v="117"/>
    <x v="1"/>
    <s v="J-5175/25-26"/>
    <n v="1560"/>
    <m/>
  </r>
  <r>
    <d v="2026-02-13T00:00:00"/>
    <x v="1351"/>
    <x v="1"/>
    <s v="J-5176/25-26"/>
    <n v="7373"/>
    <m/>
  </r>
  <r>
    <d v="2026-02-13T00:00:00"/>
    <x v="20"/>
    <x v="1"/>
    <s v="J-5177/25-26"/>
    <n v="192"/>
    <m/>
  </r>
  <r>
    <d v="2026-02-13T00:00:00"/>
    <x v="1360"/>
    <x v="1"/>
    <s v="J-5178/25-26"/>
    <n v="6061"/>
    <m/>
  </r>
  <r>
    <d v="2026-02-13T00:00:00"/>
    <x v="11"/>
    <x v="1"/>
    <s v="J-5179/25-26"/>
    <n v="1339"/>
    <m/>
  </r>
  <r>
    <d v="2026-02-13T00:00:00"/>
    <x v="297"/>
    <x v="1"/>
    <s v="J-5180/25-26"/>
    <n v="320"/>
    <m/>
  </r>
  <r>
    <d v="2026-02-13T00:00:00"/>
    <x v="173"/>
    <x v="1"/>
    <s v="J-5181/25-26"/>
    <n v="1788"/>
    <m/>
  </r>
  <r>
    <d v="2026-02-13T00:00:00"/>
    <x v="692"/>
    <x v="1"/>
    <s v="J-5182/25-26"/>
    <n v="8436"/>
    <m/>
  </r>
  <r>
    <d v="2026-02-13T00:00:00"/>
    <x v="1135"/>
    <x v="1"/>
    <s v="J-5183/25-26"/>
    <n v="1210"/>
    <m/>
  </r>
  <r>
    <d v="2026-02-13T00:00:00"/>
    <x v="4"/>
    <x v="1"/>
    <s v="J-5184/25-26"/>
    <n v="39886"/>
    <m/>
  </r>
  <r>
    <d v="2026-02-13T00:00:00"/>
    <x v="1361"/>
    <x v="1"/>
    <s v="J-5185/25-26"/>
    <n v="55406"/>
    <m/>
  </r>
  <r>
    <d v="2026-02-13T00:00:00"/>
    <x v="1362"/>
    <x v="1"/>
    <s v="J-5186/25-26"/>
    <n v="21015"/>
    <m/>
  </r>
  <r>
    <d v="2026-02-13T00:00:00"/>
    <x v="1363"/>
    <x v="1"/>
    <s v="J-5187/25-26"/>
    <n v="686"/>
    <m/>
  </r>
  <r>
    <d v="2026-02-13T00:00:00"/>
    <x v="1364"/>
    <x v="1"/>
    <s v="J-5188/25-26"/>
    <n v="320"/>
    <m/>
  </r>
  <r>
    <d v="2026-02-14T00:00:00"/>
    <x v="87"/>
    <x v="0"/>
    <s v="JU-828/25-26"/>
    <n v="404"/>
    <m/>
  </r>
  <r>
    <d v="2026-02-14T00:00:00"/>
    <x v="1225"/>
    <x v="1"/>
    <s v="J-5189/25-26"/>
    <n v="4700"/>
    <m/>
  </r>
  <r>
    <d v="2026-02-14T00:00:00"/>
    <x v="20"/>
    <x v="1"/>
    <s v="J-5190/25-26"/>
    <n v="20684"/>
    <m/>
  </r>
  <r>
    <d v="2026-02-14T00:00:00"/>
    <x v="23"/>
    <x v="1"/>
    <s v="J-5191/25-26"/>
    <n v="1571"/>
    <m/>
  </r>
  <r>
    <d v="2026-02-14T00:00:00"/>
    <x v="1359"/>
    <x v="1"/>
    <s v="J-5192/25-26"/>
    <n v="1064"/>
    <m/>
  </r>
  <r>
    <d v="2026-02-14T00:00:00"/>
    <x v="1118"/>
    <x v="1"/>
    <s v="J-5193/25-26"/>
    <n v="6657"/>
    <m/>
  </r>
  <r>
    <d v="2026-02-14T00:00:00"/>
    <x v="706"/>
    <x v="1"/>
    <s v="J-5194/25-26"/>
    <n v="3578"/>
    <m/>
  </r>
  <r>
    <d v="2026-02-14T00:00:00"/>
    <x v="200"/>
    <x v="1"/>
    <s v="J-5195/25-26"/>
    <n v="1920"/>
    <m/>
  </r>
  <r>
    <d v="2026-02-14T00:00:00"/>
    <x v="1282"/>
    <x v="1"/>
    <s v="J-5196/25-26"/>
    <n v="170"/>
    <m/>
  </r>
  <r>
    <d v="2026-02-14T00:00:00"/>
    <x v="48"/>
    <x v="1"/>
    <s v="J-5197/25-26"/>
    <n v="640"/>
    <m/>
  </r>
  <r>
    <d v="2026-02-14T00:00:00"/>
    <x v="1365"/>
    <x v="1"/>
    <s v="J-5198/25-26"/>
    <n v="15150"/>
    <m/>
  </r>
  <r>
    <d v="2026-02-14T00:00:00"/>
    <x v="1365"/>
    <x v="1"/>
    <s v="J-5199/25-26"/>
    <n v="640"/>
    <m/>
  </r>
  <r>
    <d v="2026-02-14T00:00:00"/>
    <x v="28"/>
    <x v="1"/>
    <s v="J-5200/25-26"/>
    <n v="6040"/>
    <m/>
  </r>
  <r>
    <d v="2026-02-14T00:00:00"/>
    <x v="1324"/>
    <x v="1"/>
    <s v="J-5201/25-26"/>
    <n v="1920"/>
    <m/>
  </r>
  <r>
    <d v="2026-02-14T00:00:00"/>
    <x v="47"/>
    <x v="1"/>
    <s v="J-5202/25-26"/>
    <n v="120"/>
    <m/>
  </r>
  <r>
    <d v="2026-02-14T00:00:00"/>
    <x v="34"/>
    <x v="1"/>
    <s v="J-5203/25-26"/>
    <n v="8583"/>
    <m/>
  </r>
  <r>
    <d v="2026-02-14T00:00:00"/>
    <x v="1311"/>
    <x v="1"/>
    <s v="J-5204/25-26"/>
    <n v="245"/>
    <m/>
  </r>
  <r>
    <d v="2026-02-14T00:00:00"/>
    <x v="117"/>
    <x v="1"/>
    <s v="J-5205/25-26"/>
    <n v="2103"/>
    <m/>
  </r>
  <r>
    <d v="2026-02-14T00:00:00"/>
    <x v="193"/>
    <x v="1"/>
    <s v="J-5206/25-26"/>
    <n v="2240"/>
    <m/>
  </r>
  <r>
    <d v="2026-02-14T00:00:00"/>
    <x v="1366"/>
    <x v="1"/>
    <s v="J-5207/25-26"/>
    <n v="4418"/>
    <m/>
  </r>
  <r>
    <d v="2026-02-14T00:00:00"/>
    <x v="904"/>
    <x v="1"/>
    <s v="J-5208/25-26"/>
    <n v="200"/>
    <m/>
  </r>
  <r>
    <d v="2026-02-14T00:00:00"/>
    <x v="1367"/>
    <x v="1"/>
    <s v="J-5209/25-26"/>
    <n v="320"/>
    <m/>
  </r>
  <r>
    <d v="2026-02-16T00:00:00"/>
    <x v="958"/>
    <x v="0"/>
    <s v="JU-829/25-26"/>
    <n v="4455"/>
    <m/>
  </r>
  <r>
    <d v="2026-02-16T00:00:00"/>
    <x v="1368"/>
    <x v="0"/>
    <s v="JU-830/25-26"/>
    <n v="61608"/>
    <m/>
  </r>
  <r>
    <d v="2026-02-16T00:00:00"/>
    <x v="1282"/>
    <x v="1"/>
    <s v="J-5210/25-26"/>
    <n v="21000"/>
    <m/>
  </r>
  <r>
    <d v="2026-02-16T00:00:00"/>
    <x v="1351"/>
    <x v="1"/>
    <s v="J-5211/25-26"/>
    <n v="3615"/>
    <m/>
  </r>
  <r>
    <d v="2026-02-16T00:00:00"/>
    <x v="1369"/>
    <x v="1"/>
    <s v="J-5212/25-26"/>
    <n v="320"/>
    <m/>
  </r>
  <r>
    <d v="2026-02-16T00:00:00"/>
    <x v="163"/>
    <x v="1"/>
    <s v="J-5213/25-26"/>
    <n v="1640"/>
    <m/>
  </r>
  <r>
    <d v="2026-02-16T00:00:00"/>
    <x v="11"/>
    <x v="1"/>
    <s v="J-5214/25-26"/>
    <n v="12"/>
    <m/>
  </r>
  <r>
    <d v="2026-02-16T00:00:00"/>
    <x v="1182"/>
    <x v="1"/>
    <s v="J-5215/25-26"/>
    <n v="3100"/>
    <m/>
  </r>
  <r>
    <d v="2026-02-16T00:00:00"/>
    <x v="23"/>
    <x v="1"/>
    <s v="J-5216/25-26"/>
    <n v="220"/>
    <m/>
  </r>
  <r>
    <d v="2026-02-16T00:00:00"/>
    <x v="1118"/>
    <x v="1"/>
    <s v="J-5217/25-26"/>
    <n v="2490"/>
    <m/>
  </r>
  <r>
    <d v="2026-02-16T00:00:00"/>
    <x v="582"/>
    <x v="1"/>
    <s v="J-5218/25-26"/>
    <n v="960"/>
    <m/>
  </r>
  <r>
    <d v="2026-02-16T00:00:00"/>
    <x v="1333"/>
    <x v="1"/>
    <s v="J-5219/25-26"/>
    <n v="4650"/>
    <m/>
  </r>
  <r>
    <d v="2026-02-16T00:00:00"/>
    <x v="1348"/>
    <x v="1"/>
    <s v="J-5220/25-26"/>
    <n v="2211"/>
    <m/>
  </r>
  <r>
    <d v="2026-02-16T00:00:00"/>
    <x v="245"/>
    <x v="1"/>
    <s v="J-5221/25-26"/>
    <n v="960"/>
    <m/>
  </r>
  <r>
    <d v="2026-02-16T00:00:00"/>
    <x v="1370"/>
    <x v="1"/>
    <s v="J-5222/25-26"/>
    <n v="3060"/>
    <m/>
  </r>
  <r>
    <d v="2026-02-16T00:00:00"/>
    <x v="211"/>
    <x v="1"/>
    <s v="J-5223/25-26"/>
    <n v="30145"/>
    <m/>
  </r>
  <r>
    <d v="2026-02-16T00:00:00"/>
    <x v="1324"/>
    <x v="1"/>
    <s v="J-5224/25-26"/>
    <n v="14450"/>
    <m/>
  </r>
  <r>
    <d v="2026-02-16T00:00:00"/>
    <x v="541"/>
    <x v="1"/>
    <s v="J-5225/25-26"/>
    <n v="6698"/>
    <m/>
  </r>
  <r>
    <d v="2026-02-16T00:00:00"/>
    <x v="1371"/>
    <x v="1"/>
    <s v="J-5226/25-26"/>
    <n v="430"/>
    <m/>
  </r>
  <r>
    <d v="2026-02-16T00:00:00"/>
    <x v="89"/>
    <x v="1"/>
    <s v="J-5227/25-26"/>
    <n v="320"/>
    <m/>
  </r>
  <r>
    <d v="2026-02-16T00:00:00"/>
    <x v="1372"/>
    <x v="1"/>
    <s v="J-5228/25-26"/>
    <n v="1836"/>
    <m/>
  </r>
  <r>
    <d v="2026-02-16T00:00:00"/>
    <x v="1134"/>
    <x v="1"/>
    <s v="J-5229/25-26"/>
    <n v="40665"/>
    <m/>
  </r>
  <r>
    <d v="2026-02-16T00:00:00"/>
    <x v="1325"/>
    <x v="1"/>
    <s v="J-5230/25-26"/>
    <n v="425"/>
    <m/>
  </r>
  <r>
    <d v="2026-02-16T00:00:00"/>
    <x v="1371"/>
    <x v="1"/>
    <s v="J-5231/25-26"/>
    <n v="3451"/>
    <m/>
  </r>
  <r>
    <d v="2026-02-16T00:00:00"/>
    <x v="239"/>
    <x v="1"/>
    <s v="J-5232/25-26"/>
    <n v="1944"/>
    <m/>
  </r>
  <r>
    <d v="2026-02-16T00:00:00"/>
    <x v="163"/>
    <x v="1"/>
    <s v="J-5233/25-26"/>
    <n v="465"/>
    <m/>
  </r>
  <r>
    <d v="2026-02-16T00:00:00"/>
    <x v="40"/>
    <x v="1"/>
    <s v="J-5234/25-26"/>
    <n v="17132"/>
    <m/>
  </r>
  <r>
    <d v="2026-02-16T00:00:00"/>
    <x v="1373"/>
    <x v="1"/>
    <s v="J-5235/25-26"/>
    <n v="2205"/>
    <m/>
  </r>
  <r>
    <d v="2026-02-17T00:00:00"/>
    <x v="689"/>
    <x v="0"/>
    <s v="JU-831/25-26"/>
    <n v="7750"/>
    <m/>
  </r>
  <r>
    <d v="2026-02-17T00:00:00"/>
    <x v="16"/>
    <x v="0"/>
    <s v="JU-832/25-26"/>
    <n v="18390"/>
    <m/>
  </r>
  <r>
    <d v="2026-02-17T00:00:00"/>
    <x v="87"/>
    <x v="0"/>
    <s v="JU-833/25-26"/>
    <n v="17240"/>
    <m/>
  </r>
  <r>
    <d v="2026-02-17T00:00:00"/>
    <x v="136"/>
    <x v="0"/>
    <s v="JU-834/25-26"/>
    <n v="44171"/>
    <m/>
  </r>
  <r>
    <d v="2026-02-17T00:00:00"/>
    <x v="321"/>
    <x v="0"/>
    <s v="JU-835/25-26"/>
    <n v="8363"/>
    <m/>
  </r>
  <r>
    <d v="2026-02-17T00:00:00"/>
    <x v="1374"/>
    <x v="1"/>
    <s v="J-5236/25-26"/>
    <n v="9600"/>
    <m/>
  </r>
  <r>
    <d v="2026-02-17T00:00:00"/>
    <x v="29"/>
    <x v="1"/>
    <s v="J-5237/25-26"/>
    <n v="1150"/>
    <m/>
  </r>
  <r>
    <d v="2026-02-17T00:00:00"/>
    <x v="29"/>
    <x v="1"/>
    <s v="J-5238/25-26"/>
    <n v="1280"/>
    <m/>
  </r>
  <r>
    <d v="2026-02-17T00:00:00"/>
    <x v="266"/>
    <x v="1"/>
    <s v="J-5239/25-26"/>
    <n v="8000"/>
    <m/>
  </r>
  <r>
    <d v="2026-02-17T00:00:00"/>
    <x v="11"/>
    <x v="1"/>
    <s v="J-5240/25-26"/>
    <n v="30"/>
    <m/>
  </r>
  <r>
    <d v="2026-02-17T00:00:00"/>
    <x v="1300"/>
    <x v="1"/>
    <s v="J-5241/25-26"/>
    <n v="1085"/>
    <m/>
  </r>
  <r>
    <d v="2026-02-17T00:00:00"/>
    <x v="1045"/>
    <x v="1"/>
    <s v="J-5242/25-26"/>
    <n v="3495"/>
    <m/>
  </r>
  <r>
    <d v="2026-02-17T00:00:00"/>
    <x v="1314"/>
    <x v="1"/>
    <s v="J-5243/25-26"/>
    <n v="13204"/>
    <m/>
  </r>
  <r>
    <d v="2026-02-17T00:00:00"/>
    <x v="211"/>
    <x v="1"/>
    <s v="J-5244/25-26"/>
    <n v="6200"/>
    <m/>
  </r>
  <r>
    <d v="2026-02-17T00:00:00"/>
    <x v="1019"/>
    <x v="1"/>
    <s v="J-5245/25-26"/>
    <n v="320"/>
    <m/>
  </r>
  <r>
    <d v="2026-02-17T00:00:00"/>
    <x v="556"/>
    <x v="1"/>
    <s v="J-5246/25-26"/>
    <n v="1600"/>
    <m/>
  </r>
  <r>
    <d v="2026-02-17T00:00:00"/>
    <x v="541"/>
    <x v="1"/>
    <s v="J-5247/25-26"/>
    <n v="585"/>
    <m/>
  </r>
  <r>
    <d v="2026-02-17T00:00:00"/>
    <x v="1375"/>
    <x v="1"/>
    <s v="J-5248/25-26"/>
    <n v="3933"/>
    <m/>
  </r>
  <r>
    <d v="2026-02-17T00:00:00"/>
    <x v="1376"/>
    <x v="1"/>
    <s v="J-5249/25-26"/>
    <n v="506"/>
    <m/>
  </r>
  <r>
    <d v="2026-02-17T00:00:00"/>
    <x v="541"/>
    <x v="1"/>
    <s v="J-5250/25-26"/>
    <n v="486"/>
    <m/>
  </r>
  <r>
    <d v="2026-02-17T00:00:00"/>
    <x v="11"/>
    <x v="1"/>
    <s v="J-5251/25-26"/>
    <n v="30"/>
    <m/>
  </r>
  <r>
    <d v="2026-02-17T00:00:00"/>
    <x v="28"/>
    <x v="1"/>
    <s v="J-5252/25-26"/>
    <n v="1382"/>
    <m/>
  </r>
  <r>
    <d v="2026-02-17T00:00:00"/>
    <x v="11"/>
    <x v="1"/>
    <s v="J-5253/25-26"/>
    <n v="5"/>
    <m/>
  </r>
  <r>
    <d v="2026-02-17T00:00:00"/>
    <x v="1377"/>
    <x v="1"/>
    <s v="J-5254/25-26"/>
    <n v="150"/>
    <m/>
  </r>
  <r>
    <d v="2026-02-18T00:00:00"/>
    <x v="305"/>
    <x v="0"/>
    <s v="JU-836/25-26"/>
    <n v="19813"/>
    <m/>
  </r>
  <r>
    <d v="2026-02-18T00:00:00"/>
    <x v="136"/>
    <x v="0"/>
    <s v="JU-837/25-26"/>
    <n v="6058"/>
    <m/>
  </r>
  <r>
    <d v="2026-02-18T00:00:00"/>
    <x v="15"/>
    <x v="0"/>
    <s v="JU-838/25-26"/>
    <n v="5120"/>
    <m/>
  </r>
  <r>
    <d v="2026-02-18T00:00:00"/>
    <x v="305"/>
    <x v="0"/>
    <s v="JU-839/25-26"/>
    <n v="48334"/>
    <m/>
  </r>
  <r>
    <d v="2026-02-18T00:00:00"/>
    <x v="11"/>
    <x v="1"/>
    <s v="J-5255/25-26"/>
    <n v="10"/>
    <m/>
  </r>
  <r>
    <d v="2026-02-18T00:00:00"/>
    <x v="582"/>
    <x v="1"/>
    <s v="J-5256/25-26"/>
    <n v="1280"/>
    <m/>
  </r>
  <r>
    <d v="2026-02-18T00:00:00"/>
    <x v="1300"/>
    <x v="1"/>
    <s v="J-5257/25-26"/>
    <n v="9940"/>
    <m/>
  </r>
  <r>
    <d v="2026-02-18T00:00:00"/>
    <x v="11"/>
    <x v="1"/>
    <s v="J-5258/25-26"/>
    <n v="25"/>
    <m/>
  </r>
  <r>
    <d v="2026-02-18T00:00:00"/>
    <x v="40"/>
    <x v="1"/>
    <s v="J-5259/25-26"/>
    <n v="7358"/>
    <m/>
  </r>
  <r>
    <d v="2026-02-18T00:00:00"/>
    <x v="1378"/>
    <x v="1"/>
    <s v="J-5260/25-26"/>
    <n v="1090"/>
    <m/>
  </r>
  <r>
    <d v="2026-02-18T00:00:00"/>
    <x v="1359"/>
    <x v="1"/>
    <s v="J-5261/25-26"/>
    <n v="60"/>
    <m/>
  </r>
  <r>
    <d v="2026-02-18T00:00:00"/>
    <x v="23"/>
    <x v="1"/>
    <s v="J-5262/25-26"/>
    <n v="495"/>
    <m/>
  </r>
  <r>
    <d v="2026-02-18T00:00:00"/>
    <x v="170"/>
    <x v="1"/>
    <s v="J-5263/25-26"/>
    <n v="5181"/>
    <m/>
  </r>
  <r>
    <d v="2026-02-18T00:00:00"/>
    <x v="1349"/>
    <x v="1"/>
    <s v="J-5264/25-26"/>
    <n v="9805"/>
    <m/>
  </r>
  <r>
    <d v="2026-02-18T00:00:00"/>
    <x v="1314"/>
    <x v="1"/>
    <s v="J-5265/25-26"/>
    <n v="4227"/>
    <m/>
  </r>
  <r>
    <d v="2026-02-18T00:00:00"/>
    <x v="248"/>
    <x v="1"/>
    <s v="J-5266/25-26"/>
    <n v="680"/>
    <m/>
  </r>
  <r>
    <d v="2026-02-18T00:00:00"/>
    <x v="1361"/>
    <x v="1"/>
    <s v="J-5267/25-26"/>
    <n v="615"/>
    <m/>
  </r>
  <r>
    <d v="2026-02-18T00:00:00"/>
    <x v="69"/>
    <x v="1"/>
    <s v="J-5268/25-26"/>
    <n v="32051"/>
    <m/>
  </r>
  <r>
    <d v="2026-02-18T00:00:00"/>
    <x v="140"/>
    <x v="1"/>
    <s v="J-5269/25-26"/>
    <n v="14235"/>
    <m/>
  </r>
  <r>
    <d v="2026-02-18T00:00:00"/>
    <x v="11"/>
    <x v="1"/>
    <s v="J-5270/25-26"/>
    <n v="10"/>
    <m/>
  </r>
  <r>
    <d v="2026-02-18T00:00:00"/>
    <x v="1379"/>
    <x v="1"/>
    <s v="J-5271/25-26"/>
    <n v="15652"/>
    <m/>
  </r>
  <r>
    <d v="2026-02-18T00:00:00"/>
    <x v="1380"/>
    <x v="1"/>
    <s v="J-5272/25-26"/>
    <n v="260"/>
    <m/>
  </r>
  <r>
    <d v="2026-02-18T00:00:00"/>
    <x v="1357"/>
    <x v="1"/>
    <s v="J-5273/25-26"/>
    <n v="2250"/>
    <m/>
  </r>
  <r>
    <d v="2026-02-18T00:00:00"/>
    <x v="229"/>
    <x v="1"/>
    <s v="J-5274/25-26"/>
    <n v="88890"/>
    <m/>
  </r>
  <r>
    <d v="2026-02-18T00:00:00"/>
    <x v="1134"/>
    <x v="1"/>
    <s v="J-5275/25-26"/>
    <n v="120"/>
    <m/>
  </r>
  <r>
    <d v="2026-02-18T00:00:00"/>
    <x v="11"/>
    <x v="1"/>
    <s v="J-5276/25-26"/>
    <n v="700"/>
    <m/>
  </r>
  <r>
    <d v="2026-02-18T00:00:00"/>
    <x v="1381"/>
    <x v="1"/>
    <s v="J-5277/25-26"/>
    <n v="15915"/>
    <m/>
  </r>
  <r>
    <d v="2026-02-18T00:00:00"/>
    <x v="1057"/>
    <x v="1"/>
    <s v="J-5278/25-26"/>
    <n v="2200"/>
    <m/>
  </r>
  <r>
    <d v="2026-02-19T00:00:00"/>
    <x v="64"/>
    <x v="0"/>
    <s v="JU-840/25-26"/>
    <n v="20800"/>
    <m/>
  </r>
  <r>
    <d v="2026-02-19T00:00:00"/>
    <x v="1269"/>
    <x v="0"/>
    <s v="JU-841/25-26"/>
    <n v="8000"/>
    <m/>
  </r>
  <r>
    <d v="2026-02-19T00:00:00"/>
    <x v="1269"/>
    <x v="1"/>
    <s v="J-5279/25-26"/>
    <n v="17600"/>
    <m/>
  </r>
  <r>
    <d v="2026-02-19T00:00:00"/>
    <x v="1382"/>
    <x v="1"/>
    <s v="J-5280/25-26"/>
    <n v="3234"/>
    <m/>
  </r>
  <r>
    <d v="2026-02-19T00:00:00"/>
    <x v="1383"/>
    <x v="1"/>
    <s v="J-5281/25-26"/>
    <n v="1035"/>
    <m/>
  </r>
  <r>
    <d v="2026-02-19T00:00:00"/>
    <x v="11"/>
    <x v="1"/>
    <s v="J-5282/25-26"/>
    <n v="320"/>
    <m/>
  </r>
  <r>
    <d v="2026-02-19T00:00:00"/>
    <x v="986"/>
    <x v="1"/>
    <s v="J-5283/25-26"/>
    <n v="1300"/>
    <m/>
  </r>
  <r>
    <d v="2026-02-19T00:00:00"/>
    <x v="23"/>
    <x v="1"/>
    <s v="J-5284/25-26"/>
    <n v="262"/>
    <m/>
  </r>
  <r>
    <d v="2026-02-19T00:00:00"/>
    <x v="1151"/>
    <x v="1"/>
    <s v="J-5285/25-26"/>
    <n v="7750"/>
    <m/>
  </r>
  <r>
    <d v="2026-02-19T00:00:00"/>
    <x v="630"/>
    <x v="1"/>
    <s v="J-5286/25-26"/>
    <n v="375"/>
    <m/>
  </r>
  <r>
    <d v="2026-02-19T00:00:00"/>
    <x v="1384"/>
    <x v="1"/>
    <s v="J-5287/25-26"/>
    <n v="320"/>
    <m/>
  </r>
  <r>
    <d v="2026-02-19T00:00:00"/>
    <x v="11"/>
    <x v="1"/>
    <s v="J-5288/25-26"/>
    <n v="15"/>
    <m/>
  </r>
  <r>
    <d v="2026-02-19T00:00:00"/>
    <x v="170"/>
    <x v="1"/>
    <s v="J-5289/25-26"/>
    <n v="7838"/>
    <m/>
  </r>
  <r>
    <d v="2026-02-19T00:00:00"/>
    <x v="1262"/>
    <x v="1"/>
    <s v="J-5290/25-26"/>
    <n v="3403"/>
    <m/>
  </r>
  <r>
    <d v="2026-02-19T00:00:00"/>
    <x v="4"/>
    <x v="1"/>
    <s v="J-5291/25-26"/>
    <n v="31348"/>
    <m/>
  </r>
  <r>
    <d v="2026-02-19T00:00:00"/>
    <x v="106"/>
    <x v="1"/>
    <s v="J-5292/25-26"/>
    <n v="1843"/>
    <m/>
  </r>
  <r>
    <d v="2026-02-19T00:00:00"/>
    <x v="247"/>
    <x v="1"/>
    <s v="J-5293/25-26"/>
    <n v="1367"/>
    <m/>
  </r>
  <r>
    <d v="2026-02-19T00:00:00"/>
    <x v="313"/>
    <x v="1"/>
    <s v="J-5294/25-26"/>
    <n v="1280"/>
    <m/>
  </r>
  <r>
    <d v="2026-02-19T00:00:00"/>
    <x v="67"/>
    <x v="1"/>
    <s v="J-5295/25-26"/>
    <n v="2240"/>
    <m/>
  </r>
  <r>
    <d v="2026-02-19T00:00:00"/>
    <x v="1385"/>
    <x v="1"/>
    <s v="J-5296/25-26"/>
    <n v="2608"/>
    <m/>
  </r>
  <r>
    <d v="2026-02-19T00:00:00"/>
    <x v="47"/>
    <x v="1"/>
    <s v="J-5297/25-26"/>
    <n v="25007"/>
    <m/>
  </r>
  <r>
    <d v="2026-02-19T00:00:00"/>
    <x v="23"/>
    <x v="1"/>
    <s v="J-5298/25-26"/>
    <n v="16996"/>
    <m/>
  </r>
  <r>
    <d v="2026-02-19T00:00:00"/>
    <x v="1349"/>
    <x v="1"/>
    <s v="J-5299/25-26"/>
    <n v="926"/>
    <m/>
  </r>
  <r>
    <d v="2026-02-19T00:00:00"/>
    <x v="115"/>
    <x v="1"/>
    <s v="J-5300/25-26"/>
    <n v="2583"/>
    <m/>
  </r>
  <r>
    <d v="2026-02-19T00:00:00"/>
    <x v="1019"/>
    <x v="1"/>
    <s v="J-5301/25-26"/>
    <n v="320"/>
    <m/>
  </r>
  <r>
    <d v="2026-02-19T00:00:00"/>
    <x v="117"/>
    <x v="1"/>
    <s v="J-5302/25-26"/>
    <n v="336"/>
    <m/>
  </r>
  <r>
    <d v="2026-02-19T00:00:00"/>
    <x v="11"/>
    <x v="1"/>
    <s v="J-5303/25-26"/>
    <n v="320"/>
    <m/>
  </r>
  <r>
    <d v="2026-02-19T00:00:00"/>
    <x v="1333"/>
    <x v="1"/>
    <s v="J-5304/25-26"/>
    <n v="1240"/>
    <m/>
  </r>
  <r>
    <d v="2026-02-20T00:00:00"/>
    <x v="1368"/>
    <x v="0"/>
    <s v="JU-842/25-26"/>
    <n v="103263"/>
    <m/>
  </r>
  <r>
    <d v="2026-02-20T00:00:00"/>
    <x v="64"/>
    <x v="0"/>
    <s v="JU-843/25-26"/>
    <n v="18330"/>
    <m/>
  </r>
  <r>
    <d v="2026-02-20T00:00:00"/>
    <x v="15"/>
    <x v="0"/>
    <s v="JU-844/25-26"/>
    <n v="5450"/>
    <m/>
  </r>
  <r>
    <d v="2026-02-20T00:00:00"/>
    <x v="64"/>
    <x v="0"/>
    <s v="JU-845/25-26"/>
    <n v="13301"/>
    <m/>
  </r>
  <r>
    <d v="2026-02-20T00:00:00"/>
    <x v="136"/>
    <x v="0"/>
    <s v="JU-846/25-26"/>
    <n v="3334"/>
    <m/>
  </r>
  <r>
    <d v="2026-02-20T00:00:00"/>
    <x v="1296"/>
    <x v="1"/>
    <s v="J-5305/25-26"/>
    <n v="15500"/>
    <m/>
  </r>
  <r>
    <d v="2026-02-20T00:00:00"/>
    <x v="229"/>
    <x v="1"/>
    <s v="J-5306/25-26"/>
    <n v="15500"/>
    <m/>
  </r>
  <r>
    <d v="2026-02-20T00:00:00"/>
    <x v="89"/>
    <x v="1"/>
    <s v="J-5307/25-26"/>
    <n v="1280"/>
    <m/>
  </r>
  <r>
    <d v="2026-02-20T00:00:00"/>
    <x v="370"/>
    <x v="1"/>
    <s v="J-5308/25-26"/>
    <n v="750"/>
    <m/>
  </r>
  <r>
    <d v="2026-02-20T00:00:00"/>
    <x v="34"/>
    <x v="1"/>
    <s v="J-5309/25-26"/>
    <n v="360"/>
    <m/>
  </r>
  <r>
    <d v="2026-02-20T00:00:00"/>
    <x v="1300"/>
    <x v="1"/>
    <s v="J-5310/25-26"/>
    <n v="6640"/>
    <m/>
  </r>
  <r>
    <d v="2026-02-20T00:00:00"/>
    <x v="115"/>
    <x v="1"/>
    <s v="J-5311/25-26"/>
    <n v="4878"/>
    <m/>
  </r>
  <r>
    <d v="2026-02-20T00:00:00"/>
    <x v="1386"/>
    <x v="1"/>
    <s v="J-5312/25-26"/>
    <n v="165"/>
    <m/>
  </r>
  <r>
    <d v="2026-02-20T00:00:00"/>
    <x v="1387"/>
    <x v="1"/>
    <s v="J-5313/25-26"/>
    <n v="21308"/>
    <m/>
  </r>
  <r>
    <d v="2026-02-20T00:00:00"/>
    <x v="464"/>
    <x v="1"/>
    <s v="J-5314/25-26"/>
    <n v="2760"/>
    <m/>
  </r>
  <r>
    <d v="2026-02-20T00:00:00"/>
    <x v="4"/>
    <x v="1"/>
    <s v="J-5315/25-26"/>
    <n v="38242"/>
    <m/>
  </r>
  <r>
    <d v="2026-02-20T00:00:00"/>
    <x v="1262"/>
    <x v="1"/>
    <s v="J-5316/25-26"/>
    <n v="1656"/>
    <m/>
  </r>
  <r>
    <d v="2026-02-20T00:00:00"/>
    <x v="1192"/>
    <x v="1"/>
    <s v="J-5317/25-26"/>
    <n v="3200"/>
    <m/>
  </r>
  <r>
    <d v="2026-02-20T00:00:00"/>
    <x v="11"/>
    <x v="1"/>
    <s v="J-5318/25-26"/>
    <n v="8"/>
    <m/>
  </r>
  <r>
    <d v="2026-02-20T00:00:00"/>
    <x v="1385"/>
    <x v="1"/>
    <s v="J-5319/25-26"/>
    <n v="2593"/>
    <m/>
  </r>
  <r>
    <d v="2026-02-20T00:00:00"/>
    <x v="11"/>
    <x v="1"/>
    <s v="J-5320/25-26"/>
    <n v="240"/>
    <m/>
  </r>
  <r>
    <d v="2026-02-20T00:00:00"/>
    <x v="1165"/>
    <x v="1"/>
    <s v="J-5321/25-26"/>
    <n v="320"/>
    <m/>
  </r>
  <r>
    <d v="2026-02-20T00:00:00"/>
    <x v="1293"/>
    <x v="1"/>
    <s v="J-5322/25-26"/>
    <n v="21548"/>
    <m/>
  </r>
  <r>
    <d v="2026-02-20T00:00:00"/>
    <x v="11"/>
    <x v="1"/>
    <s v="J-5323/25-26"/>
    <n v="500"/>
    <m/>
  </r>
  <r>
    <d v="2026-02-20T00:00:00"/>
    <x v="20"/>
    <x v="1"/>
    <s v="J-5324/25-26"/>
    <n v="90"/>
    <m/>
  </r>
  <r>
    <d v="2026-02-21T00:00:00"/>
    <x v="958"/>
    <x v="0"/>
    <s v="JU-847/25-26"/>
    <n v="17600"/>
    <m/>
  </r>
  <r>
    <d v="2026-02-21T00:00:00"/>
    <x v="87"/>
    <x v="0"/>
    <s v="JU-848/25-26"/>
    <n v="2540"/>
    <m/>
  </r>
  <r>
    <d v="2026-02-21T00:00:00"/>
    <x v="1265"/>
    <x v="0"/>
    <s v="JU-849/25-26"/>
    <n v="46675"/>
    <m/>
  </r>
  <r>
    <d v="2026-02-21T00:00:00"/>
    <x v="958"/>
    <x v="0"/>
    <s v="JU-850/25-26"/>
    <n v="1343"/>
    <m/>
  </r>
  <r>
    <d v="2026-02-21T00:00:00"/>
    <x v="342"/>
    <x v="0"/>
    <s v="JU-851/25-26"/>
    <n v="810"/>
    <m/>
  </r>
  <r>
    <d v="2026-02-21T00:00:00"/>
    <x v="305"/>
    <x v="0"/>
    <s v="JU-852/25-26"/>
    <n v="574"/>
    <m/>
  </r>
  <r>
    <d v="2026-02-21T00:00:00"/>
    <x v="305"/>
    <x v="0"/>
    <s v="JU-853/25-26"/>
    <n v="4694"/>
    <m/>
  </r>
  <r>
    <d v="2026-02-21T00:00:00"/>
    <x v="77"/>
    <x v="0"/>
    <s v="JU-854/25-26"/>
    <n v="1010"/>
    <m/>
  </r>
  <r>
    <d v="2026-02-21T00:00:00"/>
    <x v="87"/>
    <x v="0"/>
    <s v="JU-855/25-26"/>
    <n v="680"/>
    <m/>
  </r>
  <r>
    <d v="2026-02-21T00:00:00"/>
    <x v="1388"/>
    <x v="1"/>
    <s v="J-5325/25-26"/>
    <n v="6400"/>
    <m/>
  </r>
  <r>
    <d v="2026-02-21T00:00:00"/>
    <x v="11"/>
    <x v="1"/>
    <s v="J-5326/25-26"/>
    <n v="320"/>
    <m/>
  </r>
  <r>
    <d v="2026-02-21T00:00:00"/>
    <x v="1284"/>
    <x v="1"/>
    <s v="J-5327/25-26"/>
    <n v="960"/>
    <m/>
  </r>
  <r>
    <d v="2026-02-21T00:00:00"/>
    <x v="1389"/>
    <x v="1"/>
    <s v="J-5328/25-26"/>
    <n v="320"/>
    <m/>
  </r>
  <r>
    <d v="2026-02-21T00:00:00"/>
    <x v="1390"/>
    <x v="1"/>
    <s v="J-5329/25-26"/>
    <n v="320"/>
    <m/>
  </r>
  <r>
    <d v="2026-02-21T00:00:00"/>
    <x v="11"/>
    <x v="1"/>
    <s v="J-5330/25-26"/>
    <n v="40"/>
    <m/>
  </r>
  <r>
    <d v="2026-02-21T00:00:00"/>
    <x v="1225"/>
    <x v="1"/>
    <s v="J-5331/25-26"/>
    <n v="3200"/>
    <m/>
  </r>
  <r>
    <d v="2026-02-21T00:00:00"/>
    <x v="1134"/>
    <x v="1"/>
    <s v="J-5332/25-26"/>
    <n v="984"/>
    <m/>
  </r>
  <r>
    <d v="2026-02-21T00:00:00"/>
    <x v="23"/>
    <x v="1"/>
    <s v="J-5333/25-26"/>
    <n v="699"/>
    <m/>
  </r>
  <r>
    <d v="2026-02-21T00:00:00"/>
    <x v="11"/>
    <x v="1"/>
    <s v="J-5334/25-26"/>
    <n v="1010"/>
    <m/>
  </r>
  <r>
    <d v="2026-02-21T00:00:00"/>
    <x v="1391"/>
    <x v="1"/>
    <s v="J-5335/25-26"/>
    <n v="2790"/>
    <m/>
  </r>
  <r>
    <d v="2026-02-21T00:00:00"/>
    <x v="1392"/>
    <x v="1"/>
    <s v="J-5336/25-26"/>
    <n v="14643"/>
    <m/>
  </r>
  <r>
    <d v="2026-02-21T00:00:00"/>
    <x v="170"/>
    <x v="1"/>
    <s v="J-5337/25-26"/>
    <n v="16630"/>
    <m/>
  </r>
  <r>
    <d v="2026-02-21T00:00:00"/>
    <x v="115"/>
    <x v="1"/>
    <s v="J-5338/25-26"/>
    <n v="3249"/>
    <m/>
  </r>
  <r>
    <d v="2026-02-21T00:00:00"/>
    <x v="1393"/>
    <x v="1"/>
    <s v="J-5339/25-26"/>
    <n v="34652"/>
    <m/>
  </r>
  <r>
    <d v="2026-02-21T00:00:00"/>
    <x v="1333"/>
    <x v="1"/>
    <s v="J-5340/25-26"/>
    <n v="2480"/>
    <m/>
  </r>
  <r>
    <d v="2026-02-21T00:00:00"/>
    <x v="1394"/>
    <x v="1"/>
    <s v="J-5341/25-26"/>
    <n v="17440"/>
    <m/>
  </r>
  <r>
    <d v="2026-02-21T00:00:00"/>
    <x v="140"/>
    <x v="1"/>
    <s v="J-5342/25-26"/>
    <n v="461"/>
    <m/>
  </r>
  <r>
    <d v="2026-02-21T00:00:00"/>
    <x v="1322"/>
    <x v="1"/>
    <s v="J-5343/25-26"/>
    <n v="39640"/>
    <m/>
  </r>
  <r>
    <d v="2026-02-21T00:00:00"/>
    <x v="1324"/>
    <x v="1"/>
    <s v="J-5344/25-26"/>
    <n v="1766"/>
    <m/>
  </r>
  <r>
    <d v="2026-02-21T00:00:00"/>
    <x v="464"/>
    <x v="1"/>
    <s v="J-5345/25-26"/>
    <n v="7360"/>
    <m/>
  </r>
  <r>
    <d v="2026-02-21T00:00:00"/>
    <x v="533"/>
    <x v="1"/>
    <s v="J-5346/25-26"/>
    <n v="2820"/>
    <m/>
  </r>
  <r>
    <d v="2026-02-21T00:00:00"/>
    <x v="1395"/>
    <x v="1"/>
    <s v="J-5347/25-26"/>
    <n v="150"/>
    <m/>
  </r>
  <r>
    <d v="2026-02-21T00:00:00"/>
    <x v="115"/>
    <x v="1"/>
    <s v="J-5348/25-26"/>
    <n v="1985"/>
    <m/>
  </r>
  <r>
    <d v="2026-02-21T00:00:00"/>
    <x v="339"/>
    <x v="1"/>
    <s v="J-5349/25-26"/>
    <n v="910"/>
    <m/>
  </r>
  <r>
    <d v="2026-02-21T00:00:00"/>
    <x v="11"/>
    <x v="1"/>
    <s v="J-5350/25-26"/>
    <n v="350"/>
    <m/>
  </r>
  <r>
    <d v="2026-02-21T00:00:00"/>
    <x v="11"/>
    <x v="1"/>
    <s v="J-5351/25-26"/>
    <n v="50"/>
    <m/>
  </r>
  <r>
    <d v="2026-02-21T00:00:00"/>
    <x v="79"/>
    <x v="1"/>
    <s v="J-5352/25-26"/>
    <n v="1921"/>
    <m/>
  </r>
  <r>
    <d v="2026-02-21T00:00:00"/>
    <x v="1306"/>
    <x v="1"/>
    <s v="J-5353/25-26"/>
    <n v="1600"/>
    <m/>
  </r>
  <r>
    <d v="2026-02-21T00:00:00"/>
    <x v="115"/>
    <x v="1"/>
    <s v="J-5354/25-26"/>
    <n v="1911"/>
    <m/>
  </r>
  <r>
    <d v="2026-02-21T00:00:00"/>
    <x v="1389"/>
    <x v="1"/>
    <s v="J-5355/25-26"/>
    <n v="310"/>
    <m/>
  </r>
  <r>
    <d v="2026-02-21T00:00:00"/>
    <x v="11"/>
    <x v="1"/>
    <s v="J-5356/25-26"/>
    <n v="310"/>
    <m/>
  </r>
  <r>
    <d v="2026-02-21T00:00:00"/>
    <x v="245"/>
    <x v="1"/>
    <s v="J-5357/25-26"/>
    <n v="50"/>
    <m/>
  </r>
  <r>
    <d v="2026-02-23T00:00:00"/>
    <x v="87"/>
    <x v="0"/>
    <s v="JU-856/25-26"/>
    <n v="2418"/>
    <m/>
  </r>
  <r>
    <d v="2026-02-23T00:00:00"/>
    <x v="571"/>
    <x v="0"/>
    <s v="JU-857/25-26"/>
    <n v="1246"/>
    <m/>
  </r>
  <r>
    <d v="2026-02-23T00:00:00"/>
    <x v="1329"/>
    <x v="0"/>
    <s v="JU-858/25-26"/>
    <n v="740"/>
    <m/>
  </r>
  <r>
    <d v="2026-02-23T00:00:00"/>
    <x v="1396"/>
    <x v="0"/>
    <s v="JU-859/25-26"/>
    <n v="15490"/>
    <m/>
  </r>
  <r>
    <d v="2026-02-23T00:00:00"/>
    <x v="64"/>
    <x v="0"/>
    <s v="JU-860/25-26"/>
    <n v="11200"/>
    <m/>
  </r>
  <r>
    <d v="2026-02-23T00:00:00"/>
    <x v="1265"/>
    <x v="0"/>
    <s v="JU-861/25-26"/>
    <n v="3200"/>
    <m/>
  </r>
  <r>
    <d v="2026-02-23T00:00:00"/>
    <x v="14"/>
    <x v="0"/>
    <s v="JU-862/25-26"/>
    <n v="1751"/>
    <m/>
  </r>
  <r>
    <d v="2026-02-23T00:00:00"/>
    <x v="23"/>
    <x v="1"/>
    <s v="J-5358/25-26"/>
    <n v="4800"/>
    <m/>
  </r>
  <r>
    <d v="2026-02-23T00:00:00"/>
    <x v="1397"/>
    <x v="1"/>
    <s v="J-5359/25-26"/>
    <n v="320"/>
    <m/>
  </r>
  <r>
    <d v="2026-02-23T00:00:00"/>
    <x v="11"/>
    <x v="1"/>
    <s v="J-5360/25-26"/>
    <n v="75"/>
    <m/>
  </r>
  <r>
    <d v="2026-02-23T00:00:00"/>
    <x v="47"/>
    <x v="1"/>
    <s v="J-5361/25-26"/>
    <n v="34352"/>
    <m/>
  </r>
  <r>
    <d v="2026-02-23T00:00:00"/>
    <x v="1296"/>
    <x v="1"/>
    <s v="J-5362/25-26"/>
    <n v="15500"/>
    <m/>
  </r>
  <r>
    <d v="2026-02-23T00:00:00"/>
    <x v="11"/>
    <x v="1"/>
    <s v="J-5363/25-26"/>
    <n v="320"/>
    <m/>
  </r>
  <r>
    <d v="2026-02-23T00:00:00"/>
    <x v="356"/>
    <x v="1"/>
    <s v="J-5364/25-26"/>
    <n v="650"/>
    <m/>
  </r>
  <r>
    <d v="2026-02-23T00:00:00"/>
    <x v="997"/>
    <x v="1"/>
    <s v="J-5365/25-26"/>
    <n v="960"/>
    <m/>
  </r>
  <r>
    <d v="2026-02-23T00:00:00"/>
    <x v="330"/>
    <x v="1"/>
    <s v="J-5366/25-26"/>
    <n v="41"/>
    <m/>
  </r>
  <r>
    <d v="2026-02-23T00:00:00"/>
    <x v="922"/>
    <x v="1"/>
    <s v="J-5367/25-26"/>
    <n v="1600"/>
    <m/>
  </r>
  <r>
    <d v="2026-02-23T00:00:00"/>
    <x v="1398"/>
    <x v="1"/>
    <s v="J-5368/25-26"/>
    <n v="1280"/>
    <m/>
  </r>
  <r>
    <d v="2026-02-23T00:00:00"/>
    <x v="1399"/>
    <x v="1"/>
    <s v="J-5369/25-26"/>
    <n v="1521"/>
    <m/>
  </r>
  <r>
    <d v="2026-02-23T00:00:00"/>
    <x v="11"/>
    <x v="1"/>
    <s v="J-5370/25-26"/>
    <n v="20"/>
    <m/>
  </r>
  <r>
    <d v="2026-02-23T00:00:00"/>
    <x v="11"/>
    <x v="1"/>
    <s v="J-5371/25-26"/>
    <n v="310"/>
    <m/>
  </r>
  <r>
    <d v="2026-02-23T00:00:00"/>
    <x v="1400"/>
    <x v="1"/>
    <s v="J-5372/25-26"/>
    <n v="59870"/>
    <m/>
  </r>
  <r>
    <d v="2026-02-23T00:00:00"/>
    <x v="229"/>
    <x v="1"/>
    <s v="J-5373/25-26"/>
    <n v="6333"/>
    <m/>
  </r>
  <r>
    <d v="2026-02-23T00:00:00"/>
    <x v="1401"/>
    <x v="1"/>
    <s v="J-5374/25-26"/>
    <n v="6222"/>
    <m/>
  </r>
  <r>
    <d v="2026-02-23T00:00:00"/>
    <x v="567"/>
    <x v="1"/>
    <s v="J-5375/25-26"/>
    <n v="3606"/>
    <m/>
  </r>
  <r>
    <d v="2026-02-23T00:00:00"/>
    <x v="40"/>
    <x v="1"/>
    <s v="J-5376/25-26"/>
    <n v="13071"/>
    <m/>
  </r>
  <r>
    <d v="2026-02-23T00:00:00"/>
    <x v="115"/>
    <x v="1"/>
    <s v="J-5377/25-26"/>
    <n v="700"/>
    <m/>
  </r>
  <r>
    <d v="2026-02-23T00:00:00"/>
    <x v="4"/>
    <x v="1"/>
    <s v="J-5378/25-26"/>
    <n v="2776"/>
    <m/>
  </r>
  <r>
    <d v="2026-02-23T00:00:00"/>
    <x v="1361"/>
    <x v="1"/>
    <s v="J-5379/25-26"/>
    <n v="4520"/>
    <m/>
  </r>
  <r>
    <d v="2026-02-23T00:00:00"/>
    <x v="245"/>
    <x v="1"/>
    <s v="J-5380/25-26"/>
    <n v="80"/>
    <m/>
  </r>
  <r>
    <d v="2026-02-23T00:00:00"/>
    <x v="173"/>
    <x v="1"/>
    <s v="J-5381/25-26"/>
    <n v="633"/>
    <m/>
  </r>
  <r>
    <d v="2026-02-23T00:00:00"/>
    <x v="11"/>
    <x v="1"/>
    <s v="J-5382/25-26"/>
    <n v="20"/>
    <m/>
  </r>
  <r>
    <d v="2026-02-23T00:00:00"/>
    <x v="11"/>
    <x v="1"/>
    <s v="J-5383/25-26"/>
    <n v="863"/>
    <m/>
  </r>
  <r>
    <d v="2026-02-23T00:00:00"/>
    <x v="20"/>
    <x v="1"/>
    <s v="J-5384/25-26"/>
    <n v="1550"/>
    <m/>
  </r>
  <r>
    <d v="2026-02-24T00:00:00"/>
    <x v="689"/>
    <x v="0"/>
    <s v="JU-863/25-26"/>
    <n v="9300"/>
    <m/>
  </r>
  <r>
    <d v="2026-02-24T00:00:00"/>
    <x v="958"/>
    <x v="0"/>
    <s v="JU-864/25-26"/>
    <n v="14760"/>
    <m/>
  </r>
  <r>
    <d v="2026-02-24T00:00:00"/>
    <x v="361"/>
    <x v="1"/>
    <s v="J-5385/25-26"/>
    <n v="32"/>
    <m/>
  </r>
  <r>
    <d v="2026-02-24T00:00:00"/>
    <x v="229"/>
    <x v="1"/>
    <s v="J-5386/25-26"/>
    <n v="5160"/>
    <m/>
  </r>
  <r>
    <d v="2026-02-24T00:00:00"/>
    <x v="1402"/>
    <x v="1"/>
    <s v="J-5387/25-26"/>
    <n v="65"/>
    <m/>
  </r>
  <r>
    <d v="2026-02-24T00:00:00"/>
    <x v="637"/>
    <x v="1"/>
    <s v="J-5388/25-26"/>
    <n v="19024"/>
    <m/>
  </r>
  <r>
    <d v="2026-02-24T00:00:00"/>
    <x v="1092"/>
    <x v="1"/>
    <s v="J-5389/25-26"/>
    <n v="97416"/>
    <m/>
  </r>
  <r>
    <d v="2026-02-24T00:00:00"/>
    <x v="1403"/>
    <x v="1"/>
    <s v="J-5390/25-26"/>
    <n v="500"/>
    <m/>
  </r>
  <r>
    <d v="2026-02-24T00:00:00"/>
    <x v="211"/>
    <x v="1"/>
    <s v="J-5391/25-26"/>
    <n v="6200"/>
    <m/>
  </r>
  <r>
    <d v="2026-02-24T00:00:00"/>
    <x v="1151"/>
    <x v="1"/>
    <s v="J-5392/25-26"/>
    <n v="8000"/>
    <m/>
  </r>
  <r>
    <d v="2026-02-24T00:00:00"/>
    <x v="4"/>
    <x v="1"/>
    <s v="J-5393/25-26"/>
    <n v="1538"/>
    <m/>
  </r>
  <r>
    <d v="2026-02-24T00:00:00"/>
    <x v="4"/>
    <x v="1"/>
    <s v="J-5394/25-26"/>
    <n v="2645"/>
    <m/>
  </r>
  <r>
    <d v="2026-02-24T00:00:00"/>
    <x v="1404"/>
    <x v="1"/>
    <s v="J-5395/25-26"/>
    <n v="3460"/>
    <m/>
  </r>
  <r>
    <d v="2026-02-24T00:00:00"/>
    <x v="11"/>
    <x v="1"/>
    <s v="J-5396/25-26"/>
    <n v="10"/>
    <m/>
  </r>
  <r>
    <d v="2026-02-24T00:00:00"/>
    <x v="1230"/>
    <x v="1"/>
    <s v="J-5397/25-26"/>
    <n v="5126"/>
    <m/>
  </r>
  <r>
    <d v="2026-02-24T00:00:00"/>
    <x v="1387"/>
    <x v="1"/>
    <s v="J-5398/25-26"/>
    <n v="3087"/>
    <m/>
  </r>
  <r>
    <d v="2026-02-24T00:00:00"/>
    <x v="1138"/>
    <x v="1"/>
    <s v="J-5399/25-26"/>
    <n v="11345"/>
    <m/>
  </r>
  <r>
    <d v="2026-02-24T00:00:00"/>
    <x v="1405"/>
    <x v="1"/>
    <s v="J-5400/25-26"/>
    <n v="1046"/>
    <m/>
  </r>
  <r>
    <d v="2026-02-24T00:00:00"/>
    <x v="229"/>
    <x v="1"/>
    <s v="J-5401/25-26"/>
    <n v="535"/>
    <m/>
  </r>
  <r>
    <d v="2026-02-24T00:00:00"/>
    <x v="69"/>
    <x v="1"/>
    <s v="J-5402/25-26"/>
    <n v="3471"/>
    <m/>
  </r>
  <r>
    <d v="2026-02-24T00:00:00"/>
    <x v="11"/>
    <x v="1"/>
    <s v="J-5403/25-26"/>
    <n v="700"/>
    <m/>
  </r>
  <r>
    <d v="2026-02-24T00:00:00"/>
    <x v="211"/>
    <x v="1"/>
    <s v="J-5404/25-26"/>
    <n v="6218"/>
    <m/>
  </r>
  <r>
    <d v="2026-02-24T00:00:00"/>
    <x v="1361"/>
    <x v="1"/>
    <s v="J-5405/25-26"/>
    <n v="81"/>
    <m/>
  </r>
  <r>
    <d v="2026-02-24T00:00:00"/>
    <x v="1406"/>
    <x v="1"/>
    <s v="J-5406/25-26"/>
    <n v="10572"/>
    <m/>
  </r>
  <r>
    <d v="2026-02-25T00:00:00"/>
    <x v="1265"/>
    <x v="0"/>
    <s v="JU-865/25-26"/>
    <n v="6200"/>
    <m/>
  </r>
  <r>
    <d v="2026-02-25T00:00:00"/>
    <x v="1185"/>
    <x v="0"/>
    <s v="JU-866/25-26"/>
    <n v="135306"/>
    <m/>
  </r>
  <r>
    <d v="2026-02-25T00:00:00"/>
    <x v="1396"/>
    <x v="0"/>
    <s v="JU-867/25-26"/>
    <n v="2692"/>
    <m/>
  </r>
  <r>
    <d v="2026-02-25T00:00:00"/>
    <x v="64"/>
    <x v="0"/>
    <s v="JU-868/25-26"/>
    <n v="3068"/>
    <m/>
  </r>
  <r>
    <d v="2026-02-25T00:00:00"/>
    <x v="1225"/>
    <x v="1"/>
    <s v="J-5407/25-26"/>
    <n v="3200"/>
    <m/>
  </r>
  <r>
    <d v="2026-02-25T00:00:00"/>
    <x v="999"/>
    <x v="1"/>
    <s v="J-5408/25-26"/>
    <n v="40500"/>
    <m/>
  </r>
  <r>
    <d v="2026-02-25T00:00:00"/>
    <x v="8"/>
    <x v="1"/>
    <s v="J-5409/25-26"/>
    <n v="6490"/>
    <m/>
  </r>
  <r>
    <d v="2026-02-25T00:00:00"/>
    <x v="1407"/>
    <x v="1"/>
    <s v="J-5410/25-26"/>
    <n v="45886"/>
    <m/>
  </r>
  <r>
    <d v="2026-02-25T00:00:00"/>
    <x v="1408"/>
    <x v="1"/>
    <s v="J-5411/25-26"/>
    <n v="562"/>
    <m/>
  </r>
  <r>
    <d v="2026-02-25T00:00:00"/>
    <x v="184"/>
    <x v="1"/>
    <s v="J-5412/25-26"/>
    <n v="64086"/>
    <m/>
  </r>
  <r>
    <d v="2026-02-25T00:00:00"/>
    <x v="1134"/>
    <x v="1"/>
    <s v="J-5413/25-26"/>
    <n v="80"/>
    <m/>
  </r>
  <r>
    <d v="2026-02-25T00:00:00"/>
    <x v="1348"/>
    <x v="1"/>
    <s v="J-5414/25-26"/>
    <n v="35852"/>
    <m/>
  </r>
  <r>
    <d v="2026-02-25T00:00:00"/>
    <x v="11"/>
    <x v="1"/>
    <s v="J-5415/25-26"/>
    <n v="310"/>
    <m/>
  </r>
  <r>
    <d v="2026-02-25T00:00:00"/>
    <x v="1348"/>
    <x v="1"/>
    <s v="J-5416/25-26"/>
    <n v="1600"/>
    <m/>
  </r>
  <r>
    <d v="2026-02-25T00:00:00"/>
    <x v="1409"/>
    <x v="1"/>
    <s v="J-5417/25-26"/>
    <n v="555"/>
    <m/>
  </r>
  <r>
    <d v="2026-02-25T00:00:00"/>
    <x v="11"/>
    <x v="1"/>
    <s v="J-5418/25-26"/>
    <n v="640"/>
    <m/>
  </r>
  <r>
    <d v="2026-02-25T00:00:00"/>
    <x v="1410"/>
    <x v="1"/>
    <s v="J-5419/25-26"/>
    <n v="13654"/>
    <m/>
  </r>
  <r>
    <d v="2026-02-25T00:00:00"/>
    <x v="1410"/>
    <x v="1"/>
    <s v="J-5420/25-26"/>
    <n v="1400"/>
    <m/>
  </r>
  <r>
    <d v="2026-02-25T00:00:00"/>
    <x v="1411"/>
    <x v="1"/>
    <s v="J-5421/25-26"/>
    <n v="52391"/>
    <m/>
  </r>
  <r>
    <d v="2026-02-25T00:00:00"/>
    <x v="556"/>
    <x v="1"/>
    <s v="J-5422/25-26"/>
    <n v="1280"/>
    <m/>
  </r>
  <r>
    <d v="2026-02-25T00:00:00"/>
    <x v="904"/>
    <x v="1"/>
    <s v="J-5423/25-26"/>
    <n v="375"/>
    <m/>
  </r>
  <r>
    <d v="2026-02-25T00:00:00"/>
    <x v="1410"/>
    <x v="1"/>
    <s v="J-5424/25-26"/>
    <n v="1400"/>
    <m/>
  </r>
  <r>
    <d v="2026-02-25T00:00:00"/>
    <x v="1057"/>
    <x v="1"/>
    <s v="J-5425/25-26"/>
    <n v="500"/>
    <m/>
  </r>
  <r>
    <d v="2026-02-25T00:00:00"/>
    <x v="1406"/>
    <x v="1"/>
    <s v="J-5426/25-26"/>
    <n v="2426"/>
    <m/>
  </r>
  <r>
    <d v="2026-02-26T00:00:00"/>
    <x v="1330"/>
    <x v="0"/>
    <s v="JU-869/25-26"/>
    <n v="47180"/>
    <m/>
  </r>
  <r>
    <d v="2026-02-26T00:00:00"/>
    <x v="1269"/>
    <x v="0"/>
    <s v="JU-870/25-26"/>
    <n v="27180"/>
    <m/>
  </r>
  <r>
    <d v="2026-02-26T00:00:00"/>
    <x v="1412"/>
    <x v="0"/>
    <s v="JU-871/25-26"/>
    <n v="7990"/>
    <m/>
  </r>
  <r>
    <d v="2026-02-26T00:00:00"/>
    <x v="958"/>
    <x v="0"/>
    <s v="JU-872/25-26"/>
    <n v="230"/>
    <m/>
  </r>
  <r>
    <d v="2026-02-26T00:00:00"/>
    <x v="958"/>
    <x v="0"/>
    <s v="JU-873/25-26"/>
    <n v="4603"/>
    <m/>
  </r>
  <r>
    <d v="2026-02-26T00:00:00"/>
    <x v="1413"/>
    <x v="0"/>
    <s v="JU-874/25-26"/>
    <n v="1788"/>
    <m/>
  </r>
  <r>
    <d v="2026-02-26T00:00:00"/>
    <x v="1414"/>
    <x v="0"/>
    <s v="JU-875/25-26"/>
    <n v="60000"/>
    <m/>
  </r>
  <r>
    <d v="2026-02-26T00:00:00"/>
    <x v="297"/>
    <x v="1"/>
    <s v="J-5427/25-26"/>
    <n v="960"/>
    <m/>
  </r>
  <r>
    <d v="2026-02-26T00:00:00"/>
    <x v="1415"/>
    <x v="1"/>
    <s v="J-5428/25-26"/>
    <n v="9090"/>
    <m/>
  </r>
  <r>
    <d v="2026-02-26T00:00:00"/>
    <x v="1416"/>
    <x v="1"/>
    <s v="J-5429/25-26"/>
    <n v="640"/>
    <m/>
  </r>
  <r>
    <d v="2026-02-26T00:00:00"/>
    <x v="1191"/>
    <x v="1"/>
    <s v="J-5430/25-26"/>
    <n v="1100"/>
    <m/>
  </r>
  <r>
    <d v="2026-02-26T00:00:00"/>
    <x v="1406"/>
    <x v="1"/>
    <s v="J-5431/25-26"/>
    <n v="7007"/>
    <m/>
  </r>
  <r>
    <d v="2026-02-26T00:00:00"/>
    <x v="516"/>
    <x v="1"/>
    <s v="J-5432/25-26"/>
    <n v="100"/>
    <m/>
  </r>
  <r>
    <d v="2026-02-26T00:00:00"/>
    <x v="1404"/>
    <x v="1"/>
    <s v="J-5433/25-26"/>
    <n v="450"/>
    <m/>
  </r>
  <r>
    <d v="2026-02-26T00:00:00"/>
    <x v="73"/>
    <x v="1"/>
    <s v="J-5434/25-26"/>
    <n v="3571"/>
    <m/>
  </r>
  <r>
    <d v="2026-02-26T00:00:00"/>
    <x v="330"/>
    <x v="1"/>
    <s v="J-5435/25-26"/>
    <n v="50"/>
    <m/>
  </r>
  <r>
    <d v="2026-02-26T00:00:00"/>
    <x v="971"/>
    <x v="1"/>
    <s v="J-5436/25-26"/>
    <n v="4458"/>
    <m/>
  </r>
  <r>
    <d v="2026-02-26T00:00:00"/>
    <x v="1313"/>
    <x v="1"/>
    <s v="J-5437/25-26"/>
    <n v="1226"/>
    <m/>
  </r>
  <r>
    <d v="2026-02-26T00:00:00"/>
    <x v="184"/>
    <x v="1"/>
    <s v="J-5438/25-26"/>
    <n v="2430"/>
    <m/>
  </r>
  <r>
    <d v="2026-02-26T00:00:00"/>
    <x v="1417"/>
    <x v="1"/>
    <s v="J-5439/25-26"/>
    <n v="58182"/>
    <m/>
  </r>
  <r>
    <d v="2026-02-26T00:00:00"/>
    <x v="8"/>
    <x v="1"/>
    <s v="J-5440/25-26"/>
    <n v="1334"/>
    <m/>
  </r>
  <r>
    <d v="2026-02-26T00:00:00"/>
    <x v="550"/>
    <x v="1"/>
    <s v="J-5441/25-26"/>
    <n v="190"/>
    <m/>
  </r>
  <r>
    <d v="2026-02-26T00:00:00"/>
    <x v="550"/>
    <x v="1"/>
    <s v="J-5442/25-26"/>
    <n v="100"/>
    <m/>
  </r>
  <r>
    <d v="2026-02-26T00:00:00"/>
    <x v="11"/>
    <x v="1"/>
    <s v="J-5443/25-26"/>
    <n v="350"/>
    <m/>
  </r>
  <r>
    <d v="2026-02-26T00:00:00"/>
    <x v="1151"/>
    <x v="1"/>
    <s v="J-5444/25-26"/>
    <n v="225"/>
    <m/>
  </r>
  <r>
    <d v="2026-02-26T00:00:00"/>
    <x v="1418"/>
    <x v="1"/>
    <s v="J-5445/25-26"/>
    <n v="13448"/>
    <m/>
  </r>
  <r>
    <d v="2026-02-26T00:00:00"/>
    <x v="11"/>
    <x v="1"/>
    <s v="J-5446/25-26"/>
    <n v="303"/>
    <m/>
  </r>
  <r>
    <d v="2026-02-26T00:00:00"/>
    <x v="173"/>
    <x v="1"/>
    <s v="J-5447/25-26"/>
    <n v="803"/>
    <m/>
  </r>
  <r>
    <d v="2026-02-26T00:00:00"/>
    <x v="1361"/>
    <x v="1"/>
    <s v="J-5448/25-26"/>
    <n v="2100"/>
    <m/>
  </r>
  <r>
    <d v="2026-02-26T00:00:00"/>
    <x v="1419"/>
    <x v="1"/>
    <s v="J-5449/25-26"/>
    <n v="400"/>
    <m/>
  </r>
  <r>
    <d v="2026-02-26T00:00:00"/>
    <x v="1296"/>
    <x v="1"/>
    <s v="J-5450/25-26"/>
    <n v="4143"/>
    <m/>
  </r>
  <r>
    <d v="2026-02-26T00:00:00"/>
    <x v="1324"/>
    <x v="1"/>
    <s v="J-5451/25-26"/>
    <n v="3200"/>
    <m/>
  </r>
  <r>
    <d v="2026-02-26T00:00:00"/>
    <x v="1406"/>
    <x v="1"/>
    <s v="J-5452/25-26"/>
    <n v="10053"/>
    <m/>
  </r>
  <r>
    <d v="2026-02-26T00:00:00"/>
    <x v="297"/>
    <x v="1"/>
    <s v="J-5453/25-26"/>
    <n v="130"/>
    <m/>
  </r>
  <r>
    <d v="2026-02-26T00:00:00"/>
    <x v="1420"/>
    <x v="1"/>
    <s v="J-5454/25-26"/>
    <n v="460"/>
    <m/>
  </r>
  <r>
    <d v="2026-02-26T00:00:00"/>
    <x v="971"/>
    <x v="1"/>
    <s v="J-5455/25-26"/>
    <n v="300"/>
    <m/>
  </r>
  <r>
    <d v="2026-02-26T00:00:00"/>
    <x v="11"/>
    <x v="1"/>
    <s v="J-5456/25-26"/>
    <n v="600"/>
    <m/>
  </r>
  <r>
    <d v="2026-02-27T00:00:00"/>
    <x v="15"/>
    <x v="0"/>
    <s v="JU-876/25-26"/>
    <n v="1664"/>
    <m/>
  </r>
  <r>
    <d v="2026-02-27T00:00:00"/>
    <x v="1412"/>
    <x v="0"/>
    <s v="JU-877/25-26"/>
    <n v="443"/>
    <m/>
  </r>
  <r>
    <d v="2026-02-27T00:00:00"/>
    <x v="1421"/>
    <x v="0"/>
    <s v="JU-878/25-26"/>
    <n v="13770"/>
    <m/>
  </r>
  <r>
    <d v="2026-02-27T00:00:00"/>
    <x v="958"/>
    <x v="0"/>
    <s v="JU-879/25-26"/>
    <n v="7620"/>
    <m/>
  </r>
  <r>
    <d v="2026-02-27T00:00:00"/>
    <x v="52"/>
    <x v="0"/>
    <s v="JU-880/25-26"/>
    <n v="37910"/>
    <m/>
  </r>
  <r>
    <d v="2026-02-27T00:00:00"/>
    <x v="52"/>
    <x v="0"/>
    <s v="JU-881/25-26"/>
    <n v="24143"/>
    <m/>
  </r>
  <r>
    <d v="2026-02-27T00:00:00"/>
    <x v="1296"/>
    <x v="1"/>
    <s v="J-5457/25-26"/>
    <n v="15500"/>
    <m/>
  </r>
  <r>
    <d v="2026-02-27T00:00:00"/>
    <x v="1422"/>
    <x v="1"/>
    <s v="J-5458/25-26"/>
    <n v="62695"/>
    <m/>
  </r>
  <r>
    <d v="2026-02-27T00:00:00"/>
    <x v="1404"/>
    <x v="1"/>
    <s v="J-5459/25-26"/>
    <n v="190"/>
    <m/>
  </r>
  <r>
    <d v="2026-02-27T00:00:00"/>
    <x v="11"/>
    <x v="1"/>
    <s v="J-5460/25-26"/>
    <n v="320"/>
    <m/>
  </r>
  <r>
    <d v="2026-02-27T00:00:00"/>
    <x v="485"/>
    <x v="1"/>
    <s v="J-5461/25-26"/>
    <n v="7815"/>
    <m/>
  </r>
  <r>
    <d v="2026-02-27T00:00:00"/>
    <x v="1349"/>
    <x v="1"/>
    <s v="J-5462/25-26"/>
    <n v="2450"/>
    <m/>
  </r>
  <r>
    <d v="2026-02-27T00:00:00"/>
    <x v="1225"/>
    <x v="1"/>
    <s v="J-5463/25-26"/>
    <n v="1920"/>
    <m/>
  </r>
  <r>
    <d v="2026-02-27T00:00:00"/>
    <x v="11"/>
    <x v="1"/>
    <s v="J-5464/25-26"/>
    <n v="310"/>
    <m/>
  </r>
  <r>
    <d v="2026-02-27T00:00:00"/>
    <x v="11"/>
    <x v="1"/>
    <s v="J-5465/25-26"/>
    <n v="640"/>
    <m/>
  </r>
  <r>
    <d v="2026-02-27T00:00:00"/>
    <x v="241"/>
    <x v="1"/>
    <s v="J-5466/25-26"/>
    <n v="21616"/>
    <m/>
  </r>
  <r>
    <d v="2026-02-27T00:00:00"/>
    <x v="637"/>
    <x v="1"/>
    <s v="J-5467/25-26"/>
    <n v="1604"/>
    <m/>
  </r>
  <r>
    <d v="2026-02-27T00:00:00"/>
    <x v="1423"/>
    <x v="1"/>
    <s v="J-5468/25-26"/>
    <n v="8634"/>
    <m/>
  </r>
  <r>
    <d v="2026-02-27T00:00:00"/>
    <x v="84"/>
    <x v="1"/>
    <s v="J-5469/25-26"/>
    <n v="1412"/>
    <m/>
  </r>
  <r>
    <d v="2026-02-27T00:00:00"/>
    <x v="1424"/>
    <x v="1"/>
    <s v="J-5470/25-26"/>
    <n v="8678"/>
    <m/>
  </r>
  <r>
    <d v="2026-02-27T00:00:00"/>
    <x v="885"/>
    <x v="1"/>
    <s v="J-5471/25-26"/>
    <n v="927"/>
    <m/>
  </r>
  <r>
    <d v="2026-02-27T00:00:00"/>
    <x v="20"/>
    <x v="1"/>
    <s v="J-5472/25-26"/>
    <n v="1708"/>
    <m/>
  </r>
  <r>
    <d v="2026-02-27T00:00:00"/>
    <x v="1349"/>
    <x v="1"/>
    <s v="J-5473/25-26"/>
    <n v="140"/>
    <m/>
  </r>
  <r>
    <d v="2026-02-28T00:00:00"/>
    <x v="64"/>
    <x v="0"/>
    <s v="JU-882/25-26"/>
    <n v="22146"/>
    <m/>
  </r>
  <r>
    <d v="2026-02-28T00:00:00"/>
    <x v="1315"/>
    <x v="1"/>
    <s v="J-5474/25-26"/>
    <n v="11932"/>
    <m/>
  </r>
  <r>
    <d v="2026-02-28T00:00:00"/>
    <x v="637"/>
    <x v="1"/>
    <s v="J-5475/25-26"/>
    <n v="640"/>
    <m/>
  </r>
  <r>
    <d v="2026-02-28T00:00:00"/>
    <x v="1425"/>
    <x v="1"/>
    <s v="J-5476/25-26"/>
    <n v="320"/>
    <m/>
  </r>
  <r>
    <d v="2026-02-28T00:00:00"/>
    <x v="1225"/>
    <x v="1"/>
    <s v="J-5477/25-26"/>
    <n v="258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6">
  <r>
    <s v="JAYAPRAKASH"/>
    <x v="0"/>
    <x v="0"/>
    <n v="0"/>
    <n v="3.0741341417410351E-2"/>
    <n v="6"/>
    <x v="0"/>
    <n v="1"/>
  </r>
  <r>
    <s v="FLAVOURNEST PRIVATE LIMITED"/>
    <x v="1"/>
    <x v="0"/>
    <n v="0"/>
    <n v="2.9463505677393656E-2"/>
    <n v="20"/>
    <x v="0"/>
    <n v="2"/>
  </r>
  <r>
    <s v="ST.ANTONY'S FORANE CHURCH"/>
    <x v="2"/>
    <x v="0"/>
    <n v="0"/>
    <n v="2.8390867670028585E-2"/>
    <n v="80"/>
    <x v="1"/>
    <n v="3"/>
  </r>
  <r>
    <s v="DREEM DECOR COCHIN"/>
    <x v="3"/>
    <x v="0"/>
    <n v="0"/>
    <n v="2.5907379544242291E-2"/>
    <n v="5"/>
    <x v="0"/>
    <n v="4"/>
  </r>
  <r>
    <s v="ABDUL SAMAD"/>
    <x v="4"/>
    <x v="0"/>
    <n v="0"/>
    <n v="2.4890034946812273E-2"/>
    <n v="8"/>
    <x v="0"/>
    <n v="5"/>
  </r>
  <r>
    <s v="Cash"/>
    <x v="5"/>
    <x v="0"/>
    <n v="0"/>
    <n v="2.2354012900558877E-2"/>
    <n v="2"/>
    <x v="0"/>
    <n v="6"/>
  </r>
  <r>
    <s v="VASU SRISHITY"/>
    <x v="6"/>
    <x v="0"/>
    <n v="0"/>
    <n v="1.8880741311938901E-2"/>
    <n v="5"/>
    <x v="0"/>
    <n v="7"/>
  </r>
  <r>
    <s v="PARACKAL METAL CRUSHERS LLP"/>
    <x v="7"/>
    <x v="1"/>
    <n v="87520"/>
    <n v="1.5936575631113718E-2"/>
    <n v="1"/>
    <x v="0"/>
    <n v="8"/>
  </r>
  <r>
    <s v="BINU KOLETH TRUSS"/>
    <x v="8"/>
    <x v="1"/>
    <n v="184305"/>
    <n v="1.4246213680761555E-2"/>
    <n v="3"/>
    <x v="0"/>
    <n v="9"/>
  </r>
  <r>
    <s v="RASHEED TRUSS ,  CHENGARA"/>
    <x v="9"/>
    <x v="1"/>
    <n v="188991"/>
    <n v="1.4164372113376627E-2"/>
    <n v="2"/>
    <x v="0"/>
    <n v="10"/>
  </r>
  <r>
    <s v="SIVASAKTHI CABLE TV NET WORK"/>
    <x v="10"/>
    <x v="1"/>
    <n v="278430"/>
    <n v="1.2602308958160974E-2"/>
    <n v="26"/>
    <x v="0"/>
    <n v="11"/>
  </r>
  <r>
    <s v="NIJU TRUSS , PATTIMATTAM"/>
    <x v="11"/>
    <x v="1"/>
    <n v="351752"/>
    <n v="1.1321731193799542E-2"/>
    <n v="41"/>
    <x v="0"/>
    <n v="12"/>
  </r>
  <r>
    <s v="PAUL ISSAC"/>
    <x v="12"/>
    <x v="1"/>
    <n v="398429"/>
    <n v="1.0506511637498587E-2"/>
    <n v="9"/>
    <x v="0"/>
    <n v="13"/>
  </r>
  <r>
    <s v="ELDHO CHILLIRIKKAL"/>
    <x v="13"/>
    <x v="1"/>
    <n v="437336"/>
    <n v="9.8269960885772507E-3"/>
    <n v="8"/>
    <x v="0"/>
    <n v="14"/>
  </r>
  <r>
    <s v="PRASANTH NAIR"/>
    <x v="14"/>
    <x v="1"/>
    <n v="460703"/>
    <n v="9.4188885544151495E-3"/>
    <n v="13"/>
    <x v="0"/>
    <n v="15"/>
  </r>
  <r>
    <s v="PRASANNAN TRUSS"/>
    <x v="15"/>
    <x v="2"/>
    <n v="23937"/>
    <n v="8.3144989530454256E-3"/>
    <n v="6"/>
    <x v="0"/>
    <n v="16"/>
  </r>
  <r>
    <s v="CHANDRASEKHAR M S"/>
    <x v="16"/>
    <x v="2"/>
    <n v="31795"/>
    <n v="8.1772580148228979E-3"/>
    <n v="12"/>
    <x v="0"/>
    <n v="17"/>
  </r>
  <r>
    <s v="SUNIL KANDOTH"/>
    <x v="17"/>
    <x v="2"/>
    <n v="48239"/>
    <n v="7.8900615286774112E-3"/>
    <n v="6"/>
    <x v="0"/>
    <n v="18"/>
  </r>
  <r>
    <s v="NARAYANAN GOPI.V"/>
    <x v="18"/>
    <x v="2"/>
    <n v="58134"/>
    <n v="7.7172441344661741E-3"/>
    <n v="24"/>
    <x v="0"/>
    <n v="19"/>
  </r>
  <r>
    <s v="VOLGA ENGINEERS AND CONTRACTORS"/>
    <x v="19"/>
    <x v="2"/>
    <n v="66428"/>
    <n v="7.5723884025219587E-3"/>
    <n v="2"/>
    <x v="0"/>
    <n v="20"/>
  </r>
  <r>
    <s v="ANOOP SOPANAM"/>
    <x v="20"/>
    <x v="2"/>
    <n v="74203"/>
    <n v="7.4365970695262663E-3"/>
    <n v="5"/>
    <x v="0"/>
    <n v="21"/>
  </r>
  <r>
    <s v="PRADEEP HARIDAS"/>
    <x v="21"/>
    <x v="2"/>
    <n v="95625"/>
    <n v="7.0624592000171071E-3"/>
    <n v="3"/>
    <x v="0"/>
    <n v="22"/>
  </r>
  <r>
    <s v="FLAVOURFAVE (P) LTD"/>
    <x v="22"/>
    <x v="2"/>
    <n v="110461"/>
    <n v="6.8033466320011468E-3"/>
    <n v="6"/>
    <x v="0"/>
    <n v="23"/>
  </r>
  <r>
    <s v="RAJENDRAN.P.K"/>
    <x v="23"/>
    <x v="2"/>
    <n v="122586"/>
    <n v="6.5915820130207272E-3"/>
    <n v="9"/>
    <x v="0"/>
    <n v="24"/>
  </r>
  <r>
    <s v="JITHIN V J"/>
    <x v="24"/>
    <x v="2"/>
    <n v="147032"/>
    <n v="6.1646296109097703E-3"/>
    <n v="2"/>
    <x v="0"/>
    <n v="25"/>
  </r>
  <r>
    <s v="ADV: ALIAS MAMBAKKADAN"/>
    <x v="25"/>
    <x v="2"/>
    <n v="149706"/>
    <n v="6.1179278714331804E-3"/>
    <n v="50"/>
    <x v="0"/>
    <n v="26"/>
  </r>
  <r>
    <s v="KURIAN VARGHESE"/>
    <x v="26"/>
    <x v="2"/>
    <n v="153917"/>
    <n v="6.0443822375753214E-3"/>
    <n v="29"/>
    <x v="0"/>
    <n v="27"/>
  </r>
  <r>
    <s v="SURESH KANINAD"/>
    <x v="27"/>
    <x v="2"/>
    <n v="160438"/>
    <n v="5.9304921690910882E-3"/>
    <n v="4"/>
    <x v="0"/>
    <n v="28"/>
  </r>
  <r>
    <s v="DE FRAMES"/>
    <x v="28"/>
    <x v="2"/>
    <n v="161682"/>
    <n v="5.9087655558117775E-3"/>
    <n v="93"/>
    <x v="1"/>
    <n v="29"/>
  </r>
  <r>
    <s v="SAJI , TRUSS KILIKULAM"/>
    <x v="29"/>
    <x v="2"/>
    <n v="166494"/>
    <n v="5.8247233829017749E-3"/>
    <n v="8"/>
    <x v="0"/>
    <n v="30"/>
  </r>
  <r>
    <s v="SIJU KURIAN"/>
    <x v="30"/>
    <x v="2"/>
    <n v="173008"/>
    <n v="5.7109555702800465E-3"/>
    <n v="288"/>
    <x v="2"/>
    <n v="31"/>
  </r>
  <r>
    <s v="MATHEW KURUMOLATH VARKEY"/>
    <x v="31"/>
    <x v="2"/>
    <n v="193228"/>
    <n v="5.3578107788751729E-3"/>
    <n v="6"/>
    <x v="0"/>
    <n v="32"/>
  </r>
  <r>
    <s v="NAVAS K M"/>
    <x v="32"/>
    <x v="2"/>
    <n v="194068"/>
    <n v="5.3431400753746732E-3"/>
    <n v="3"/>
    <x v="0"/>
    <n v="33"/>
  </r>
  <r>
    <s v="ECO RUBBER PRODUCTS"/>
    <x v="33"/>
    <x v="2"/>
    <n v="203745"/>
    <n v="5.1741300780242796E-3"/>
    <n v="179"/>
    <x v="2"/>
    <n v="34"/>
  </r>
  <r>
    <s v="ST THOMAS EVANGALICAL CHURCH"/>
    <x v="34"/>
    <x v="2"/>
    <n v="203946"/>
    <n v="5.1706195882580885E-3"/>
    <n v="4"/>
    <x v="0"/>
    <n v="35"/>
  </r>
  <r>
    <s v="KOTTARAM BUILDERS AND DEVELOPERS"/>
    <x v="35"/>
    <x v="2"/>
    <n v="208990"/>
    <n v="5.0825255067622338E-3"/>
    <n v="12"/>
    <x v="0"/>
    <n v="36"/>
  </r>
  <r>
    <s v="RAHUL JOSEPH"/>
    <x v="36"/>
    <x v="2"/>
    <n v="214373"/>
    <n v="4.9885107484965345E-3"/>
    <n v="10"/>
    <x v="0"/>
    <n v="37"/>
  </r>
  <r>
    <s v="ELDHO GEORGE"/>
    <x v="37"/>
    <x v="2"/>
    <n v="218156"/>
    <n v="4.9224401873746437E-3"/>
    <n v="23"/>
    <x v="0"/>
    <n v="38"/>
  </r>
  <r>
    <s v="ESS BEE PLYWOOD INDUSTRIES"/>
    <x v="38"/>
    <x v="2"/>
    <n v="235391"/>
    <n v="4.6214287887661864E-3"/>
    <n v="9"/>
    <x v="0"/>
    <n v="39"/>
  </r>
  <r>
    <s v="VINCENT VILLA"/>
    <x v="39"/>
    <x v="2"/>
    <n v="243288"/>
    <n v="4.4835067107382789E-3"/>
    <n v="144"/>
    <x v="2"/>
    <n v="40"/>
  </r>
  <r>
    <s v="NAUFAL ARAKKAPADY"/>
    <x v="40"/>
    <x v="2"/>
    <n v="247500"/>
    <n v="4.4099436117572043E-3"/>
    <n v="46"/>
    <x v="0"/>
    <n v="41"/>
  </r>
  <r>
    <s v="ST.THOMAS MAR THOMA CHURCH"/>
    <x v="41"/>
    <x v="2"/>
    <n v="250070"/>
    <n v="4.3650582450949623E-3"/>
    <n v="207"/>
    <x v="2"/>
    <n v="42"/>
  </r>
  <r>
    <s v="MUJEEB .O.M."/>
    <x v="42"/>
    <x v="2"/>
    <n v="254823"/>
    <n v="4.282046514454638E-3"/>
    <n v="74"/>
    <x v="1"/>
    <n v="43"/>
  </r>
  <r>
    <s v="ST.GEORGE JACOBITE CHURCH, CHOORAKODU"/>
    <x v="43"/>
    <x v="2"/>
    <n v="268635"/>
    <n v="4.0408182326107153E-3"/>
    <n v="5"/>
    <x v="0"/>
    <n v="44"/>
  </r>
  <r>
    <s v="AJI TRUSS"/>
    <x v="44"/>
    <x v="2"/>
    <n v="272211"/>
    <n v="3.9783629519943046E-3"/>
    <n v="11"/>
    <x v="0"/>
    <n v="45"/>
  </r>
  <r>
    <s v="LEELA PATHROSE"/>
    <x v="45"/>
    <x v="2"/>
    <n v="274093"/>
    <n v="3.9454935901039002E-3"/>
    <n v="69"/>
    <x v="1"/>
    <n v="46"/>
  </r>
  <r>
    <s v="VINCY TOMY"/>
    <x v="46"/>
    <x v="2"/>
    <n v="276476"/>
    <n v="3.9038742014828411E-3"/>
    <n v="44"/>
    <x v="0"/>
    <n v="47"/>
  </r>
  <r>
    <s v="VISWAN CHENGRA"/>
    <x v="47"/>
    <x v="2"/>
    <n v="277541"/>
    <n v="3.8852738452589937E-3"/>
    <n v="16"/>
    <x v="0"/>
    <n v="48"/>
  </r>
  <r>
    <s v="CHANDRAN DOUBLE PALAM"/>
    <x v="48"/>
    <x v="2"/>
    <n v="281455"/>
    <n v="3.8169153529959534E-3"/>
    <n v="6"/>
    <x v="0"/>
    <n v="49"/>
  </r>
  <r>
    <s v="SREELAL PALLIKKARA"/>
    <x v="49"/>
    <x v="2"/>
    <n v="282091"/>
    <n v="3.8058075346312898E-3"/>
    <n v="120"/>
    <x v="1"/>
    <n v="50"/>
  </r>
  <r>
    <s v="SHAMBO MAHADEVA"/>
    <x v="50"/>
    <x v="2"/>
    <n v="296143"/>
    <n v="3.5603876232157957E-3"/>
    <n v="12"/>
    <x v="0"/>
    <n v="51"/>
  </r>
  <r>
    <s v="JOHNY KANDANALIL"/>
    <x v="51"/>
    <x v="2"/>
    <n v="296736"/>
    <n v="3.5500308051493717E-3"/>
    <n v="22"/>
    <x v="0"/>
    <n v="52"/>
  </r>
  <r>
    <s v="AKHIL EZHIPPURAM"/>
    <x v="52"/>
    <x v="2"/>
    <n v="297919"/>
    <n v="3.529369564386169E-3"/>
    <n v="36"/>
    <x v="0"/>
    <n v="53"/>
  </r>
  <r>
    <s v="JANATHA TRADERS"/>
    <x v="53"/>
    <x v="2"/>
    <n v="301500"/>
    <n v="3.4668269581536832E-3"/>
    <n v="288"/>
    <x v="2"/>
    <n v="54"/>
  </r>
  <r>
    <s v="AUGUR COMPUTERS PVT LTD"/>
    <x v="54"/>
    <x v="2"/>
    <n v="305413"/>
    <n v="3.3984859310138577E-3"/>
    <n v="2"/>
    <x v="0"/>
    <n v="55"/>
  </r>
  <r>
    <s v="JOBY JOHNY"/>
    <x v="55"/>
    <x v="2"/>
    <n v="306952"/>
    <n v="3.3716071063861577E-3"/>
    <n v="50"/>
    <x v="0"/>
    <n v="56"/>
  </r>
  <r>
    <s v="VALLUVASSERY BUILDERS PVT. LTD"/>
    <x v="56"/>
    <x v="2"/>
    <n v="307707"/>
    <n v="3.3584209383589231E-3"/>
    <n v="227"/>
    <x v="2"/>
    <n v="57"/>
  </r>
  <r>
    <s v="VIJEESH (RASHEED TRUSS)"/>
    <x v="57"/>
    <x v="2"/>
    <n v="313451"/>
    <n v="3.2581012706126523E-3"/>
    <n v="145"/>
    <x v="2"/>
    <n v="58"/>
  </r>
  <r>
    <s v="KERAWA EVENTS"/>
    <x v="58"/>
    <x v="2"/>
    <n v="317376"/>
    <n v="3.1895506619942482E-3"/>
    <n v="68"/>
    <x v="1"/>
    <n v="59"/>
  </r>
  <r>
    <s v="JAMAL MANNAMKUZHY"/>
    <x v="59"/>
    <x v="2"/>
    <n v="321106"/>
    <n v="3.1244057524027458E-3"/>
    <n v="19"/>
    <x v="0"/>
    <n v="60"/>
  </r>
  <r>
    <s v="RENJITH KILIKULAM"/>
    <x v="60"/>
    <x v="2"/>
    <n v="321622"/>
    <n v="3.1153937488238677E-3"/>
    <n v="18"/>
    <x v="0"/>
    <n v="61"/>
  </r>
  <r>
    <s v="THE LEGENDRY MOTORS"/>
    <x v="61"/>
    <x v="2"/>
    <n v="322393"/>
    <n v="3.1019281388251952E-3"/>
    <n v="213"/>
    <x v="2"/>
    <n v="62"/>
  </r>
  <r>
    <s v="AYYAPPAN CNTR"/>
    <x v="62"/>
    <x v="2"/>
    <n v="324178"/>
    <n v="3.0707528938866344E-3"/>
    <n v="18"/>
    <x v="0"/>
    <n v="63"/>
  </r>
  <r>
    <s v="JIJO TRUSS"/>
    <x v="63"/>
    <x v="2"/>
    <n v="325883"/>
    <n v="3.040974858805264E-3"/>
    <n v="52"/>
    <x v="0"/>
    <n v="64"/>
  </r>
  <r>
    <s v="MUHAMMED AJFER"/>
    <x v="64"/>
    <x v="2"/>
    <n v="327006"/>
    <n v="3.0213615254349535E-3"/>
    <n v="20"/>
    <x v="0"/>
    <n v="65"/>
  </r>
  <r>
    <s v="ANOOP PATTIMATTOM"/>
    <x v="65"/>
    <x v="2"/>
    <n v="327715"/>
    <n v="3.0089787530756039E-3"/>
    <n v="311"/>
    <x v="2"/>
    <n v="66"/>
  </r>
  <r>
    <s v="BALACHANDRAN ANISSERIMARIYIL"/>
    <x v="66"/>
    <x v="2"/>
    <n v="330998"/>
    <n v="2.9516407535611529E-3"/>
    <n v="62"/>
    <x v="1"/>
    <n v="67"/>
  </r>
  <r>
    <s v="ST.MARYS ENGINEERING WORKS"/>
    <x v="67"/>
    <x v="2"/>
    <n v="335129"/>
    <n v="2.8794923295604835E-3"/>
    <n v="9"/>
    <x v="0"/>
    <n v="68"/>
  </r>
  <r>
    <s v="NAUSHAD , NJATTUMKALAYIL APE"/>
    <x v="68"/>
    <x v="2"/>
    <n v="335763"/>
    <n v="2.8684194414422496E-3"/>
    <n v="8"/>
    <x v="0"/>
    <n v="69"/>
  </r>
  <r>
    <s v="BINDU MANI"/>
    <x v="69"/>
    <x v="2"/>
    <n v="337857"/>
    <n v="2.8318474734302908E-3"/>
    <n v="74"/>
    <x v="1"/>
    <n v="70"/>
  </r>
  <r>
    <s v="SANDEEP KRISHNAN"/>
    <x v="70"/>
    <x v="2"/>
    <n v="338839"/>
    <n v="2.8146967224332783E-3"/>
    <n v="46"/>
    <x v="0"/>
    <n v="71"/>
  </r>
  <r>
    <s v="SABU S I"/>
    <x v="71"/>
    <x v="2"/>
    <n v="339461"/>
    <n v="2.803833415793623E-3"/>
    <n v="12"/>
    <x v="0"/>
    <n v="72"/>
  </r>
  <r>
    <s v="N &amp; S CONSTRUCTIONS"/>
    <x v="72"/>
    <x v="2"/>
    <n v="339744"/>
    <n v="2.7988907859238122E-3"/>
    <n v="4"/>
    <x v="0"/>
    <n v="73"/>
  </r>
  <r>
    <s v="SAJAD, KAMMATTOM"/>
    <x v="73"/>
    <x v="2"/>
    <n v="340559"/>
    <n v="2.7846567105036849E-3"/>
    <n v="102"/>
    <x v="1"/>
    <n v="74"/>
  </r>
  <r>
    <s v="M J JOY &amp; COMPANY"/>
    <x v="74"/>
    <x v="2"/>
    <n v="342620"/>
    <n v="2.7486610915578172E-3"/>
    <n v="244"/>
    <x v="2"/>
    <n v="75"/>
  </r>
  <r>
    <s v="ALIAS C.I"/>
    <x v="75"/>
    <x v="2"/>
    <n v="345964"/>
    <n v="2.6902577195272582E-3"/>
    <n v="41"/>
    <x v="0"/>
    <n v="76"/>
  </r>
  <r>
    <s v="V &amp; V ENTERPRISES"/>
    <x v="76"/>
    <x v="2"/>
    <n v="348610"/>
    <n v="2.6440450035006857E-3"/>
    <n v="92"/>
    <x v="1"/>
    <n v="77"/>
  </r>
  <r>
    <s v="VINSON KURIAN"/>
    <x v="77"/>
    <x v="2"/>
    <n v="353943"/>
    <n v="2.5509035013957307E-3"/>
    <n v="192"/>
    <x v="2"/>
    <n v="78"/>
  </r>
  <r>
    <s v="JOHNY WORKSHOP"/>
    <x v="78"/>
    <x v="2"/>
    <n v="354744"/>
    <n v="2.5369139377006116E-3"/>
    <n v="3"/>
    <x v="0"/>
    <n v="79"/>
  </r>
  <r>
    <s v="J K ENGINEERING WORKS"/>
    <x v="79"/>
    <x v="2"/>
    <n v="355768"/>
    <n v="2.5190296515285745E-3"/>
    <n v="208"/>
    <x v="2"/>
    <n v="80"/>
  </r>
  <r>
    <s v="DOYD INTERIORS AND CONTRACTORS"/>
    <x v="80"/>
    <x v="2"/>
    <n v="356044"/>
    <n v="2.5142092775212676E-3"/>
    <n v="128"/>
    <x v="2"/>
    <n v="81"/>
  </r>
  <r>
    <s v="APPU PULIKAYATH"/>
    <x v="81"/>
    <x v="2"/>
    <n v="356416"/>
    <n v="2.5077122516853323E-3"/>
    <n v="218"/>
    <x v="2"/>
    <n v="82"/>
  </r>
  <r>
    <s v="SURESH KUMAR P C"/>
    <x v="82"/>
    <x v="2"/>
    <n v="356572"/>
    <n v="2.5049876924638113E-3"/>
    <n v="204"/>
    <x v="2"/>
    <n v="83"/>
  </r>
  <r>
    <s v="GLAZE INTERIO"/>
    <x v="83"/>
    <x v="2"/>
    <n v="358703"/>
    <n v="2.4677695148929016E-3"/>
    <n v="2"/>
    <x v="0"/>
    <n v="84"/>
  </r>
  <r>
    <s v="THULASIDAS"/>
    <x v="84"/>
    <x v="2"/>
    <n v="359461"/>
    <n v="2.4545309514960229E-3"/>
    <n v="15"/>
    <x v="0"/>
    <n v="85"/>
  </r>
  <r>
    <s v="NISHAD IBRAHIM"/>
    <x v="85"/>
    <x v="2"/>
    <n v="359596"/>
    <n v="2.452173159862014E-3"/>
    <n v="26"/>
    <x v="0"/>
    <n v="86"/>
  </r>
  <r>
    <s v="SUDHEER KAREKKATTIL"/>
    <x v="86"/>
    <x v="2"/>
    <n v="362332"/>
    <n v="2.4043885827461022E-3"/>
    <n v="302"/>
    <x v="2"/>
    <n v="87"/>
  </r>
  <r>
    <s v="JOMON MOOSARIPADY"/>
    <x v="87"/>
    <x v="2"/>
    <n v="365569"/>
    <n v="2.3478539788995357E-3"/>
    <n v="3"/>
    <x v="0"/>
    <n v="88"/>
  </r>
  <r>
    <s v="ST.JOSEPH CHURCH"/>
    <x v="88"/>
    <x v="2"/>
    <n v="366681"/>
    <n v="2.3284327618845889E-3"/>
    <n v="16"/>
    <x v="0"/>
    <n v="89"/>
  </r>
  <r>
    <s v="GEORGE , MECHENGARA"/>
    <x v="89"/>
    <x v="2"/>
    <n v="367709"/>
    <n v="2.3104786152196924E-3"/>
    <n v="157"/>
    <x v="2"/>
    <n v="90"/>
  </r>
  <r>
    <s v="LINO AKKAMBARA"/>
    <x v="90"/>
    <x v="2"/>
    <n v="369769"/>
    <n v="2.2745004613970395E-3"/>
    <n v="62"/>
    <x v="1"/>
    <n v="91"/>
  </r>
  <r>
    <s v="ANEESH M A"/>
    <x v="91"/>
    <x v="2"/>
    <n v="372763"/>
    <n v="2.2222098824916888E-3"/>
    <n v="57"/>
    <x v="0"/>
    <n v="92"/>
  </r>
  <r>
    <s v="ST.MARY'S CHURCH VALAMBOOR"/>
    <x v="92"/>
    <x v="2"/>
    <n v="373228"/>
    <n v="2.2140886001967694E-3"/>
    <n v="55"/>
    <x v="0"/>
    <n v="93"/>
  </r>
  <r>
    <s v="ARUN C THATTAMUGAL"/>
    <x v="93"/>
    <x v="2"/>
    <n v="373795"/>
    <n v="2.2041858753339325E-3"/>
    <n v="27"/>
    <x v="0"/>
    <n v="94"/>
  </r>
  <r>
    <s v="SREEKUMAR KANINAD"/>
    <x v="94"/>
    <x v="2"/>
    <n v="374832"/>
    <n v="2.186074542560102E-3"/>
    <n v="264"/>
    <x v="2"/>
    <n v="95"/>
  </r>
  <r>
    <s v="ANSAR , THANDAKKALA"/>
    <x v="95"/>
    <x v="2"/>
    <n v="376515"/>
    <n v="2.156680740189459E-3"/>
    <n v="78"/>
    <x v="1"/>
    <n v="96"/>
  </r>
  <r>
    <s v="VINOD HITACHI"/>
    <x v="96"/>
    <x v="2"/>
    <n v="376676"/>
    <n v="2.1538688553518633E-3"/>
    <n v="5"/>
    <x v="0"/>
    <n v="97"/>
  </r>
  <r>
    <s v="SUKUMARAN PULINCHODE"/>
    <x v="97"/>
    <x v="2"/>
    <n v="377094"/>
    <n v="2.1465684338480436E-3"/>
    <n v="199"/>
    <x v="2"/>
    <n v="98"/>
  </r>
  <r>
    <s v="SHIBIN THURUTHEPARAMBU"/>
    <x v="98"/>
    <x v="2"/>
    <n v="378083"/>
    <n v="2.1292954269885272E-3"/>
    <n v="18"/>
    <x v="0"/>
    <n v="99"/>
  </r>
  <r>
    <s v="AMEERKHAN K P"/>
    <x v="99"/>
    <x v="2"/>
    <n v="383200"/>
    <n v="2.039926391497986E-3"/>
    <n v="187"/>
    <x v="2"/>
    <n v="100"/>
  </r>
  <r>
    <s v="MATTAKKATTIL FUELS"/>
    <x v="100"/>
    <x v="2"/>
    <n v="383328"/>
    <n v="2.0376908557264814E-3"/>
    <n v="152"/>
    <x v="2"/>
    <n v="101"/>
  </r>
  <r>
    <s v="SAKKEER PLAPPILLY APE"/>
    <x v="101"/>
    <x v="2"/>
    <n v="384364"/>
    <n v="2.0195969880758657E-3"/>
    <n v="9"/>
    <x v="0"/>
    <n v="102"/>
  </r>
  <r>
    <s v="PADMAN"/>
    <x v="102"/>
    <x v="2"/>
    <n v="385606"/>
    <n v="1.9979053050429847E-3"/>
    <n v="2"/>
    <x v="0"/>
    <n v="103"/>
  </r>
  <r>
    <s v="GRACE ENGINEERING WORKS"/>
    <x v="103"/>
    <x v="2"/>
    <n v="386152"/>
    <n v="1.9883693477676604E-3"/>
    <n v="23"/>
    <x v="0"/>
    <n v="104"/>
  </r>
  <r>
    <s v="RAJU EMBASSERY"/>
    <x v="104"/>
    <x v="2"/>
    <n v="386870"/>
    <n v="1.9758293892993763E-3"/>
    <n v="200"/>
    <x v="2"/>
    <n v="105"/>
  </r>
  <r>
    <s v="NISSAR , PASSENGER"/>
    <x v="105"/>
    <x v="2"/>
    <n v="387259"/>
    <n v="1.9690354563687879E-3"/>
    <n v="145"/>
    <x v="2"/>
    <n v="106"/>
  </r>
  <r>
    <s v="SHIBU CREATIVE"/>
    <x v="106"/>
    <x v="2"/>
    <n v="388142"/>
    <n v="1.9536137525700491E-3"/>
    <n v="25"/>
    <x v="0"/>
    <n v="107"/>
  </r>
  <r>
    <s v="MAKKAR.M.P"/>
    <x v="107"/>
    <x v="2"/>
    <n v="388424"/>
    <n v="1.9486885878234527E-3"/>
    <n v="129"/>
    <x v="2"/>
    <n v="108"/>
  </r>
  <r>
    <s v="RAPHEL, THATTAMUGAL"/>
    <x v="108"/>
    <x v="2"/>
    <n v="388928"/>
    <n v="1.9398861657231533E-3"/>
    <n v="85"/>
    <x v="1"/>
    <n v="109"/>
  </r>
  <r>
    <s v="HI TECH COMPANY"/>
    <x v="109"/>
    <x v="2"/>
    <n v="390306"/>
    <n v="1.9158192259330486E-3"/>
    <n v="6"/>
    <x v="0"/>
    <n v="110"/>
  </r>
  <r>
    <s v="SANTHOSH, CHENGARA"/>
    <x v="110"/>
    <x v="2"/>
    <n v="391585"/>
    <n v="1.8934813333412171E-3"/>
    <n v="128"/>
    <x v="2"/>
    <n v="111"/>
  </r>
  <r>
    <s v="EBY PUNNACHALIL"/>
    <x v="111"/>
    <x v="2"/>
    <n v="393187"/>
    <n v="1.8655022059509794E-3"/>
    <n v="22"/>
    <x v="0"/>
    <n v="112"/>
  </r>
  <r>
    <s v="SONEUR ENERGY PRIVATE LTD."/>
    <x v="112"/>
    <x v="2"/>
    <n v="394385"/>
    <n v="1.8445789883395529E-3"/>
    <n v="300"/>
    <x v="2"/>
    <n v="113"/>
  </r>
  <r>
    <s v="AGUL MAZHUVANOOR"/>
    <x v="113"/>
    <x v="2"/>
    <n v="396418"/>
    <n v="1.8090723928437019E-3"/>
    <n v="18"/>
    <x v="0"/>
    <n v="114"/>
  </r>
  <r>
    <s v="BABU CHOLLAPPILLY"/>
    <x v="114"/>
    <x v="2"/>
    <n v="396555"/>
    <n v="1.8066796709632633E-3"/>
    <n v="40"/>
    <x v="0"/>
    <n v="115"/>
  </r>
  <r>
    <s v="VIJESH T V"/>
    <x v="115"/>
    <x v="2"/>
    <n v="396925"/>
    <n v="1.8002175753737578E-3"/>
    <n v="192"/>
    <x v="2"/>
    <n v="116"/>
  </r>
  <r>
    <s v="JOE EQUIPEMENT"/>
    <x v="116"/>
    <x v="2"/>
    <n v="398723"/>
    <n v="1.7688152838334036E-3"/>
    <n v="65"/>
    <x v="1"/>
    <n v="117"/>
  </r>
  <r>
    <s v="CHANDRA CHOODAN"/>
    <x v="117"/>
    <x v="2"/>
    <n v="398892"/>
    <n v="1.7658636780100887E-3"/>
    <n v="226"/>
    <x v="2"/>
    <n v="118"/>
  </r>
  <r>
    <s v="SANGEETHA PRASAD"/>
    <x v="118"/>
    <x v="2"/>
    <n v="399224"/>
    <n v="1.7600652571027487E-3"/>
    <n v="225"/>
    <x v="2"/>
    <n v="119"/>
  </r>
  <r>
    <s v="JAMAL TRUSS"/>
    <x v="119"/>
    <x v="2"/>
    <n v="399822"/>
    <n v="1.7496211134202504E-3"/>
    <n v="38"/>
    <x v="0"/>
    <n v="120"/>
  </r>
  <r>
    <s v="ALI PATTIMATTOM"/>
    <x v="120"/>
    <x v="3"/>
    <n v="1011"/>
    <n v="1.728855081917758E-3"/>
    <n v="5"/>
    <x v="0"/>
    <n v="121"/>
  </r>
  <r>
    <s v="RUPA ENTERPRISES"/>
    <x v="121"/>
    <x v="3"/>
    <n v="1851"/>
    <n v="1.7141843784172588E-3"/>
    <n v="108"/>
    <x v="1"/>
    <n v="122"/>
  </r>
  <r>
    <s v="BENNY POKKATTILL"/>
    <x v="122"/>
    <x v="3"/>
    <n v="2037"/>
    <n v="1.7109358654992912E-3"/>
    <n v="13"/>
    <x v="0"/>
    <n v="123"/>
  </r>
  <r>
    <s v="LIJU TRUSS"/>
    <x v="123"/>
    <x v="3"/>
    <n v="2299"/>
    <n v="1.7063600032169925E-3"/>
    <n v="8"/>
    <x v="0"/>
    <n v="124"/>
  </r>
  <r>
    <s v="YADU DAMODARAN NAMBOORI"/>
    <x v="124"/>
    <x v="3"/>
    <n v="2360"/>
    <n v="1.705294630700885E-3"/>
    <n v="20"/>
    <x v="0"/>
    <n v="125"/>
  </r>
  <r>
    <s v="PADMANABHAN VALAMBOOR"/>
    <x v="125"/>
    <x v="3"/>
    <n v="2629"/>
    <n v="1.7005965125560822E-3"/>
    <n v="76"/>
    <x v="1"/>
    <n v="126"/>
  </r>
  <r>
    <s v="NEETHU GANGADHARAN"/>
    <x v="126"/>
    <x v="3"/>
    <n v="3252"/>
    <n v="1.689715740793212E-3"/>
    <n v="197"/>
    <x v="2"/>
    <n v="127"/>
  </r>
  <r>
    <s v="SIRAJ TRUSS ,  DOUBLEPALM"/>
    <x v="127"/>
    <x v="3"/>
    <n v="3413"/>
    <n v="1.6869038559556163E-3"/>
    <n v="3"/>
    <x v="0"/>
    <n v="128"/>
  </r>
  <r>
    <s v="JACOB CHEENIKUZHI"/>
    <x v="128"/>
    <x v="3"/>
    <n v="4170"/>
    <n v="1.673682757681952E-3"/>
    <n v="239"/>
    <x v="2"/>
    <n v="129"/>
  </r>
  <r>
    <s v="RAYAN ENGINEERING"/>
    <x v="129"/>
    <x v="3"/>
    <n v="4517"/>
    <n v="1.6676223599263887E-3"/>
    <n v="90"/>
    <x v="1"/>
    <n v="130"/>
  </r>
  <r>
    <s v="SHIJO AUTO  CONSULTANT"/>
    <x v="130"/>
    <x v="3"/>
    <n v="4546"/>
    <n v="1.6671158713531572E-3"/>
    <n v="88"/>
    <x v="1"/>
    <n v="131"/>
  </r>
  <r>
    <s v="BIJU PURUSHOTHAMAN"/>
    <x v="131"/>
    <x v="3"/>
    <n v="4792"/>
    <n v="1.6628194510422967E-3"/>
    <n v="102"/>
    <x v="1"/>
    <n v="132"/>
  </r>
  <r>
    <s v="APPU MECHERY"/>
    <x v="132"/>
    <x v="3"/>
    <n v="4969"/>
    <n v="1.6597281242332629E-3"/>
    <n v="30"/>
    <x v="0"/>
    <n v="133"/>
  </r>
  <r>
    <s v="S AND S ENGINEERING WORKS"/>
    <x v="133"/>
    <x v="3"/>
    <n v="5398"/>
    <n v="1.6522355863740794E-3"/>
    <n v="3"/>
    <x v="0"/>
    <n v="134"/>
  </r>
  <r>
    <s v="PRADEEP PULICKAN"/>
    <x v="134"/>
    <x v="3"/>
    <n v="8139"/>
    <n v="1.6043636836420932E-3"/>
    <n v="93"/>
    <x v="1"/>
    <n v="135"/>
  </r>
  <r>
    <s v="ANIL KUMAR IRAPURAM"/>
    <x v="135"/>
    <x v="3"/>
    <n v="9642"/>
    <n v="1.5781136034501285E-3"/>
    <n v="120"/>
    <x v="1"/>
    <n v="136"/>
  </r>
  <r>
    <s v="REJI PPK"/>
    <x v="136"/>
    <x v="3"/>
    <n v="11995"/>
    <n v="1.5370181685255158E-3"/>
    <n v="1"/>
    <x v="0"/>
    <n v="137"/>
  </r>
  <r>
    <s v="MANOJ , THATTAMUKAL"/>
    <x v="137"/>
    <x v="3"/>
    <n v="12015"/>
    <n v="1.5366688660612183E-3"/>
    <n v="155"/>
    <x v="2"/>
    <n v="138"/>
  </r>
  <r>
    <s v="JOSE , KOTTAYIL"/>
    <x v="138"/>
    <x v="3"/>
    <n v="13402"/>
    <n v="1.5124447401621798E-3"/>
    <n v="219"/>
    <x v="2"/>
    <n v="139"/>
  </r>
  <r>
    <s v="PLATINUM DEVELOPERS"/>
    <x v="139"/>
    <x v="3"/>
    <n v="13453"/>
    <n v="1.5115540188782208E-3"/>
    <n v="75"/>
    <x v="1"/>
    <n v="140"/>
  </r>
  <r>
    <s v="MARIYA STEELS"/>
    <x v="140"/>
    <x v="3"/>
    <n v="13944"/>
    <n v="1.5029786433797148E-3"/>
    <n v="10"/>
    <x v="0"/>
    <n v="141"/>
  </r>
  <r>
    <s v="HAMEED TRUSS"/>
    <x v="141"/>
    <x v="3"/>
    <n v="14107"/>
    <n v="1.5001318282956892E-3"/>
    <n v="128"/>
    <x v="2"/>
    <n v="142"/>
  </r>
  <r>
    <s v="RADHAKRISHNAN.K"/>
    <x v="142"/>
    <x v="3"/>
    <n v="14449"/>
    <n v="1.4941587561562004E-3"/>
    <n v="13"/>
    <x v="0"/>
    <n v="143"/>
  </r>
  <r>
    <s v="ABY THOMAS"/>
    <x v="143"/>
    <x v="3"/>
    <n v="16409"/>
    <n v="1.4599271146550354E-3"/>
    <n v="174"/>
    <x v="2"/>
    <n v="144"/>
  </r>
  <r>
    <s v="MERIN ANN PAUL"/>
    <x v="144"/>
    <x v="3"/>
    <n v="16842"/>
    <n v="1.4523647163029924E-3"/>
    <n v="27"/>
    <x v="0"/>
    <n v="145"/>
  </r>
  <r>
    <s v="NIBU RAMAKRISHNAN"/>
    <x v="145"/>
    <x v="3"/>
    <n v="16995"/>
    <n v="1.4496925524511159E-3"/>
    <n v="243"/>
    <x v="2"/>
    <n v="146"/>
  </r>
  <r>
    <s v="ZION BRICKS"/>
    <x v="146"/>
    <x v="3"/>
    <n v="17125"/>
    <n v="1.4474220864331814E-3"/>
    <n v="166"/>
    <x v="2"/>
    <n v="147"/>
  </r>
  <r>
    <s v="JOBIN BABY"/>
    <x v="147"/>
    <x v="3"/>
    <n v="17636"/>
    <n v="1.4384974084703777E-3"/>
    <n v="4"/>
    <x v="0"/>
    <n v="148"/>
  </r>
  <r>
    <s v="BIJU KUMMANODE"/>
    <x v="148"/>
    <x v="3"/>
    <n v="19516"/>
    <n v="1.4056629768264034E-3"/>
    <n v="197"/>
    <x v="2"/>
    <n v="149"/>
  </r>
  <r>
    <s v="SAJU PARAYIL"/>
    <x v="149"/>
    <x v="3"/>
    <n v="20286"/>
    <n v="1.3922148319509458E-3"/>
    <n v="1"/>
    <x v="0"/>
    <n v="150"/>
  </r>
  <r>
    <s v="MANI RUBBER PARK, IRAPURAM"/>
    <x v="150"/>
    <x v="3"/>
    <n v="20880"/>
    <n v="1.3818405487613071E-3"/>
    <n v="90"/>
    <x v="1"/>
    <n v="151"/>
  </r>
  <r>
    <s v="SREEKUMAR VALETHUPADY"/>
    <x v="151"/>
    <x v="3"/>
    <n v="21296"/>
    <n v="1.3745750575039168E-3"/>
    <n v="3"/>
    <x v="0"/>
    <n v="152"/>
  </r>
  <r>
    <s v="SIYAD PASSENGER"/>
    <x v="152"/>
    <x v="3"/>
    <n v="21651"/>
    <n v="1.3683749387626346E-3"/>
    <n v="130"/>
    <x v="2"/>
    <n v="153"/>
  </r>
  <r>
    <s v="THOMAS T M"/>
    <x v="153"/>
    <x v="3"/>
    <n v="21769"/>
    <n v="1.3663140542232786E-3"/>
    <n v="25"/>
    <x v="0"/>
    <n v="154"/>
  </r>
  <r>
    <s v="JOY KANDANALY"/>
    <x v="154"/>
    <x v="3"/>
    <n v="22483"/>
    <n v="1.3538439562478543E-3"/>
    <n v="58"/>
    <x v="0"/>
    <n v="155"/>
  </r>
  <r>
    <s v="SIVADAS KUMMANODE"/>
    <x v="155"/>
    <x v="3"/>
    <n v="23384"/>
    <n v="1.3381078802312473E-3"/>
    <n v="29"/>
    <x v="0"/>
    <n v="156"/>
  </r>
  <r>
    <s v="MATHAI MECHANGARA"/>
    <x v="156"/>
    <x v="3"/>
    <n v="23715"/>
    <n v="1.3323269244471221E-3"/>
    <n v="13"/>
    <x v="0"/>
    <n v="157"/>
  </r>
  <r>
    <s v="RAVI K K"/>
    <x v="157"/>
    <x v="3"/>
    <n v="23742"/>
    <n v="1.3318553661203203E-3"/>
    <n v="53"/>
    <x v="0"/>
    <n v="158"/>
  </r>
  <r>
    <s v="SELVARAJ"/>
    <x v="158"/>
    <x v="3"/>
    <n v="24128"/>
    <n v="1.3251138285593766E-3"/>
    <n v="181"/>
    <x v="2"/>
    <n v="159"/>
  </r>
  <r>
    <s v="KABEER VISMAYA"/>
    <x v="159"/>
    <x v="3"/>
    <n v="25519"/>
    <n v="1.3008198421674785E-3"/>
    <n v="22"/>
    <x v="0"/>
    <n v="160"/>
  </r>
  <r>
    <s v="NAJEEB O.M"/>
    <x v="160"/>
    <x v="3"/>
    <n v="27013"/>
    <n v="1.2747269480844479E-3"/>
    <n v="2"/>
    <x v="0"/>
    <n v="161"/>
  </r>
  <r>
    <s v="ARUN VIJAYAVILASAM VIJAYAN"/>
    <x v="161"/>
    <x v="3"/>
    <n v="27298"/>
    <n v="1.269749387968207E-3"/>
    <n v="279"/>
    <x v="2"/>
    <n v="162"/>
  </r>
  <r>
    <s v="SIJU KADAYIRUPPU"/>
    <x v="162"/>
    <x v="3"/>
    <n v="28665"/>
    <n v="1.2458745645334661E-3"/>
    <n v="312"/>
    <x v="2"/>
    <n v="163"/>
  </r>
  <r>
    <s v="ARTEC INDUSTRIES"/>
    <x v="163"/>
    <x v="3"/>
    <n v="28898"/>
    <n v="1.2418051908243989E-3"/>
    <n v="104"/>
    <x v="1"/>
    <n v="164"/>
  </r>
  <r>
    <s v="ANIL KOLENCHERY"/>
    <x v="164"/>
    <x v="3"/>
    <n v="29817"/>
    <n v="1.2257547425899244E-3"/>
    <n v="162"/>
    <x v="2"/>
    <n v="165"/>
  </r>
  <r>
    <s v="SUBHASH NEDUMBALLY"/>
    <x v="165"/>
    <x v="3"/>
    <n v="30134"/>
    <n v="1.2202182985308072E-3"/>
    <n v="139"/>
    <x v="2"/>
    <n v="166"/>
  </r>
  <r>
    <s v="ASHRAF T A"/>
    <x v="166"/>
    <x v="3"/>
    <n v="30340"/>
    <n v="1.2166204831485421E-3"/>
    <n v="165"/>
    <x v="2"/>
    <n v="167"/>
  </r>
  <r>
    <s v="AJU VALAMBOOR"/>
    <x v="167"/>
    <x v="3"/>
    <n v="30880"/>
    <n v="1.2071893166125068E-3"/>
    <n v="45"/>
    <x v="0"/>
    <n v="168"/>
  </r>
  <r>
    <s v="MOHANAN PANCODE"/>
    <x v="168"/>
    <x v="3"/>
    <n v="31269"/>
    <n v="1.2003953836819184E-3"/>
    <n v="221"/>
    <x v="2"/>
    <n v="169"/>
  </r>
  <r>
    <s v="ABDULSALAM KORALIYADAN"/>
    <x v="169"/>
    <x v="3"/>
    <n v="32000"/>
    <n v="1.1876283786118411E-3"/>
    <n v="323"/>
    <x v="2"/>
    <n v="170"/>
  </r>
  <r>
    <s v="ROYAL ENGINEERING WORKS"/>
    <x v="170"/>
    <x v="3"/>
    <n v="32296"/>
    <n v="1.1824587021402367E-3"/>
    <n v="159"/>
    <x v="2"/>
    <n v="171"/>
  </r>
  <r>
    <s v="RAJALASKSHMI CHENGARA"/>
    <x v="171"/>
    <x v="3"/>
    <n v="32583"/>
    <n v="1.1774462117775661E-3"/>
    <n v="239"/>
    <x v="2"/>
    <n v="172"/>
  </r>
  <r>
    <s v="FRAMEZ ARCHITECTURAL CONSTRUCTIONS"/>
    <x v="172"/>
    <x v="3"/>
    <n v="32710"/>
    <n v="1.1752281411292764E-3"/>
    <n v="110"/>
    <x v="1"/>
    <n v="173"/>
  </r>
  <r>
    <s v="RAJESH VALAMBOOR"/>
    <x v="173"/>
    <x v="3"/>
    <n v="32757"/>
    <n v="1.1744072803381771E-3"/>
    <n v="325"/>
    <x v="2"/>
    <n v="174"/>
  </r>
  <r>
    <s v="SUDHEER TRUSS"/>
    <x v="174"/>
    <x v="3"/>
    <n v="33207"/>
    <n v="1.1665479748914809E-3"/>
    <n v="187"/>
    <x v="2"/>
    <n v="175"/>
  </r>
  <r>
    <s v="RAFEEK TRUSS"/>
    <x v="175"/>
    <x v="3"/>
    <n v="33571"/>
    <n v="1.1601906700412646E-3"/>
    <n v="81"/>
    <x v="1"/>
    <n v="176"/>
  </r>
  <r>
    <s v="SAITHU , CITY FURNITURE"/>
    <x v="176"/>
    <x v="3"/>
    <n v="33996"/>
    <n v="1.1527679926749406E-3"/>
    <n v="20"/>
    <x v="0"/>
    <n v="177"/>
  </r>
  <r>
    <s v="BALU CHELAKUALM"/>
    <x v="177"/>
    <x v="3"/>
    <n v="34916"/>
    <n v="1.1367000793172512E-3"/>
    <n v="107"/>
    <x v="1"/>
    <n v="178"/>
  </r>
  <r>
    <s v="SHIHAB MUHAMMED"/>
    <x v="178"/>
    <x v="3"/>
    <n v="35311"/>
    <n v="1.1298013556473735E-3"/>
    <n v="10"/>
    <x v="0"/>
    <n v="179"/>
  </r>
  <r>
    <s v="KRISHNADAS"/>
    <x v="179"/>
    <x v="3"/>
    <n v="35427"/>
    <n v="1.1277754013544474E-3"/>
    <n v="16"/>
    <x v="0"/>
    <n v="180"/>
  </r>
  <r>
    <s v="SCARLET"/>
    <x v="180"/>
    <x v="3"/>
    <n v="35724"/>
    <n v="1.122588259759628E-3"/>
    <n v="205"/>
    <x v="2"/>
    <n v="181"/>
  </r>
  <r>
    <s v="MANU PATTIMATTOM"/>
    <x v="181"/>
    <x v="3"/>
    <n v="36443"/>
    <n v="1.1100308361681292E-3"/>
    <n v="171"/>
    <x v="2"/>
    <n v="182"/>
  </r>
  <r>
    <s v="SAJU KATTIKUDIYIL"/>
    <x v="182"/>
    <x v="3"/>
    <n v="36446"/>
    <n v="1.1099784407984847E-3"/>
    <n v="100"/>
    <x v="1"/>
    <n v="183"/>
  </r>
  <r>
    <s v="JOSE VADAKKAN"/>
    <x v="183"/>
    <x v="3"/>
    <n v="36476"/>
    <n v="1.1094544871020381E-3"/>
    <n v="114"/>
    <x v="1"/>
    <n v="184"/>
  </r>
  <r>
    <s v="AFSAL PAREETH TRUSS"/>
    <x v="184"/>
    <x v="3"/>
    <n v="36743"/>
    <n v="1.1047912992036652E-3"/>
    <n v="213"/>
    <x v="2"/>
    <n v="185"/>
  </r>
  <r>
    <s v="JOY MECHANGARA"/>
    <x v="185"/>
    <x v="3"/>
    <n v="36989"/>
    <n v="1.1004948788928047E-3"/>
    <n v="289"/>
    <x v="2"/>
    <n v="186"/>
  </r>
  <r>
    <s v="DR.DIVAKARAN NAIR"/>
    <x v="186"/>
    <x v="3"/>
    <n v="37268"/>
    <n v="1.0956221095158533E-3"/>
    <n v="236"/>
    <x v="2"/>
    <n v="187"/>
  </r>
  <r>
    <s v="BASIL ,CHOORAKKODE"/>
    <x v="187"/>
    <x v="3"/>
    <n v="37278"/>
    <n v="1.0954474582837044E-3"/>
    <n v="3"/>
    <x v="0"/>
    <n v="188"/>
  </r>
  <r>
    <s v="SANTHOSH(VS BAKERY)"/>
    <x v="188"/>
    <x v="3"/>
    <n v="37305"/>
    <n v="1.0949758999569026E-3"/>
    <n v="2"/>
    <x v="0"/>
    <n v="189"/>
  </r>
  <r>
    <s v="NAUSHAD DOUBLEPALAM"/>
    <x v="189"/>
    <x v="3"/>
    <n v="37354"/>
    <n v="1.0941201089193736E-3"/>
    <n v="95"/>
    <x v="1"/>
    <n v="190"/>
  </r>
  <r>
    <s v="AJITH K T"/>
    <x v="190"/>
    <x v="3"/>
    <n v="37370"/>
    <n v="1.0938406669479355E-3"/>
    <n v="4"/>
    <x v="0"/>
    <n v="191"/>
  </r>
  <r>
    <s v="THOMAS ALEX"/>
    <x v="191"/>
    <x v="3"/>
    <n v="37955"/>
    <n v="1.0836235698672306E-3"/>
    <n v="145"/>
    <x v="2"/>
    <n v="192"/>
  </r>
  <r>
    <s v="PAREETH TRUSS"/>
    <x v="192"/>
    <x v="3"/>
    <n v="38075"/>
    <n v="1.0815277550814452E-3"/>
    <n v="138"/>
    <x v="2"/>
    <n v="193"/>
  </r>
  <r>
    <s v="SHAJI MUNNAS VILANGU"/>
    <x v="193"/>
    <x v="3"/>
    <n v="38120"/>
    <n v="1.0807418245367755E-3"/>
    <n v="134"/>
    <x v="2"/>
    <n v="194"/>
  </r>
  <r>
    <s v="ELDHOPAUL PAILY"/>
    <x v="194"/>
    <x v="3"/>
    <n v="38396"/>
    <n v="1.0759214505294686E-3"/>
    <n v="62"/>
    <x v="1"/>
    <n v="195"/>
  </r>
  <r>
    <s v="IDEAL CONSTRUCTION"/>
    <x v="195"/>
    <x v="3"/>
    <n v="38494"/>
    <n v="1.0742098684544104E-3"/>
    <n v="68"/>
    <x v="1"/>
    <n v="196"/>
  </r>
  <r>
    <s v="VISHNU VALAYANCHRANGARA"/>
    <x v="196"/>
    <x v="3"/>
    <n v="38741"/>
    <n v="1.069895983020335E-3"/>
    <n v="194"/>
    <x v="2"/>
    <n v="197"/>
  </r>
  <r>
    <s v="SUN POWER SYSTEM"/>
    <x v="197"/>
    <x v="3"/>
    <n v="38746"/>
    <n v="1.0698086574042606E-3"/>
    <n v="139"/>
    <x v="2"/>
    <n v="198"/>
  </r>
  <r>
    <s v="PAREETH KUNJU K S E B"/>
    <x v="198"/>
    <x v="3"/>
    <n v="39187"/>
    <n v="1.0621065380664984E-3"/>
    <n v="120"/>
    <x v="1"/>
    <n v="199"/>
  </r>
  <r>
    <s v="SUNNY KUPPAKKADAN"/>
    <x v="199"/>
    <x v="3"/>
    <n v="39516"/>
    <n v="1.0563605125288029E-3"/>
    <n v="192"/>
    <x v="2"/>
    <n v="200"/>
  </r>
  <r>
    <s v="REJI MATHEW"/>
    <x v="200"/>
    <x v="3"/>
    <n v="39766"/>
    <n v="1.051994231725083E-3"/>
    <n v="243"/>
    <x v="2"/>
    <n v="201"/>
  </r>
  <r>
    <s v="RAMESH E.S"/>
    <x v="201"/>
    <x v="3"/>
    <n v="39848"/>
    <n v="1.0505620916214627E-3"/>
    <n v="185"/>
    <x v="2"/>
    <n v="202"/>
  </r>
  <r>
    <s v="BABU THATTAMUGAL"/>
    <x v="202"/>
    <x v="3"/>
    <n v="39995"/>
    <n v="1.0479947185088755E-3"/>
    <n v="23"/>
    <x v="0"/>
    <n v="203"/>
  </r>
  <r>
    <s v="V.MATHA CONSTRUCTIONS"/>
    <x v="203"/>
    <x v="3"/>
    <n v="40000"/>
    <n v="1.047907392892801E-3"/>
    <n v="3"/>
    <x v="0"/>
    <n v="204"/>
  </r>
  <r>
    <s v="ARUN DAS"/>
    <x v="204"/>
    <x v="3"/>
    <n v="40087"/>
    <n v="1.0463879271731065E-3"/>
    <n v="18"/>
    <x v="0"/>
    <n v="205"/>
  </r>
  <r>
    <s v="HABEEB"/>
    <x v="205"/>
    <x v="3"/>
    <n v="40130"/>
    <n v="1.0456369268748665E-3"/>
    <n v="6"/>
    <x v="0"/>
    <n v="206"/>
  </r>
  <r>
    <s v="DOCTORS CHOICE HEALTHY COCONUT OIL"/>
    <x v="206"/>
    <x v="3"/>
    <n v="40235"/>
    <n v="1.0438030889373042E-3"/>
    <n v="188"/>
    <x v="2"/>
    <n v="207"/>
  </r>
  <r>
    <s v="KICHU K RAVI"/>
    <x v="207"/>
    <x v="3"/>
    <n v="40397"/>
    <n v="1.0409737389764937E-3"/>
    <n v="165"/>
    <x v="2"/>
    <n v="208"/>
  </r>
  <r>
    <s v="NIHAS .E.M"/>
    <x v="208"/>
    <x v="3"/>
    <n v="40405"/>
    <n v="1.0408340179907747E-3"/>
    <n v="4"/>
    <x v="0"/>
    <n v="209"/>
  </r>
  <r>
    <s v="M S EQUIPMENTS"/>
    <x v="209"/>
    <x v="3"/>
    <n v="40992"/>
    <n v="1.0305819906636401E-3"/>
    <n v="94"/>
    <x v="1"/>
    <n v="210"/>
  </r>
  <r>
    <s v="MASTER SHEF PATTIMATTOM"/>
    <x v="210"/>
    <x v="3"/>
    <n v="41016"/>
    <n v="1.030162827706483E-3"/>
    <n v="255"/>
    <x v="2"/>
    <n v="211"/>
  </r>
  <r>
    <s v="ELDHO PAUL(MARIYA STEEL)"/>
    <x v="211"/>
    <x v="3"/>
    <n v="41176"/>
    <n v="1.0273684079921022E-3"/>
    <n v="293"/>
    <x v="2"/>
    <n v="212"/>
  </r>
  <r>
    <s v="ARUN A R"/>
    <x v="212"/>
    <x v="3"/>
    <n v="41244"/>
    <n v="1.0261807796134903E-3"/>
    <n v="232"/>
    <x v="2"/>
    <n v="213"/>
  </r>
  <r>
    <s v="DR.SREENATH"/>
    <x v="213"/>
    <x v="3"/>
    <n v="41294"/>
    <n v="1.0253075234527463E-3"/>
    <n v="69"/>
    <x v="1"/>
    <n v="214"/>
  </r>
  <r>
    <s v="RADHAKRISHNA KURUPPU"/>
    <x v="214"/>
    <x v="3"/>
    <n v="41818"/>
    <n v="1.0161557988881491E-3"/>
    <n v="3"/>
    <x v="0"/>
    <n v="215"/>
  </r>
  <r>
    <s v="PAULOSE VALAMBOOR"/>
    <x v="215"/>
    <x v="3"/>
    <n v="41964"/>
    <n v="1.0136058908987767E-3"/>
    <n v="19"/>
    <x v="0"/>
    <n v="216"/>
  </r>
  <r>
    <s v="THANKACHAN KANJIRAKKADAN"/>
    <x v="216"/>
    <x v="3"/>
    <n v="42470"/>
    <n v="1.0047685385520474E-3"/>
    <n v="8"/>
    <x v="0"/>
    <n v="217"/>
  </r>
  <r>
    <s v="N-FAB"/>
    <x v="217"/>
    <x v="3"/>
    <n v="42868"/>
    <n v="9.9781741951252521E-4"/>
    <n v="47"/>
    <x v="0"/>
    <n v="218"/>
  </r>
  <r>
    <s v="SAJI PULINCHODE"/>
    <x v="218"/>
    <x v="3"/>
    <n v="42872"/>
    <n v="9.9774755901966563E-4"/>
    <n v="83"/>
    <x v="1"/>
    <n v="219"/>
  </r>
  <r>
    <s v="KURIAKOSE SILVERSTEP"/>
    <x v="219"/>
    <x v="3"/>
    <n v="43931"/>
    <n v="9.7925199353510769E-4"/>
    <n v="26"/>
    <x v="0"/>
    <n v="220"/>
  </r>
  <r>
    <s v="SANOOP MAZHUVANNOOR"/>
    <x v="220"/>
    <x v="3"/>
    <n v="44741"/>
    <n v="9.6510524373105483E-4"/>
    <n v="129"/>
    <x v="2"/>
    <n v="221"/>
  </r>
  <r>
    <s v="ADARSH HOTEL THATTAMUGAL"/>
    <x v="221"/>
    <x v="3"/>
    <n v="44827"/>
    <n v="9.6360324313457524E-4"/>
    <n v="6"/>
    <x v="0"/>
    <n v="222"/>
  </r>
  <r>
    <s v="AVARACHAN VALAMBOOR"/>
    <x v="222"/>
    <x v="3"/>
    <n v="44934"/>
    <n v="9.6173447495058299E-4"/>
    <n v="6"/>
    <x v="0"/>
    <n v="223"/>
  </r>
  <r>
    <s v="MANEESH MADANAN"/>
    <x v="223"/>
    <x v="3"/>
    <n v="45869"/>
    <n v="9.4540458474467017E-4"/>
    <n v="3"/>
    <x v="0"/>
    <n v="224"/>
  </r>
  <r>
    <s v="ST.GEORGE INDUSTRY"/>
    <x v="224"/>
    <x v="3"/>
    <n v="45880"/>
    <n v="9.4521246838930658E-4"/>
    <n v="150"/>
    <x v="2"/>
    <n v="225"/>
  </r>
  <r>
    <s v="VIZAG ARAKKAPADY"/>
    <x v="225"/>
    <x v="3"/>
    <n v="45964"/>
    <n v="9.4374539803925657E-4"/>
    <n v="277"/>
    <x v="2"/>
    <n v="226"/>
  </r>
  <r>
    <s v="SAIJU PALLIKKARA"/>
    <x v="226"/>
    <x v="3"/>
    <n v="46522"/>
    <n v="9.3399985928535362E-4"/>
    <n v="205"/>
    <x v="2"/>
    <n v="227"/>
  </r>
  <r>
    <s v="SUNNY , VALAMBOOR CRUIZE"/>
    <x v="227"/>
    <x v="3"/>
    <n v="46617"/>
    <n v="9.3234067257993991E-4"/>
    <n v="31"/>
    <x v="0"/>
    <n v="228"/>
  </r>
  <r>
    <s v="INTERGLIDE AUTO CONTROLS"/>
    <x v="228"/>
    <x v="3"/>
    <n v="46865"/>
    <n v="9.2800932202264969E-4"/>
    <n v="8"/>
    <x v="0"/>
    <n v="229"/>
  </r>
  <r>
    <s v="JOY VEMPILLY"/>
    <x v="229"/>
    <x v="3"/>
    <n v="47609"/>
    <n v="9.1501527035077902E-4"/>
    <n v="4"/>
    <x v="0"/>
    <n v="230"/>
  </r>
  <r>
    <s v="AVARACHAN KANJIRAVELIL"/>
    <x v="230"/>
    <x v="3"/>
    <n v="47926"/>
    <n v="9.0947882629166207E-4"/>
    <n v="31"/>
    <x v="0"/>
    <n v="231"/>
  </r>
  <r>
    <s v="BINU SARARO"/>
    <x v="231"/>
    <x v="3"/>
    <n v="47963"/>
    <n v="9.0883261673271149E-4"/>
    <n v="118"/>
    <x v="1"/>
    <n v="232"/>
  </r>
  <r>
    <s v="SANTHOSH THOTTAPPILLY"/>
    <x v="232"/>
    <x v="3"/>
    <n v="48253"/>
    <n v="9.0376773100039626E-4"/>
    <n v="47"/>
    <x v="0"/>
    <n v="233"/>
  </r>
  <r>
    <s v="SHAJI , KILIKULAM"/>
    <x v="233"/>
    <x v="3"/>
    <n v="48277"/>
    <n v="9.0334856804323918E-4"/>
    <n v="10"/>
    <x v="0"/>
    <n v="234"/>
  </r>
  <r>
    <s v="ELDHO DANIEL"/>
    <x v="234"/>
    <x v="3"/>
    <n v="48425"/>
    <n v="9.0076372980743688E-4"/>
    <n v="191"/>
    <x v="2"/>
    <n v="235"/>
  </r>
  <r>
    <s v="MECHERIYIL CONSTRUCTIONS"/>
    <x v="235"/>
    <x v="3"/>
    <n v="48540"/>
    <n v="8.9875524063772567E-4"/>
    <n v="164"/>
    <x v="2"/>
    <n v="236"/>
  </r>
  <r>
    <s v="SAIJU PAUL"/>
    <x v="236"/>
    <x v="3"/>
    <n v="49810"/>
    <n v="8.7657453415482809E-4"/>
    <n v="292"/>
    <x v="2"/>
    <n v="237"/>
  </r>
  <r>
    <s v="AMAL MANGALATHUNADA"/>
    <x v="237"/>
    <x v="3"/>
    <n v="50088"/>
    <n v="8.717192299010914E-4"/>
    <n v="271"/>
    <x v="2"/>
    <n v="238"/>
  </r>
  <r>
    <s v="P V GEORGE"/>
    <x v="238"/>
    <x v="3"/>
    <n v="50357"/>
    <n v="8.6702111175628873E-4"/>
    <n v="130"/>
    <x v="2"/>
    <n v="239"/>
  </r>
  <r>
    <s v="BENNY PULINCHODE"/>
    <x v="239"/>
    <x v="3"/>
    <n v="50691"/>
    <n v="8.6118776060251881E-4"/>
    <n v="130"/>
    <x v="2"/>
    <n v="240"/>
  </r>
  <r>
    <s v="RAVINDRAN THATTAMUGAL"/>
    <x v="240"/>
    <x v="3"/>
    <n v="50696"/>
    <n v="8.6110043498644439E-4"/>
    <n v="142"/>
    <x v="2"/>
    <n v="241"/>
  </r>
  <r>
    <s v="SHUKOOR ARACKKAPADY"/>
    <x v="241"/>
    <x v="3"/>
    <n v="51360"/>
    <n v="8.4950359317176403E-4"/>
    <n v="117"/>
    <x v="1"/>
    <n v="242"/>
  </r>
  <r>
    <s v="JOY VACHERY"/>
    <x v="242"/>
    <x v="3"/>
    <n v="51668"/>
    <n v="8.4412433522158099E-4"/>
    <n v="26"/>
    <x v="0"/>
    <n v="243"/>
  </r>
  <r>
    <s v="PBJ INDUSTRIES"/>
    <x v="243"/>
    <x v="3"/>
    <n v="52175"/>
    <n v="8.3526951775163684E-4"/>
    <n v="52"/>
    <x v="0"/>
    <n v="244"/>
  </r>
  <r>
    <s v="GEORGE VALAYIL"/>
    <x v="244"/>
    <x v="3"/>
    <n v="53524"/>
    <n v="8.1170906653476368E-4"/>
    <n v="94"/>
    <x v="1"/>
    <n v="245"/>
  </r>
  <r>
    <s v="MANIKANDAN CHOORAKKODE"/>
    <x v="245"/>
    <x v="3"/>
    <n v="53892"/>
    <n v="8.0528190119168782E-4"/>
    <n v="311"/>
    <x v="2"/>
    <n v="246"/>
  </r>
  <r>
    <s v="JINS VEMPILLY"/>
    <x v="246"/>
    <x v="3"/>
    <n v="54114"/>
    <n v="8.0140464383798447E-4"/>
    <n v="4"/>
    <x v="0"/>
    <n v="247"/>
  </r>
  <r>
    <s v="VISHNU DOUBLEPALAM"/>
    <x v="247"/>
    <x v="3"/>
    <n v="54451"/>
    <n v="7.9551889731456992E-4"/>
    <n v="155"/>
    <x v="2"/>
    <n v="248"/>
  </r>
  <r>
    <s v="TRISSUR SAND &amp;GRAVEL (P) LTD."/>
    <x v="248"/>
    <x v="3"/>
    <n v="54928"/>
    <n v="7.8718803354107213E-4"/>
    <n v="27"/>
    <x v="0"/>
    <n v="249"/>
  </r>
  <r>
    <s v="RAMACHANDRAN VALAMBOOR"/>
    <x v="249"/>
    <x v="3"/>
    <n v="55004"/>
    <n v="7.8586068417674129E-4"/>
    <n v="211"/>
    <x v="2"/>
    <n v="250"/>
  </r>
  <r>
    <s v="LENIN KILIKULAM"/>
    <x v="250"/>
    <x v="3"/>
    <n v="56204"/>
    <n v="7.6490253631888527E-4"/>
    <n v="8"/>
    <x v="0"/>
    <n v="251"/>
  </r>
  <r>
    <s v="SAJI VILLAGE CHENGARA"/>
    <x v="251"/>
    <x v="3"/>
    <n v="56224"/>
    <n v="7.6455323385458767E-4"/>
    <n v="286"/>
    <x v="2"/>
    <n v="252"/>
  </r>
  <r>
    <s v="PAULOSE K"/>
    <x v="252"/>
    <x v="3"/>
    <n v="56499"/>
    <n v="7.5975032497049562E-4"/>
    <n v="215"/>
    <x v="2"/>
    <n v="253"/>
  </r>
  <r>
    <s v="JOY NJARALLOOR"/>
    <x v="253"/>
    <x v="3"/>
    <n v="56693"/>
    <n v="7.5636209106680894E-4"/>
    <n v="57"/>
    <x v="0"/>
    <n v="254"/>
  </r>
  <r>
    <s v="KHADAR THANDAKKALA"/>
    <x v="254"/>
    <x v="3"/>
    <n v="56837"/>
    <n v="7.5384711332386622E-4"/>
    <n v="88"/>
    <x v="1"/>
    <n v="255"/>
  </r>
  <r>
    <s v="DILEEP PATTIMATTOM"/>
    <x v="255"/>
    <x v="3"/>
    <n v="57150"/>
    <n v="7.4838052975760875E-4"/>
    <n v="277"/>
    <x v="2"/>
    <n v="256"/>
  </r>
  <r>
    <s v="ELDHO ISSAC PONNIYIL"/>
    <x v="256"/>
    <x v="3"/>
    <n v="57209"/>
    <n v="7.4735008748793078E-4"/>
    <n v="37"/>
    <x v="0"/>
    <n v="257"/>
  </r>
  <r>
    <s v="VAIGA ENGINEERING"/>
    <x v="257"/>
    <x v="3"/>
    <n v="57215"/>
    <n v="7.4724529674864151E-4"/>
    <n v="44"/>
    <x v="0"/>
    <n v="258"/>
  </r>
  <r>
    <s v="SIGNATURE REALTIES"/>
    <x v="258"/>
    <x v="3"/>
    <n v="57439"/>
    <n v="7.4333310914850837E-4"/>
    <n v="296"/>
    <x v="2"/>
    <n v="259"/>
  </r>
  <r>
    <s v="FAIZAL N.P"/>
    <x v="259"/>
    <x v="3"/>
    <n v="57781"/>
    <n v="7.3736003700901949E-4"/>
    <n v="68"/>
    <x v="1"/>
    <n v="260"/>
  </r>
  <r>
    <s v="BINU KURIAN"/>
    <x v="260"/>
    <x v="3"/>
    <n v="58152"/>
    <n v="7.30880476296299E-4"/>
    <n v="109"/>
    <x v="1"/>
    <n v="261"/>
  </r>
  <r>
    <s v="ROSHAN VARGHSESE KUMMMANODE"/>
    <x v="261"/>
    <x v="3"/>
    <n v="58288"/>
    <n v="7.2850521953907524E-4"/>
    <n v="220"/>
    <x v="2"/>
    <n v="262"/>
  </r>
  <r>
    <s v="ZAYED DEVELOPERS"/>
    <x v="262"/>
    <x v="3"/>
    <n v="58397"/>
    <n v="7.2660152110865341E-4"/>
    <n v="46"/>
    <x v="0"/>
    <n v="263"/>
  </r>
  <r>
    <s v="SUNIL EZIPURAM"/>
    <x v="263"/>
    <x v="3"/>
    <n v="58437"/>
    <n v="7.259029161800582E-4"/>
    <n v="54"/>
    <x v="0"/>
    <n v="264"/>
  </r>
  <r>
    <s v="NEENA VINOD"/>
    <x v="264"/>
    <x v="3"/>
    <n v="58608"/>
    <n v="7.2291638011031366E-4"/>
    <n v="108"/>
    <x v="1"/>
    <n v="265"/>
  </r>
  <r>
    <s v="DAMODARAN NAMBOORI"/>
    <x v="265"/>
    <x v="3"/>
    <n v="58825"/>
    <n v="7.1912644837268474E-4"/>
    <n v="257"/>
    <x v="2"/>
    <n v="266"/>
  </r>
  <r>
    <s v="BAVASONS ENTERPRISES"/>
    <x v="266"/>
    <x v="3"/>
    <n v="58931"/>
    <n v="7.1727514531190744E-4"/>
    <n v="58"/>
    <x v="0"/>
    <n v="267"/>
  </r>
  <r>
    <s v="PAULOSE MEPPURATH"/>
    <x v="267"/>
    <x v="3"/>
    <n v="59075"/>
    <n v="7.1476016756896472E-4"/>
    <n v="206"/>
    <x v="2"/>
    <n v="268"/>
  </r>
  <r>
    <s v="VISHNU"/>
    <x v="268"/>
    <x v="3"/>
    <n v="59087"/>
    <n v="7.1455058609038618E-4"/>
    <n v="239"/>
    <x v="2"/>
    <n v="269"/>
  </r>
  <r>
    <s v="JIJO MATHEW"/>
    <x v="269"/>
    <x v="3"/>
    <n v="59161"/>
    <n v="7.1325816697248503E-4"/>
    <n v="16"/>
    <x v="0"/>
    <n v="270"/>
  </r>
  <r>
    <s v="REGHU KUMMANODE"/>
    <x v="270"/>
    <x v="3"/>
    <n v="59446"/>
    <n v="7.0828060685624423E-4"/>
    <n v="38"/>
    <x v="0"/>
    <n v="271"/>
  </r>
  <r>
    <s v="PRAVEEN MAZHUVANNOOR"/>
    <x v="271"/>
    <x v="3"/>
    <n v="59493"/>
    <n v="7.074597460651449E-4"/>
    <n v="289"/>
    <x v="2"/>
    <n v="272"/>
  </r>
  <r>
    <s v="ST.THOMAS JACOBITE SYRIAN CHURCH"/>
    <x v="271"/>
    <x v="3"/>
    <n v="59493"/>
    <n v="7.074597460651449E-4"/>
    <n v="124"/>
    <x v="2"/>
    <n v="272"/>
  </r>
  <r>
    <s v="PTECH BUILDERS AND DEVELOPERS PVT LTD"/>
    <x v="272"/>
    <x v="3"/>
    <n v="59641"/>
    <n v="7.048749078293426E-4"/>
    <n v="300"/>
    <x v="2"/>
    <n v="274"/>
  </r>
  <r>
    <s v="BIJU MATHEW"/>
    <x v="273"/>
    <x v="3"/>
    <n v="59820"/>
    <n v="7.017486507738791E-4"/>
    <n v="265"/>
    <x v="2"/>
    <n v="275"/>
  </r>
  <r>
    <s v="ALIYAR PAREMKUDY"/>
    <x v="274"/>
    <x v="3"/>
    <n v="60052"/>
    <n v="6.9769674218802689E-4"/>
    <n v="270"/>
    <x v="2"/>
    <n v="276"/>
  </r>
  <r>
    <s v="JENY SAJEEV"/>
    <x v="275"/>
    <x v="3"/>
    <n v="60500"/>
    <n v="6.8987236698776072E-4"/>
    <n v="293"/>
    <x v="2"/>
    <n v="277"/>
  </r>
  <r>
    <s v="RAVI KEDHARAM"/>
    <x v="276"/>
    <x v="3"/>
    <n v="60519"/>
    <n v="6.8954052964667796E-4"/>
    <n v="204"/>
    <x v="2"/>
    <n v="278"/>
  </r>
  <r>
    <s v="AJAYGHOSH V A"/>
    <x v="277"/>
    <x v="3"/>
    <n v="60817"/>
    <n v="6.8433592292864367E-4"/>
    <n v="201"/>
    <x v="2"/>
    <n v="279"/>
  </r>
  <r>
    <s v="SUNIL SEBASTIAN"/>
    <x v="278"/>
    <x v="3"/>
    <n v="61045"/>
    <n v="6.8035387483565105E-4"/>
    <n v="299"/>
    <x v="2"/>
    <n v="280"/>
  </r>
  <r>
    <s v="AJI THATTAMUKAL"/>
    <x v="279"/>
    <x v="3"/>
    <n v="61359"/>
    <n v="6.7486982614617874E-4"/>
    <n v="13"/>
    <x v="0"/>
    <n v="281"/>
  </r>
  <r>
    <s v="JINU CHELAKULAM"/>
    <x v="280"/>
    <x v="3"/>
    <n v="61479"/>
    <n v="6.727740113603931E-4"/>
    <n v="157"/>
    <x v="2"/>
    <n v="282"/>
  </r>
  <r>
    <s v="JALAL PATTIMATTOM"/>
    <x v="281"/>
    <x v="3"/>
    <n v="61968"/>
    <n v="6.6423356610831677E-4"/>
    <n v="216"/>
    <x v="2"/>
    <n v="283"/>
  </r>
  <r>
    <s v="KANNAPPAN"/>
    <x v="282"/>
    <x v="3"/>
    <n v="62482"/>
    <n v="6.5525649277586851E-4"/>
    <n v="183"/>
    <x v="2"/>
    <n v="284"/>
  </r>
  <r>
    <s v="ALIAS MATHAI"/>
    <x v="283"/>
    <x v="3"/>
    <n v="62499"/>
    <n v="6.5495958568121554E-4"/>
    <n v="143"/>
    <x v="2"/>
    <n v="285"/>
  </r>
  <r>
    <s v="SUBASH  , BHAGAVATHY AMMA"/>
    <x v="284"/>
    <x v="3"/>
    <n v="62647"/>
    <n v="6.5237474744541334E-4"/>
    <n v="12"/>
    <x v="0"/>
    <n v="286"/>
  </r>
  <r>
    <s v="SANEESH TRUSS OORAMANA"/>
    <x v="285"/>
    <x v="3"/>
    <n v="62806"/>
    <n v="6.4959779285424734E-4"/>
    <n v="162"/>
    <x v="2"/>
    <n v="287"/>
  </r>
  <r>
    <s v="RAJEEV KOLANKUDY"/>
    <x v="286"/>
    <x v="3"/>
    <n v="63011"/>
    <n v="6.4601744259519696E-4"/>
    <n v="104"/>
    <x v="1"/>
    <n v="288"/>
  </r>
  <r>
    <s v="SHAMEER P.S"/>
    <x v="287"/>
    <x v="3"/>
    <n v="63145"/>
    <n v="6.4367711608440299E-4"/>
    <n v="307"/>
    <x v="2"/>
    <n v="289"/>
  </r>
  <r>
    <s v="ROBIN GEORGE ATHANI"/>
    <x v="288"/>
    <x v="3"/>
    <n v="63267"/>
    <n v="6.4154637105218767E-4"/>
    <n v="44"/>
    <x v="0"/>
    <n v="290"/>
  </r>
  <r>
    <s v="SUKUMARAN KAITHAKKAD"/>
    <x v="289"/>
    <x v="3"/>
    <n v="63516"/>
    <n v="6.371975553716825E-4"/>
    <n v="289"/>
    <x v="2"/>
    <n v="291"/>
  </r>
  <r>
    <s v="RAJESH RB GAS"/>
    <x v="290"/>
    <x v="3"/>
    <n v="63639"/>
    <n v="6.3504934521625234E-4"/>
    <n v="25"/>
    <x v="0"/>
    <n v="292"/>
  </r>
  <r>
    <s v="SONA KURIAKOSE"/>
    <x v="291"/>
    <x v="3"/>
    <n v="63713"/>
    <n v="6.3375692609835119E-4"/>
    <n v="52"/>
    <x v="0"/>
    <n v="293"/>
  </r>
  <r>
    <s v="DEEPU KUMMANODE"/>
    <x v="292"/>
    <x v="3"/>
    <n v="63870"/>
    <n v="6.3101490175361498E-4"/>
    <n v="9"/>
    <x v="0"/>
    <n v="294"/>
  </r>
  <r>
    <s v="FAROOQ N P"/>
    <x v="292"/>
    <x v="3"/>
    <n v="63870"/>
    <n v="6.3101490175361498E-4"/>
    <n v="212"/>
    <x v="2"/>
    <n v="294"/>
  </r>
  <r>
    <s v="YOHANNAN MECHANGARA"/>
    <x v="293"/>
    <x v="3"/>
    <n v="63888"/>
    <n v="6.3070052953574716E-4"/>
    <n v="302"/>
    <x v="2"/>
    <n v="296"/>
  </r>
  <r>
    <s v="YUSAF , VALAMBOOR"/>
    <x v="294"/>
    <x v="3"/>
    <n v="64228"/>
    <n v="6.2476238764268797E-4"/>
    <n v="10"/>
    <x v="0"/>
    <n v="297"/>
  </r>
  <r>
    <s v="AVARACHAN NJATTUMKALA"/>
    <x v="295"/>
    <x v="3"/>
    <n v="64392"/>
    <n v="6.2189810743544765E-4"/>
    <n v="256"/>
    <x v="2"/>
    <n v="298"/>
  </r>
  <r>
    <s v="ANEESH P PAULOSE"/>
    <x v="296"/>
    <x v="3"/>
    <n v="64407"/>
    <n v="6.2163613058722447E-4"/>
    <n v="43"/>
    <x v="0"/>
    <n v="299"/>
  </r>
  <r>
    <s v="A.K. ABDUL SALAM, CONTRACTOR"/>
    <x v="297"/>
    <x v="3"/>
    <n v="64476"/>
    <n v="6.2043103708539775E-4"/>
    <n v="69"/>
    <x v="1"/>
    <n v="300"/>
  </r>
  <r>
    <s v="BABU , VALETH"/>
    <x v="298"/>
    <x v="3"/>
    <n v="64501"/>
    <n v="6.1999440900502572E-4"/>
    <n v="57"/>
    <x v="0"/>
    <n v="301"/>
  </r>
  <r>
    <s v="ANOOP MORAKKALA"/>
    <x v="299"/>
    <x v="3"/>
    <n v="64625"/>
    <n v="6.178287337263806E-4"/>
    <n v="325"/>
    <x v="2"/>
    <n v="302"/>
  </r>
  <r>
    <s v="SURESH BABU"/>
    <x v="300"/>
    <x v="3"/>
    <n v="64660"/>
    <n v="6.1721745441385982E-4"/>
    <n v="179"/>
    <x v="2"/>
    <n v="303"/>
  </r>
  <r>
    <s v="SANOJ RAVINDRA"/>
    <x v="301"/>
    <x v="3"/>
    <n v="64720"/>
    <n v="6.16169547020967E-4"/>
    <n v="57"/>
    <x v="0"/>
    <n v="304"/>
  </r>
  <r>
    <s v="BENNY KSEB"/>
    <x v="302"/>
    <x v="3"/>
    <n v="64871"/>
    <n v="6.1353231341552017E-4"/>
    <n v="115"/>
    <x v="1"/>
    <n v="305"/>
  </r>
  <r>
    <s v="SHANKARA NARAYANAN"/>
    <x v="303"/>
    <x v="3"/>
    <n v="65079"/>
    <n v="6.0989956778682505E-4"/>
    <n v="193"/>
    <x v="2"/>
    <n v="306"/>
  </r>
  <r>
    <s v="KANNAN , SARARO"/>
    <x v="304"/>
    <x v="3"/>
    <n v="65197"/>
    <n v="6.0783868324746921E-4"/>
    <n v="8"/>
    <x v="0"/>
    <n v="307"/>
  </r>
  <r>
    <s v="KURIAKOSE VILANGU"/>
    <x v="305"/>
    <x v="3"/>
    <n v="65348"/>
    <n v="6.0520144964202238E-4"/>
    <n v="8"/>
    <x v="0"/>
    <n v="308"/>
  </r>
  <r>
    <s v="VASU KADAKKANAD"/>
    <x v="306"/>
    <x v="3"/>
    <n v="65455"/>
    <n v="6.0333268145803024E-4"/>
    <n v="156"/>
    <x v="2"/>
    <n v="309"/>
  </r>
  <r>
    <s v="ATHUL M S"/>
    <x v="307"/>
    <x v="3"/>
    <n v="65597"/>
    <n v="6.0085263396151721E-4"/>
    <n v="88"/>
    <x v="1"/>
    <n v="310"/>
  </r>
  <r>
    <s v="DHANEESH PATTIMATTOM"/>
    <x v="308"/>
    <x v="3"/>
    <n v="66079"/>
    <n v="5.9243444457194509E-4"/>
    <n v="124"/>
    <x v="2"/>
    <n v="311"/>
  </r>
  <r>
    <s v="AJI MATHAI"/>
    <x v="309"/>
    <x v="3"/>
    <n v="66126"/>
    <n v="5.9161358378084566E-4"/>
    <n v="253"/>
    <x v="2"/>
    <n v="312"/>
  </r>
  <r>
    <s v="BAIJU TRUSS PANCODE"/>
    <x v="310"/>
    <x v="3"/>
    <n v="66137"/>
    <n v="5.9142146742548207E-4"/>
    <n v="143"/>
    <x v="2"/>
    <n v="313"/>
  </r>
  <r>
    <s v="SINESH.K"/>
    <x v="311"/>
    <x v="3"/>
    <n v="66144"/>
    <n v="5.9129921156297785E-4"/>
    <n v="251"/>
    <x v="2"/>
    <n v="314"/>
  </r>
  <r>
    <s v="ABIN ALINCHUVADU"/>
    <x v="312"/>
    <x v="3"/>
    <n v="66327"/>
    <n v="5.8810309401465487E-4"/>
    <n v="246"/>
    <x v="2"/>
    <n v="315"/>
  </r>
  <r>
    <s v="JIJO KUNNAKKAL"/>
    <x v="313"/>
    <x v="3"/>
    <n v="66487"/>
    <n v="5.8530867430027402E-4"/>
    <n v="325"/>
    <x v="2"/>
    <n v="316"/>
  </r>
  <r>
    <s v="LEELA, K.KUMMANODE"/>
    <x v="314"/>
    <x v="3"/>
    <n v="66565"/>
    <n v="5.8394639468951339E-4"/>
    <n v="172"/>
    <x v="2"/>
    <n v="317"/>
  </r>
  <r>
    <s v="LIJU,THATTAMUGAL"/>
    <x v="315"/>
    <x v="3"/>
    <n v="66743"/>
    <n v="5.8083760275726474E-4"/>
    <n v="88"/>
    <x v="1"/>
    <n v="318"/>
  </r>
  <r>
    <s v="VINEETH.V"/>
    <x v="316"/>
    <x v="3"/>
    <n v="66768"/>
    <n v="5.804009746768927E-4"/>
    <n v="69"/>
    <x v="1"/>
    <n v="319"/>
  </r>
  <r>
    <s v="DRONIMAGINATION PRIVATE LIMITED"/>
    <x v="317"/>
    <x v="3"/>
    <n v="66997"/>
    <n v="5.7640146146068524E-4"/>
    <n v="271"/>
    <x v="2"/>
    <n v="320"/>
  </r>
  <r>
    <s v="ROYAL COLLECTIONS"/>
    <x v="318"/>
    <x v="3"/>
    <n v="67020"/>
    <n v="5.75999763626743E-4"/>
    <n v="254"/>
    <x v="2"/>
    <n v="321"/>
  </r>
  <r>
    <s v="ANOOP CHENGRA"/>
    <x v="319"/>
    <x v="3"/>
    <n v="67045"/>
    <n v="5.7556313554637097E-4"/>
    <n v="205"/>
    <x v="2"/>
    <n v="322"/>
  </r>
  <r>
    <s v="ANJU ANTONY"/>
    <x v="320"/>
    <x v="3"/>
    <n v="67100"/>
    <n v="5.7460255376955258E-4"/>
    <n v="114"/>
    <x v="1"/>
    <n v="323"/>
  </r>
  <r>
    <s v="CHAVARAMKUZHY BHAGAWATHI TEMPLE"/>
    <x v="321"/>
    <x v="3"/>
    <n v="67323"/>
    <n v="5.7070783129263428E-4"/>
    <n v="139"/>
    <x v="2"/>
    <n v="324"/>
  </r>
  <r>
    <s v="RAMAKRISHNAN KUMMANODE"/>
    <x v="322"/>
    <x v="3"/>
    <n v="67350"/>
    <n v="5.7023627296583256E-4"/>
    <n v="164"/>
    <x v="2"/>
    <n v="325"/>
  </r>
  <r>
    <s v="PRANAVAM HOTELS"/>
    <x v="323"/>
    <x v="3"/>
    <n v="67432"/>
    <n v="5.6880413286221245E-4"/>
    <n v="148"/>
    <x v="2"/>
    <n v="326"/>
  </r>
  <r>
    <s v="YESSAR GREEN POWER SOLUTIONS"/>
    <x v="324"/>
    <x v="3"/>
    <n v="67823"/>
    <n v="5.6197526968519435E-4"/>
    <n v="200"/>
    <x v="2"/>
    <n v="327"/>
  </r>
  <r>
    <s v="JAYESH, ERUMATHADATHIL"/>
    <x v="325"/>
    <x v="3"/>
    <n v="68133"/>
    <n v="5.5656108148858152E-4"/>
    <n v="86"/>
    <x v="1"/>
    <n v="328"/>
  </r>
  <r>
    <s v="ELDHO VALAMBOOR"/>
    <x v="326"/>
    <x v="3"/>
    <n v="68339"/>
    <n v="5.5296326610631619E-4"/>
    <n v="82"/>
    <x v="1"/>
    <n v="329"/>
  </r>
  <r>
    <s v="AUGUSTINE AIRAPURAM"/>
    <x v="327"/>
    <x v="3"/>
    <n v="68400"/>
    <n v="5.5189789359020853E-4"/>
    <n v="292"/>
    <x v="2"/>
    <n v="330"/>
  </r>
  <r>
    <s v="SOLAMAN , CHOORAKKODU"/>
    <x v="328"/>
    <x v="3"/>
    <n v="68836"/>
    <n v="5.442830998685209E-4"/>
    <n v="283"/>
    <x v="2"/>
    <n v="331"/>
  </r>
  <r>
    <s v="BABU MAZHUVANNOOR"/>
    <x v="329"/>
    <x v="3"/>
    <n v="69250"/>
    <n v="5.3705253885756056E-4"/>
    <n v="236"/>
    <x v="2"/>
    <n v="332"/>
  </r>
  <r>
    <s v="SANAL KOLANKUDY"/>
    <x v="330"/>
    <x v="3"/>
    <n v="69314"/>
    <n v="5.3593477097180816E-4"/>
    <n v="34"/>
    <x v="0"/>
    <n v="333"/>
  </r>
  <r>
    <s v="SHAJI IRAPURAM"/>
    <x v="331"/>
    <x v="3"/>
    <n v="69547"/>
    <n v="5.3186539726274122E-4"/>
    <n v="162"/>
    <x v="2"/>
    <n v="334"/>
  </r>
  <r>
    <s v="ELDHO ALIAS"/>
    <x v="332"/>
    <x v="3"/>
    <n v="69709"/>
    <n v="5.2903604730193058E-4"/>
    <n v="96"/>
    <x v="1"/>
    <n v="335"/>
  </r>
  <r>
    <s v="DAUGHTERS OF ST. MARY OF LEUCA"/>
    <x v="333"/>
    <x v="3"/>
    <n v="69942"/>
    <n v="5.2496667359286354E-4"/>
    <n v="3"/>
    <x v="0"/>
    <n v="336"/>
  </r>
  <r>
    <s v="MASTERFIX ENGINEERING SOLUTIONS"/>
    <x v="334"/>
    <x v="3"/>
    <n v="70000"/>
    <n v="5.2395369644640051E-4"/>
    <n v="92"/>
    <x v="1"/>
    <n v="337"/>
  </r>
  <r>
    <s v="ULLAS , DAUBLEPALAM"/>
    <x v="335"/>
    <x v="3"/>
    <n v="70123"/>
    <n v="5.2180548629097024E-4"/>
    <n v="18"/>
    <x v="0"/>
    <n v="338"/>
  </r>
  <r>
    <s v="KURIAKOSE KIZHAKKAMBALAM"/>
    <x v="336"/>
    <x v="3"/>
    <n v="70219"/>
    <n v="5.201288344623418E-4"/>
    <n v="289"/>
    <x v="2"/>
    <n v="339"/>
  </r>
  <r>
    <s v="BASIL KADAYIRUPPU"/>
    <x v="337"/>
    <x v="3"/>
    <n v="70235"/>
    <n v="5.1984939249090367E-4"/>
    <n v="39"/>
    <x v="0"/>
    <n v="340"/>
  </r>
  <r>
    <s v="SIJU PETER"/>
    <x v="338"/>
    <x v="3"/>
    <n v="70250"/>
    <n v="5.195874156426805E-4"/>
    <n v="62"/>
    <x v="1"/>
    <n v="341"/>
  </r>
  <r>
    <s v="HASSAN MUNDEKUDY"/>
    <x v="339"/>
    <x v="3"/>
    <n v="70305"/>
    <n v="5.1862683386586211E-4"/>
    <n v="171"/>
    <x v="2"/>
    <n v="342"/>
  </r>
  <r>
    <s v="ELDHOSE , MANGALATHUNADA"/>
    <x v="340"/>
    <x v="3"/>
    <n v="70306"/>
    <n v="5.1860936874264726E-4"/>
    <n v="96"/>
    <x v="1"/>
    <n v="343"/>
  </r>
  <r>
    <s v="AYISHA CONSTRUCTIONS"/>
    <x v="341"/>
    <x v="3"/>
    <n v="70406"/>
    <n v="5.1686285642115924E-4"/>
    <n v="36"/>
    <x v="0"/>
    <n v="344"/>
  </r>
  <r>
    <s v="M S TECH ENGINEERING INDUSTRIES"/>
    <x v="342"/>
    <x v="3"/>
    <n v="70502"/>
    <n v="5.1518620459253079E-4"/>
    <n v="208"/>
    <x v="2"/>
    <n v="345"/>
  </r>
  <r>
    <s v="AJESH PAREKKATTIL"/>
    <x v="343"/>
    <x v="3"/>
    <n v="70800"/>
    <n v="5.099815978744965E-4"/>
    <n v="143"/>
    <x v="2"/>
    <n v="346"/>
  </r>
  <r>
    <s v="SUSEELAN KOLENCHERY"/>
    <x v="344"/>
    <x v="3"/>
    <n v="70827"/>
    <n v="5.0951003954769478E-4"/>
    <n v="123"/>
    <x v="2"/>
    <n v="347"/>
  </r>
  <r>
    <s v="AJESH PAZHAMPILLY"/>
    <x v="345"/>
    <x v="3"/>
    <n v="70866"/>
    <n v="5.0882889974231441E-4"/>
    <n v="50"/>
    <x v="0"/>
    <n v="348"/>
  </r>
  <r>
    <s v="ELDHO , PATTIMATTAM"/>
    <x v="346"/>
    <x v="3"/>
    <n v="70868"/>
    <n v="5.0879396949588462E-4"/>
    <n v="6"/>
    <x v="0"/>
    <n v="349"/>
  </r>
  <r>
    <s v="MIDHUN MANGALATHUNADA"/>
    <x v="347"/>
    <x v="3"/>
    <n v="71014"/>
    <n v="5.0624406150651222E-4"/>
    <n v="167"/>
    <x v="2"/>
    <n v="350"/>
  </r>
  <r>
    <s v="SHAJI AMBALATHUMKUDY"/>
    <x v="348"/>
    <x v="3"/>
    <n v="71025"/>
    <n v="5.0605194515114852E-4"/>
    <n v="27"/>
    <x v="0"/>
    <n v="351"/>
  </r>
  <r>
    <s v="KUNJUMUHAMMAD THANDAKKALA"/>
    <x v="349"/>
    <x v="3"/>
    <n v="71145"/>
    <n v="5.0395613036536288E-4"/>
    <n v="216"/>
    <x v="2"/>
    <n v="352"/>
  </r>
  <r>
    <s v="JINTO , VALAMBOOR"/>
    <x v="350"/>
    <x v="3"/>
    <n v="71213"/>
    <n v="5.0276850198675111E-4"/>
    <n v="146"/>
    <x v="2"/>
    <n v="353"/>
  </r>
  <r>
    <s v="SHINOY TRUSS , AKKAMBARA"/>
    <x v="351"/>
    <x v="3"/>
    <n v="71257"/>
    <n v="5.0200003656529631E-4"/>
    <n v="186"/>
    <x v="2"/>
    <n v="354"/>
  </r>
  <r>
    <s v="BASHEER KALAPPURACKAL"/>
    <x v="352"/>
    <x v="3"/>
    <n v="71475"/>
    <n v="4.9819263970445244E-4"/>
    <n v="81"/>
    <x v="1"/>
    <n v="355"/>
  </r>
  <r>
    <s v="SAJI THANKAPPAN ,VALAMBOOR"/>
    <x v="353"/>
    <x v="3"/>
    <n v="71500"/>
    <n v="4.9775601162408052E-4"/>
    <n v="97"/>
    <x v="1"/>
    <n v="356"/>
  </r>
  <r>
    <s v="ABDULKHADER KOTTALIKUDY"/>
    <x v="354"/>
    <x v="3"/>
    <n v="71593"/>
    <n v="4.961317551650966E-4"/>
    <n v="44"/>
    <x v="0"/>
    <n v="357"/>
  </r>
  <r>
    <s v="ELDHOSE KANDANALI"/>
    <x v="354"/>
    <x v="3"/>
    <n v="71593"/>
    <n v="4.961317551650966E-4"/>
    <n v="3"/>
    <x v="0"/>
    <n v="357"/>
  </r>
  <r>
    <s v="ELITE INDUSTIRES"/>
    <x v="355"/>
    <x v="3"/>
    <n v="71943"/>
    <n v="4.9001896203988867E-4"/>
    <n v="291"/>
    <x v="2"/>
    <n v="359"/>
  </r>
  <r>
    <s v="BASIL TRUSS"/>
    <x v="356"/>
    <x v="3"/>
    <n v="71993"/>
    <n v="4.891457058791446E-4"/>
    <n v="73"/>
    <x v="1"/>
    <n v="360"/>
  </r>
  <r>
    <s v="MELETH POULOSE JOLLY"/>
    <x v="357"/>
    <x v="3"/>
    <n v="72000"/>
    <n v="4.8902345001664049E-4"/>
    <n v="191"/>
    <x v="2"/>
    <n v="361"/>
  </r>
  <r>
    <s v="SIVAKUMAR KUMMANODE"/>
    <x v="358"/>
    <x v="3"/>
    <n v="72089"/>
    <n v="4.8746905405051616E-4"/>
    <n v="143"/>
    <x v="2"/>
    <n v="362"/>
  </r>
  <r>
    <s v="SIBI ALIAS"/>
    <x v="359"/>
    <x v="3"/>
    <n v="72168"/>
    <n v="4.8608930931654063E-4"/>
    <n v="13"/>
    <x v="0"/>
    <n v="363"/>
  </r>
  <r>
    <s v="ASHRAF BAKERY"/>
    <x v="360"/>
    <x v="3"/>
    <n v="72196"/>
    <n v="4.8560028586652401E-4"/>
    <n v="10"/>
    <x v="0"/>
    <n v="364"/>
  </r>
  <r>
    <s v="ESSA INNOVATIONS"/>
    <x v="361"/>
    <x v="3"/>
    <n v="72203"/>
    <n v="4.8547803000401985E-4"/>
    <n v="244"/>
    <x v="2"/>
    <n v="365"/>
  </r>
  <r>
    <s v="HARI PRASAD"/>
    <x v="362"/>
    <x v="3"/>
    <n v="72214"/>
    <n v="4.8528591364865615E-4"/>
    <n v="229"/>
    <x v="2"/>
    <n v="366"/>
  </r>
  <r>
    <s v="KERALA STEELS"/>
    <x v="363"/>
    <x v="3"/>
    <n v="72527"/>
    <n v="4.7981933008239873E-4"/>
    <n v="174"/>
    <x v="2"/>
    <n v="367"/>
  </r>
  <r>
    <s v="BOLDTECH INTERIORS &amp; DEVELOPERS LLP"/>
    <x v="364"/>
    <x v="3"/>
    <n v="72670"/>
    <n v="4.7732181746267086E-4"/>
    <n v="34"/>
    <x v="0"/>
    <n v="368"/>
  </r>
  <r>
    <s v="ELDHO PAUL, AKKAMBARA"/>
    <x v="364"/>
    <x v="3"/>
    <n v="72670"/>
    <n v="4.7732181746267086E-4"/>
    <n v="52"/>
    <x v="0"/>
    <n v="368"/>
  </r>
  <r>
    <s v="RAMAKRISHNAN EDATHIKKARA"/>
    <x v="365"/>
    <x v="3"/>
    <n v="72685"/>
    <n v="4.7705984061444768E-4"/>
    <n v="125"/>
    <x v="2"/>
    <n v="370"/>
  </r>
  <r>
    <s v="ELDHO KANDANALY"/>
    <x v="366"/>
    <x v="3"/>
    <n v="72702"/>
    <n v="4.7676293351979471E-4"/>
    <n v="16"/>
    <x v="0"/>
    <n v="371"/>
  </r>
  <r>
    <s v="SURENDRAN K C"/>
    <x v="367"/>
    <x v="3"/>
    <n v="72809"/>
    <n v="4.7489416533580257E-4"/>
    <n v="190"/>
    <x v="2"/>
    <n v="372"/>
  </r>
  <r>
    <s v="MAHESH VALAMBOOR"/>
    <x v="368"/>
    <x v="3"/>
    <n v="72838"/>
    <n v="4.7438767676257106E-4"/>
    <n v="139"/>
    <x v="2"/>
    <n v="373"/>
  </r>
  <r>
    <s v="JOBY JOSEPH"/>
    <x v="369"/>
    <x v="3"/>
    <n v="72849"/>
    <n v="4.7419556040720736E-4"/>
    <n v="162"/>
    <x v="2"/>
    <n v="374"/>
  </r>
  <r>
    <s v="SOMARAJAN"/>
    <x v="370"/>
    <x v="3"/>
    <n v="72870"/>
    <n v="4.7382879281969485E-4"/>
    <n v="123"/>
    <x v="2"/>
    <n v="375"/>
  </r>
  <r>
    <s v="VELAYUDHAN VEMPILLY"/>
    <x v="371"/>
    <x v="3"/>
    <n v="72989"/>
    <n v="4.7175044315712417E-4"/>
    <n v="162"/>
    <x v="2"/>
    <n v="376"/>
  </r>
  <r>
    <s v="PAREETH DOUBLEPALM"/>
    <x v="372"/>
    <x v="3"/>
    <n v="73000"/>
    <n v="4.7155832680176047E-4"/>
    <n v="272"/>
    <x v="2"/>
    <n v="377"/>
  </r>
  <r>
    <s v="RAFEEQ KUMMANODE"/>
    <x v="373"/>
    <x v="3"/>
    <n v="73040"/>
    <n v="4.7085972187316526E-4"/>
    <n v="22"/>
    <x v="0"/>
    <n v="378"/>
  </r>
  <r>
    <s v="SREEKUMAR KILIKULAM"/>
    <x v="374"/>
    <x v="3"/>
    <n v="73335"/>
    <n v="4.6570751052477566E-4"/>
    <n v="101"/>
    <x v="1"/>
    <n v="379"/>
  </r>
  <r>
    <s v="THAMPI , PATTIMATTAM"/>
    <x v="375"/>
    <x v="3"/>
    <n v="73580"/>
    <n v="4.6142855533713007E-4"/>
    <n v="124"/>
    <x v="2"/>
    <n v="380"/>
  </r>
  <r>
    <s v="ELDHOSE PANTHANAMOLAYIL"/>
    <x v="376"/>
    <x v="3"/>
    <n v="73728"/>
    <n v="4.5884371710132782E-4"/>
    <n v="151"/>
    <x v="2"/>
    <n v="381"/>
  </r>
  <r>
    <s v="SUKUMARAN CHENGARA"/>
    <x v="377"/>
    <x v="3"/>
    <n v="73844"/>
    <n v="4.5681776280840172E-4"/>
    <n v="291"/>
    <x v="2"/>
    <n v="382"/>
  </r>
  <r>
    <s v="MAITHEEN TRUSS"/>
    <x v="378"/>
    <x v="3"/>
    <n v="73846"/>
    <n v="4.5678283256197198E-4"/>
    <n v="153"/>
    <x v="2"/>
    <n v="383"/>
  </r>
  <r>
    <s v="RENJITH TRUSS PATTIMATTOM"/>
    <x v="379"/>
    <x v="3"/>
    <n v="73950"/>
    <n v="4.5496645974762447E-4"/>
    <n v="318"/>
    <x v="2"/>
    <n v="384"/>
  </r>
  <r>
    <s v="VIJAYAMMA KILIKULAM"/>
    <x v="380"/>
    <x v="3"/>
    <n v="73996"/>
    <n v="4.5416306407973999E-4"/>
    <n v="291"/>
    <x v="2"/>
    <n v="385"/>
  </r>
  <r>
    <s v="ST.THOMAS CHURCH"/>
    <x v="381"/>
    <x v="3"/>
    <n v="74006"/>
    <n v="4.5398841284759119E-4"/>
    <n v="62"/>
    <x v="1"/>
    <n v="386"/>
  </r>
  <r>
    <s v="SUNIL KILIKULAM"/>
    <x v="382"/>
    <x v="3"/>
    <n v="74060"/>
    <n v="4.5304529619398764E-4"/>
    <n v="9"/>
    <x v="0"/>
    <n v="387"/>
  </r>
  <r>
    <s v="BIJU , NJARALLOOR"/>
    <x v="383"/>
    <x v="3"/>
    <n v="74236"/>
    <n v="4.4997143450816878E-4"/>
    <n v="106"/>
    <x v="1"/>
    <n v="388"/>
  </r>
  <r>
    <s v="ARADHANA ,CHOORAKODE"/>
    <x v="384"/>
    <x v="3"/>
    <n v="74374"/>
    <n v="4.4756124750451533E-4"/>
    <n v="19"/>
    <x v="0"/>
    <n v="389"/>
  </r>
  <r>
    <s v="AKASH FLAVOURFAV"/>
    <x v="385"/>
    <x v="3"/>
    <n v="74410"/>
    <n v="4.4693250306877965E-4"/>
    <n v="320"/>
    <x v="2"/>
    <n v="390"/>
  </r>
  <r>
    <s v="SUNIL DOUBLEPALAM"/>
    <x v="386"/>
    <x v="3"/>
    <n v="74566"/>
    <n v="4.4420794384725834E-4"/>
    <n v="93"/>
    <x v="1"/>
    <n v="391"/>
  </r>
  <r>
    <s v="SUKUMARAN THOTTATHIKUDY"/>
    <x v="387"/>
    <x v="3"/>
    <n v="74612"/>
    <n v="4.4340454817937385E-4"/>
    <n v="29"/>
    <x v="0"/>
    <n v="392"/>
  </r>
  <r>
    <s v="VELAYUDHAN K K"/>
    <x v="388"/>
    <x v="3"/>
    <n v="74643"/>
    <n v="4.428631293597126E-4"/>
    <n v="318"/>
    <x v="2"/>
    <n v="393"/>
  </r>
  <r>
    <s v="SREEJITH MAZHUVANNOOR"/>
    <x v="389"/>
    <x v="3"/>
    <n v="74680"/>
    <n v="4.4221691980076203E-4"/>
    <n v="81"/>
    <x v="1"/>
    <n v="394"/>
  </r>
  <r>
    <s v="SAJAN PAUL"/>
    <x v="390"/>
    <x v="3"/>
    <n v="74710"/>
    <n v="4.4169296610431562E-4"/>
    <n v="55"/>
    <x v="0"/>
    <n v="395"/>
  </r>
  <r>
    <s v="N S S KARAYOGAM VALMBOOR"/>
    <x v="391"/>
    <x v="3"/>
    <n v="74725"/>
    <n v="4.4143098925609244E-4"/>
    <n v="249"/>
    <x v="2"/>
    <n v="396"/>
  </r>
  <r>
    <s v="MOHANAN KIZHAKKAMBALAM"/>
    <x v="392"/>
    <x v="3"/>
    <n v="74748"/>
    <n v="4.410292914221502E-4"/>
    <n v="249"/>
    <x v="2"/>
    <n v="397"/>
  </r>
  <r>
    <s v="CLASSIC INDUSTRIES"/>
    <x v="393"/>
    <x v="3"/>
    <n v="74757"/>
    <n v="4.4087210531321629E-4"/>
    <n v="41"/>
    <x v="0"/>
    <n v="398"/>
  </r>
  <r>
    <s v="KAREEM KAVUNGAPARAMBU"/>
    <x v="394"/>
    <x v="3"/>
    <n v="74840"/>
    <n v="4.3942250008638124E-4"/>
    <n v="179"/>
    <x v="2"/>
    <n v="399"/>
  </r>
  <r>
    <s v="S R GROUP OF COMPANIES"/>
    <x v="395"/>
    <x v="3"/>
    <n v="74930"/>
    <n v="4.3785063899704201E-4"/>
    <n v="328"/>
    <x v="2"/>
    <n v="400"/>
  </r>
  <r>
    <s v="SAJEEV K K"/>
    <x v="396"/>
    <x v="3"/>
    <n v="75170"/>
    <n v="4.3365900942547085E-4"/>
    <n v="311"/>
    <x v="2"/>
    <n v="401"/>
  </r>
  <r>
    <s v="SUNNY MANGALATHUNADA"/>
    <x v="397"/>
    <x v="3"/>
    <n v="75201"/>
    <n v="4.3311759060580955E-4"/>
    <n v="153"/>
    <x v="2"/>
    <n v="402"/>
  </r>
  <r>
    <s v="MIDHUN VALAMBOOR"/>
    <x v="398"/>
    <x v="3"/>
    <n v="75364"/>
    <n v="4.3027077552178412E-4"/>
    <n v="297"/>
    <x v="2"/>
    <n v="403"/>
  </r>
  <r>
    <s v="VARGHESE THATTAMUGAL"/>
    <x v="399"/>
    <x v="3"/>
    <n v="75453"/>
    <n v="4.2871637955565979E-4"/>
    <n v="51"/>
    <x v="0"/>
    <n v="404"/>
  </r>
  <r>
    <s v="IMPERIAL EXTRACTS"/>
    <x v="400"/>
    <x v="3"/>
    <n v="75470"/>
    <n v="4.2841947246100682E-4"/>
    <n v="260"/>
    <x v="2"/>
    <n v="405"/>
  </r>
  <r>
    <s v="SABU OILICKAL"/>
    <x v="401"/>
    <x v="3"/>
    <n v="75605"/>
    <n v="4.2606168082699801E-4"/>
    <n v="5"/>
    <x v="0"/>
    <n v="406"/>
  </r>
  <r>
    <s v="BUILDWARE ZONE"/>
    <x v="402"/>
    <x v="3"/>
    <n v="75703"/>
    <n v="4.2435009875193977E-4"/>
    <n v="94"/>
    <x v="1"/>
    <n v="407"/>
  </r>
  <r>
    <s v="JACOB MAZHUVANNOOR"/>
    <x v="403"/>
    <x v="3"/>
    <n v="75733"/>
    <n v="4.2382614505549336E-4"/>
    <n v="221"/>
    <x v="2"/>
    <n v="408"/>
  </r>
  <r>
    <s v="BENNY 9847361933"/>
    <x v="404"/>
    <x v="3"/>
    <n v="75748"/>
    <n v="4.2356416820727019E-4"/>
    <n v="157"/>
    <x v="2"/>
    <n v="409"/>
  </r>
  <r>
    <s v="SANOJ VALAMBOOR"/>
    <x v="405"/>
    <x v="3"/>
    <n v="75866"/>
    <n v="4.2150328366791435E-4"/>
    <n v="254"/>
    <x v="2"/>
    <n v="410"/>
  </r>
  <r>
    <s v="AJIL PATTIMATTOM"/>
    <x v="406"/>
    <x v="3"/>
    <n v="75936"/>
    <n v="4.2028072504287273E-4"/>
    <n v="50"/>
    <x v="0"/>
    <n v="411"/>
  </r>
  <r>
    <s v="SIVASAKTHI CABLES"/>
    <x v="407"/>
    <x v="3"/>
    <n v="76055"/>
    <n v="4.1820237538030199E-4"/>
    <n v="54"/>
    <x v="0"/>
    <n v="412"/>
  </r>
  <r>
    <s v="KANDANADAN TRADERS"/>
    <x v="408"/>
    <x v="3"/>
    <n v="76210"/>
    <n v="4.1549528128199563E-4"/>
    <n v="326"/>
    <x v="2"/>
    <n v="413"/>
  </r>
  <r>
    <s v="ELJO PAUL"/>
    <x v="409"/>
    <x v="3"/>
    <n v="76327"/>
    <n v="4.1345186186585463E-4"/>
    <n v="31"/>
    <x v="0"/>
    <n v="414"/>
  </r>
  <r>
    <s v="BHASKARAN PATTIMATTOM"/>
    <x v="410"/>
    <x v="3"/>
    <n v="76358"/>
    <n v="4.1291044304619338E-4"/>
    <n v="40"/>
    <x v="0"/>
    <n v="415"/>
  </r>
  <r>
    <s v="GOPALAKRISHNAN MAZHUVANNOOR"/>
    <x v="411"/>
    <x v="3"/>
    <n v="76407"/>
    <n v="4.1205465200866426E-4"/>
    <n v="158"/>
    <x v="2"/>
    <n v="416"/>
  </r>
  <r>
    <s v="AJAYKOSH VALAMBOOR"/>
    <x v="412"/>
    <x v="3"/>
    <n v="76426"/>
    <n v="4.1172281466758155E-4"/>
    <n v="251"/>
    <x v="2"/>
    <n v="417"/>
  </r>
  <r>
    <s v="UMMER COCHIN SALOON"/>
    <x v="413"/>
    <x v="3"/>
    <n v="76696"/>
    <n v="4.0700723139956393E-4"/>
    <n v="186"/>
    <x v="2"/>
    <n v="418"/>
  </r>
  <r>
    <s v="HAREESH VALAMBOOR KURIZ"/>
    <x v="414"/>
    <x v="3"/>
    <n v="76840"/>
    <n v="4.0449225365662121E-4"/>
    <n v="10"/>
    <x v="0"/>
    <n v="419"/>
  </r>
  <r>
    <s v="JOMET MAZHUVANNOOR"/>
    <x v="414"/>
    <x v="3"/>
    <n v="76840"/>
    <n v="4.0449225365662121E-4"/>
    <n v="19"/>
    <x v="0"/>
    <n v="419"/>
  </r>
  <r>
    <s v="PAPPACHAN , KUZHIKKADU"/>
    <x v="415"/>
    <x v="3"/>
    <n v="76856"/>
    <n v="4.0421281168518314E-4"/>
    <n v="73"/>
    <x v="1"/>
    <n v="421"/>
  </r>
  <r>
    <s v="ILLIYAS MEPRATHUPADY"/>
    <x v="416"/>
    <x v="3"/>
    <n v="76880"/>
    <n v="4.03793648728026E-4"/>
    <n v="262"/>
    <x v="2"/>
    <n v="422"/>
  </r>
  <r>
    <s v="SLEEBA PAREPPEDIKA"/>
    <x v="417"/>
    <x v="3"/>
    <n v="76948"/>
    <n v="4.0260602034941417E-4"/>
    <n v="197"/>
    <x v="2"/>
    <n v="423"/>
  </r>
  <r>
    <s v="GOPALAKRISHNAN KADAYIRUPPU"/>
    <x v="418"/>
    <x v="3"/>
    <n v="77076"/>
    <n v="4.0037048457790953E-4"/>
    <n v="243"/>
    <x v="2"/>
    <n v="424"/>
  </r>
  <r>
    <s v="AJAYAN VALAMBOOR"/>
    <x v="419"/>
    <x v="3"/>
    <n v="77083"/>
    <n v="4.0024822871540536E-4"/>
    <n v="61"/>
    <x v="1"/>
    <n v="425"/>
  </r>
  <r>
    <s v="MANI KADAYIRUPPU"/>
    <x v="420"/>
    <x v="3"/>
    <n v="77090"/>
    <n v="4.0012597285290119E-4"/>
    <n v="159"/>
    <x v="2"/>
    <n v="426"/>
  </r>
  <r>
    <s v="O.K MEETHEEN KUNJU"/>
    <x v="421"/>
    <x v="3"/>
    <n v="77157"/>
    <n v="3.9895580959750426E-4"/>
    <n v="145"/>
    <x v="2"/>
    <n v="427"/>
  </r>
  <r>
    <s v="SREEJITH KOCHIKKA"/>
    <x v="422"/>
    <x v="3"/>
    <n v="77318"/>
    <n v="3.9614392475990857E-4"/>
    <n v="132"/>
    <x v="2"/>
    <n v="428"/>
  </r>
  <r>
    <s v="DAS ARACKAPPADY"/>
    <x v="423"/>
    <x v="3"/>
    <n v="77400"/>
    <n v="3.9471178465628841E-4"/>
    <n v="215"/>
    <x v="2"/>
    <n v="429"/>
  </r>
  <r>
    <s v="PRAMOJ NJARALLOOR"/>
    <x v="424"/>
    <x v="3"/>
    <n v="77750"/>
    <n v="3.8859899153108037E-4"/>
    <n v="184"/>
    <x v="2"/>
    <n v="430"/>
  </r>
  <r>
    <s v="LAIJU KADAYIRUPPU"/>
    <x v="425"/>
    <x v="3"/>
    <n v="77763"/>
    <n v="3.8837194492928693E-4"/>
    <n v="188"/>
    <x v="2"/>
    <n v="431"/>
  </r>
  <r>
    <s v="HEAVEN PAPER PRODUCTS"/>
    <x v="426"/>
    <x v="3"/>
    <n v="77814"/>
    <n v="3.8748122364532807E-4"/>
    <n v="41"/>
    <x v="0"/>
    <n v="432"/>
  </r>
  <r>
    <s v="MILMA SHOPPE"/>
    <x v="427"/>
    <x v="3"/>
    <n v="77815"/>
    <n v="3.8746375852211318E-4"/>
    <n v="312"/>
    <x v="2"/>
    <n v="433"/>
  </r>
  <r>
    <s v="EMIYA FAB"/>
    <x v="428"/>
    <x v="3"/>
    <n v="77857"/>
    <n v="3.8673022334708823E-4"/>
    <n v="162"/>
    <x v="2"/>
    <n v="434"/>
  </r>
  <r>
    <s v="ASHTAMI PRINTERS"/>
    <x v="429"/>
    <x v="3"/>
    <n v="77954"/>
    <n v="3.8503610639524489E-4"/>
    <n v="88"/>
    <x v="1"/>
    <n v="435"/>
  </r>
  <r>
    <s v="RASHEED CHELAKULAM"/>
    <x v="430"/>
    <x v="3"/>
    <n v="78018"/>
    <n v="3.8391833850949254E-4"/>
    <n v="136"/>
    <x v="2"/>
    <n v="436"/>
  </r>
  <r>
    <s v="SIVAN MAZHUVANNOOR"/>
    <x v="431"/>
    <x v="3"/>
    <n v="78193"/>
    <n v="3.8086194194688851E-4"/>
    <n v="62"/>
    <x v="1"/>
    <n v="437"/>
  </r>
  <r>
    <s v="JOLLY ABRAHAM (QULITY PULINCHODE)"/>
    <x v="432"/>
    <x v="3"/>
    <n v="78550"/>
    <n v="3.7462689295917636E-4"/>
    <n v="165"/>
    <x v="2"/>
    <n v="438"/>
  </r>
  <r>
    <s v="RATHEESH MANGALATHUNADA"/>
    <x v="433"/>
    <x v="3"/>
    <n v="78557"/>
    <n v="3.7450463709667219E-4"/>
    <n v="234"/>
    <x v="2"/>
    <n v="439"/>
  </r>
  <r>
    <s v="VISHNU NJARALLOOR"/>
    <x v="434"/>
    <x v="3"/>
    <n v="78567"/>
    <n v="3.7432998586452339E-4"/>
    <n v="43"/>
    <x v="0"/>
    <n v="440"/>
  </r>
  <r>
    <s v="SREEKANTH VALMBOOR"/>
    <x v="435"/>
    <x v="3"/>
    <n v="78672"/>
    <n v="3.7249614792696098E-4"/>
    <n v="328"/>
    <x v="2"/>
    <n v="441"/>
  </r>
  <r>
    <s v="KURIAKOSE POTTAKKAN"/>
    <x v="436"/>
    <x v="3"/>
    <n v="78702"/>
    <n v="3.7197219423051463E-4"/>
    <n v="113"/>
    <x v="1"/>
    <n v="442"/>
  </r>
  <r>
    <s v="MASJID AMAN CHELAKULAM"/>
    <x v="437"/>
    <x v="3"/>
    <n v="78709"/>
    <n v="3.7184993836801046E-4"/>
    <n v="240"/>
    <x v="2"/>
    <n v="443"/>
  </r>
  <r>
    <s v="BASHEER PADAKKAM"/>
    <x v="438"/>
    <x v="3"/>
    <n v="78714"/>
    <n v="3.7176261275193603E-4"/>
    <n v="75"/>
    <x v="1"/>
    <n v="444"/>
  </r>
  <r>
    <s v="SHAJI PARAKKAL"/>
    <x v="439"/>
    <x v="3"/>
    <n v="78733"/>
    <n v="3.7143077541085332E-4"/>
    <n v="125"/>
    <x v="2"/>
    <n v="445"/>
  </r>
  <r>
    <s v="SUMITH PANCODE"/>
    <x v="440"/>
    <x v="3"/>
    <n v="78734"/>
    <n v="3.7141331028763843E-4"/>
    <n v="214"/>
    <x v="2"/>
    <n v="446"/>
  </r>
  <r>
    <s v="ANSAR ONAKKARA"/>
    <x v="441"/>
    <x v="3"/>
    <n v="78827"/>
    <n v="3.6978905382865462E-4"/>
    <n v="174"/>
    <x v="2"/>
    <n v="447"/>
  </r>
  <r>
    <s v="SUKUMARAN CHAYKOTH"/>
    <x v="442"/>
    <x v="3"/>
    <n v="78948"/>
    <n v="3.6767577391965414E-4"/>
    <n v="232"/>
    <x v="2"/>
    <n v="448"/>
  </r>
  <r>
    <s v="VIJAYAN EZHIPPURAM"/>
    <x v="443"/>
    <x v="3"/>
    <n v="78985"/>
    <n v="3.6702956436070357E-4"/>
    <n v="16"/>
    <x v="0"/>
    <n v="449"/>
  </r>
  <r>
    <s v="NIYAS APE"/>
    <x v="444"/>
    <x v="3"/>
    <n v="79024"/>
    <n v="3.6634842455532325E-4"/>
    <n v="11"/>
    <x v="0"/>
    <n v="450"/>
  </r>
  <r>
    <s v="BINIL MANGALATHNADA"/>
    <x v="445"/>
    <x v="3"/>
    <n v="79196"/>
    <n v="3.6334442336236387E-4"/>
    <n v="36"/>
    <x v="0"/>
    <n v="451"/>
  </r>
  <r>
    <s v="SHAJI VALETHUPADY"/>
    <x v="446"/>
    <x v="3"/>
    <n v="79215"/>
    <n v="3.6301258602128116E-4"/>
    <n v="272"/>
    <x v="2"/>
    <n v="452"/>
  </r>
  <r>
    <s v="NAREEKUZHY  TRADERS"/>
    <x v="447"/>
    <x v="3"/>
    <n v="79297"/>
    <n v="3.61580445917661E-4"/>
    <n v="12"/>
    <x v="0"/>
    <n v="453"/>
  </r>
  <r>
    <s v="AKHIL KILIKULAM"/>
    <x v="448"/>
    <x v="3"/>
    <n v="79323"/>
    <n v="3.6112635271407412E-4"/>
    <n v="281"/>
    <x v="2"/>
    <n v="454"/>
  </r>
  <r>
    <s v="GEETHA PATTIMATTOM"/>
    <x v="449"/>
    <x v="3"/>
    <n v="79383"/>
    <n v="3.600784453211813E-4"/>
    <n v="234"/>
    <x v="2"/>
    <n v="455"/>
  </r>
  <r>
    <s v="BENNY VALAMBOOR"/>
    <x v="450"/>
    <x v="3"/>
    <n v="79488"/>
    <n v="3.582446073836189E-4"/>
    <n v="110"/>
    <x v="1"/>
    <n v="456"/>
  </r>
  <r>
    <s v="JABIR VATHIMATTOM"/>
    <x v="451"/>
    <x v="3"/>
    <n v="79610"/>
    <n v="3.5611386235140358E-4"/>
    <n v="318"/>
    <x v="2"/>
    <n v="457"/>
  </r>
  <r>
    <s v="SARAVANAN"/>
    <x v="452"/>
    <x v="3"/>
    <n v="79620"/>
    <n v="3.5593921111925478E-4"/>
    <n v="138"/>
    <x v="2"/>
    <n v="458"/>
  </r>
  <r>
    <s v="SHIBU , MOONELIMUGAL"/>
    <x v="453"/>
    <x v="3"/>
    <n v="79627"/>
    <n v="3.5581695525675061E-4"/>
    <n v="225"/>
    <x v="2"/>
    <n v="459"/>
  </r>
  <r>
    <s v="JOHN STAGE , KOLENCHERY"/>
    <x v="454"/>
    <x v="3"/>
    <n v="79734"/>
    <n v="3.5394818707275841E-4"/>
    <n v="1"/>
    <x v="0"/>
    <n v="460"/>
  </r>
  <r>
    <s v="ECO POWER SOLUTIONS"/>
    <x v="455"/>
    <x v="3"/>
    <n v="79785"/>
    <n v="3.5305746578879956E-4"/>
    <n v="117"/>
    <x v="1"/>
    <n v="461"/>
  </r>
  <r>
    <s v="SOLARGATE"/>
    <x v="456"/>
    <x v="3"/>
    <n v="79836"/>
    <n v="3.5216674450484065E-4"/>
    <n v="44"/>
    <x v="0"/>
    <n v="462"/>
  </r>
  <r>
    <s v="BENZ KADAYIRUPPU"/>
    <x v="457"/>
    <x v="3"/>
    <n v="79867"/>
    <n v="3.516253256851794E-4"/>
    <n v="191"/>
    <x v="2"/>
    <n v="463"/>
  </r>
  <r>
    <s v="RAMAN TRUSS"/>
    <x v="458"/>
    <x v="3"/>
    <n v="79879"/>
    <n v="3.5141574420660085E-4"/>
    <n v="76"/>
    <x v="1"/>
    <n v="464"/>
  </r>
  <r>
    <s v="KUTTY"/>
    <x v="459"/>
    <x v="3"/>
    <n v="79963"/>
    <n v="3.499486738565509E-4"/>
    <n v="211"/>
    <x v="2"/>
    <n v="465"/>
  </r>
  <r>
    <s v="AJEESH KUNNAKKAL"/>
    <x v="460"/>
    <x v="3"/>
    <n v="79997"/>
    <n v="3.4935485966724501E-4"/>
    <n v="185"/>
    <x v="2"/>
    <n v="466"/>
  </r>
  <r>
    <s v="KESAVAN , KOLANKUDY"/>
    <x v="461"/>
    <x v="3"/>
    <n v="80046"/>
    <n v="3.4849906862971584E-4"/>
    <n v="172"/>
    <x v="2"/>
    <n v="467"/>
  </r>
  <r>
    <s v="SIDHIQUE , HITECH"/>
    <x v="462"/>
    <x v="3"/>
    <n v="80051"/>
    <n v="3.4841174301364147E-4"/>
    <n v="82"/>
    <x v="1"/>
    <n v="468"/>
  </r>
  <r>
    <s v="VIJAY VARGHESE"/>
    <x v="463"/>
    <x v="3"/>
    <n v="80133"/>
    <n v="3.4697960291002131E-4"/>
    <n v="214"/>
    <x v="2"/>
    <n v="469"/>
  </r>
  <r>
    <s v="KAKKANATTU CONTRACTORS"/>
    <x v="464"/>
    <x v="3"/>
    <n v="80200"/>
    <n v="3.4580943965462432E-4"/>
    <n v="303"/>
    <x v="2"/>
    <n v="470"/>
  </r>
  <r>
    <s v="JAYABHARATH LIBRARY"/>
    <x v="465"/>
    <x v="3"/>
    <n v="80350"/>
    <n v="3.4318967117239233E-4"/>
    <n v="103"/>
    <x v="1"/>
    <n v="471"/>
  </r>
  <r>
    <s v="ARJUN CHENGARA"/>
    <x v="466"/>
    <x v="3"/>
    <n v="80609"/>
    <n v="3.3866620425973841E-4"/>
    <n v="86"/>
    <x v="1"/>
    <n v="472"/>
  </r>
  <r>
    <s v="RAMACHANDRAN  M G"/>
    <x v="467"/>
    <x v="3"/>
    <n v="80969"/>
    <n v="3.3237875990238161E-4"/>
    <n v="11"/>
    <x v="0"/>
    <n v="473"/>
  </r>
  <r>
    <s v="BETA SOLAR SYSTEMS"/>
    <x v="468"/>
    <x v="3"/>
    <n v="81145"/>
    <n v="3.2930489821656275E-4"/>
    <n v="117"/>
    <x v="1"/>
    <n v="474"/>
  </r>
  <r>
    <s v="MUTHU KOTHELY"/>
    <x v="469"/>
    <x v="3"/>
    <n v="81157"/>
    <n v="3.2909531673798415E-4"/>
    <n v="209"/>
    <x v="2"/>
    <n v="475"/>
  </r>
  <r>
    <s v="RENJITH CHENGARA"/>
    <x v="470"/>
    <x v="3"/>
    <n v="81173"/>
    <n v="3.2881587476654608E-4"/>
    <n v="2"/>
    <x v="0"/>
    <n v="476"/>
  </r>
  <r>
    <s v="SAJEEV KILIKULAM"/>
    <x v="471"/>
    <x v="3"/>
    <n v="81180"/>
    <n v="3.2869361890404191E-4"/>
    <n v="117"/>
    <x v="1"/>
    <n v="477"/>
  </r>
  <r>
    <s v="KALESH , NANDANAM"/>
    <x v="472"/>
    <x v="3"/>
    <n v="81250"/>
    <n v="3.2747106027900035E-4"/>
    <n v="298"/>
    <x v="2"/>
    <n v="478"/>
  </r>
  <r>
    <s v="JOSE VILANGU"/>
    <x v="473"/>
    <x v="3"/>
    <n v="81260"/>
    <n v="3.2729640904685154E-4"/>
    <n v="132"/>
    <x v="2"/>
    <n v="479"/>
  </r>
  <r>
    <s v="SHYJAN VADAVUCODE"/>
    <x v="474"/>
    <x v="3"/>
    <n v="81369"/>
    <n v="3.2539271061642961E-4"/>
    <n v="289"/>
    <x v="2"/>
    <n v="480"/>
  </r>
  <r>
    <s v="SREENI PATTIMATTOM"/>
    <x v="475"/>
    <x v="3"/>
    <n v="81378"/>
    <n v="3.252355245074957E-4"/>
    <n v="115"/>
    <x v="1"/>
    <n v="481"/>
  </r>
  <r>
    <s v="PATTIMATTOM KUCS LTD"/>
    <x v="476"/>
    <x v="3"/>
    <n v="81390"/>
    <n v="3.2502594302891711E-4"/>
    <n v="156"/>
    <x v="2"/>
    <n v="482"/>
  </r>
  <r>
    <s v="MINI NJARALLOOR"/>
    <x v="477"/>
    <x v="3"/>
    <n v="81469"/>
    <n v="3.2364619829494158E-4"/>
    <n v="192"/>
    <x v="2"/>
    <n v="483"/>
  </r>
  <r>
    <s v="NAVAS THANDAKKALA (CATERING)"/>
    <x v="478"/>
    <x v="3"/>
    <n v="81480"/>
    <n v="3.2345408193957794E-4"/>
    <n v="144"/>
    <x v="2"/>
    <n v="484"/>
  </r>
  <r>
    <s v="ANIL , CHOORAKKODU"/>
    <x v="479"/>
    <x v="3"/>
    <n v="81504"/>
    <n v="3.230349189824208E-4"/>
    <n v="2"/>
    <x v="0"/>
    <n v="485"/>
  </r>
  <r>
    <s v="KURIAKOSE PAREPEEDIKA"/>
    <x v="480"/>
    <x v="3"/>
    <n v="81514"/>
    <n v="3.22860267750272E-4"/>
    <n v="148"/>
    <x v="2"/>
    <n v="486"/>
  </r>
  <r>
    <s v="Paul Peter"/>
    <x v="481"/>
    <x v="3"/>
    <n v="81762"/>
    <n v="3.1852891719298177E-4"/>
    <n v="3"/>
    <x v="0"/>
    <n v="487"/>
  </r>
  <r>
    <s v="PERUMKULATHIL ALIAS BABY"/>
    <x v="482"/>
    <x v="3"/>
    <n v="81818"/>
    <n v="3.1755087029294849E-4"/>
    <n v="4"/>
    <x v="0"/>
    <n v="488"/>
  </r>
  <r>
    <s v="UNIQUE ENTERPRISES"/>
    <x v="483"/>
    <x v="3"/>
    <n v="81915"/>
    <n v="3.1585675334110509E-4"/>
    <n v="222"/>
    <x v="2"/>
    <n v="489"/>
  </r>
  <r>
    <s v="DAISY VARGHESE"/>
    <x v="484"/>
    <x v="3"/>
    <n v="81980"/>
    <n v="3.147215203321379E-4"/>
    <n v="218"/>
    <x v="2"/>
    <n v="490"/>
  </r>
  <r>
    <s v="MANI , AIRAPURAM"/>
    <x v="485"/>
    <x v="3"/>
    <n v="82049"/>
    <n v="3.1351642683031118E-4"/>
    <n v="24"/>
    <x v="0"/>
    <n v="491"/>
  </r>
  <r>
    <s v="RENEESH KUMMANODE"/>
    <x v="486"/>
    <x v="3"/>
    <n v="82114"/>
    <n v="3.1238119382134399E-4"/>
    <n v="97"/>
    <x v="1"/>
    <n v="492"/>
  </r>
  <r>
    <s v="JOSEPH CHACKO"/>
    <x v="487"/>
    <x v="3"/>
    <n v="82205"/>
    <n v="3.1079186760878992E-4"/>
    <n v="232"/>
    <x v="2"/>
    <n v="493"/>
  </r>
  <r>
    <s v="SAMAD PATTIMATTOM"/>
    <x v="488"/>
    <x v="3"/>
    <n v="82245"/>
    <n v="3.1009326268019471E-4"/>
    <n v="4"/>
    <x v="0"/>
    <n v="494"/>
  </r>
  <r>
    <s v="LENIN VALAMBORR"/>
    <x v="489"/>
    <x v="3"/>
    <n v="82337"/>
    <n v="3.0848647134442574E-4"/>
    <n v="101"/>
    <x v="1"/>
    <n v="495"/>
  </r>
  <r>
    <s v="MOITHEEN NJATTUMKALA"/>
    <x v="490"/>
    <x v="3"/>
    <n v="82362"/>
    <n v="3.0804984326405376E-4"/>
    <n v="234"/>
    <x v="2"/>
    <n v="496"/>
  </r>
  <r>
    <s v="OLIVE INDUSTRIES"/>
    <x v="491"/>
    <x v="3"/>
    <n v="82383"/>
    <n v="3.0768307567654126E-4"/>
    <n v="232"/>
    <x v="2"/>
    <n v="497"/>
  </r>
  <r>
    <s v="SNOWLAND COOLCONCEPTS AND INSULATIONS (P) LTD"/>
    <x v="492"/>
    <x v="3"/>
    <n v="82532"/>
    <n v="3.0508077231752417E-4"/>
    <n v="29"/>
    <x v="0"/>
    <n v="498"/>
  </r>
  <r>
    <s v="JOY VARGHSESE MANGALATHUNADA"/>
    <x v="493"/>
    <x v="3"/>
    <n v="82560"/>
    <n v="3.045917488675075E-4"/>
    <n v="8"/>
    <x v="0"/>
    <n v="499"/>
  </r>
  <r>
    <s v="SULAIMAN ,MANAKKAPADY"/>
    <x v="494"/>
    <x v="3"/>
    <n v="82692"/>
    <n v="3.0228635260314332E-4"/>
    <n v="80"/>
    <x v="1"/>
    <n v="500"/>
  </r>
  <r>
    <s v="ANEESH KUNNAKKAL"/>
    <x v="495"/>
    <x v="3"/>
    <n v="82902"/>
    <n v="2.9861867672801852E-4"/>
    <n v="153"/>
    <x v="2"/>
    <n v="501"/>
  </r>
  <r>
    <s v="ASWIN THATTAMUGAL"/>
    <x v="496"/>
    <x v="3"/>
    <n v="82946"/>
    <n v="2.9785021130656383E-4"/>
    <n v="142"/>
    <x v="2"/>
    <n v="502"/>
  </r>
  <r>
    <s v="BABU PATHROSE"/>
    <x v="497"/>
    <x v="3"/>
    <n v="82995"/>
    <n v="2.9699442026903471E-4"/>
    <n v="108"/>
    <x v="1"/>
    <n v="503"/>
  </r>
  <r>
    <s v="JOY TRUSS"/>
    <x v="498"/>
    <x v="3"/>
    <n v="83018"/>
    <n v="2.9659272243509247E-4"/>
    <n v="192"/>
    <x v="2"/>
    <n v="504"/>
  </r>
  <r>
    <s v="BIJU TRUSS VALAMBOOR"/>
    <x v="499"/>
    <x v="3"/>
    <n v="83164"/>
    <n v="2.9404281444571996E-4"/>
    <n v="253"/>
    <x v="2"/>
    <n v="505"/>
  </r>
  <r>
    <s v="RAMAKRISHNAN"/>
    <x v="500"/>
    <x v="3"/>
    <n v="83169"/>
    <n v="2.9395548882964559E-4"/>
    <n v="232"/>
    <x v="2"/>
    <n v="506"/>
  </r>
  <r>
    <s v="JOHNY PERUMANI"/>
    <x v="501"/>
    <x v="3"/>
    <n v="83223"/>
    <n v="2.9301237217604204E-4"/>
    <n v="198"/>
    <x v="2"/>
    <n v="507"/>
  </r>
  <r>
    <s v="NEWCREST VENTURES"/>
    <x v="502"/>
    <x v="3"/>
    <n v="83238"/>
    <n v="2.9275039532781886E-4"/>
    <n v="221"/>
    <x v="2"/>
    <n v="508"/>
  </r>
  <r>
    <s v="SAJI , VALAMBOOR"/>
    <x v="503"/>
    <x v="3"/>
    <n v="83286"/>
    <n v="2.9191206941350459E-4"/>
    <n v="176"/>
    <x v="2"/>
    <n v="509"/>
  </r>
  <r>
    <s v="KADMUR SOLUTIONS PRIVATE LIMITED"/>
    <x v="504"/>
    <x v="3"/>
    <n v="83345"/>
    <n v="2.9088162714382667E-4"/>
    <n v="43"/>
    <x v="0"/>
    <n v="510"/>
  </r>
  <r>
    <s v="OH MY CAKE"/>
    <x v="505"/>
    <x v="3"/>
    <n v="83502"/>
    <n v="2.8813960279909051E-4"/>
    <n v="180"/>
    <x v="2"/>
    <n v="511"/>
  </r>
  <r>
    <s v="PRABHAKARAN IRAPURAM"/>
    <x v="506"/>
    <x v="3"/>
    <n v="83546"/>
    <n v="2.8737113737763582E-4"/>
    <n v="4"/>
    <x v="0"/>
    <n v="512"/>
  </r>
  <r>
    <s v="KURIAKOSE THATTAMUGAL"/>
    <x v="507"/>
    <x v="3"/>
    <n v="83563"/>
    <n v="2.8707423028298285E-4"/>
    <n v="19"/>
    <x v="0"/>
    <n v="513"/>
  </r>
  <r>
    <s v="Alex , Punchaputhussery"/>
    <x v="508"/>
    <x v="3"/>
    <n v="83648"/>
    <n v="2.8558969480971805E-4"/>
    <n v="142"/>
    <x v="2"/>
    <n v="514"/>
  </r>
  <r>
    <s v="JOY VALAMBOOR"/>
    <x v="509"/>
    <x v="3"/>
    <n v="83690"/>
    <n v="2.848561596346931E-4"/>
    <n v="65"/>
    <x v="1"/>
    <n v="515"/>
  </r>
  <r>
    <s v="ELDO PAPPARIL VARKEY"/>
    <x v="510"/>
    <x v="3"/>
    <n v="83785"/>
    <n v="2.831969729292795E-4"/>
    <n v="103"/>
    <x v="1"/>
    <n v="516"/>
  </r>
  <r>
    <s v="KAITHAKKADU MAHAVISHNU TEMPLE"/>
    <x v="511"/>
    <x v="3"/>
    <n v="83848"/>
    <n v="2.8209667016674205E-4"/>
    <n v="209"/>
    <x v="2"/>
    <n v="517"/>
  </r>
  <r>
    <s v="RATHEESH VEMBILLY"/>
    <x v="512"/>
    <x v="3"/>
    <n v="83890"/>
    <n v="2.813631349917171E-4"/>
    <n v="162"/>
    <x v="2"/>
    <n v="518"/>
  </r>
  <r>
    <s v="WVA CONSULTING ENGINEERIS PVT LTD"/>
    <x v="513"/>
    <x v="3"/>
    <n v="84010"/>
    <n v="2.7926732020593147E-4"/>
    <n v="205"/>
    <x v="2"/>
    <n v="519"/>
  </r>
  <r>
    <s v="SAMAD PERINGALA"/>
    <x v="514"/>
    <x v="3"/>
    <n v="84073"/>
    <n v="2.7816701744339401E-4"/>
    <n v="99"/>
    <x v="1"/>
    <n v="520"/>
  </r>
  <r>
    <s v="ABBAS ATHANI"/>
    <x v="515"/>
    <x v="3"/>
    <n v="84085"/>
    <n v="2.7795743596481547E-4"/>
    <n v="11"/>
    <x v="0"/>
    <n v="521"/>
  </r>
  <r>
    <s v="ABBAS RATION KADA ATHANI"/>
    <x v="516"/>
    <x v="3"/>
    <n v="84126"/>
    <n v="2.7724136591300542E-4"/>
    <n v="24"/>
    <x v="0"/>
    <n v="522"/>
  </r>
  <r>
    <s v="GULF ENGINEERING CONTRACTORS"/>
    <x v="517"/>
    <x v="3"/>
    <n v="84179"/>
    <n v="2.7631571438261677E-4"/>
    <n v="6"/>
    <x v="0"/>
    <n v="523"/>
  </r>
  <r>
    <s v="SREEKAUSTHUBHAM TEMPLE ARCHITECTURE &amp; SCULPTURER"/>
    <x v="518"/>
    <x v="3"/>
    <n v="84194"/>
    <n v="2.7605373753439354E-4"/>
    <n v="48"/>
    <x v="0"/>
    <n v="524"/>
  </r>
  <r>
    <s v="SUNIL THATTAMUGAL"/>
    <x v="519"/>
    <x v="3"/>
    <n v="84210"/>
    <n v="2.7577429556295546E-4"/>
    <n v="15"/>
    <x v="0"/>
    <n v="525"/>
  </r>
  <r>
    <s v="SHAJI APE"/>
    <x v="520"/>
    <x v="3"/>
    <n v="84274"/>
    <n v="2.7465652767720317E-4"/>
    <n v="41"/>
    <x v="0"/>
    <n v="526"/>
  </r>
  <r>
    <s v="KUTTAI PALLIKKARA"/>
    <x v="521"/>
    <x v="3"/>
    <n v="84285"/>
    <n v="2.7446441132183947E-4"/>
    <n v="124"/>
    <x v="2"/>
    <n v="527"/>
  </r>
  <r>
    <s v="AYYANKAVU TEMPLE"/>
    <x v="522"/>
    <x v="3"/>
    <n v="84328"/>
    <n v="2.7371341102359962E-4"/>
    <n v="228"/>
    <x v="2"/>
    <n v="528"/>
  </r>
  <r>
    <s v="SAJITH KOLAMKUDY"/>
    <x v="523"/>
    <x v="3"/>
    <n v="84348"/>
    <n v="2.7336410855930202E-4"/>
    <n v="11"/>
    <x v="0"/>
    <n v="529"/>
  </r>
  <r>
    <s v="SALIM MUNDEKUDY"/>
    <x v="524"/>
    <x v="3"/>
    <n v="84418"/>
    <n v="2.7214154993426045E-4"/>
    <n v="3"/>
    <x v="0"/>
    <n v="530"/>
  </r>
  <r>
    <s v="VETTIKKAL TEMPLE"/>
    <x v="525"/>
    <x v="3"/>
    <n v="84480"/>
    <n v="2.710587122949379E-4"/>
    <n v="22"/>
    <x v="0"/>
    <n v="531"/>
  </r>
  <r>
    <s v="SB ENGINEERING WORKS"/>
    <x v="526"/>
    <x v="3"/>
    <n v="84500"/>
    <n v="2.7070940983064029E-4"/>
    <n v="24"/>
    <x v="0"/>
    <n v="532"/>
  </r>
  <r>
    <s v="JOY MAMBAKKADAN"/>
    <x v="527"/>
    <x v="3"/>
    <n v="84520"/>
    <n v="2.7036010736634268E-4"/>
    <n v="326"/>
    <x v="2"/>
    <n v="533"/>
  </r>
  <r>
    <s v="SARATH PATTIMATTOM"/>
    <x v="528"/>
    <x v="3"/>
    <n v="84542"/>
    <n v="2.6997587465561529E-4"/>
    <n v="260"/>
    <x v="2"/>
    <n v="534"/>
  </r>
  <r>
    <s v="REJITH P S"/>
    <x v="529"/>
    <x v="3"/>
    <n v="84543"/>
    <n v="2.6995840953240044E-4"/>
    <n v="222"/>
    <x v="2"/>
    <n v="535"/>
  </r>
  <r>
    <s v="HASSAN , THANDAKKALA"/>
    <x v="530"/>
    <x v="3"/>
    <n v="84585"/>
    <n v="2.6922487435737549E-4"/>
    <n v="310"/>
    <x v="2"/>
    <n v="536"/>
  </r>
  <r>
    <s v="ST. GEORGE JACOBITE CHURCH"/>
    <x v="531"/>
    <x v="3"/>
    <n v="84634"/>
    <n v="2.6836908331984632E-4"/>
    <n v="192"/>
    <x v="2"/>
    <n v="537"/>
  </r>
  <r>
    <s v="GOPI.V.K"/>
    <x v="532"/>
    <x v="3"/>
    <n v="84664"/>
    <n v="2.6784512962339997E-4"/>
    <n v="86"/>
    <x v="1"/>
    <n v="538"/>
  </r>
  <r>
    <s v="JACOB T I"/>
    <x v="533"/>
    <x v="3"/>
    <n v="84693"/>
    <n v="2.673386410501684E-4"/>
    <n v="330"/>
    <x v="2"/>
    <n v="539"/>
  </r>
  <r>
    <s v="RAVI M K"/>
    <x v="534"/>
    <x v="3"/>
    <n v="84704"/>
    <n v="2.6714652469480476E-4"/>
    <n v="286"/>
    <x v="2"/>
    <n v="540"/>
  </r>
  <r>
    <s v="SASIDHARAN.P.G"/>
    <x v="535"/>
    <x v="3"/>
    <n v="84726"/>
    <n v="2.6676229198407741E-4"/>
    <n v="148"/>
    <x v="2"/>
    <n v="541"/>
  </r>
  <r>
    <s v="RIA ENTERPRISES"/>
    <x v="536"/>
    <x v="3"/>
    <n v="84729"/>
    <n v="2.6670989661443272E-4"/>
    <n v="97"/>
    <x v="1"/>
    <n v="542"/>
  </r>
  <r>
    <s v="MOHANAN CHEENIKUZY"/>
    <x v="537"/>
    <x v="3"/>
    <n v="84747"/>
    <n v="2.6639552439656491E-4"/>
    <n v="195"/>
    <x v="2"/>
    <n v="543"/>
  </r>
  <r>
    <s v="SOJAN KUMMANOD"/>
    <x v="538"/>
    <x v="3"/>
    <n v="84783"/>
    <n v="2.6576677996082923E-4"/>
    <n v="230"/>
    <x v="2"/>
    <n v="544"/>
  </r>
  <r>
    <s v="PERFUMES INDIA"/>
    <x v="539"/>
    <x v="3"/>
    <n v="85203"/>
    <n v="2.5843142821057962E-4"/>
    <n v="265"/>
    <x v="2"/>
    <n v="545"/>
  </r>
  <r>
    <s v="RAJAN AIRAPURAM"/>
    <x v="540"/>
    <x v="3"/>
    <n v="85330"/>
    <n v="2.5621335756228987E-4"/>
    <n v="289"/>
    <x v="2"/>
    <n v="546"/>
  </r>
  <r>
    <s v="ANOOP VALAMBOOR"/>
    <x v="541"/>
    <x v="3"/>
    <n v="85336"/>
    <n v="2.561085668230006E-4"/>
    <n v="163"/>
    <x v="2"/>
    <n v="547"/>
  </r>
  <r>
    <s v="MUHAMMED EDASSERIKUDI"/>
    <x v="542"/>
    <x v="3"/>
    <n v="85350"/>
    <n v="2.5586405509799226E-4"/>
    <n v="48"/>
    <x v="0"/>
    <n v="548"/>
  </r>
  <r>
    <s v="MEERESH, PATTIMATTOM"/>
    <x v="543"/>
    <x v="3"/>
    <n v="85357"/>
    <n v="2.557417992354881E-4"/>
    <n v="8"/>
    <x v="0"/>
    <n v="549"/>
  </r>
  <r>
    <s v="SREENIVASAN DOUBLEPALAM"/>
    <x v="544"/>
    <x v="3"/>
    <n v="85445"/>
    <n v="2.5420486839257866E-4"/>
    <n v="134"/>
    <x v="2"/>
    <n v="550"/>
  </r>
  <r>
    <s v="RAJESH KUMMANODE"/>
    <x v="545"/>
    <x v="3"/>
    <n v="85472"/>
    <n v="2.5373331006577689E-4"/>
    <n v="68"/>
    <x v="1"/>
    <n v="551"/>
  </r>
  <r>
    <s v="ELIYAS MANNOOR"/>
    <x v="546"/>
    <x v="3"/>
    <n v="85514"/>
    <n v="2.5299977489075194E-4"/>
    <n v="220"/>
    <x v="2"/>
    <n v="552"/>
  </r>
  <r>
    <s v="TIJO KANINAD"/>
    <x v="547"/>
    <x v="3"/>
    <n v="85523"/>
    <n v="2.5284258878181804E-4"/>
    <n v="108"/>
    <x v="1"/>
    <n v="553"/>
  </r>
  <r>
    <s v="GURU PRASAD"/>
    <x v="548"/>
    <x v="3"/>
    <n v="85540"/>
    <n v="2.5254568168716507E-4"/>
    <n v="103"/>
    <x v="1"/>
    <n v="554"/>
  </r>
  <r>
    <s v="BINU KIZHAKKAMBALAM"/>
    <x v="549"/>
    <x v="3"/>
    <n v="85570"/>
    <n v="2.5202172799071866E-4"/>
    <n v="106"/>
    <x v="1"/>
    <n v="555"/>
  </r>
  <r>
    <s v="JEBY THATTAMUGAL"/>
    <x v="550"/>
    <x v="3"/>
    <n v="85595"/>
    <n v="2.5158509991034668E-4"/>
    <n v="93"/>
    <x v="1"/>
    <n v="556"/>
  </r>
  <r>
    <s v="SEEGA SOLAR"/>
    <x v="551"/>
    <x v="3"/>
    <n v="85634"/>
    <n v="2.5090396010496631E-4"/>
    <n v="27"/>
    <x v="0"/>
    <n v="557"/>
  </r>
  <r>
    <s v="JUSTIN PALLATH"/>
    <x v="552"/>
    <x v="3"/>
    <n v="85644"/>
    <n v="2.507293088728175E-4"/>
    <n v="305"/>
    <x v="2"/>
    <n v="558"/>
  </r>
  <r>
    <s v="ELDHO MATHAI , ERAPPUMPARA"/>
    <x v="553"/>
    <x v="3"/>
    <n v="85680"/>
    <n v="2.5010056443708183E-4"/>
    <n v="30"/>
    <x v="0"/>
    <n v="559"/>
  </r>
  <r>
    <s v="SAJI THANKAPPAN"/>
    <x v="553"/>
    <x v="3"/>
    <n v="85680"/>
    <n v="2.5010056443708183E-4"/>
    <n v="288"/>
    <x v="2"/>
    <n v="559"/>
  </r>
  <r>
    <s v="UNNIKRISHNAN  KARTHA T K"/>
    <x v="554"/>
    <x v="3"/>
    <n v="85690"/>
    <n v="2.4992591320493302E-4"/>
    <n v="170"/>
    <x v="2"/>
    <n v="561"/>
  </r>
  <r>
    <s v="SONA PATTIMATTOM"/>
    <x v="555"/>
    <x v="3"/>
    <n v="85787"/>
    <n v="2.4823179625308968E-4"/>
    <n v="269"/>
    <x v="2"/>
    <n v="562"/>
  </r>
  <r>
    <s v="MANOJ KILIKULM"/>
    <x v="556"/>
    <x v="3"/>
    <n v="85807"/>
    <n v="2.4788249378879208E-4"/>
    <n v="214"/>
    <x v="2"/>
    <n v="563"/>
  </r>
  <r>
    <s v="MATHAI PERUMANI"/>
    <x v="557"/>
    <x v="3"/>
    <n v="85820"/>
    <n v="2.4765544718699864E-4"/>
    <n v="268"/>
    <x v="2"/>
    <n v="564"/>
  </r>
  <r>
    <s v="BASHEER PARAMKUDY"/>
    <x v="558"/>
    <x v="3"/>
    <n v="85871"/>
    <n v="2.4676472590303978E-4"/>
    <n v="278"/>
    <x v="2"/>
    <n v="565"/>
  </r>
  <r>
    <s v="P V PAILY"/>
    <x v="559"/>
    <x v="3"/>
    <n v="85906"/>
    <n v="2.4615344659051895E-4"/>
    <n v="107"/>
    <x v="1"/>
    <n v="566"/>
  </r>
  <r>
    <s v="SAJEEVAN VALAMBOOR"/>
    <x v="560"/>
    <x v="3"/>
    <n v="86000"/>
    <n v="2.4451172500832024E-4"/>
    <n v="309"/>
    <x v="2"/>
    <n v="567"/>
  </r>
  <r>
    <s v="GOVT.U P SCHOOL NORTH MAZHUVANNOOR"/>
    <x v="561"/>
    <x v="3"/>
    <n v="86131"/>
    <n v="2.4222379386717096E-4"/>
    <n v="270"/>
    <x v="2"/>
    <n v="568"/>
  </r>
  <r>
    <s v="COMPUTECH COMPUTERS"/>
    <x v="562"/>
    <x v="3"/>
    <n v="86230"/>
    <n v="2.4049474666889783E-4"/>
    <n v="2"/>
    <x v="0"/>
    <n v="569"/>
  </r>
  <r>
    <s v="SURAJ KADAYATH"/>
    <x v="563"/>
    <x v="3"/>
    <n v="86303"/>
    <n v="2.392197926742116E-4"/>
    <n v="69"/>
    <x v="1"/>
    <n v="570"/>
  </r>
  <r>
    <s v="VINOD EMBASSERY"/>
    <x v="564"/>
    <x v="3"/>
    <n v="86548"/>
    <n v="2.3494083748656599E-4"/>
    <n v="249"/>
    <x v="2"/>
    <n v="571"/>
  </r>
  <r>
    <s v="NANDANAN , CHENGARA"/>
    <x v="565"/>
    <x v="3"/>
    <n v="86552"/>
    <n v="2.3487097699370648E-4"/>
    <n v="3"/>
    <x v="0"/>
    <n v="572"/>
  </r>
  <r>
    <s v="BABU NJARALLOOR"/>
    <x v="566"/>
    <x v="3"/>
    <n v="86570"/>
    <n v="2.3455660477583864E-4"/>
    <n v="192"/>
    <x v="2"/>
    <n v="573"/>
  </r>
  <r>
    <s v="SALIM PAINTER"/>
    <x v="567"/>
    <x v="3"/>
    <n v="86646"/>
    <n v="2.3322925541150775E-4"/>
    <n v="18"/>
    <x v="0"/>
    <n v="574"/>
  </r>
  <r>
    <s v="HUSSAIN"/>
    <x v="568"/>
    <x v="3"/>
    <n v="86715"/>
    <n v="2.3202416190968103E-4"/>
    <n v="281"/>
    <x v="2"/>
    <n v="575"/>
  </r>
  <r>
    <s v="RENJITH NJARALLOOR"/>
    <x v="569"/>
    <x v="3"/>
    <n v="86864"/>
    <n v="2.2942185855066391E-4"/>
    <n v="76"/>
    <x v="1"/>
    <n v="576"/>
  </r>
  <r>
    <s v="JAYESH K JAMES, MAZHUVANNOOR"/>
    <x v="570"/>
    <x v="3"/>
    <n v="86910"/>
    <n v="2.2861846288277943E-4"/>
    <n v="309"/>
    <x v="2"/>
    <n v="577"/>
  </r>
  <r>
    <s v="SAMON K A"/>
    <x v="570"/>
    <x v="3"/>
    <n v="86910"/>
    <n v="2.2861846288277943E-4"/>
    <n v="174"/>
    <x v="2"/>
    <n v="577"/>
  </r>
  <r>
    <s v="ALTHAF THATTAMUGAL"/>
    <x v="571"/>
    <x v="3"/>
    <n v="86919"/>
    <n v="2.2846127677384549E-4"/>
    <n v="167"/>
    <x v="2"/>
    <n v="579"/>
  </r>
  <r>
    <s v="SABU VALAMBOOR"/>
    <x v="572"/>
    <x v="3"/>
    <n v="86925"/>
    <n v="2.2835648603455622E-4"/>
    <n v="5"/>
    <x v="0"/>
    <n v="580"/>
  </r>
  <r>
    <s v="CHAKKAPPAN"/>
    <x v="573"/>
    <x v="3"/>
    <n v="86937"/>
    <n v="2.2814690455597765E-4"/>
    <n v="85"/>
    <x v="1"/>
    <n v="581"/>
  </r>
  <r>
    <s v="EBY PUTHENPURAKKAL"/>
    <x v="574"/>
    <x v="3"/>
    <n v="86968"/>
    <n v="2.2760548573631638E-4"/>
    <n v="82"/>
    <x v="1"/>
    <n v="582"/>
  </r>
  <r>
    <s v="JITHU PATTIMATTOM"/>
    <x v="575"/>
    <x v="3"/>
    <n v="87110"/>
    <n v="2.2512543823980342E-4"/>
    <n v="156"/>
    <x v="2"/>
    <n v="583"/>
  </r>
  <r>
    <s v="CHOLLAPPILLY SPICES"/>
    <x v="576"/>
    <x v="3"/>
    <n v="87155"/>
    <n v="2.2433950769513381E-4"/>
    <n v="104"/>
    <x v="1"/>
    <n v="584"/>
  </r>
  <r>
    <s v="NAVEEN PAULOSE"/>
    <x v="577"/>
    <x v="3"/>
    <n v="87162"/>
    <n v="2.2421725183262967E-4"/>
    <n v="92"/>
    <x v="1"/>
    <n v="585"/>
  </r>
  <r>
    <s v="VARGHESE PAUL"/>
    <x v="578"/>
    <x v="3"/>
    <n v="87186"/>
    <n v="2.2379808887547253E-4"/>
    <n v="65"/>
    <x v="1"/>
    <n v="586"/>
  </r>
  <r>
    <s v="SUBIRE ARAKKAPADY"/>
    <x v="579"/>
    <x v="3"/>
    <n v="87188"/>
    <n v="2.237631586290428E-4"/>
    <n v="214"/>
    <x v="2"/>
    <n v="587"/>
  </r>
  <r>
    <s v="ANEESH  KILIKILAM"/>
    <x v="580"/>
    <x v="3"/>
    <n v="87210"/>
    <n v="2.2337892591831542E-4"/>
    <n v="327"/>
    <x v="2"/>
    <n v="588"/>
  </r>
  <r>
    <s v="VYSALI JEWELLERY"/>
    <x v="581"/>
    <x v="3"/>
    <n v="87212"/>
    <n v="2.2334399567188566E-4"/>
    <n v="255"/>
    <x v="2"/>
    <n v="589"/>
  </r>
  <r>
    <s v="BABY OTHARA"/>
    <x v="582"/>
    <x v="3"/>
    <n v="87240"/>
    <n v="2.2285497222186902E-4"/>
    <n v="31"/>
    <x v="0"/>
    <n v="590"/>
  </r>
  <r>
    <s v="AJEESH KADAYIRYPPU"/>
    <x v="583"/>
    <x v="3"/>
    <n v="87406"/>
    <n v="2.1995576176819893E-4"/>
    <n v="151"/>
    <x v="2"/>
    <n v="591"/>
  </r>
  <r>
    <s v="SAKKEER APE NEW AUTO"/>
    <x v="584"/>
    <x v="3"/>
    <n v="87487"/>
    <n v="2.1854108678779366E-4"/>
    <n v="155"/>
    <x v="2"/>
    <n v="592"/>
  </r>
  <r>
    <s v="BREAKTHROUGH ENGINEERING"/>
    <x v="585"/>
    <x v="3"/>
    <n v="87611"/>
    <n v="2.1637541150914852E-4"/>
    <n v="38"/>
    <x v="0"/>
    <n v="593"/>
  </r>
  <r>
    <s v="MADHUSUDHANAN"/>
    <x v="586"/>
    <x v="3"/>
    <n v="87674"/>
    <n v="2.152751087466111E-4"/>
    <n v="206"/>
    <x v="2"/>
    <n v="594"/>
  </r>
  <r>
    <s v="NAZER CHELAKULAM"/>
    <x v="587"/>
    <x v="3"/>
    <n v="87713"/>
    <n v="2.1459396894123078E-4"/>
    <n v="225"/>
    <x v="2"/>
    <n v="595"/>
  </r>
  <r>
    <s v="THAMPI KILIKULAM"/>
    <x v="588"/>
    <x v="3"/>
    <n v="87717"/>
    <n v="2.1452410844837125E-4"/>
    <n v="286"/>
    <x v="2"/>
    <n v="596"/>
  </r>
  <r>
    <s v="SAJEEVAN (SIVASAKTHI)"/>
    <x v="589"/>
    <x v="3"/>
    <n v="87739"/>
    <n v="2.141398757376439E-4"/>
    <n v="71"/>
    <x v="1"/>
    <n v="597"/>
  </r>
  <r>
    <s v="BABU P GOPAL"/>
    <x v="590"/>
    <x v="3"/>
    <n v="87746"/>
    <n v="2.1401761987513974E-4"/>
    <n v="207"/>
    <x v="2"/>
    <n v="598"/>
  </r>
  <r>
    <s v="BASIL"/>
    <x v="591"/>
    <x v="3"/>
    <n v="87756"/>
    <n v="2.1384296864299093E-4"/>
    <n v="53"/>
    <x v="0"/>
    <n v="599"/>
  </r>
  <r>
    <s v="ANTONY JOSEPH"/>
    <x v="592"/>
    <x v="3"/>
    <n v="87765"/>
    <n v="2.13685782534057E-4"/>
    <n v="240"/>
    <x v="2"/>
    <n v="600"/>
  </r>
  <r>
    <s v="BIJU PANGODE"/>
    <x v="593"/>
    <x v="3"/>
    <n v="87836"/>
    <n v="2.1244575878580054E-4"/>
    <n v="37"/>
    <x v="0"/>
    <n v="601"/>
  </r>
  <r>
    <s v="MANU VARGHESE"/>
    <x v="594"/>
    <x v="3"/>
    <n v="87882"/>
    <n v="2.1164236311791606E-4"/>
    <n v="179"/>
    <x v="2"/>
    <n v="602"/>
  </r>
  <r>
    <s v="MARTIN ERAPPUMPARA"/>
    <x v="595"/>
    <x v="3"/>
    <n v="87910"/>
    <n v="2.1115333966789941E-4"/>
    <n v="69"/>
    <x v="1"/>
    <n v="603"/>
  </r>
  <r>
    <s v="ALI TRUSS"/>
    <x v="596"/>
    <x v="3"/>
    <n v="87910.991999999998"/>
    <n v="2.1113601426567025E-4"/>
    <n v="47"/>
    <x v="0"/>
    <n v="604"/>
  </r>
  <r>
    <s v="ZON ASSOCIATES"/>
    <x v="597"/>
    <x v="3"/>
    <n v="87995"/>
    <n v="2.0966880419463462E-4"/>
    <n v="290"/>
    <x v="2"/>
    <n v="605"/>
  </r>
  <r>
    <s v="JAMES GEORGE"/>
    <x v="598"/>
    <x v="3"/>
    <n v="88000"/>
    <n v="2.0958147857856022E-4"/>
    <n v="239"/>
    <x v="2"/>
    <n v="606"/>
  </r>
  <r>
    <s v="CLETUS.P.J"/>
    <x v="599"/>
    <x v="3"/>
    <n v="88050"/>
    <n v="2.087082224178162E-4"/>
    <n v="311"/>
    <x v="2"/>
    <n v="607"/>
  </r>
  <r>
    <s v="AABIM ENTERPRISES"/>
    <x v="600"/>
    <x v="3"/>
    <n v="88078"/>
    <n v="2.0821919896779956E-4"/>
    <n v="256"/>
    <x v="2"/>
    <n v="608"/>
  </r>
  <r>
    <s v="ABHILASH MAZHUVANNOOR"/>
    <x v="601"/>
    <x v="3"/>
    <n v="88080"/>
    <n v="2.0818426872136982E-4"/>
    <n v="247"/>
    <x v="2"/>
    <n v="609"/>
  </r>
  <r>
    <s v="DASAN KOLANKUDY"/>
    <x v="602"/>
    <x v="3"/>
    <n v="88107"/>
    <n v="2.0771271039456805E-4"/>
    <n v="180"/>
    <x v="2"/>
    <n v="610"/>
  </r>
  <r>
    <s v="BINU THOMAS"/>
    <x v="603"/>
    <x v="3"/>
    <n v="88136"/>
    <n v="2.0720622182133653E-4"/>
    <n v="131"/>
    <x v="2"/>
    <n v="611"/>
  </r>
  <r>
    <s v="ARUN AIRAPURAM"/>
    <x v="604"/>
    <x v="3"/>
    <n v="88169"/>
    <n v="2.0662987275524549E-4"/>
    <n v="162"/>
    <x v="2"/>
    <n v="612"/>
  </r>
  <r>
    <s v="SUKU KILIKULAM"/>
    <x v="605"/>
    <x v="3"/>
    <n v="88188"/>
    <n v="2.0629803541416275E-4"/>
    <n v="22"/>
    <x v="0"/>
    <n v="613"/>
  </r>
  <r>
    <s v="SIDHUN MANGALATHUNADA"/>
    <x v="606"/>
    <x v="3"/>
    <n v="88310"/>
    <n v="2.0416729038194741E-4"/>
    <n v="320"/>
    <x v="2"/>
    <n v="614"/>
  </r>
  <r>
    <s v="JAYAN TRUSS, PAZHAMTHOTTAM"/>
    <x v="607"/>
    <x v="3"/>
    <n v="88347"/>
    <n v="2.0352108082299683E-4"/>
    <n v="5"/>
    <x v="0"/>
    <n v="615"/>
  </r>
  <r>
    <s v="KEMI VENEERS"/>
    <x v="608"/>
    <x v="3"/>
    <n v="88364"/>
    <n v="2.0322417372834389E-4"/>
    <n v="34"/>
    <x v="0"/>
    <n v="616"/>
  </r>
  <r>
    <s v="SUNNEX"/>
    <x v="609"/>
    <x v="3"/>
    <n v="88387"/>
    <n v="2.0282247589440165E-4"/>
    <n v="93"/>
    <x v="1"/>
    <n v="617"/>
  </r>
  <r>
    <s v="BIBIN GEORGE"/>
    <x v="610"/>
    <x v="3"/>
    <n v="88508"/>
    <n v="2.0070919598540117E-4"/>
    <n v="41"/>
    <x v="0"/>
    <n v="618"/>
  </r>
  <r>
    <s v="MANI VALAMBOOR"/>
    <x v="611"/>
    <x v="3"/>
    <n v="88514"/>
    <n v="2.0060440524611187E-4"/>
    <n v="300"/>
    <x v="2"/>
    <n v="619"/>
  </r>
  <r>
    <s v="SREEDEVI CHEENIKUZHY"/>
    <x v="612"/>
    <x v="3"/>
    <n v="88544"/>
    <n v="2.0008045154966547E-4"/>
    <n v="199"/>
    <x v="2"/>
    <n v="620"/>
  </r>
  <r>
    <s v="FUTORE.NXT SYSTEMS LLP"/>
    <x v="613"/>
    <x v="3"/>
    <n v="88604"/>
    <n v="1.9903254415677268E-4"/>
    <n v="162"/>
    <x v="2"/>
    <n v="621"/>
  </r>
  <r>
    <s v="WALLMAX PAINTS PVT LTD"/>
    <x v="614"/>
    <x v="3"/>
    <n v="88655"/>
    <n v="1.9814182287281379E-4"/>
    <n v="54"/>
    <x v="0"/>
    <n v="622"/>
  </r>
  <r>
    <s v="PRAJIN PATTIMATTOM"/>
    <x v="615"/>
    <x v="3"/>
    <n v="88763"/>
    <n v="1.9625558956560675E-4"/>
    <n v="92"/>
    <x v="1"/>
    <n v="623"/>
  </r>
  <r>
    <s v="BABU , PALLIKKARA"/>
    <x v="616"/>
    <x v="3"/>
    <n v="88780"/>
    <n v="1.9595868247095378E-4"/>
    <n v="118"/>
    <x v="1"/>
    <n v="624"/>
  </r>
  <r>
    <s v="BINOY JOSEPH"/>
    <x v="617"/>
    <x v="3"/>
    <n v="88800"/>
    <n v="1.956093800066562E-4"/>
    <n v="59"/>
    <x v="0"/>
    <n v="625"/>
  </r>
  <r>
    <s v="USHA RAMAKRISHNAN"/>
    <x v="618"/>
    <x v="3"/>
    <n v="88818"/>
    <n v="1.9529500778878837E-4"/>
    <n v="326"/>
    <x v="2"/>
    <n v="626"/>
  </r>
  <r>
    <s v="RIJU PAZHAMTHOTTAM"/>
    <x v="619"/>
    <x v="3"/>
    <n v="88900"/>
    <n v="1.938628676851682E-4"/>
    <n v="284"/>
    <x v="2"/>
    <n v="627"/>
  </r>
  <r>
    <s v="RATHEESH VALAMBOOR"/>
    <x v="620"/>
    <x v="3"/>
    <n v="88939"/>
    <n v="1.9318172787978786E-4"/>
    <n v="192"/>
    <x v="2"/>
    <n v="628"/>
  </r>
  <r>
    <s v="ELDHO ABRAHAM ARACKKAPADY"/>
    <x v="621"/>
    <x v="3"/>
    <n v="89034"/>
    <n v="1.9152254117437426E-4"/>
    <n v="86"/>
    <x v="1"/>
    <n v="629"/>
  </r>
  <r>
    <s v="SMINAL PATTIMATTOM"/>
    <x v="622"/>
    <x v="3"/>
    <n v="89214"/>
    <n v="1.8837881899569586E-4"/>
    <n v="10"/>
    <x v="0"/>
    <n v="630"/>
  </r>
  <r>
    <s v="BASIL KILIKULAM"/>
    <x v="623"/>
    <x v="3"/>
    <n v="89240"/>
    <n v="1.8792472579210899E-4"/>
    <n v="284"/>
    <x v="2"/>
    <n v="631"/>
  </r>
  <r>
    <s v="KUNNATHUNADU SERVICE CO-OPERATIVE BANK"/>
    <x v="624"/>
    <x v="3"/>
    <n v="89257"/>
    <n v="1.8762781869745602E-4"/>
    <n v="73"/>
    <x v="1"/>
    <n v="632"/>
  </r>
  <r>
    <s v="MADHU CNTR, PALLIKKARA"/>
    <x v="625"/>
    <x v="3"/>
    <n v="89258"/>
    <n v="1.8761035357424115E-4"/>
    <n v="228"/>
    <x v="2"/>
    <n v="633"/>
  </r>
  <r>
    <s v="SANTU NJARALLOOR"/>
    <x v="625"/>
    <x v="3"/>
    <n v="89258"/>
    <n v="1.8761035357424115E-4"/>
    <n v="195"/>
    <x v="2"/>
    <n v="633"/>
  </r>
  <r>
    <s v="ARUN KUMAR K"/>
    <x v="626"/>
    <x v="3"/>
    <n v="89309"/>
    <n v="1.8671963229028226E-4"/>
    <n v="306"/>
    <x v="2"/>
    <n v="635"/>
  </r>
  <r>
    <s v="PAREETH K M P"/>
    <x v="627"/>
    <x v="3"/>
    <n v="89333"/>
    <n v="1.8630046933312515E-4"/>
    <n v="243"/>
    <x v="2"/>
    <n v="636"/>
  </r>
  <r>
    <s v="MOITHEEN MUNDEKUDY ABOOBAKAR"/>
    <x v="628"/>
    <x v="3"/>
    <n v="89380"/>
    <n v="1.8547960854202578E-4"/>
    <n v="209"/>
    <x v="2"/>
    <n v="637"/>
  </r>
  <r>
    <s v="MANOJ PATTIMATTOM"/>
    <x v="629"/>
    <x v="3"/>
    <n v="89450"/>
    <n v="1.8425704991698418E-4"/>
    <n v="178"/>
    <x v="2"/>
    <n v="638"/>
  </r>
  <r>
    <s v="SHAMEER MORAKKALA"/>
    <x v="630"/>
    <x v="3"/>
    <n v="89500"/>
    <n v="1.8338379375624017E-4"/>
    <n v="155"/>
    <x v="2"/>
    <n v="639"/>
  </r>
  <r>
    <s v="CHANDRAN TRUSS"/>
    <x v="631"/>
    <x v="3"/>
    <n v="89569"/>
    <n v="1.8217870025441347E-4"/>
    <n v="150"/>
    <x v="2"/>
    <n v="640"/>
  </r>
  <r>
    <s v="GOKUL CHELAKULAM"/>
    <x v="632"/>
    <x v="3"/>
    <n v="89585"/>
    <n v="1.8189925828297537E-4"/>
    <n v="30"/>
    <x v="0"/>
    <n v="641"/>
  </r>
  <r>
    <s v="THAMPI MATHEW"/>
    <x v="633"/>
    <x v="3"/>
    <n v="89632"/>
    <n v="1.8107839749187602E-4"/>
    <n v="226"/>
    <x v="2"/>
    <n v="642"/>
  </r>
  <r>
    <s v="MAJEED CHELAKULAM"/>
    <x v="634"/>
    <x v="3"/>
    <n v="89650"/>
    <n v="1.8076402527400818E-4"/>
    <n v="158"/>
    <x v="2"/>
    <n v="643"/>
  </r>
  <r>
    <s v="SHALBIN , SURYA OPTICALS"/>
    <x v="635"/>
    <x v="3"/>
    <n v="89652"/>
    <n v="1.8072909502757841E-4"/>
    <n v="144"/>
    <x v="2"/>
    <n v="644"/>
  </r>
  <r>
    <s v="ABHILASH, PATTIMATTOM"/>
    <x v="636"/>
    <x v="3"/>
    <n v="89699"/>
    <n v="1.7990823423647906E-4"/>
    <n v="162"/>
    <x v="2"/>
    <n v="645"/>
  </r>
  <r>
    <s v="SHYJU KURIAKOSE"/>
    <x v="637"/>
    <x v="3"/>
    <n v="89844"/>
    <n v="1.7737579137032145E-4"/>
    <n v="101"/>
    <x v="1"/>
    <n v="646"/>
  </r>
  <r>
    <s v="KUNJUMON TRUSS"/>
    <x v="638"/>
    <x v="3"/>
    <n v="89848"/>
    <n v="1.7730593087746194E-4"/>
    <n v="81"/>
    <x v="1"/>
    <n v="647"/>
  </r>
  <r>
    <s v="MOHANAN MECHERY"/>
    <x v="639"/>
    <x v="3"/>
    <n v="89850"/>
    <n v="1.7727100063103218E-4"/>
    <n v="268"/>
    <x v="2"/>
    <n v="648"/>
  </r>
  <r>
    <s v="SHIBU THATTAMUGAL"/>
    <x v="640"/>
    <x v="3"/>
    <n v="89880"/>
    <n v="1.7674704693458577E-4"/>
    <n v="316"/>
    <x v="2"/>
    <n v="649"/>
  </r>
  <r>
    <s v="SIVAN MANGALATHUNADA"/>
    <x v="641"/>
    <x v="3"/>
    <n v="89926"/>
    <n v="1.7594365126670129E-4"/>
    <n v="80"/>
    <x v="1"/>
    <n v="650"/>
  </r>
  <r>
    <s v="JAYAN A.V"/>
    <x v="642"/>
    <x v="3"/>
    <n v="89973"/>
    <n v="1.7512279047560193E-4"/>
    <n v="25"/>
    <x v="0"/>
    <n v="651"/>
  </r>
  <r>
    <s v="SURESH THEROPARAMBIL"/>
    <x v="642"/>
    <x v="3"/>
    <n v="89973"/>
    <n v="1.7512279047560193E-4"/>
    <n v="143"/>
    <x v="2"/>
    <n v="651"/>
  </r>
  <r>
    <s v="DILEEP VALAMBOOR"/>
    <x v="643"/>
    <x v="3"/>
    <n v="89990"/>
    <n v="1.7482588338094896E-4"/>
    <n v="180"/>
    <x v="2"/>
    <n v="653"/>
  </r>
  <r>
    <s v="THOMAS AKKABARA"/>
    <x v="644"/>
    <x v="3"/>
    <n v="90030"/>
    <n v="1.7412727845235378E-4"/>
    <n v="78"/>
    <x v="1"/>
    <n v="654"/>
  </r>
  <r>
    <s v="VARGHESE PANCODE"/>
    <x v="645"/>
    <x v="3"/>
    <n v="90199"/>
    <n v="1.7117567262903906E-4"/>
    <n v="109"/>
    <x v="1"/>
    <n v="655"/>
  </r>
  <r>
    <s v="RENJITH TRUSS"/>
    <x v="646"/>
    <x v="3"/>
    <n v="90311"/>
    <n v="1.6921957882897249E-4"/>
    <n v="110"/>
    <x v="1"/>
    <n v="656"/>
  </r>
  <r>
    <s v="MAMMALI CRICKET"/>
    <x v="647"/>
    <x v="3"/>
    <n v="90337"/>
    <n v="1.6876548562538561E-4"/>
    <n v="156"/>
    <x v="2"/>
    <n v="657"/>
  </r>
  <r>
    <s v="NISAR SI"/>
    <x v="648"/>
    <x v="3"/>
    <n v="90341"/>
    <n v="1.6869562513252608E-4"/>
    <n v="103"/>
    <x v="1"/>
    <n v="658"/>
  </r>
  <r>
    <s v="SHINAJ CHENGARA"/>
    <x v="649"/>
    <x v="3"/>
    <n v="90400"/>
    <n v="1.6766518286284816E-4"/>
    <n v="12"/>
    <x v="0"/>
    <n v="659"/>
  </r>
  <r>
    <s v="BAIJU VENGOLA"/>
    <x v="650"/>
    <x v="3"/>
    <n v="90403"/>
    <n v="1.6761278749320352E-4"/>
    <n v="303"/>
    <x v="2"/>
    <n v="660"/>
  </r>
  <r>
    <s v="SUBAIR , MECHANIC"/>
    <x v="651"/>
    <x v="3"/>
    <n v="90412"/>
    <n v="1.6745560138426961E-4"/>
    <n v="15"/>
    <x v="0"/>
    <n v="661"/>
  </r>
  <r>
    <s v="BABY KUNNATHUKUDY"/>
    <x v="652"/>
    <x v="3"/>
    <n v="90415"/>
    <n v="1.6740320601462498E-4"/>
    <n v="24"/>
    <x v="0"/>
    <n v="662"/>
  </r>
  <r>
    <s v="VARGHESE ASHRAYA"/>
    <x v="653"/>
    <x v="3"/>
    <n v="90425"/>
    <n v="1.6722855478247618E-4"/>
    <n v="143"/>
    <x v="2"/>
    <n v="663"/>
  </r>
  <r>
    <s v="V.K.ENGINEERING , PAZHAMTHOTTAM"/>
    <x v="654"/>
    <x v="3"/>
    <n v="90440"/>
    <n v="1.6696657793425297E-4"/>
    <n v="225"/>
    <x v="2"/>
    <n v="664"/>
  </r>
  <r>
    <s v="VIBIN NJARALLOOR"/>
    <x v="655"/>
    <x v="3"/>
    <n v="90509"/>
    <n v="1.6576148443242625E-4"/>
    <n v="144"/>
    <x v="2"/>
    <n v="665"/>
  </r>
  <r>
    <s v="CODUS GLOBAL TRADERS"/>
    <x v="656"/>
    <x v="3"/>
    <n v="90518"/>
    <n v="1.6560429832349232E-4"/>
    <n v="304"/>
    <x v="2"/>
    <n v="666"/>
  </r>
  <r>
    <s v="GEORGE PAZHAMPILLY"/>
    <x v="657"/>
    <x v="3"/>
    <n v="90550"/>
    <n v="1.6504541438061617E-4"/>
    <n v="36"/>
    <x v="0"/>
    <n v="667"/>
  </r>
  <r>
    <s v="SATHEESH, AMEYA BHAVAN"/>
    <x v="658"/>
    <x v="3"/>
    <n v="90743"/>
    <n v="1.6167464560014433E-4"/>
    <n v="92"/>
    <x v="1"/>
    <n v="668"/>
  </r>
  <r>
    <s v="SUBASH K K"/>
    <x v="658"/>
    <x v="3"/>
    <n v="90743"/>
    <n v="1.6167464560014433E-4"/>
    <n v="311"/>
    <x v="2"/>
    <n v="668"/>
  </r>
  <r>
    <s v="DARUL HUSNA ARABIC COLLEGE"/>
    <x v="659"/>
    <x v="3"/>
    <n v="90750"/>
    <n v="1.6155238973764017E-4"/>
    <n v="255"/>
    <x v="2"/>
    <n v="670"/>
  </r>
  <r>
    <s v="MOHANAN AREEKKAL"/>
    <x v="660"/>
    <x v="3"/>
    <n v="90770"/>
    <n v="1.6120308727334256E-4"/>
    <n v="60"/>
    <x v="0"/>
    <n v="671"/>
  </r>
  <r>
    <s v="PRABHU CHENGARA"/>
    <x v="661"/>
    <x v="3"/>
    <n v="90838"/>
    <n v="1.6001545889473071E-4"/>
    <n v="9"/>
    <x v="0"/>
    <n v="672"/>
  </r>
  <r>
    <s v="MAZ ENGINEERING"/>
    <x v="662"/>
    <x v="3"/>
    <n v="90844"/>
    <n v="1.5991066815544143E-4"/>
    <n v="65"/>
    <x v="1"/>
    <n v="673"/>
  </r>
  <r>
    <s v="ASHOKAN PAINTER"/>
    <x v="663"/>
    <x v="3"/>
    <n v="90865"/>
    <n v="1.5954390056792896E-4"/>
    <n v="136"/>
    <x v="2"/>
    <n v="674"/>
  </r>
  <r>
    <s v="SKARIYA PULINCHODE"/>
    <x v="664"/>
    <x v="3"/>
    <n v="90871"/>
    <n v="1.5943910982863969E-4"/>
    <n v="170"/>
    <x v="2"/>
    <n v="675"/>
  </r>
  <r>
    <s v="SIGNATURE AGENCIES"/>
    <x v="665"/>
    <x v="3"/>
    <n v="90910"/>
    <n v="1.5875797002325935E-4"/>
    <n v="3"/>
    <x v="0"/>
    <n v="676"/>
  </r>
  <r>
    <s v="ST.MARYS ORTHODOX CHURCH"/>
    <x v="666"/>
    <x v="3"/>
    <n v="90926"/>
    <n v="1.5847852805182127E-4"/>
    <n v="186"/>
    <x v="2"/>
    <n v="677"/>
  </r>
  <r>
    <s v="MIDHUN PATTIMATTOM"/>
    <x v="667"/>
    <x v="3"/>
    <n v="90928"/>
    <n v="1.5844359780539151E-4"/>
    <n v="118"/>
    <x v="1"/>
    <n v="678"/>
  </r>
  <r>
    <s v="SANTHOSH MAZHUVANOOR"/>
    <x v="668"/>
    <x v="3"/>
    <n v="90936"/>
    <n v="1.5830387681967247E-4"/>
    <n v="38"/>
    <x v="0"/>
    <n v="679"/>
  </r>
  <r>
    <s v="DILEEP PANCODE"/>
    <x v="669"/>
    <x v="3"/>
    <n v="90958"/>
    <n v="1.5791964410894513E-4"/>
    <n v="171"/>
    <x v="2"/>
    <n v="680"/>
  </r>
  <r>
    <s v="BABU PULINCHODE"/>
    <x v="670"/>
    <x v="3"/>
    <n v="90973"/>
    <n v="1.5765766726072192E-4"/>
    <n v="12"/>
    <x v="0"/>
    <n v="681"/>
  </r>
  <r>
    <s v="BASHEER (ROYAL BAKERY)"/>
    <x v="671"/>
    <x v="3"/>
    <n v="91015"/>
    <n v="1.5692413208569694E-4"/>
    <n v="101"/>
    <x v="1"/>
    <n v="682"/>
  </r>
  <r>
    <s v="TJN CONCTRUCTIONS"/>
    <x v="672"/>
    <x v="3"/>
    <n v="91023"/>
    <n v="1.5678441109997791E-4"/>
    <n v="101"/>
    <x v="1"/>
    <n v="683"/>
  </r>
  <r>
    <s v="MANOJ (CURRY SHOP)"/>
    <x v="673"/>
    <x v="3"/>
    <n v="91035"/>
    <n v="1.5657482962139937E-4"/>
    <n v="323"/>
    <x v="2"/>
    <n v="684"/>
  </r>
  <r>
    <s v="OMEGA ADVERTISING  &amp; SALES PROMOTION"/>
    <x v="674"/>
    <x v="3"/>
    <n v="91120"/>
    <n v="1.5509029414813454E-4"/>
    <n v="31"/>
    <x v="0"/>
    <n v="685"/>
  </r>
  <r>
    <s v="REJI MANJANAD"/>
    <x v="675"/>
    <x v="3"/>
    <n v="91162"/>
    <n v="1.5435675897310959E-4"/>
    <n v="85"/>
    <x v="1"/>
    <n v="686"/>
  </r>
  <r>
    <s v="VISHNU MAZHUVANNOOR"/>
    <x v="676"/>
    <x v="3"/>
    <n v="91277"/>
    <n v="1.5234826980339839E-4"/>
    <n v="39"/>
    <x v="0"/>
    <n v="687"/>
  </r>
  <r>
    <s v="SAKKEER APE (VIJAYAN)"/>
    <x v="677"/>
    <x v="3"/>
    <n v="91280"/>
    <n v="1.5229587443375375E-4"/>
    <n v="206"/>
    <x v="2"/>
    <n v="688"/>
  </r>
  <r>
    <s v="LAKSHMI AYYAPPANKUTTY"/>
    <x v="678"/>
    <x v="3"/>
    <n v="91322"/>
    <n v="1.515623392587288E-4"/>
    <n v="2"/>
    <x v="0"/>
    <n v="689"/>
  </r>
  <r>
    <s v="SURESH ACE"/>
    <x v="679"/>
    <x v="3"/>
    <n v="91330"/>
    <n v="1.5142261827300976E-4"/>
    <n v="55"/>
    <x v="0"/>
    <n v="690"/>
  </r>
  <r>
    <s v="CHANDRALAL VALAMBOOR"/>
    <x v="680"/>
    <x v="3"/>
    <n v="91333"/>
    <n v="1.513702229033651E-4"/>
    <n v="187"/>
    <x v="2"/>
    <n v="691"/>
  </r>
  <r>
    <s v="S J STEEL FURNITURE"/>
    <x v="681"/>
    <x v="3"/>
    <n v="91336"/>
    <n v="1.5131782753372046E-4"/>
    <n v="81"/>
    <x v="1"/>
    <n v="692"/>
  </r>
  <r>
    <s v="INPUT CAFE EDACHIRA"/>
    <x v="682"/>
    <x v="3"/>
    <n v="91366"/>
    <n v="1.5079387383727406E-4"/>
    <n v="2"/>
    <x v="0"/>
    <n v="693"/>
  </r>
  <r>
    <s v="JOSE KAITHAKKADU"/>
    <x v="683"/>
    <x v="3"/>
    <n v="91370"/>
    <n v="1.5072401334441455E-4"/>
    <n v="11"/>
    <x v="0"/>
    <n v="694"/>
  </r>
  <r>
    <s v="KAITHAKKADU JUMA MAZJID"/>
    <x v="684"/>
    <x v="3"/>
    <n v="91391"/>
    <n v="1.5035724575690208E-4"/>
    <n v="3"/>
    <x v="0"/>
    <n v="695"/>
  </r>
  <r>
    <s v="SHAJI KANICHERY"/>
    <x v="685"/>
    <x v="3"/>
    <n v="91440"/>
    <n v="1.4950145471937296E-4"/>
    <n v="64"/>
    <x v="1"/>
    <n v="696"/>
  </r>
  <r>
    <s v="BABY NJARALLOOR"/>
    <x v="686"/>
    <x v="3"/>
    <n v="91564"/>
    <n v="1.4733577944072782E-4"/>
    <n v="27"/>
    <x v="0"/>
    <n v="697"/>
  </r>
  <r>
    <s v="PUTHUSSERY CONSTRUCTIONS"/>
    <x v="687"/>
    <x v="3"/>
    <n v="91567"/>
    <n v="1.4728338407108318E-4"/>
    <n v="2"/>
    <x v="0"/>
    <n v="698"/>
  </r>
  <r>
    <s v="AJAYAN"/>
    <x v="688"/>
    <x v="3"/>
    <n v="91575"/>
    <n v="1.4714366308536415E-4"/>
    <n v="53"/>
    <x v="0"/>
    <n v="699"/>
  </r>
  <r>
    <s v="YUSAF PALLIKKARA"/>
    <x v="689"/>
    <x v="3"/>
    <n v="91600"/>
    <n v="1.4670703500499214E-4"/>
    <n v="285"/>
    <x v="2"/>
    <n v="700"/>
  </r>
  <r>
    <s v="JBS RICE MILL"/>
    <x v="690"/>
    <x v="3"/>
    <n v="91603"/>
    <n v="1.466546396353475E-4"/>
    <n v="127"/>
    <x v="2"/>
    <n v="701"/>
  </r>
  <r>
    <s v="REJI (9526267826) TRUSS"/>
    <x v="691"/>
    <x v="3"/>
    <n v="91644"/>
    <n v="1.4593856958353742E-4"/>
    <n v="148"/>
    <x v="2"/>
    <n v="702"/>
  </r>
  <r>
    <s v="ST.GEORGE SIMHASANA CHAPPEL"/>
    <x v="692"/>
    <x v="3"/>
    <n v="91682"/>
    <n v="1.4527489490137198E-4"/>
    <n v="62"/>
    <x v="1"/>
    <n v="703"/>
  </r>
  <r>
    <s v="ANISH ARACKKAPADY"/>
    <x v="693"/>
    <x v="3"/>
    <n v="91692"/>
    <n v="1.4510024366922318E-4"/>
    <n v="82"/>
    <x v="1"/>
    <n v="704"/>
  </r>
  <r>
    <s v="Sunil Kumar"/>
    <x v="694"/>
    <x v="3"/>
    <n v="91749"/>
    <n v="1.4410473164597502E-4"/>
    <n v="142"/>
    <x v="2"/>
    <n v="705"/>
  </r>
  <r>
    <s v="POTTAKKAN KRUZE"/>
    <x v="695"/>
    <x v="3"/>
    <n v="91750"/>
    <n v="1.4408726652276015E-4"/>
    <n v="176"/>
    <x v="2"/>
    <n v="706"/>
  </r>
  <r>
    <s v="MANOJ M THOMAS"/>
    <x v="696"/>
    <x v="3"/>
    <n v="91801"/>
    <n v="1.4319654523880127E-4"/>
    <n v="120"/>
    <x v="1"/>
    <n v="707"/>
  </r>
  <r>
    <s v="MOHANAN NJARALLOOR"/>
    <x v="697"/>
    <x v="3"/>
    <n v="91810"/>
    <n v="1.4303935912986733E-4"/>
    <n v="234"/>
    <x v="2"/>
    <n v="708"/>
  </r>
  <r>
    <s v="CARE AND CARE ASSOCIATES AND BUILDERS"/>
    <x v="698"/>
    <x v="3"/>
    <n v="91830"/>
    <n v="1.4269005666556973E-4"/>
    <n v="59"/>
    <x v="0"/>
    <n v="709"/>
  </r>
  <r>
    <s v="BINDHU G NAIR"/>
    <x v="699"/>
    <x v="3"/>
    <n v="91870"/>
    <n v="1.4199145173697454E-4"/>
    <n v="279"/>
    <x v="2"/>
    <n v="710"/>
  </r>
  <r>
    <s v="VINOD CHOORAKODE"/>
    <x v="700"/>
    <x v="3"/>
    <n v="91944"/>
    <n v="1.4069903261907342E-4"/>
    <n v="291"/>
    <x v="2"/>
    <n v="711"/>
  </r>
  <r>
    <s v="SAJEEVAN"/>
    <x v="701"/>
    <x v="3"/>
    <n v="91948"/>
    <n v="1.4062917212621389E-4"/>
    <n v="249"/>
    <x v="2"/>
    <n v="712"/>
  </r>
  <r>
    <s v="MATHAI P P"/>
    <x v="702"/>
    <x v="3"/>
    <n v="91960"/>
    <n v="1.4041959064763535E-4"/>
    <n v="318"/>
    <x v="2"/>
    <n v="713"/>
  </r>
  <r>
    <s v="MOHANAN MAZHUVANNOOR"/>
    <x v="703"/>
    <x v="3"/>
    <n v="91985"/>
    <n v="1.3998296256726334E-4"/>
    <n v="115"/>
    <x v="1"/>
    <n v="714"/>
  </r>
  <r>
    <s v="ROBIN RAVI"/>
    <x v="704"/>
    <x v="3"/>
    <n v="92005"/>
    <n v="1.3963366010296573E-4"/>
    <n v="148"/>
    <x v="2"/>
    <n v="715"/>
  </r>
  <r>
    <s v="VASUDHEVAN"/>
    <x v="705"/>
    <x v="3"/>
    <n v="92070"/>
    <n v="1.3849842709399854E-4"/>
    <n v="333"/>
    <x v="2"/>
    <n v="716"/>
  </r>
  <r>
    <s v="AAYISHA POLYMERS"/>
    <x v="706"/>
    <x v="3"/>
    <n v="92112"/>
    <n v="1.3776489191897356E-4"/>
    <n v="116"/>
    <x v="1"/>
    <n v="717"/>
  </r>
  <r>
    <s v="PRAKASH CHENGARA"/>
    <x v="707"/>
    <x v="3"/>
    <n v="92207"/>
    <n v="1.3610570521355996E-4"/>
    <n v="145"/>
    <x v="2"/>
    <n v="718"/>
  </r>
  <r>
    <s v="RADHIKA KUMMANODE"/>
    <x v="708"/>
    <x v="3"/>
    <n v="92247"/>
    <n v="1.3540710028496478E-4"/>
    <n v="117"/>
    <x v="1"/>
    <n v="719"/>
  </r>
  <r>
    <s v="NIJAS MUVATTUPUZHA"/>
    <x v="709"/>
    <x v="3"/>
    <n v="92263"/>
    <n v="1.3512765831352671E-4"/>
    <n v="319"/>
    <x v="2"/>
    <n v="720"/>
  </r>
  <r>
    <s v="MAKKAR ACE PATTIMATTOM"/>
    <x v="710"/>
    <x v="3"/>
    <n v="92300"/>
    <n v="1.3448144875457613E-4"/>
    <n v="33"/>
    <x v="0"/>
    <n v="721"/>
  </r>
  <r>
    <s v="RAJU P.C VALAMBOOR"/>
    <x v="711"/>
    <x v="3"/>
    <n v="92369"/>
    <n v="1.3327635525274941E-4"/>
    <n v="288"/>
    <x v="2"/>
    <n v="722"/>
  </r>
  <r>
    <s v="LAL KADAYIRUPPU"/>
    <x v="712"/>
    <x v="3"/>
    <n v="92390"/>
    <n v="1.3290958766523693E-4"/>
    <n v="220"/>
    <x v="2"/>
    <n v="723"/>
  </r>
  <r>
    <s v="PAVITHRAN KOTTAMALA"/>
    <x v="713"/>
    <x v="3"/>
    <n v="92392"/>
    <n v="1.3287465741880717E-4"/>
    <n v="102"/>
    <x v="1"/>
    <n v="724"/>
  </r>
  <r>
    <s v="VISMAYA CONSTRUCTION"/>
    <x v="714"/>
    <x v="3"/>
    <n v="92400"/>
    <n v="1.3273493643308813E-4"/>
    <n v="293"/>
    <x v="2"/>
    <n v="725"/>
  </r>
  <r>
    <s v="ASHARAF VEGETABLE SHOP 1"/>
    <x v="715"/>
    <x v="3"/>
    <n v="92427"/>
    <n v="1.3226337810628638E-4"/>
    <n v="319"/>
    <x v="2"/>
    <n v="726"/>
  </r>
  <r>
    <s v="AJAS K A"/>
    <x v="716"/>
    <x v="3"/>
    <n v="92468"/>
    <n v="1.315473080544763E-4"/>
    <n v="38"/>
    <x v="0"/>
    <n v="727"/>
  </r>
  <r>
    <s v="VIBIN ALLAPPARA"/>
    <x v="717"/>
    <x v="3"/>
    <n v="92487"/>
    <n v="1.3121547071339357E-4"/>
    <n v="324"/>
    <x v="2"/>
    <n v="728"/>
  </r>
  <r>
    <s v="BASIL PAUL"/>
    <x v="718"/>
    <x v="3"/>
    <n v="92505"/>
    <n v="1.3090109849552573E-4"/>
    <n v="298"/>
    <x v="2"/>
    <n v="729"/>
  </r>
  <r>
    <s v="SAJAN GEORGE"/>
    <x v="719"/>
    <x v="3"/>
    <n v="92523"/>
    <n v="1.3058672627765789E-4"/>
    <n v="90"/>
    <x v="1"/>
    <n v="730"/>
  </r>
  <r>
    <s v="VISHNU PATTIMATTOM"/>
    <x v="720"/>
    <x v="3"/>
    <n v="92535"/>
    <n v="1.3037714479907932E-4"/>
    <n v="271"/>
    <x v="2"/>
    <n v="731"/>
  </r>
  <r>
    <s v="RAJAN , VALAMBOOR"/>
    <x v="721"/>
    <x v="3"/>
    <n v="92545"/>
    <n v="1.3020249356693054E-4"/>
    <n v="212"/>
    <x v="2"/>
    <n v="732"/>
  </r>
  <r>
    <s v="GK POWERTRONICS"/>
    <x v="722"/>
    <x v="3"/>
    <n v="92571"/>
    <n v="1.2974840036334364E-4"/>
    <n v="8"/>
    <x v="0"/>
    <n v="733"/>
  </r>
  <r>
    <s v="ALAVU"/>
    <x v="723"/>
    <x v="3"/>
    <n v="92600"/>
    <n v="1.2924191179011213E-4"/>
    <n v="235"/>
    <x v="2"/>
    <n v="734"/>
  </r>
  <r>
    <s v="CHUNKS BAKERY"/>
    <x v="724"/>
    <x v="3"/>
    <n v="92607"/>
    <n v="1.2911965592760796E-4"/>
    <n v="50"/>
    <x v="0"/>
    <n v="735"/>
  </r>
  <r>
    <s v="VIJAYAN KAYYANIKKAL"/>
    <x v="725"/>
    <x v="3"/>
    <n v="92640"/>
    <n v="1.2854330686151692E-4"/>
    <n v="26"/>
    <x v="0"/>
    <n v="736"/>
  </r>
  <r>
    <s v="BABU TRUSS"/>
    <x v="726"/>
    <x v="3"/>
    <n v="92646"/>
    <n v="1.2843851612222764E-4"/>
    <n v="162"/>
    <x v="2"/>
    <n v="737"/>
  </r>
  <r>
    <s v="AJITH VIJAYAN"/>
    <x v="727"/>
    <x v="3"/>
    <n v="92700"/>
    <n v="1.2749539946862413E-4"/>
    <n v="50"/>
    <x v="0"/>
    <n v="738"/>
  </r>
  <r>
    <s v="SHINOJ VALAMBOOR"/>
    <x v="728"/>
    <x v="3"/>
    <n v="92704"/>
    <n v="1.2742553897576459E-4"/>
    <n v="6"/>
    <x v="0"/>
    <n v="739"/>
  </r>
  <r>
    <s v="JOBIN KOLAMKUDY"/>
    <x v="729"/>
    <x v="3"/>
    <n v="92835"/>
    <n v="1.2513760783461531E-4"/>
    <n v="64"/>
    <x v="1"/>
    <n v="740"/>
  </r>
  <r>
    <s v="AMAZING GRACE MINISTIRES RELIGOUS &amp;CHARITABLE TRUST"/>
    <x v="730"/>
    <x v="3"/>
    <n v="92885"/>
    <n v="1.2426435167387133E-4"/>
    <n v="333"/>
    <x v="2"/>
    <n v="741"/>
  </r>
  <r>
    <s v="MURSHID DOUBLEPALAM"/>
    <x v="731"/>
    <x v="3"/>
    <n v="92888"/>
    <n v="1.2421195630422669E-4"/>
    <n v="24"/>
    <x v="0"/>
    <n v="742"/>
  </r>
  <r>
    <s v="SUJI TRUSS"/>
    <x v="732"/>
    <x v="3"/>
    <n v="92945"/>
    <n v="1.2321644428097851E-4"/>
    <n v="72"/>
    <x v="1"/>
    <n v="743"/>
  </r>
  <r>
    <s v="REJI PANCODE"/>
    <x v="733"/>
    <x v="3"/>
    <n v="92971"/>
    <n v="1.2276235107739163E-4"/>
    <n v="188"/>
    <x v="2"/>
    <n v="744"/>
  </r>
  <r>
    <s v="SALIM MANNOOPARAMBIL"/>
    <x v="734"/>
    <x v="3"/>
    <n v="92999"/>
    <n v="1.2227332762737499E-4"/>
    <n v="108"/>
    <x v="1"/>
    <n v="745"/>
  </r>
  <r>
    <s v="RB ACE"/>
    <x v="735"/>
    <x v="3"/>
    <n v="93080"/>
    <n v="1.2085865264696973E-4"/>
    <n v="191"/>
    <x v="2"/>
    <n v="746"/>
  </r>
  <r>
    <s v="ANSAR CHELAKULAM"/>
    <x v="736"/>
    <x v="3"/>
    <n v="93100"/>
    <n v="1.2050935018267212E-4"/>
    <n v="104"/>
    <x v="1"/>
    <n v="747"/>
  </r>
  <r>
    <s v="KRISHNAN CNTR"/>
    <x v="737"/>
    <x v="3"/>
    <n v="93122"/>
    <n v="1.2012511747194476E-4"/>
    <n v="40"/>
    <x v="0"/>
    <n v="748"/>
  </r>
  <r>
    <s v="AJ SOLID BRICKS"/>
    <x v="738"/>
    <x v="3"/>
    <n v="93125"/>
    <n v="1.2007272210230011E-4"/>
    <n v="83"/>
    <x v="1"/>
    <n v="749"/>
  </r>
  <r>
    <s v="ELDHO UTHARA"/>
    <x v="739"/>
    <x v="3"/>
    <n v="93129"/>
    <n v="1.2000286160944059E-4"/>
    <n v="110"/>
    <x v="1"/>
    <n v="750"/>
  </r>
  <r>
    <s v="SANEESH KADAYIRUPPU"/>
    <x v="740"/>
    <x v="3"/>
    <n v="93170"/>
    <n v="1.1928679155763051E-4"/>
    <n v="167"/>
    <x v="2"/>
    <n v="751"/>
  </r>
  <r>
    <s v="BABY , MELETH"/>
    <x v="741"/>
    <x v="3"/>
    <n v="93196"/>
    <n v="1.1883269835404364E-4"/>
    <n v="86"/>
    <x v="1"/>
    <n v="752"/>
  </r>
  <r>
    <s v="JAYAN KUNNAKKAL"/>
    <x v="742"/>
    <x v="3"/>
    <n v="93200"/>
    <n v="1.1876283786118412E-4"/>
    <n v="334"/>
    <x v="2"/>
    <n v="753"/>
  </r>
  <r>
    <s v="REJI VALAMBOOR"/>
    <x v="743"/>
    <x v="3"/>
    <n v="93220"/>
    <n v="1.1841353539688651E-4"/>
    <n v="113"/>
    <x v="1"/>
    <n v="754"/>
  </r>
  <r>
    <s v="DEVARAJAN"/>
    <x v="744"/>
    <x v="3"/>
    <n v="93280"/>
    <n v="1.1736562800399372E-4"/>
    <n v="303"/>
    <x v="2"/>
    <n v="755"/>
  </r>
  <r>
    <s v="JOSHY PUTHENPURACKAL"/>
    <x v="745"/>
    <x v="3"/>
    <n v="93320"/>
    <n v="1.1666702307539851E-4"/>
    <n v="243"/>
    <x v="2"/>
    <n v="756"/>
  </r>
  <r>
    <s v="KHALID CHELAKULAM"/>
    <x v="746"/>
    <x v="3"/>
    <n v="93363"/>
    <n v="1.1591602277715868E-4"/>
    <n v="18"/>
    <x v="0"/>
    <n v="757"/>
  </r>
  <r>
    <s v="ABBAS BISMI"/>
    <x v="747"/>
    <x v="3"/>
    <n v="93370"/>
    <n v="1.1579376691465451E-4"/>
    <n v="269"/>
    <x v="2"/>
    <n v="758"/>
  </r>
  <r>
    <s v="ELDHO JOSEPH"/>
    <x v="748"/>
    <x v="3"/>
    <n v="93390"/>
    <n v="1.1544446445035692E-4"/>
    <n v="73"/>
    <x v="1"/>
    <n v="759"/>
  </r>
  <r>
    <s v="ABDHUL KHADER PASSENGER"/>
    <x v="749"/>
    <x v="3"/>
    <n v="93465"/>
    <n v="1.1413458020924091E-4"/>
    <n v="67"/>
    <x v="1"/>
    <n v="760"/>
  </r>
  <r>
    <s v="ALI ANCHAMILEPALAM"/>
    <x v="750"/>
    <x v="3"/>
    <n v="93482"/>
    <n v="1.1383767311458795E-4"/>
    <n v="113"/>
    <x v="1"/>
    <n v="761"/>
  </r>
  <r>
    <s v="SHIBU PATTIMATTOM"/>
    <x v="751"/>
    <x v="3"/>
    <n v="93498"/>
    <n v="1.1355823114314987E-4"/>
    <n v="80"/>
    <x v="1"/>
    <n v="762"/>
  </r>
  <r>
    <s v="ARUN NV"/>
    <x v="752"/>
    <x v="3"/>
    <n v="93500"/>
    <n v="1.1352330089672011E-4"/>
    <n v="93"/>
    <x v="1"/>
    <n v="763"/>
  </r>
  <r>
    <s v="LAKSHMANAN EZHIPPURAM"/>
    <x v="752"/>
    <x v="3"/>
    <n v="93500"/>
    <n v="1.1352330089672011E-4"/>
    <n v="265"/>
    <x v="2"/>
    <n v="763"/>
  </r>
  <r>
    <s v="KINGSEYE TECHNOLOGIES"/>
    <x v="753"/>
    <x v="3"/>
    <n v="93530"/>
    <n v="1.1299934720027371E-4"/>
    <n v="225"/>
    <x v="2"/>
    <n v="765"/>
  </r>
  <r>
    <s v="KALESH, VALAMBOOR"/>
    <x v="754"/>
    <x v="3"/>
    <n v="93544"/>
    <n v="1.127548354752654E-4"/>
    <n v="127"/>
    <x v="2"/>
    <n v="766"/>
  </r>
  <r>
    <s v="PRASAD KADAYIRUPPU"/>
    <x v="755"/>
    <x v="3"/>
    <n v="93570"/>
    <n v="1.1230074227167851E-4"/>
    <n v="229"/>
    <x v="2"/>
    <n v="767"/>
  </r>
  <r>
    <s v="TONY ERAPUMPPARA"/>
    <x v="756"/>
    <x v="3"/>
    <n v="93597"/>
    <n v="1.1182918394487675E-4"/>
    <n v="107"/>
    <x v="1"/>
    <n v="768"/>
  </r>
  <r>
    <s v="LENIN MAZHUVANOOR"/>
    <x v="757"/>
    <x v="3"/>
    <n v="93600"/>
    <n v="1.1177678857523211E-4"/>
    <n v="8"/>
    <x v="0"/>
    <n v="769"/>
  </r>
  <r>
    <s v="ALDEN ENGINEERS"/>
    <x v="758"/>
    <x v="3"/>
    <n v="93635"/>
    <n v="1.1116550926271132E-4"/>
    <n v="330"/>
    <x v="2"/>
    <n v="770"/>
  </r>
  <r>
    <s v="JAWA SOLAR LLP_x000d__x000a__x000d__x000a_"/>
    <x v="759"/>
    <x v="3"/>
    <n v="93640"/>
    <n v="1.1107818364663692E-4"/>
    <n v="41"/>
    <x v="0"/>
    <n v="771"/>
  </r>
  <r>
    <s v="VINOD KIZHAKKAMBALAM"/>
    <x v="760"/>
    <x v="3"/>
    <n v="93663"/>
    <n v="1.1067648581269467E-4"/>
    <n v="288"/>
    <x v="2"/>
    <n v="772"/>
  </r>
  <r>
    <s v="VARGHESE MAZHUVANNOOR"/>
    <x v="761"/>
    <x v="3"/>
    <n v="93680"/>
    <n v="1.103795787180417E-4"/>
    <n v="181"/>
    <x v="2"/>
    <n v="773"/>
  </r>
  <r>
    <s v="ROUBLE , KUMMANODE"/>
    <x v="762"/>
    <x v="3"/>
    <n v="93717"/>
    <n v="1.0973336915909116E-4"/>
    <n v="268"/>
    <x v="2"/>
    <n v="774"/>
  </r>
  <r>
    <s v="NIRAPPEL CONSTRUCTIONS"/>
    <x v="763"/>
    <x v="3"/>
    <n v="93723"/>
    <n v="1.0962857841980187E-4"/>
    <n v="27"/>
    <x v="0"/>
    <n v="775"/>
  </r>
  <r>
    <s v="JENOVA SOLAR HYBRID UPS SYSTEMS"/>
    <x v="764"/>
    <x v="3"/>
    <n v="93736"/>
    <n v="1.0940153181800843E-4"/>
    <n v="125"/>
    <x v="2"/>
    <n v="776"/>
  </r>
  <r>
    <s v="VINU KIZHAKKAMBALAM"/>
    <x v="765"/>
    <x v="3"/>
    <n v="93742"/>
    <n v="1.0929674107871915E-4"/>
    <n v="188"/>
    <x v="2"/>
    <n v="777"/>
  </r>
  <r>
    <s v="SPACE ASSOCIATE"/>
    <x v="766"/>
    <x v="3"/>
    <n v="93744"/>
    <n v="1.0926181083228938E-4"/>
    <n v="13"/>
    <x v="0"/>
    <n v="778"/>
  </r>
  <r>
    <s v="JIMMY KANIYAMKUDY"/>
    <x v="767"/>
    <x v="3"/>
    <n v="93750"/>
    <n v="1.0915702009300011E-4"/>
    <n v="181"/>
    <x v="2"/>
    <n v="779"/>
  </r>
  <r>
    <s v="SAIJU KARIMUGAL"/>
    <x v="768"/>
    <x v="3"/>
    <n v="93778"/>
    <n v="1.0866799664298347E-4"/>
    <n v="6"/>
    <x v="0"/>
    <n v="780"/>
  </r>
  <r>
    <s v="ANI CHOONDY"/>
    <x v="769"/>
    <x v="3"/>
    <n v="93792"/>
    <n v="1.0842348491797515E-4"/>
    <n v="247"/>
    <x v="2"/>
    <n v="781"/>
  </r>
  <r>
    <s v="RATHEESH KILIKULAM"/>
    <x v="770"/>
    <x v="3"/>
    <n v="93798"/>
    <n v="1.0831869417868586E-4"/>
    <n v="3"/>
    <x v="0"/>
    <n v="782"/>
  </r>
  <r>
    <s v="RAMESH VALAMBOOR"/>
    <x v="771"/>
    <x v="3"/>
    <n v="93849"/>
    <n v="1.0742797289472699E-4"/>
    <n v="274"/>
    <x v="2"/>
    <n v="783"/>
  </r>
  <r>
    <s v="SABU"/>
    <x v="772"/>
    <x v="3"/>
    <n v="93883"/>
    <n v="1.0683415870542107E-4"/>
    <n v="6"/>
    <x v="0"/>
    <n v="784"/>
  </r>
  <r>
    <s v="ANANDHU PATTIMATTOM"/>
    <x v="773"/>
    <x v="3"/>
    <n v="93890"/>
    <n v="1.0671190284291691E-4"/>
    <n v="22"/>
    <x v="0"/>
    <n v="785"/>
  </r>
  <r>
    <s v="RAPHEL PATTIMATTOM"/>
    <x v="774"/>
    <x v="3"/>
    <n v="93920"/>
    <n v="1.061879491464705E-4"/>
    <n v="117"/>
    <x v="1"/>
    <n v="786"/>
  </r>
  <r>
    <s v="ABDUL LAIZ (BREEZ)"/>
    <x v="775"/>
    <x v="3"/>
    <n v="93938"/>
    <n v="1.0587357692860266E-4"/>
    <n v="234"/>
    <x v="2"/>
    <n v="787"/>
  </r>
  <r>
    <s v="KRISHNAN KUTTY"/>
    <x v="776"/>
    <x v="3"/>
    <n v="93939"/>
    <n v="1.0585611180538778E-4"/>
    <n v="16"/>
    <x v="0"/>
    <n v="788"/>
  </r>
  <r>
    <s v="PRABHU KUMMANODE"/>
    <x v="777"/>
    <x v="3"/>
    <n v="93946"/>
    <n v="1.0573385594288363E-4"/>
    <n v="181"/>
    <x v="2"/>
    <n v="789"/>
  </r>
  <r>
    <s v="RAJAN K K"/>
    <x v="778"/>
    <x v="3"/>
    <n v="93954"/>
    <n v="1.0559413495716459E-4"/>
    <n v="61"/>
    <x v="1"/>
    <n v="790"/>
  </r>
  <r>
    <s v="ABOOBEKKER"/>
    <x v="779"/>
    <x v="3"/>
    <n v="93965"/>
    <n v="1.054020186018009E-4"/>
    <n v="36"/>
    <x v="0"/>
    <n v="791"/>
  </r>
  <r>
    <s v="TITUS KURIAKOSE"/>
    <x v="780"/>
    <x v="3"/>
    <n v="93969"/>
    <n v="1.0533215810894139E-4"/>
    <n v="51"/>
    <x v="0"/>
    <n v="792"/>
  </r>
  <r>
    <s v="PAREETH KEEPETH"/>
    <x v="781"/>
    <x v="3"/>
    <n v="94040"/>
    <n v="1.0409213436068491E-4"/>
    <n v="47"/>
    <x v="0"/>
    <n v="793"/>
  </r>
  <r>
    <s v="SUBAIR , CHELAKKULAM"/>
    <x v="782"/>
    <x v="3"/>
    <n v="94061"/>
    <n v="1.0372536677317242E-4"/>
    <n v="160"/>
    <x v="2"/>
    <n v="794"/>
  </r>
  <r>
    <s v="HOTEL VRINDHAVAN"/>
    <x v="783"/>
    <x v="3"/>
    <n v="94095"/>
    <n v="1.0313155258386651E-4"/>
    <n v="132"/>
    <x v="2"/>
    <n v="795"/>
  </r>
  <r>
    <s v="SANAL , VALAMBOOR"/>
    <x v="784"/>
    <x v="3"/>
    <n v="94098"/>
    <n v="1.0307915721422186E-4"/>
    <n v="54"/>
    <x v="0"/>
    <n v="796"/>
  </r>
  <r>
    <s v="VIMAL MANAKKAPADY"/>
    <x v="785"/>
    <x v="3"/>
    <n v="94104"/>
    <n v="1.0297436647493259E-4"/>
    <n v="20"/>
    <x v="0"/>
    <n v="797"/>
  </r>
  <r>
    <s v="KUNJUMON THEYYAMPURATH"/>
    <x v="786"/>
    <x v="3"/>
    <n v="94106"/>
    <n v="1.0293943622850282E-4"/>
    <n v="239"/>
    <x v="2"/>
    <n v="798"/>
  </r>
  <r>
    <s v="JASEETHA PATTIMATTOM"/>
    <x v="787"/>
    <x v="3"/>
    <n v="94147"/>
    <n v="1.0222336617669274E-4"/>
    <n v="205"/>
    <x v="2"/>
    <n v="799"/>
  </r>
  <r>
    <s v="RENVOLT ENERGY SOLUTIONSPRIVATE LIMITED"/>
    <x v="788"/>
    <x v="3"/>
    <n v="94197"/>
    <n v="1.0135011001594874E-4"/>
    <n v="261"/>
    <x v="2"/>
    <n v="800"/>
  </r>
  <r>
    <s v="JOSEPH MYLATTUMOLAYIL"/>
    <x v="789"/>
    <x v="3"/>
    <n v="94228"/>
    <n v="1.0080869119628746E-4"/>
    <n v="68"/>
    <x v="1"/>
    <n v="801"/>
  </r>
  <r>
    <s v="ROBIN"/>
    <x v="790"/>
    <x v="3"/>
    <n v="94240"/>
    <n v="1.0059910971770889E-4"/>
    <n v="169"/>
    <x v="2"/>
    <n v="802"/>
  </r>
  <r>
    <s v="VIJAYAN,  AIRAPURAM"/>
    <x v="791"/>
    <x v="3"/>
    <n v="94255"/>
    <n v="1.003371328694857E-4"/>
    <n v="61"/>
    <x v="1"/>
    <n v="803"/>
  </r>
  <r>
    <s v="CHANDRAN , PANCODU"/>
    <x v="792"/>
    <x v="3"/>
    <n v="94283"/>
    <n v="9.9848109419469061E-5"/>
    <n v="281"/>
    <x v="2"/>
    <n v="804"/>
  </r>
  <r>
    <s v="SHIBU P K"/>
    <x v="793"/>
    <x v="3"/>
    <n v="94300"/>
    <n v="9.9551202324816104E-5"/>
    <n v="151"/>
    <x v="2"/>
    <n v="805"/>
  </r>
  <r>
    <s v="DEEPAK KADAYIRUPPU"/>
    <x v="794"/>
    <x v="3"/>
    <n v="94318"/>
    <n v="9.9236830106948264E-5"/>
    <n v="20"/>
    <x v="0"/>
    <n v="806"/>
  </r>
  <r>
    <s v="MUKUNDAN PATTIMATTOM"/>
    <x v="795"/>
    <x v="3"/>
    <n v="94336"/>
    <n v="9.8922457889080424E-5"/>
    <n v="262"/>
    <x v="2"/>
    <n v="807"/>
  </r>
  <r>
    <s v="ROY THATTARA"/>
    <x v="796"/>
    <x v="3"/>
    <n v="94361"/>
    <n v="9.8485829808708417E-5"/>
    <n v="82"/>
    <x v="1"/>
    <n v="808"/>
  </r>
  <r>
    <s v="KIRAN NJARALLOOR"/>
    <x v="797"/>
    <x v="3"/>
    <n v="94387"/>
    <n v="9.8031736605121541E-5"/>
    <n v="195"/>
    <x v="2"/>
    <n v="809"/>
  </r>
  <r>
    <s v="AJAYAN A"/>
    <x v="798"/>
    <x v="3"/>
    <n v="94425"/>
    <n v="9.7368061922956095E-5"/>
    <n v="106"/>
    <x v="1"/>
    <n v="810"/>
  </r>
  <r>
    <s v="RAJU"/>
    <x v="799"/>
    <x v="3"/>
    <n v="94426"/>
    <n v="9.7350596799741212E-5"/>
    <n v="89"/>
    <x v="1"/>
    <n v="811"/>
  </r>
  <r>
    <s v="TITTU KANINAD"/>
    <x v="800"/>
    <x v="3"/>
    <n v="94433"/>
    <n v="9.7228340937237058E-5"/>
    <n v="53"/>
    <x v="0"/>
    <n v="812"/>
  </r>
  <r>
    <s v="VARGHESE KUTTY"/>
    <x v="801"/>
    <x v="3"/>
    <n v="94484"/>
    <n v="9.6337619653278175E-5"/>
    <n v="134"/>
    <x v="2"/>
    <n v="813"/>
  </r>
  <r>
    <s v="RENJITH DAYARAPADY"/>
    <x v="802"/>
    <x v="3"/>
    <n v="94493"/>
    <n v="9.6180433544344255E-5"/>
    <n v="282"/>
    <x v="2"/>
    <n v="814"/>
  </r>
  <r>
    <s v="GOPI MAZHUVANNOOR"/>
    <x v="803"/>
    <x v="3"/>
    <n v="94497"/>
    <n v="9.6110573051484737E-5"/>
    <n v="38"/>
    <x v="0"/>
    <n v="815"/>
  </r>
  <r>
    <s v="SABU MARIYIL"/>
    <x v="804"/>
    <x v="3"/>
    <n v="94500"/>
    <n v="9.6058177681840101E-5"/>
    <n v="289"/>
    <x v="2"/>
    <n v="816"/>
  </r>
  <r>
    <s v="AJI . P.D"/>
    <x v="805"/>
    <x v="3"/>
    <n v="94627"/>
    <n v="9.3840107033550327E-5"/>
    <n v="284"/>
    <x v="2"/>
    <n v="817"/>
  </r>
  <r>
    <s v="SIJU CHOORAKKODE"/>
    <x v="806"/>
    <x v="3"/>
    <n v="94655"/>
    <n v="9.3351083583533698E-5"/>
    <n v="57"/>
    <x v="0"/>
    <n v="818"/>
  </r>
  <r>
    <s v="RAMACHANDRAN AIRAPURAM"/>
    <x v="807"/>
    <x v="3"/>
    <n v="94660"/>
    <n v="9.3263757967459296E-5"/>
    <n v="219"/>
    <x v="2"/>
    <n v="819"/>
  </r>
  <r>
    <s v="SAJU MYLATTUMOLAYIL"/>
    <x v="808"/>
    <x v="3"/>
    <n v="94683"/>
    <n v="9.2862060133517055E-5"/>
    <n v="100"/>
    <x v="1"/>
    <n v="820"/>
  </r>
  <r>
    <s v="GEORGE , VATTAPPARA"/>
    <x v="809"/>
    <x v="3"/>
    <n v="94710"/>
    <n v="9.2390501806715296E-5"/>
    <n v="38"/>
    <x v="0"/>
    <n v="821"/>
  </r>
  <r>
    <s v="SIVAN APE"/>
    <x v="809"/>
    <x v="3"/>
    <n v="94710"/>
    <n v="9.2390501806715296E-5"/>
    <n v="131"/>
    <x v="2"/>
    <n v="821"/>
  </r>
  <r>
    <s v="BINU , JANAKY"/>
    <x v="810"/>
    <x v="3"/>
    <n v="94716"/>
    <n v="9.2285711067426011E-5"/>
    <n v="120"/>
    <x v="1"/>
    <n v="823"/>
  </r>
  <r>
    <s v="SEBAS PRODUCTS"/>
    <x v="810"/>
    <x v="3"/>
    <n v="94716"/>
    <n v="9.2285711067426011E-5"/>
    <n v="256"/>
    <x v="2"/>
    <n v="823"/>
  </r>
  <r>
    <s v="ABY KOORACHI"/>
    <x v="811"/>
    <x v="3"/>
    <n v="94723"/>
    <n v="9.2163455204921857E-5"/>
    <n v="282"/>
    <x v="2"/>
    <n v="825"/>
  </r>
  <r>
    <s v="CHANDRA MOHAN VALAMBOOR"/>
    <x v="812"/>
    <x v="3"/>
    <n v="94737"/>
    <n v="9.1918943479913536E-5"/>
    <n v="111"/>
    <x v="1"/>
    <n v="826"/>
  </r>
  <r>
    <s v="FINE HARVEST FARAMS PATTIMATTOM"/>
    <x v="813"/>
    <x v="3"/>
    <n v="94799"/>
    <n v="9.0836105840590967E-5"/>
    <n v="9"/>
    <x v="0"/>
    <n v="827"/>
  </r>
  <r>
    <s v="KURUPPASAN , VALAMBOOR"/>
    <x v="814"/>
    <x v="3"/>
    <n v="94809"/>
    <n v="9.0661454608442164E-5"/>
    <n v="253"/>
    <x v="2"/>
    <n v="828"/>
  </r>
  <r>
    <s v="SHIHAB"/>
    <x v="815"/>
    <x v="3"/>
    <n v="94846"/>
    <n v="9.0015245049491615E-5"/>
    <n v="152"/>
    <x v="2"/>
    <n v="829"/>
  </r>
  <r>
    <s v="MUHAMMED M.A"/>
    <x v="816"/>
    <x v="3"/>
    <n v="94860"/>
    <n v="8.9770733324483294E-5"/>
    <n v="170"/>
    <x v="2"/>
    <n v="830"/>
  </r>
  <r>
    <s v="SREEJITH ARACKAPADY"/>
    <x v="816"/>
    <x v="3"/>
    <n v="94860"/>
    <n v="8.9770733324483294E-5"/>
    <n v="292"/>
    <x v="2"/>
    <n v="830"/>
  </r>
  <r>
    <s v="GOVT UP SCHOOL KUNNAKURUDY"/>
    <x v="817"/>
    <x v="3"/>
    <n v="94864"/>
    <n v="8.9700872831623775E-5"/>
    <n v="100"/>
    <x v="1"/>
    <n v="832"/>
  </r>
  <r>
    <s v="REMESH EXCECUTIVE"/>
    <x v="818"/>
    <x v="3"/>
    <n v="94907"/>
    <n v="8.8949872533383928E-5"/>
    <n v="86"/>
    <x v="1"/>
    <n v="833"/>
  </r>
  <r>
    <s v="SHEKEER PATTIMATTOM"/>
    <x v="819"/>
    <x v="3"/>
    <n v="95033"/>
    <n v="8.674926700830905E-5"/>
    <n v="271"/>
    <x v="2"/>
    <n v="834"/>
  </r>
  <r>
    <s v="ANAND PATTIMATTOM"/>
    <x v="820"/>
    <x v="3"/>
    <n v="95041"/>
    <n v="8.660954602259E-5"/>
    <n v="323"/>
    <x v="2"/>
    <n v="835"/>
  </r>
  <r>
    <s v="PRASAD VALAMBOOR"/>
    <x v="821"/>
    <x v="3"/>
    <n v="95063"/>
    <n v="8.6225313311862642E-5"/>
    <n v="332"/>
    <x v="2"/>
    <n v="836"/>
  </r>
  <r>
    <s v="JINS,KAITHAKAD"/>
    <x v="822"/>
    <x v="3"/>
    <n v="95067"/>
    <n v="8.6155452819003123E-5"/>
    <n v="176"/>
    <x v="2"/>
    <n v="837"/>
  </r>
  <r>
    <s v="J K ANNA NATURAL RUBBERS"/>
    <x v="823"/>
    <x v="3"/>
    <n v="95080"/>
    <n v="8.5928406217209685E-5"/>
    <n v="122"/>
    <x v="2"/>
    <n v="838"/>
  </r>
  <r>
    <s v="SREEKUMAR , PANCODU"/>
    <x v="824"/>
    <x v="3"/>
    <n v="95108"/>
    <n v="8.5439382767193043E-5"/>
    <n v="76"/>
    <x v="1"/>
    <n v="839"/>
  </r>
  <r>
    <s v="ABOOBAKKER"/>
    <x v="825"/>
    <x v="3"/>
    <n v="95109"/>
    <n v="8.542191764397816E-5"/>
    <n v="37"/>
    <x v="0"/>
    <n v="840"/>
  </r>
  <r>
    <s v="ARUN KUMAR , KILIKULAM"/>
    <x v="826"/>
    <x v="3"/>
    <n v="95120"/>
    <n v="8.5229801288614487E-5"/>
    <n v="191"/>
    <x v="2"/>
    <n v="841"/>
  </r>
  <r>
    <s v="JOBY THATTAMUGAL"/>
    <x v="827"/>
    <x v="3"/>
    <n v="95170"/>
    <n v="8.4356545127870487E-5"/>
    <n v="58"/>
    <x v="0"/>
    <n v="842"/>
  </r>
  <r>
    <s v="UNNIKRISHNAN"/>
    <x v="828"/>
    <x v="3"/>
    <n v="95176"/>
    <n v="8.4251754388581202E-5"/>
    <n v="53"/>
    <x v="0"/>
    <n v="843"/>
  </r>
  <r>
    <s v="HASHIM"/>
    <x v="829"/>
    <x v="3"/>
    <n v="95189"/>
    <n v="8.4024707786787764E-5"/>
    <n v="167"/>
    <x v="2"/>
    <n v="844"/>
  </r>
  <r>
    <s v="MOHANAKRISHNAN"/>
    <x v="830"/>
    <x v="3"/>
    <n v="95190"/>
    <n v="8.4007242663572881E-5"/>
    <n v="213"/>
    <x v="2"/>
    <n v="845"/>
  </r>
  <r>
    <s v="SHAJI NJATTUMKALAYIL"/>
    <x v="830"/>
    <x v="3"/>
    <n v="95190"/>
    <n v="8.4007242663572881E-5"/>
    <n v="179"/>
    <x v="2"/>
    <n v="845"/>
  </r>
  <r>
    <s v="SUNNY , PAZHAMTHOTTAM"/>
    <x v="831"/>
    <x v="3"/>
    <n v="95200"/>
    <n v="8.3832591431424078E-5"/>
    <n v="23"/>
    <x v="0"/>
    <n v="847"/>
  </r>
  <r>
    <s v="VARGHESE CHOORAKKODU"/>
    <x v="832"/>
    <x v="3"/>
    <n v="95300"/>
    <n v="8.2086079109936077E-5"/>
    <n v="9"/>
    <x v="0"/>
    <n v="848"/>
  </r>
  <r>
    <s v="JOHN VALAMBOOR"/>
    <x v="833"/>
    <x v="3"/>
    <n v="95304"/>
    <n v="8.2016218617076558E-5"/>
    <n v="320"/>
    <x v="2"/>
    <n v="849"/>
  </r>
  <r>
    <s v="ANOOP KADAYIRUPPU"/>
    <x v="834"/>
    <x v="3"/>
    <n v="95306"/>
    <n v="8.1981288370646806E-5"/>
    <n v="327"/>
    <x v="2"/>
    <n v="850"/>
  </r>
  <r>
    <s v="AKHIL"/>
    <x v="835"/>
    <x v="3"/>
    <n v="95323"/>
    <n v="8.1684381275993836E-5"/>
    <n v="15"/>
    <x v="0"/>
    <n v="851"/>
  </r>
  <r>
    <s v="MURALI (GAYATHRI)"/>
    <x v="836"/>
    <x v="3"/>
    <n v="95350"/>
    <n v="8.1212822949192076E-5"/>
    <n v="153"/>
    <x v="2"/>
    <n v="852"/>
  </r>
  <r>
    <s v="JOSE PATTIMATTOM"/>
    <x v="837"/>
    <x v="3"/>
    <n v="95360"/>
    <n v="8.1038171717043287E-5"/>
    <n v="270"/>
    <x v="2"/>
    <n v="853"/>
  </r>
  <r>
    <s v="MAMALI CHELAKULAM"/>
    <x v="838"/>
    <x v="3"/>
    <n v="95398"/>
    <n v="8.0374497034877841E-5"/>
    <n v="313"/>
    <x v="2"/>
    <n v="854"/>
  </r>
  <r>
    <s v="BABU , SAITHALY"/>
    <x v="839"/>
    <x v="3"/>
    <n v="95405"/>
    <n v="8.0252241172373674E-5"/>
    <n v="92"/>
    <x v="1"/>
    <n v="855"/>
  </r>
  <r>
    <s v="AJIN VALAMBOOR"/>
    <x v="840"/>
    <x v="3"/>
    <n v="95409"/>
    <n v="8.0182380679514156E-5"/>
    <n v="57"/>
    <x v="0"/>
    <n v="856"/>
  </r>
  <r>
    <s v="ABBAS TRUSS"/>
    <x v="841"/>
    <x v="3"/>
    <n v="95448"/>
    <n v="7.9501240874133841E-5"/>
    <n v="96"/>
    <x v="1"/>
    <n v="857"/>
  </r>
  <r>
    <s v="M.P.RAJU"/>
    <x v="841"/>
    <x v="3"/>
    <n v="95448"/>
    <n v="7.9501240874133841E-5"/>
    <n v="274"/>
    <x v="2"/>
    <n v="857"/>
  </r>
  <r>
    <s v="JOHNY P V"/>
    <x v="842"/>
    <x v="3"/>
    <n v="95486"/>
    <n v="7.8837566191968395E-5"/>
    <n v="296"/>
    <x v="2"/>
    <n v="859"/>
  </r>
  <r>
    <s v="ALI.K.P"/>
    <x v="843"/>
    <x v="3"/>
    <n v="95488"/>
    <n v="7.8802635945538643E-5"/>
    <n v="45"/>
    <x v="0"/>
    <n v="860"/>
  </r>
  <r>
    <s v="GOPI.K.N"/>
    <x v="844"/>
    <x v="3"/>
    <n v="95510"/>
    <n v="7.8418403234811271E-5"/>
    <n v="99"/>
    <x v="1"/>
    <n v="861"/>
  </r>
  <r>
    <s v="BROOKESIDE CLUB"/>
    <x v="845"/>
    <x v="3"/>
    <n v="95513"/>
    <n v="7.8366007865166636E-5"/>
    <n v="48"/>
    <x v="0"/>
    <n v="862"/>
  </r>
  <r>
    <s v="JOBIN JOSE"/>
    <x v="846"/>
    <x v="3"/>
    <n v="95550"/>
    <n v="7.7719798306216073E-5"/>
    <n v="150"/>
    <x v="2"/>
    <n v="863"/>
  </r>
  <r>
    <s v="PRAVEEN PUNNORKKODE"/>
    <x v="846"/>
    <x v="3"/>
    <n v="95550"/>
    <n v="7.7719798306216073E-5"/>
    <n v="293"/>
    <x v="2"/>
    <n v="863"/>
  </r>
  <r>
    <s v="ABY MAZHUVANNOR"/>
    <x v="847"/>
    <x v="3"/>
    <n v="95557"/>
    <n v="7.759754244371192E-5"/>
    <n v="321"/>
    <x v="2"/>
    <n v="865"/>
  </r>
  <r>
    <s v="ELDHO BABY"/>
    <x v="848"/>
    <x v="3"/>
    <n v="95560"/>
    <n v="7.7545147074067271E-5"/>
    <n v="306"/>
    <x v="2"/>
    <n v="866"/>
  </r>
  <r>
    <s v="RAJAN NJARALLOOR"/>
    <x v="848"/>
    <x v="3"/>
    <n v="95560"/>
    <n v="7.7545147074067271E-5"/>
    <n v="170"/>
    <x v="2"/>
    <n v="866"/>
  </r>
  <r>
    <s v="ROSHID S PILLA"/>
    <x v="849"/>
    <x v="3"/>
    <n v="95568"/>
    <n v="7.7405426088348234E-5"/>
    <n v="279"/>
    <x v="2"/>
    <n v="868"/>
  </r>
  <r>
    <s v="PRADEEP MORAKKALA"/>
    <x v="850"/>
    <x v="3"/>
    <n v="95576"/>
    <n v="7.7265705102629197E-5"/>
    <n v="33"/>
    <x v="0"/>
    <n v="869"/>
  </r>
  <r>
    <s v="BIJU , CHOORAKODU"/>
    <x v="851"/>
    <x v="3"/>
    <n v="95578"/>
    <n v="7.7230774856199431E-5"/>
    <n v="78"/>
    <x v="1"/>
    <n v="870"/>
  </r>
  <r>
    <s v="IBRAHIM,"/>
    <x v="852"/>
    <x v="3"/>
    <n v="95582"/>
    <n v="7.7160914363339912E-5"/>
    <n v="15"/>
    <x v="0"/>
    <n v="871"/>
  </r>
  <r>
    <s v="ARUN  MAZHUVANNOOR"/>
    <x v="853"/>
    <x v="3"/>
    <n v="95642"/>
    <n v="7.6113006970447109E-5"/>
    <n v="164"/>
    <x v="2"/>
    <n v="872"/>
  </r>
  <r>
    <s v="RANJU THOMAS"/>
    <x v="854"/>
    <x v="3"/>
    <n v="95645"/>
    <n v="7.6060611600802474E-5"/>
    <n v="90"/>
    <x v="1"/>
    <n v="873"/>
  </r>
  <r>
    <s v="ARUN HARIDAS"/>
    <x v="855"/>
    <x v="3"/>
    <n v="95648"/>
    <n v="7.6008216231157838E-5"/>
    <n v="9"/>
    <x v="0"/>
    <n v="874"/>
  </r>
  <r>
    <s v="SUDHEER CITY"/>
    <x v="856"/>
    <x v="3"/>
    <n v="95697"/>
    <n v="7.515242519362872E-5"/>
    <n v="212"/>
    <x v="2"/>
    <n v="875"/>
  </r>
  <r>
    <s v="SUKUMARAN VALAMBOOR"/>
    <x v="857"/>
    <x v="3"/>
    <n v="95701"/>
    <n v="7.5082564700769188E-5"/>
    <n v="68"/>
    <x v="1"/>
    <n v="876"/>
  </r>
  <r>
    <s v="LAKSHMI FOODS"/>
    <x v="858"/>
    <x v="3"/>
    <n v="95750"/>
    <n v="7.4226773663240071E-5"/>
    <n v="269"/>
    <x v="2"/>
    <n v="877"/>
  </r>
  <r>
    <s v="ABY MANGALATHUNADA"/>
    <x v="859"/>
    <x v="3"/>
    <n v="95755"/>
    <n v="7.4139448047165669E-5"/>
    <n v="93"/>
    <x v="1"/>
    <n v="878"/>
  </r>
  <r>
    <s v="AKBAR PASSENGER"/>
    <x v="860"/>
    <x v="3"/>
    <n v="95760"/>
    <n v="7.4052122431091268E-5"/>
    <n v="239"/>
    <x v="2"/>
    <n v="879"/>
  </r>
  <r>
    <s v="SULAIMAN PASSENGER"/>
    <x v="860"/>
    <x v="3"/>
    <n v="95760"/>
    <n v="7.4052122431091268E-5"/>
    <n v="33"/>
    <x v="0"/>
    <n v="879"/>
  </r>
  <r>
    <s v="GEORGE"/>
    <x v="861"/>
    <x v="3"/>
    <n v="95810"/>
    <n v="7.3178866270347267E-5"/>
    <n v="4"/>
    <x v="0"/>
    <n v="881"/>
  </r>
  <r>
    <s v="PAZINO INFOTECH PVT.LTD"/>
    <x v="861"/>
    <x v="3"/>
    <n v="95810"/>
    <n v="7.3178866270347267E-5"/>
    <n v="249"/>
    <x v="2"/>
    <n v="881"/>
  </r>
  <r>
    <s v="BIJU S R"/>
    <x v="862"/>
    <x v="3"/>
    <n v="95840"/>
    <n v="7.2654912573900872E-5"/>
    <n v="23"/>
    <x v="0"/>
    <n v="883"/>
  </r>
  <r>
    <s v="LINTO KZM"/>
    <x v="863"/>
    <x v="3"/>
    <n v="95850"/>
    <n v="7.2480261341752069E-5"/>
    <n v="260"/>
    <x v="2"/>
    <n v="884"/>
  </r>
  <r>
    <s v="JOBY NJARALLOOR"/>
    <x v="864"/>
    <x v="3"/>
    <n v="95857"/>
    <n v="7.2358005479247916E-5"/>
    <n v="53"/>
    <x v="0"/>
    <n v="885"/>
  </r>
  <r>
    <s v="HYDROSE , MUNDEKUDY"/>
    <x v="865"/>
    <x v="3"/>
    <n v="95900"/>
    <n v="7.1607005181008069E-5"/>
    <n v="2"/>
    <x v="0"/>
    <n v="886"/>
  </r>
  <r>
    <s v="BIBIN VALAMBOOR"/>
    <x v="866"/>
    <x v="3"/>
    <n v="95904"/>
    <n v="7.153714468814855E-5"/>
    <n v="120"/>
    <x v="1"/>
    <n v="887"/>
  </r>
  <r>
    <s v="NISHAD MANGALATHUNADA"/>
    <x v="867"/>
    <x v="3"/>
    <n v="95910"/>
    <n v="7.1432353948859266E-5"/>
    <n v="25"/>
    <x v="0"/>
    <n v="888"/>
  </r>
  <r>
    <s v="SOMAN THOTTAPPILLY"/>
    <x v="868"/>
    <x v="3"/>
    <n v="95916"/>
    <n v="7.1327563209569995E-5"/>
    <n v="265"/>
    <x v="2"/>
    <n v="889"/>
  </r>
  <r>
    <s v="SUNIL NJARALLOOR"/>
    <x v="869"/>
    <x v="3"/>
    <n v="95920"/>
    <n v="7.1257702716710477E-5"/>
    <n v="330"/>
    <x v="2"/>
    <n v="890"/>
  </r>
  <r>
    <s v="ABU APE"/>
    <x v="870"/>
    <x v="3"/>
    <n v="95935"/>
    <n v="7.0995725868487272E-5"/>
    <n v="90"/>
    <x v="1"/>
    <n v="891"/>
  </r>
  <r>
    <s v="BASIL VALAMBOOR"/>
    <x v="871"/>
    <x v="3"/>
    <n v="95948"/>
    <n v="7.0768679266693834E-5"/>
    <n v="269"/>
    <x v="2"/>
    <n v="892"/>
  </r>
  <r>
    <s v="ANIL PATTIMATTOM"/>
    <x v="872"/>
    <x v="3"/>
    <n v="95968"/>
    <n v="7.0419376802396228E-5"/>
    <n v="191"/>
    <x v="2"/>
    <n v="893"/>
  </r>
  <r>
    <s v="JOHNY KALLENKOORIYIL"/>
    <x v="873"/>
    <x v="3"/>
    <n v="95986"/>
    <n v="7.0105004584528389E-5"/>
    <n v="325"/>
    <x v="2"/>
    <n v="894"/>
  </r>
  <r>
    <s v="ASIF PATTIMATTOM"/>
    <x v="874"/>
    <x v="3"/>
    <n v="96013"/>
    <n v="6.9633446257726629E-5"/>
    <n v="32"/>
    <x v="0"/>
    <n v="895"/>
  </r>
  <r>
    <s v="UNNIKRISHNAN VILANGU"/>
    <x v="875"/>
    <x v="3"/>
    <n v="96032"/>
    <n v="6.9301608916643906E-5"/>
    <n v="253"/>
    <x v="2"/>
    <n v="896"/>
  </r>
  <r>
    <s v="SATHEESAN , CHOORAKKODU"/>
    <x v="876"/>
    <x v="3"/>
    <n v="96055"/>
    <n v="6.8899911082701665E-5"/>
    <n v="27"/>
    <x v="0"/>
    <n v="897"/>
  </r>
  <r>
    <s v="SUMESH CHATTANATTUPARAMBU"/>
    <x v="877"/>
    <x v="3"/>
    <n v="96065"/>
    <n v="6.8725259850552862E-5"/>
    <n v="228"/>
    <x v="2"/>
    <n v="898"/>
  </r>
  <r>
    <s v="NITHIN VALAMBOOR"/>
    <x v="878"/>
    <x v="3"/>
    <n v="96067"/>
    <n v="6.869032960412311E-5"/>
    <n v="12"/>
    <x v="0"/>
    <n v="899"/>
  </r>
  <r>
    <s v="SM TECH ENGINEERING COMPANY"/>
    <x v="879"/>
    <x v="3"/>
    <n v="96070"/>
    <n v="6.8637934234478475E-5"/>
    <n v="233"/>
    <x v="2"/>
    <n v="900"/>
  </r>
  <r>
    <s v="MATHAI PULINCHODE"/>
    <x v="880"/>
    <x v="3"/>
    <n v="96117"/>
    <n v="6.7817073443379109E-5"/>
    <n v="61"/>
    <x v="1"/>
    <n v="901"/>
  </r>
  <r>
    <s v="SHAMEER , KERALA BAKERY"/>
    <x v="881"/>
    <x v="3"/>
    <n v="96118"/>
    <n v="6.7799608320164226E-5"/>
    <n v="233"/>
    <x v="2"/>
    <n v="902"/>
  </r>
  <r>
    <s v="JINOSH CHENGARA"/>
    <x v="882"/>
    <x v="3"/>
    <n v="96119"/>
    <n v="6.7782143196949343E-5"/>
    <n v="13"/>
    <x v="0"/>
    <n v="903"/>
  </r>
  <r>
    <s v="SANTHOSH PUKKATTUPADY"/>
    <x v="883"/>
    <x v="3"/>
    <n v="96140"/>
    <n v="6.7415375609436868E-5"/>
    <n v="297"/>
    <x v="2"/>
    <n v="904"/>
  </r>
  <r>
    <s v="BINI INNOVATION DOUBLEPALAM"/>
    <x v="884"/>
    <x v="3"/>
    <n v="96153"/>
    <n v="6.718832900764343E-5"/>
    <n v="207"/>
    <x v="2"/>
    <n v="905"/>
  </r>
  <r>
    <s v="Biju , Thattamukal"/>
    <x v="885"/>
    <x v="3"/>
    <n v="96157"/>
    <n v="6.7118468514783911E-5"/>
    <n v="93"/>
    <x v="1"/>
    <n v="906"/>
  </r>
  <r>
    <s v="BIJU JOHN"/>
    <x v="886"/>
    <x v="3"/>
    <n v="96198"/>
    <n v="6.6402398462973831E-5"/>
    <n v="80"/>
    <x v="1"/>
    <n v="907"/>
  </r>
  <r>
    <s v="VIJAYAN UNION"/>
    <x v="887"/>
    <x v="3"/>
    <n v="96210"/>
    <n v="6.6192816984395262E-5"/>
    <n v="282"/>
    <x v="2"/>
    <n v="908"/>
  </r>
  <r>
    <s v="MOOLANS PATTIMATTOM"/>
    <x v="888"/>
    <x v="3"/>
    <n v="96300"/>
    <n v="6.4620955895056063E-5"/>
    <n v="265"/>
    <x v="2"/>
    <n v="909"/>
  </r>
  <r>
    <s v="TUTTU CHANDRA"/>
    <x v="889"/>
    <x v="3"/>
    <n v="96310"/>
    <n v="6.444630466290726E-5"/>
    <n v="97"/>
    <x v="1"/>
    <n v="910"/>
  </r>
  <r>
    <s v="CHRISTY KUMMANODE"/>
    <x v="890"/>
    <x v="3"/>
    <n v="96355"/>
    <n v="6.3660374118237661E-5"/>
    <n v="198"/>
    <x v="2"/>
    <n v="911"/>
  </r>
  <r>
    <s v="BEERAN , THANDAKKALA"/>
    <x v="891"/>
    <x v="3"/>
    <n v="96373"/>
    <n v="6.3346001900369822E-5"/>
    <n v="60"/>
    <x v="0"/>
    <n v="912"/>
  </r>
  <r>
    <s v="PRAMOD KADAYIRUPPU"/>
    <x v="892"/>
    <x v="3"/>
    <n v="96400"/>
    <n v="6.2874443573568062E-5"/>
    <n v="304"/>
    <x v="2"/>
    <n v="913"/>
  </r>
  <r>
    <s v="ALIAS"/>
    <x v="893"/>
    <x v="3"/>
    <n v="96420"/>
    <n v="6.2525141109270456E-5"/>
    <n v="215"/>
    <x v="2"/>
    <n v="914"/>
  </r>
  <r>
    <s v="JOHNSON NJARALLOOR"/>
    <x v="893"/>
    <x v="3"/>
    <n v="96420"/>
    <n v="6.2525141109270456E-5"/>
    <n v="83"/>
    <x v="1"/>
    <n v="914"/>
  </r>
  <r>
    <s v="JACOB K M"/>
    <x v="894"/>
    <x v="3"/>
    <n v="96423"/>
    <n v="6.2472745739625821E-5"/>
    <n v="323"/>
    <x v="2"/>
    <n v="916"/>
  </r>
  <r>
    <s v="ASHLIN MAZHAUVANNOOR"/>
    <x v="895"/>
    <x v="3"/>
    <n v="96457"/>
    <n v="6.1878931550319907E-5"/>
    <n v="101"/>
    <x v="1"/>
    <n v="917"/>
  </r>
  <r>
    <s v="BIJU , KADAYIRUPPU"/>
    <x v="896"/>
    <x v="3"/>
    <n v="96463"/>
    <n v="6.1774140811030623E-5"/>
    <n v="320"/>
    <x v="2"/>
    <n v="918"/>
  </r>
  <r>
    <s v="SUBRAMANIAN"/>
    <x v="897"/>
    <x v="3"/>
    <n v="96470"/>
    <n v="6.1651884948526456E-5"/>
    <n v="285"/>
    <x v="2"/>
    <n v="919"/>
  </r>
  <r>
    <s v="ISMAIL CNTR"/>
    <x v="898"/>
    <x v="3"/>
    <n v="96500"/>
    <n v="6.1127931252080061E-5"/>
    <n v="150"/>
    <x v="2"/>
    <n v="920"/>
  </r>
  <r>
    <s v="MOHANAN , PULINCHUVADU"/>
    <x v="898"/>
    <x v="3"/>
    <n v="96500"/>
    <n v="6.1127931252080061E-5"/>
    <n v="163"/>
    <x v="2"/>
    <n v="920"/>
  </r>
  <r>
    <s v="ST.THOMAS CHAPPEL"/>
    <x v="898"/>
    <x v="3"/>
    <n v="96500"/>
    <n v="6.1127931252080061E-5"/>
    <n v="94"/>
    <x v="1"/>
    <n v="920"/>
  </r>
  <r>
    <s v="RAJAMMA"/>
    <x v="899"/>
    <x v="3"/>
    <n v="96520"/>
    <n v="6.0778628787782462E-5"/>
    <n v="305"/>
    <x v="2"/>
    <n v="923"/>
  </r>
  <r>
    <s v="PRADEEP ATHANI"/>
    <x v="900"/>
    <x v="3"/>
    <n v="96540"/>
    <n v="6.0429326323484863E-5"/>
    <n v="18"/>
    <x v="0"/>
    <n v="924"/>
  </r>
  <r>
    <s v="SULAIMAN CNTR"/>
    <x v="901"/>
    <x v="3"/>
    <n v="96544"/>
    <n v="6.0359465830625338E-5"/>
    <n v="195"/>
    <x v="2"/>
    <n v="925"/>
  </r>
  <r>
    <s v="BENNY JOSEPH (BROOK SIDE)"/>
    <x v="902"/>
    <x v="3"/>
    <n v="96550"/>
    <n v="6.025467509133606E-5"/>
    <n v="144"/>
    <x v="2"/>
    <n v="926"/>
  </r>
  <r>
    <s v="BINI INNOVATIONS"/>
    <x v="903"/>
    <x v="3"/>
    <n v="96552"/>
    <n v="6.0219744844906301E-5"/>
    <n v="143"/>
    <x v="2"/>
    <n v="927"/>
  </r>
  <r>
    <s v="ALEX KIZHAKKAMBALAM"/>
    <x v="904"/>
    <x v="3"/>
    <n v="96555"/>
    <n v="6.0167349475261659E-5"/>
    <n v="300"/>
    <x v="2"/>
    <n v="928"/>
  </r>
  <r>
    <s v="E TECH INDUSTRIES"/>
    <x v="905"/>
    <x v="3"/>
    <n v="96569"/>
    <n v="5.9922837750253337E-5"/>
    <n v="258"/>
    <x v="2"/>
    <n v="929"/>
  </r>
  <r>
    <s v="JIJI KOLOTHUMKUDY"/>
    <x v="906"/>
    <x v="3"/>
    <n v="96600"/>
    <n v="5.9381418930592059E-5"/>
    <n v="320"/>
    <x v="2"/>
    <n v="930"/>
  </r>
  <r>
    <s v="JOY NJATTUMKALA , VALAMBOOR"/>
    <x v="906"/>
    <x v="3"/>
    <n v="96600"/>
    <n v="5.9381418930592059E-5"/>
    <n v="142"/>
    <x v="2"/>
    <n v="930"/>
  </r>
  <r>
    <s v="SAJI THATTAMUGAL"/>
    <x v="906"/>
    <x v="3"/>
    <n v="96600"/>
    <n v="5.9381418930592059E-5"/>
    <n v="104"/>
    <x v="1"/>
    <n v="930"/>
  </r>
  <r>
    <s v="SHANAVAS KIZHAKAMURI"/>
    <x v="907"/>
    <x v="3"/>
    <n v="96649"/>
    <n v="5.8525627893062935E-5"/>
    <n v="74"/>
    <x v="1"/>
    <n v="933"/>
  </r>
  <r>
    <s v="JOHN THANNIKKODAN"/>
    <x v="908"/>
    <x v="3"/>
    <n v="96658"/>
    <n v="5.8368441784129015E-5"/>
    <n v="40"/>
    <x v="0"/>
    <n v="934"/>
  </r>
  <r>
    <s v="SATHAR ACE"/>
    <x v="909"/>
    <x v="3"/>
    <n v="96679"/>
    <n v="5.800167419661654E-5"/>
    <n v="246"/>
    <x v="2"/>
    <n v="935"/>
  </r>
  <r>
    <s v="N J CONSTRUCTION"/>
    <x v="910"/>
    <x v="3"/>
    <n v="96694"/>
    <n v="5.7739697348393336E-5"/>
    <n v="167"/>
    <x v="2"/>
    <n v="936"/>
  </r>
  <r>
    <s v="NADARAJAN CHAKKASSERY"/>
    <x v="911"/>
    <x v="3"/>
    <n v="96704"/>
    <n v="5.756504611624454E-5"/>
    <n v="167"/>
    <x v="2"/>
    <n v="937"/>
  </r>
  <r>
    <s v="MAR COORILOSE MEMMORIAL HIGHER SECONDARY SCHOOL"/>
    <x v="912"/>
    <x v="3"/>
    <n v="96723"/>
    <n v="5.7233208775161817E-5"/>
    <n v="24"/>
    <x v="0"/>
    <n v="938"/>
  </r>
  <r>
    <s v="BANANSO IRAPURAM"/>
    <x v="913"/>
    <x v="3"/>
    <n v="96726"/>
    <n v="5.7180813405517175E-5"/>
    <n v="121"/>
    <x v="2"/>
    <n v="939"/>
  </r>
  <r>
    <s v="SREEJITH , VALAMBOOR"/>
    <x v="914"/>
    <x v="3"/>
    <n v="96738"/>
    <n v="5.6971231926938619E-5"/>
    <n v="79"/>
    <x v="1"/>
    <n v="940"/>
  </r>
  <r>
    <s v="RAJESH , PATTIMATTAM"/>
    <x v="915"/>
    <x v="3"/>
    <n v="96742"/>
    <n v="5.6901371434079094E-5"/>
    <n v="74"/>
    <x v="1"/>
    <n v="941"/>
  </r>
  <r>
    <s v="JOSHY AIRAPURAM"/>
    <x v="916"/>
    <x v="3"/>
    <n v="96763"/>
    <n v="5.6534603846566619E-5"/>
    <n v="74"/>
    <x v="1"/>
    <n v="942"/>
  </r>
  <r>
    <s v="RAVI KILIKULAM"/>
    <x v="917"/>
    <x v="3"/>
    <n v="96766"/>
    <n v="5.6482208476921977E-5"/>
    <n v="10"/>
    <x v="0"/>
    <n v="943"/>
  </r>
  <r>
    <s v="BIJU , PATTIMATTOM"/>
    <x v="918"/>
    <x v="3"/>
    <n v="96770"/>
    <n v="5.6412347984062458E-5"/>
    <n v="39"/>
    <x v="0"/>
    <n v="944"/>
  </r>
  <r>
    <s v="BINU VALAMBOOR"/>
    <x v="919"/>
    <x v="3"/>
    <n v="96800"/>
    <n v="5.5888394287616057E-5"/>
    <n v="47"/>
    <x v="0"/>
    <n v="945"/>
  </r>
  <r>
    <s v="SIRAJ ARACKKAPADY"/>
    <x v="920"/>
    <x v="3"/>
    <n v="96808"/>
    <n v="5.5748673301897013E-5"/>
    <n v="290"/>
    <x v="2"/>
    <n v="946"/>
  </r>
  <r>
    <s v="HYDROSE VALAMBOOR"/>
    <x v="921"/>
    <x v="3"/>
    <n v="96823"/>
    <n v="5.5486696453673815E-5"/>
    <n v="269"/>
    <x v="2"/>
    <n v="947"/>
  </r>
  <r>
    <s v="GEORGE KIZHAKKAMBALAM"/>
    <x v="922"/>
    <x v="3"/>
    <n v="96838"/>
    <n v="5.5224719605450618E-5"/>
    <n v="88"/>
    <x v="1"/>
    <n v="948"/>
  </r>
  <r>
    <s v="MARY KUMMANODE"/>
    <x v="923"/>
    <x v="3"/>
    <n v="96850"/>
    <n v="5.5015138126872056E-5"/>
    <n v="152"/>
    <x v="2"/>
    <n v="949"/>
  </r>
  <r>
    <s v="ABY"/>
    <x v="924"/>
    <x v="3"/>
    <n v="96876"/>
    <n v="5.4561044923285173E-5"/>
    <n v="5"/>
    <x v="0"/>
    <n v="950"/>
  </r>
  <r>
    <s v="VINAYAN"/>
    <x v="925"/>
    <x v="3"/>
    <n v="96877"/>
    <n v="5.4543579800070296E-5"/>
    <n v="158"/>
    <x v="2"/>
    <n v="951"/>
  </r>
  <r>
    <s v="ALEN KUMMANODE"/>
    <x v="926"/>
    <x v="3"/>
    <n v="96894"/>
    <n v="5.4246672705417333E-5"/>
    <n v="31"/>
    <x v="0"/>
    <n v="952"/>
  </r>
  <r>
    <s v="SAJU , VALAMBOOR"/>
    <x v="927"/>
    <x v="3"/>
    <n v="96900"/>
    <n v="5.4141881966128055E-5"/>
    <n v="52"/>
    <x v="0"/>
    <n v="953"/>
  </r>
  <r>
    <s v="SUBHADRA"/>
    <x v="927"/>
    <x v="3"/>
    <n v="96900"/>
    <n v="5.4141881966128055E-5"/>
    <n v="27"/>
    <x v="0"/>
    <n v="953"/>
  </r>
  <r>
    <s v="NAZEER PATTIMATTOM"/>
    <x v="928"/>
    <x v="3"/>
    <n v="96918"/>
    <n v="5.3827509748260216E-5"/>
    <n v="26"/>
    <x v="0"/>
    <n v="955"/>
  </r>
  <r>
    <s v="JOMON , KUMMANODU"/>
    <x v="929"/>
    <x v="3"/>
    <n v="96920"/>
    <n v="5.3792579501830456E-5"/>
    <n v="149"/>
    <x v="2"/>
    <n v="956"/>
  </r>
  <r>
    <s v="ELDHOSE KIZHAKKUMBAGAM"/>
    <x v="930"/>
    <x v="3"/>
    <n v="96940"/>
    <n v="5.3443277037532851E-5"/>
    <n v="13"/>
    <x v="0"/>
    <n v="957"/>
  </r>
  <r>
    <s v="UNNIKRISHNAN THATTAMUGAL"/>
    <x v="931"/>
    <x v="3"/>
    <n v="96952"/>
    <n v="5.3233695558954295E-5"/>
    <n v="257"/>
    <x v="2"/>
    <n v="958"/>
  </r>
  <r>
    <s v="ROY PANCODE"/>
    <x v="932"/>
    <x v="3"/>
    <n v="96956"/>
    <n v="5.316383506609477E-5"/>
    <n v="288"/>
    <x v="2"/>
    <n v="959"/>
  </r>
  <r>
    <s v="ASHIF - 9562979002"/>
    <x v="933"/>
    <x v="3"/>
    <n v="96959"/>
    <n v="5.3111439696450135E-5"/>
    <n v="137"/>
    <x v="2"/>
    <n v="960"/>
  </r>
  <r>
    <s v="GEORGE , ERAPPUMPARA"/>
    <x v="934"/>
    <x v="3"/>
    <n v="96981"/>
    <n v="5.272720698572277E-5"/>
    <n v="11"/>
    <x v="0"/>
    <n v="961"/>
  </r>
  <r>
    <s v="MURALI KADAYATHU"/>
    <x v="935"/>
    <x v="3"/>
    <n v="96982"/>
    <n v="5.2709741862507894E-5"/>
    <n v="242"/>
    <x v="2"/>
    <n v="962"/>
  </r>
  <r>
    <s v="SAJI EZHIPURAM"/>
    <x v="936"/>
    <x v="3"/>
    <n v="96984"/>
    <n v="5.2674811616078134E-5"/>
    <n v="41"/>
    <x v="0"/>
    <n v="963"/>
  </r>
  <r>
    <s v="JITHIN KUMMANODE"/>
    <x v="937"/>
    <x v="3"/>
    <n v="97018"/>
    <n v="5.2080997426772214E-5"/>
    <n v="268"/>
    <x v="2"/>
    <n v="964"/>
  </r>
  <r>
    <s v="AJI MANAKALMARY"/>
    <x v="938"/>
    <x v="3"/>
    <n v="97019"/>
    <n v="5.2063532303557331E-5"/>
    <n v="50"/>
    <x v="0"/>
    <n v="965"/>
  </r>
  <r>
    <s v="SANDEEP PANAKKAL"/>
    <x v="939"/>
    <x v="3"/>
    <n v="97020"/>
    <n v="5.2046067180342455E-5"/>
    <n v="8"/>
    <x v="0"/>
    <n v="966"/>
  </r>
  <r>
    <s v="JOHN DANIEL"/>
    <x v="940"/>
    <x v="3"/>
    <n v="97040"/>
    <n v="5.1696764716044849E-5"/>
    <n v="292"/>
    <x v="2"/>
    <n v="967"/>
  </r>
  <r>
    <s v="PALLAKKU ARTS"/>
    <x v="940"/>
    <x v="3"/>
    <n v="97040"/>
    <n v="5.1696764716044849E-5"/>
    <n v="193"/>
    <x v="2"/>
    <n v="967"/>
  </r>
  <r>
    <s v="GEORGE KEERANKUZHY"/>
    <x v="941"/>
    <x v="3"/>
    <n v="97069"/>
    <n v="5.1190276142813331E-5"/>
    <n v="55"/>
    <x v="0"/>
    <n v="969"/>
  </r>
  <r>
    <s v="SHAJAS MANAKKAPADY"/>
    <x v="942"/>
    <x v="3"/>
    <n v="97094"/>
    <n v="5.075364806244133E-5"/>
    <n v="134"/>
    <x v="2"/>
    <n v="970"/>
  </r>
  <r>
    <s v="HOME TECH TRADERS"/>
    <x v="943"/>
    <x v="3"/>
    <n v="97130"/>
    <n v="5.0124903626705651E-5"/>
    <n v="111"/>
    <x v="1"/>
    <n v="971"/>
  </r>
  <r>
    <s v="ATHUL BIJU PATTIMATTOM"/>
    <x v="944"/>
    <x v="3"/>
    <n v="97153"/>
    <n v="4.972320579276341E-5"/>
    <n v="183"/>
    <x v="2"/>
    <n v="972"/>
  </r>
  <r>
    <s v="SANTHOSH"/>
    <x v="945"/>
    <x v="3"/>
    <n v="97177"/>
    <n v="4.9304042835606286E-5"/>
    <n v="47"/>
    <x v="0"/>
    <n v="973"/>
  </r>
  <r>
    <s v="BIJU MATHEW - 9947439674"/>
    <x v="946"/>
    <x v="3"/>
    <n v="97200"/>
    <n v="4.8902345001664051E-5"/>
    <n v="253"/>
    <x v="2"/>
    <n v="974"/>
  </r>
  <r>
    <s v="VINOD RAMAKRISHNAN"/>
    <x v="947"/>
    <x v="3"/>
    <n v="97208"/>
    <n v="4.8762624015945008E-5"/>
    <n v="191"/>
    <x v="2"/>
    <n v="975"/>
  </r>
  <r>
    <s v="JAYAN PATTIMATTOM"/>
    <x v="948"/>
    <x v="3"/>
    <n v="97210"/>
    <n v="4.8727693769515248E-5"/>
    <n v="8"/>
    <x v="0"/>
    <n v="976"/>
  </r>
  <r>
    <s v="JAYAKRISHNAN"/>
    <x v="949"/>
    <x v="3"/>
    <n v="97228"/>
    <n v="4.8413321551647409E-5"/>
    <n v="253"/>
    <x v="2"/>
    <n v="977"/>
  </r>
  <r>
    <s v="PAILY  VALAMBOOR"/>
    <x v="949"/>
    <x v="3"/>
    <n v="97228"/>
    <n v="4.8413321551647409E-5"/>
    <n v="170"/>
    <x v="2"/>
    <n v="977"/>
  </r>
  <r>
    <s v="ALI KOLENCHERY"/>
    <x v="950"/>
    <x v="3"/>
    <n v="97240"/>
    <n v="4.8203740073068847E-5"/>
    <n v="303"/>
    <x v="2"/>
    <n v="979"/>
  </r>
  <r>
    <s v="AFSAL APE"/>
    <x v="951"/>
    <x v="3"/>
    <n v="97260"/>
    <n v="4.7854437608771248E-5"/>
    <n v="3"/>
    <x v="0"/>
    <n v="980"/>
  </r>
  <r>
    <s v="MUKUNDAN , KAITHAKKADU"/>
    <x v="951"/>
    <x v="3"/>
    <n v="97260"/>
    <n v="4.7854437608771248E-5"/>
    <n v="8"/>
    <x v="0"/>
    <n v="980"/>
  </r>
  <r>
    <s v="STEPHEN VARGHESE"/>
    <x v="951"/>
    <x v="3"/>
    <n v="97260"/>
    <n v="4.7854437608771248E-5"/>
    <n v="85"/>
    <x v="1"/>
    <n v="980"/>
  </r>
  <r>
    <s v="SAMAD CHELAKULAM"/>
    <x v="952"/>
    <x v="3"/>
    <n v="97283"/>
    <n v="4.7452739774829007E-5"/>
    <n v="15"/>
    <x v="0"/>
    <n v="983"/>
  </r>
  <r>
    <s v="MATHAI"/>
    <x v="953"/>
    <x v="3"/>
    <n v="97303"/>
    <n v="4.7103437310531408E-5"/>
    <n v="148"/>
    <x v="2"/>
    <n v="984"/>
  </r>
  <r>
    <s v="NEELAMBARAN"/>
    <x v="954"/>
    <x v="3"/>
    <n v="97320"/>
    <n v="4.6806530215878444E-5"/>
    <n v="111"/>
    <x v="1"/>
    <n v="985"/>
  </r>
  <r>
    <s v="ABDUL KHADAR"/>
    <x v="955"/>
    <x v="3"/>
    <n v="97340"/>
    <n v="4.6457227751580845E-5"/>
    <n v="34"/>
    <x v="0"/>
    <n v="986"/>
  </r>
  <r>
    <s v="ANOOP"/>
    <x v="956"/>
    <x v="3"/>
    <n v="97369"/>
    <n v="4.5950739178349327E-5"/>
    <n v="64"/>
    <x v="1"/>
    <n v="987"/>
  </r>
  <r>
    <s v="NISHAD PLAPPILLY HOME"/>
    <x v="957"/>
    <x v="3"/>
    <n v="97379"/>
    <n v="4.5776087946200524E-5"/>
    <n v="109"/>
    <x v="1"/>
    <n v="988"/>
  </r>
  <r>
    <s v="SHYJU , PATTIMATTAM"/>
    <x v="958"/>
    <x v="3"/>
    <n v="97382"/>
    <n v="4.5723692576555888E-5"/>
    <n v="171"/>
    <x v="2"/>
    <n v="989"/>
  </r>
  <r>
    <s v="VARKEY KUNNATHUKUDY"/>
    <x v="959"/>
    <x v="3"/>
    <n v="97383"/>
    <n v="4.5706227453341005E-5"/>
    <n v="55"/>
    <x v="0"/>
    <n v="990"/>
  </r>
  <r>
    <s v="ABY KUMMANODE"/>
    <x v="960"/>
    <x v="3"/>
    <n v="97392"/>
    <n v="4.5549041344407085E-5"/>
    <n v="67"/>
    <x v="1"/>
    <n v="991"/>
  </r>
  <r>
    <s v="NAJEEB DOUBLE PALAM"/>
    <x v="961"/>
    <x v="3"/>
    <n v="97420"/>
    <n v="4.5060017894390443E-5"/>
    <n v="265"/>
    <x v="2"/>
    <n v="992"/>
  </r>
  <r>
    <s v="ETHICS AGENCIES"/>
    <x v="962"/>
    <x v="3"/>
    <n v="97424"/>
    <n v="4.4990157401530924E-5"/>
    <n v="288"/>
    <x v="2"/>
    <n v="993"/>
  </r>
  <r>
    <s v="BABU KADAYIRUPPU"/>
    <x v="963"/>
    <x v="3"/>
    <n v="97447"/>
    <n v="4.4588459567588683E-5"/>
    <n v="145"/>
    <x v="2"/>
    <n v="994"/>
  </r>
  <r>
    <s v="ABU  , CHENGARA"/>
    <x v="964"/>
    <x v="3"/>
    <n v="97457"/>
    <n v="4.4413808335439887E-5"/>
    <n v="190"/>
    <x v="2"/>
    <n v="995"/>
  </r>
  <r>
    <s v="NAUSHAD EARVADY APE"/>
    <x v="965"/>
    <x v="3"/>
    <n v="97470"/>
    <n v="4.4186761733646442E-5"/>
    <n v="43"/>
    <x v="0"/>
    <n v="996"/>
  </r>
  <r>
    <s v="SUDHEESH KOLENCHERY"/>
    <x v="966"/>
    <x v="3"/>
    <n v="97495"/>
    <n v="4.3750133653274442E-5"/>
    <n v="246"/>
    <x v="2"/>
    <n v="997"/>
  </r>
  <r>
    <s v="MOHANAN PATTIMATTOM"/>
    <x v="967"/>
    <x v="3"/>
    <n v="97510"/>
    <n v="4.3488156805051244E-5"/>
    <n v="64"/>
    <x v="1"/>
    <n v="998"/>
  </r>
  <r>
    <s v="SHINU"/>
    <x v="968"/>
    <x v="3"/>
    <n v="97537"/>
    <n v="4.3016598478249485E-5"/>
    <n v="36"/>
    <x v="0"/>
    <n v="999"/>
  </r>
  <r>
    <s v="SUKUMARAN KILIKUALM"/>
    <x v="969"/>
    <x v="3"/>
    <n v="97554"/>
    <n v="4.2719691383596521E-5"/>
    <n v="114"/>
    <x v="1"/>
    <n v="1000"/>
  </r>
  <r>
    <s v="ALEX VITY THOMAS"/>
    <x v="970"/>
    <x v="3"/>
    <n v="97565"/>
    <n v="4.2527575028232842E-5"/>
    <n v="326"/>
    <x v="2"/>
    <n v="1001"/>
  </r>
  <r>
    <s v="GEORGE , THADIYAN"/>
    <x v="970"/>
    <x v="3"/>
    <n v="97565"/>
    <n v="4.2527575028232842E-5"/>
    <n v="179"/>
    <x v="2"/>
    <n v="1001"/>
  </r>
  <r>
    <s v="SAJI VARGHESE , CHENGARAKUDIYIL"/>
    <x v="971"/>
    <x v="3"/>
    <n v="97580"/>
    <n v="4.2265598180009645E-5"/>
    <n v="78"/>
    <x v="1"/>
    <n v="1003"/>
  </r>
  <r>
    <s v="SRS ELECTRICALS"/>
    <x v="972"/>
    <x v="3"/>
    <n v="97613"/>
    <n v="4.1689249113918601E-5"/>
    <n v="36"/>
    <x v="0"/>
    <n v="1004"/>
  </r>
  <r>
    <s v="VARKEY , PAZHAMPILLY"/>
    <x v="973"/>
    <x v="3"/>
    <n v="97646"/>
    <n v="4.1112900047827564E-5"/>
    <n v="240"/>
    <x v="2"/>
    <n v="1005"/>
  </r>
  <r>
    <s v="SAMAD ACE , KUZHIPPILLY"/>
    <x v="974"/>
    <x v="3"/>
    <n v="97650"/>
    <n v="4.1043039554968038E-5"/>
    <n v="8"/>
    <x v="0"/>
    <n v="1006"/>
  </r>
  <r>
    <s v="ABBAS CHELAKULAM"/>
    <x v="975"/>
    <x v="3"/>
    <n v="97660"/>
    <n v="4.0868388322819242E-5"/>
    <n v="170"/>
    <x v="2"/>
    <n v="1007"/>
  </r>
  <r>
    <s v="SHAJI PASSENGER"/>
    <x v="976"/>
    <x v="3"/>
    <n v="97667"/>
    <n v="4.0746132460315082E-5"/>
    <n v="296"/>
    <x v="2"/>
    <n v="1008"/>
  </r>
  <r>
    <s v="BHASKARAN"/>
    <x v="977"/>
    <x v="3"/>
    <n v="97673"/>
    <n v="4.0641341721025797E-5"/>
    <n v="263"/>
    <x v="2"/>
    <n v="1009"/>
  </r>
  <r>
    <s v="BASHEER DOUBLEPALAM"/>
    <x v="978"/>
    <x v="3"/>
    <n v="97680"/>
    <n v="4.0519085858521643E-5"/>
    <n v="114"/>
    <x v="1"/>
    <n v="1010"/>
  </r>
  <r>
    <s v="DREAM STONE BUILDERS"/>
    <x v="979"/>
    <x v="3"/>
    <n v="97720"/>
    <n v="3.9820480929926439E-5"/>
    <n v="34"/>
    <x v="0"/>
    <n v="1011"/>
  </r>
  <r>
    <s v="ELDHOSE VALAMBOOR"/>
    <x v="980"/>
    <x v="3"/>
    <n v="97766"/>
    <n v="3.9017085262041957E-5"/>
    <n v="76"/>
    <x v="1"/>
    <n v="1012"/>
  </r>
  <r>
    <s v="SANDEEP DOUBLEPALAM"/>
    <x v="981"/>
    <x v="3"/>
    <n v="97772"/>
    <n v="3.8912294522752679E-5"/>
    <n v="155"/>
    <x v="2"/>
    <n v="1013"/>
  </r>
  <r>
    <s v="BALI , ALAPPUZHA"/>
    <x v="982"/>
    <x v="3"/>
    <n v="97780"/>
    <n v="3.8772573537033635E-5"/>
    <n v="180"/>
    <x v="2"/>
    <n v="1014"/>
  </r>
  <r>
    <s v="KUNJU KURUMBAN"/>
    <x v="983"/>
    <x v="3"/>
    <n v="97795"/>
    <n v="3.8510596688810438E-5"/>
    <n v="13"/>
    <x v="0"/>
    <n v="1015"/>
  </r>
  <r>
    <s v="KAREEM ACE"/>
    <x v="984"/>
    <x v="3"/>
    <n v="97800"/>
    <n v="3.8423271072736036E-5"/>
    <n v="29"/>
    <x v="0"/>
    <n v="1016"/>
  </r>
  <r>
    <s v="MOHANAN VALAMBOOR"/>
    <x v="984"/>
    <x v="3"/>
    <n v="97800"/>
    <n v="3.8423271072736036E-5"/>
    <n v="299"/>
    <x v="2"/>
    <n v="1016"/>
  </r>
  <r>
    <s v="ELDHO THATTAMUGAL"/>
    <x v="985"/>
    <x v="3"/>
    <n v="97810"/>
    <n v="3.824861984058724E-5"/>
    <n v="141"/>
    <x v="2"/>
    <n v="1018"/>
  </r>
  <r>
    <s v="MUBEENA"/>
    <x v="986"/>
    <x v="3"/>
    <n v="97826"/>
    <n v="3.796917786914916E-5"/>
    <n v="143"/>
    <x v="2"/>
    <n v="1019"/>
  </r>
  <r>
    <s v="Bakker Mundekudy"/>
    <x v="987"/>
    <x v="3"/>
    <n v="97840"/>
    <n v="3.7724666144140839E-5"/>
    <n v="248"/>
    <x v="2"/>
    <n v="1020"/>
  </r>
  <r>
    <s v="SUBEESH PALAKUZHA"/>
    <x v="987"/>
    <x v="3"/>
    <n v="97840"/>
    <n v="3.7724666144140839E-5"/>
    <n v="285"/>
    <x v="2"/>
    <n v="1020"/>
  </r>
  <r>
    <s v="MANOJ POYYAKUNNAM"/>
    <x v="988"/>
    <x v="3"/>
    <n v="97842"/>
    <n v="3.7689735897711079E-5"/>
    <n v="173"/>
    <x v="2"/>
    <n v="1022"/>
  </r>
  <r>
    <s v="JINTO AKKAMPARA"/>
    <x v="989"/>
    <x v="3"/>
    <n v="97863"/>
    <n v="3.7322968310198597E-5"/>
    <n v="94"/>
    <x v="1"/>
    <n v="1023"/>
  </r>
  <r>
    <s v="MADATHIKUDY PATHROSE JACOB"/>
    <x v="990"/>
    <x v="3"/>
    <n v="97875"/>
    <n v="3.7113386831620035E-5"/>
    <n v="207"/>
    <x v="2"/>
    <n v="1024"/>
  </r>
  <r>
    <s v="YACOB , PATTIMATTOM"/>
    <x v="991"/>
    <x v="3"/>
    <n v="97880"/>
    <n v="3.7026061215545634E-5"/>
    <n v="254"/>
    <x v="2"/>
    <n v="1025"/>
  </r>
  <r>
    <s v="ELDHO VARIAMPURAM"/>
    <x v="992"/>
    <x v="3"/>
    <n v="97900"/>
    <n v="3.6676758751248035E-5"/>
    <n v="193"/>
    <x v="2"/>
    <n v="1026"/>
  </r>
  <r>
    <s v="SOMAN PILLA"/>
    <x v="993"/>
    <x v="3"/>
    <n v="97915"/>
    <n v="3.6414781903024838E-5"/>
    <n v="227"/>
    <x v="2"/>
    <n v="1027"/>
  </r>
  <r>
    <s v="ANTONY KILIKULAM"/>
    <x v="994"/>
    <x v="3"/>
    <n v="97920"/>
    <n v="3.6327456286950436E-5"/>
    <n v="114"/>
    <x v="1"/>
    <n v="1028"/>
  </r>
  <r>
    <s v="NAUSHAD PATTIMATTOM"/>
    <x v="995"/>
    <x v="3"/>
    <n v="97935"/>
    <n v="3.6065479438727239E-5"/>
    <n v="36"/>
    <x v="0"/>
    <n v="1029"/>
  </r>
  <r>
    <s v="M K CHACKO"/>
    <x v="996"/>
    <x v="3"/>
    <n v="97940"/>
    <n v="3.5978153822652837E-5"/>
    <n v="129"/>
    <x v="2"/>
    <n v="1030"/>
  </r>
  <r>
    <s v="SAJU , THENGANAL"/>
    <x v="997"/>
    <x v="3"/>
    <n v="97945"/>
    <n v="3.5890828206578436E-5"/>
    <n v="65"/>
    <x v="1"/>
    <n v="1031"/>
  </r>
  <r>
    <s v="JIMMY, CHUNAMGAMVELY"/>
    <x v="998"/>
    <x v="3"/>
    <n v="97975"/>
    <n v="3.5366874510132034E-5"/>
    <n v="321"/>
    <x v="2"/>
    <n v="1032"/>
  </r>
  <r>
    <s v="FAIZAL KUMMANODE"/>
    <x v="999"/>
    <x v="3"/>
    <n v="97980"/>
    <n v="3.5279548894057633E-5"/>
    <n v="78"/>
    <x v="1"/>
    <n v="1033"/>
  </r>
  <r>
    <s v="JABBAR THOTTUNGAL"/>
    <x v="1000"/>
    <x v="3"/>
    <n v="98000"/>
    <n v="3.4930246429760034E-5"/>
    <n v="19"/>
    <x v="0"/>
    <n v="1034"/>
  </r>
  <r>
    <s v="YADHU KRISHNA"/>
    <x v="1001"/>
    <x v="3"/>
    <n v="98003"/>
    <n v="3.4877851060115391E-5"/>
    <n v="18"/>
    <x v="0"/>
    <n v="1035"/>
  </r>
  <r>
    <s v="FRANCIS DAYARAPADY"/>
    <x v="1002"/>
    <x v="3"/>
    <n v="98020"/>
    <n v="3.4580943965462435E-5"/>
    <n v="141"/>
    <x v="2"/>
    <n v="1036"/>
  </r>
  <r>
    <s v="PRINCE STEEL FABRICATION"/>
    <x v="1003"/>
    <x v="3"/>
    <n v="98034"/>
    <n v="3.4336432240454113E-5"/>
    <n v="205"/>
    <x v="2"/>
    <n v="1037"/>
  </r>
  <r>
    <s v="NIRMAL PATTIMATTOM"/>
    <x v="1004"/>
    <x v="3"/>
    <n v="98043"/>
    <n v="3.4179246131520194E-5"/>
    <n v="25"/>
    <x v="0"/>
    <n v="1038"/>
  </r>
  <r>
    <s v="LINK MANAGEMENT SOLUTIONS PVT.LTD."/>
    <x v="1005"/>
    <x v="3"/>
    <n v="98053"/>
    <n v="3.4004594899371391E-5"/>
    <n v="331"/>
    <x v="2"/>
    <n v="1039"/>
  </r>
  <r>
    <s v="KANNAN CHENGARA"/>
    <x v="1006"/>
    <x v="3"/>
    <n v="98080"/>
    <n v="3.3533036572569631E-5"/>
    <n v="299"/>
    <x v="2"/>
    <n v="1040"/>
  </r>
  <r>
    <s v="R.SAJIKUMAR"/>
    <x v="1006"/>
    <x v="3"/>
    <n v="98080"/>
    <n v="3.3533036572569631E-5"/>
    <n v="38"/>
    <x v="0"/>
    <n v="1040"/>
  </r>
  <r>
    <s v="BAVA  THOTTUNGAL"/>
    <x v="1007"/>
    <x v="3"/>
    <n v="98100"/>
    <n v="3.3183734108272032E-5"/>
    <n v="44"/>
    <x v="0"/>
    <n v="1042"/>
  </r>
  <r>
    <s v="BIJU MECHANIC"/>
    <x v="1008"/>
    <x v="3"/>
    <n v="98104"/>
    <n v="3.3113873615412514E-5"/>
    <n v="25"/>
    <x v="0"/>
    <n v="1043"/>
  </r>
  <r>
    <s v="BIJO ,KURIAN"/>
    <x v="1009"/>
    <x v="3"/>
    <n v="98117"/>
    <n v="3.2886827013619076E-5"/>
    <n v="142"/>
    <x v="2"/>
    <n v="1044"/>
  </r>
  <r>
    <s v="UMMER CHENGARA"/>
    <x v="1010"/>
    <x v="3"/>
    <n v="98138"/>
    <n v="3.2520059426106594E-5"/>
    <n v="202"/>
    <x v="2"/>
    <n v="1045"/>
  </r>
  <r>
    <s v="RAJESH NAIR CHENGARA"/>
    <x v="1011"/>
    <x v="3"/>
    <n v="98140"/>
    <n v="3.2485129179676835E-5"/>
    <n v="85"/>
    <x v="1"/>
    <n v="1046"/>
  </r>
  <r>
    <s v="SAJU E.N"/>
    <x v="1012"/>
    <x v="3"/>
    <n v="98150"/>
    <n v="3.2310477947528032E-5"/>
    <n v="295"/>
    <x v="2"/>
    <n v="1047"/>
  </r>
  <r>
    <s v="SANDEEP NJARALLOOR"/>
    <x v="1012"/>
    <x v="3"/>
    <n v="98150"/>
    <n v="3.2310477947528032E-5"/>
    <n v="178"/>
    <x v="2"/>
    <n v="1047"/>
  </r>
  <r>
    <s v="SINDHU NJARALLOOR"/>
    <x v="1013"/>
    <x v="3"/>
    <n v="98158"/>
    <n v="3.2170756961808995E-5"/>
    <n v="311"/>
    <x v="2"/>
    <n v="1049"/>
  </r>
  <r>
    <s v="GEORGE NJATTUMKALA"/>
    <x v="1014"/>
    <x v="3"/>
    <n v="98160"/>
    <n v="3.2135826715379229E-5"/>
    <n v="202"/>
    <x v="2"/>
    <n v="1050"/>
  </r>
  <r>
    <s v="KUKKU , KUMMANODU"/>
    <x v="1015"/>
    <x v="3"/>
    <n v="98164"/>
    <n v="3.206596622251971E-5"/>
    <n v="13"/>
    <x v="0"/>
    <n v="1051"/>
  </r>
  <r>
    <s v="SURESH MAZVANOOR"/>
    <x v="1016"/>
    <x v="3"/>
    <n v="98167"/>
    <n v="3.2013570852875075E-5"/>
    <n v="43"/>
    <x v="0"/>
    <n v="1052"/>
  </r>
  <r>
    <s v="ANIL KILIKULAM"/>
    <x v="1017"/>
    <x v="3"/>
    <n v="98200"/>
    <n v="3.1437221786784031E-5"/>
    <n v="242"/>
    <x v="2"/>
    <n v="1053"/>
  </r>
  <r>
    <s v="JOHNY PASSENGER"/>
    <x v="1017"/>
    <x v="3"/>
    <n v="98200"/>
    <n v="3.1437221786784031E-5"/>
    <n v="303"/>
    <x v="2"/>
    <n v="1053"/>
  </r>
  <r>
    <s v="KM ASSI"/>
    <x v="1018"/>
    <x v="3"/>
    <n v="98212"/>
    <n v="3.1227640308205469E-5"/>
    <n v="3"/>
    <x v="0"/>
    <n v="1055"/>
  </r>
  <r>
    <s v="SAJI PASSENGER"/>
    <x v="1019"/>
    <x v="3"/>
    <n v="98218"/>
    <n v="3.1122849568916191E-5"/>
    <n v="311"/>
    <x v="2"/>
    <n v="1056"/>
  </r>
  <r>
    <s v="ROYAL GEORGE KILIKULAM"/>
    <x v="1020"/>
    <x v="3"/>
    <n v="98229"/>
    <n v="3.0930733213552512E-5"/>
    <n v="24"/>
    <x v="0"/>
    <n v="1057"/>
  </r>
  <r>
    <s v="RATHEESH RAMAKRISHNAN"/>
    <x v="1021"/>
    <x v="3"/>
    <n v="98250"/>
    <n v="3.056396562604003E-5"/>
    <n v="150"/>
    <x v="2"/>
    <n v="1058"/>
  </r>
  <r>
    <s v="MADHU NJARALLOOR"/>
    <x v="1022"/>
    <x v="3"/>
    <n v="98254"/>
    <n v="3.0494105133180512E-5"/>
    <n v="143"/>
    <x v="2"/>
    <n v="1059"/>
  </r>
  <r>
    <s v="THOMSON KZHM"/>
    <x v="1023"/>
    <x v="3"/>
    <n v="98263"/>
    <n v="3.0336919024246589E-5"/>
    <n v="174"/>
    <x v="2"/>
    <n v="1060"/>
  </r>
  <r>
    <s v="AZIZ APE"/>
    <x v="1024"/>
    <x v="3"/>
    <n v="98280"/>
    <n v="3.0040011929593629E-5"/>
    <n v="109"/>
    <x v="1"/>
    <n v="1061"/>
  </r>
  <r>
    <s v="ANSARI KUMMANODE"/>
    <x v="1025"/>
    <x v="3"/>
    <n v="98288"/>
    <n v="2.9900290943874588E-5"/>
    <n v="2"/>
    <x v="0"/>
    <n v="1062"/>
  </r>
  <r>
    <s v="BAIJU C PAUL"/>
    <x v="1026"/>
    <x v="3"/>
    <n v="98298"/>
    <n v="2.9725639711725789E-5"/>
    <n v="190"/>
    <x v="2"/>
    <n v="1063"/>
  </r>
  <r>
    <s v="RATHEESH ,MAZHUVANNOOR"/>
    <x v="1027"/>
    <x v="3"/>
    <n v="98300"/>
    <n v="2.969070946529603E-5"/>
    <n v="323"/>
    <x v="2"/>
    <n v="1064"/>
  </r>
  <r>
    <s v="RENJITH DYFI"/>
    <x v="1027"/>
    <x v="3"/>
    <n v="98300"/>
    <n v="2.969070946529603E-5"/>
    <n v="90"/>
    <x v="1"/>
    <n v="1064"/>
  </r>
  <r>
    <s v="DIJU (DEEPA HARDWARES)"/>
    <x v="1028"/>
    <x v="3"/>
    <n v="98301"/>
    <n v="2.967324434208115E-5"/>
    <n v="303"/>
    <x v="2"/>
    <n v="1066"/>
  </r>
  <r>
    <s v="NAVAS CHENGARA"/>
    <x v="1029"/>
    <x v="3"/>
    <n v="98323"/>
    <n v="2.9289011631353789E-5"/>
    <n v="244"/>
    <x v="2"/>
    <n v="1067"/>
  </r>
  <r>
    <s v="RAJESH KADAYIRUPPU"/>
    <x v="1030"/>
    <x v="3"/>
    <n v="98393"/>
    <n v="2.8066453006312189E-5"/>
    <n v="176"/>
    <x v="2"/>
    <n v="1068"/>
  </r>
  <r>
    <s v="JAMAL PASSENGER"/>
    <x v="1031"/>
    <x v="3"/>
    <n v="98400"/>
    <n v="2.7944197143808028E-5"/>
    <n v="16"/>
    <x v="0"/>
    <n v="1069"/>
  </r>
  <r>
    <s v="EBRAHIM DOUBLEPALAM"/>
    <x v="1031"/>
    <x v="3"/>
    <n v="98400"/>
    <n v="2.7944197143808028E-5"/>
    <n v="285"/>
    <x v="2"/>
    <n v="1069"/>
  </r>
  <r>
    <s v="MERLY JOSEPH"/>
    <x v="1031"/>
    <x v="3"/>
    <n v="98400"/>
    <n v="2.7944197143808028E-5"/>
    <n v="20"/>
    <x v="0"/>
    <n v="1069"/>
  </r>
  <r>
    <s v="SHAMEER , K.KUMMANODU"/>
    <x v="1031"/>
    <x v="3"/>
    <n v="98400"/>
    <n v="2.7944197143808028E-5"/>
    <n v="20"/>
    <x v="0"/>
    <n v="1069"/>
  </r>
  <r>
    <s v="SHAJI , VALAMBOOR"/>
    <x v="1032"/>
    <x v="3"/>
    <n v="98407"/>
    <n v="2.7821941281303868E-5"/>
    <n v="188"/>
    <x v="2"/>
    <n v="1073"/>
  </r>
  <r>
    <s v="SHAJIL ALLAPPARA"/>
    <x v="1033"/>
    <x v="3"/>
    <n v="98410"/>
    <n v="2.7769545911659229E-5"/>
    <n v="194"/>
    <x v="2"/>
    <n v="1074"/>
  </r>
  <r>
    <s v="SUNRISE BLOCKS &amp; PAVERS"/>
    <x v="1034"/>
    <x v="3"/>
    <n v="98420"/>
    <n v="2.7594894679510426E-5"/>
    <n v="283"/>
    <x v="2"/>
    <n v="1075"/>
  </r>
  <r>
    <s v="AKKAMPARA ANGANVADY"/>
    <x v="1035"/>
    <x v="3"/>
    <n v="98422"/>
    <n v="2.7559964433080667E-5"/>
    <n v="289"/>
    <x v="2"/>
    <n v="1076"/>
  </r>
  <r>
    <s v="JOY , THATTAMUGAL"/>
    <x v="1035"/>
    <x v="3"/>
    <n v="98422"/>
    <n v="2.7559964433080667E-5"/>
    <n v="117"/>
    <x v="1"/>
    <n v="1076"/>
  </r>
  <r>
    <s v="SARATH CHENGARA"/>
    <x v="1036"/>
    <x v="3"/>
    <n v="98425"/>
    <n v="2.7507569063436028E-5"/>
    <n v="102"/>
    <x v="1"/>
    <n v="1078"/>
  </r>
  <r>
    <s v="MADHU VALAMBOOR"/>
    <x v="1037"/>
    <x v="3"/>
    <n v="98427"/>
    <n v="2.7472638817006269E-5"/>
    <n v="209"/>
    <x v="2"/>
    <n v="1079"/>
  </r>
  <r>
    <s v="ABU KUMMANODE"/>
    <x v="1038"/>
    <x v="3"/>
    <n v="98432"/>
    <n v="2.7385313200931867E-5"/>
    <n v="82"/>
    <x v="1"/>
    <n v="1080"/>
  </r>
  <r>
    <s v="ANIL ASHARIKUDY"/>
    <x v="1039"/>
    <x v="3"/>
    <n v="98440"/>
    <n v="2.7245592215212827E-5"/>
    <n v="38"/>
    <x v="0"/>
    <n v="1081"/>
  </r>
  <r>
    <s v="Aji , Pottakkan"/>
    <x v="1040"/>
    <x v="3"/>
    <n v="98450"/>
    <n v="2.7070940983064028E-5"/>
    <n v="67"/>
    <x v="1"/>
    <n v="1082"/>
  </r>
  <r>
    <s v="SHAJI WORKSHOP"/>
    <x v="1041"/>
    <x v="3"/>
    <n v="98453"/>
    <n v="2.7018545613419385E-5"/>
    <n v="219"/>
    <x v="2"/>
    <n v="1083"/>
  </r>
  <r>
    <s v="DHANOOP VALAMBOOR"/>
    <x v="1042"/>
    <x v="3"/>
    <n v="98460"/>
    <n v="2.6896289750915228E-5"/>
    <n v="311"/>
    <x v="2"/>
    <n v="1084"/>
  </r>
  <r>
    <s v="SAJI PADINJAREKUDY"/>
    <x v="1042"/>
    <x v="3"/>
    <n v="98460"/>
    <n v="2.6896289750915228E-5"/>
    <n v="333"/>
    <x v="2"/>
    <n v="1084"/>
  </r>
  <r>
    <s v="VINU PATTIMATTOM"/>
    <x v="1043"/>
    <x v="3"/>
    <n v="98462"/>
    <n v="2.6861359504485466E-5"/>
    <n v="159"/>
    <x v="2"/>
    <n v="1086"/>
  </r>
  <r>
    <s v="VIBIN CHENGARA"/>
    <x v="1044"/>
    <x v="3"/>
    <n v="98464"/>
    <n v="2.6826429258055706E-5"/>
    <n v="216"/>
    <x v="2"/>
    <n v="1087"/>
  </r>
  <r>
    <s v="MANOJ KADAYIRUPPU"/>
    <x v="1045"/>
    <x v="3"/>
    <n v="98465"/>
    <n v="2.6808964134840827E-5"/>
    <n v="194"/>
    <x v="2"/>
    <n v="1088"/>
  </r>
  <r>
    <s v="JOY KUMMANODE"/>
    <x v="1046"/>
    <x v="3"/>
    <n v="98479"/>
    <n v="2.6564452409832505E-5"/>
    <n v="6"/>
    <x v="0"/>
    <n v="1089"/>
  </r>
  <r>
    <s v="JOBY DOUBLE PALM"/>
    <x v="1047"/>
    <x v="3"/>
    <n v="98484"/>
    <n v="2.6477126793758107E-5"/>
    <n v="219"/>
    <x v="2"/>
    <n v="1090"/>
  </r>
  <r>
    <s v="SHAMEER C.P"/>
    <x v="1048"/>
    <x v="3"/>
    <n v="98505"/>
    <n v="2.6110359206245626E-5"/>
    <n v="44"/>
    <x v="0"/>
    <n v="1091"/>
  </r>
  <r>
    <s v="AJMAL , PATTIMATTAM"/>
    <x v="1049"/>
    <x v="3"/>
    <n v="98514"/>
    <n v="2.5953173097311706E-5"/>
    <n v="218"/>
    <x v="2"/>
    <n v="1092"/>
  </r>
  <r>
    <s v="CHOTTU BHAI"/>
    <x v="1049"/>
    <x v="3"/>
    <n v="98514"/>
    <n v="2.5953173097311706E-5"/>
    <n v="36"/>
    <x v="0"/>
    <n v="1092"/>
  </r>
  <r>
    <s v="AJAMAL , CHOORAKKODU"/>
    <x v="1050"/>
    <x v="3"/>
    <n v="98520"/>
    <n v="2.5848382358022425E-5"/>
    <n v="236"/>
    <x v="2"/>
    <n v="1094"/>
  </r>
  <r>
    <s v="SATHAR , KUMMANODU"/>
    <x v="1050"/>
    <x v="3"/>
    <n v="98520"/>
    <n v="2.5848382358022425E-5"/>
    <n v="232"/>
    <x v="2"/>
    <n v="1094"/>
  </r>
  <r>
    <s v="SHIJO ,AKKAMBARA"/>
    <x v="1050"/>
    <x v="3"/>
    <n v="98520"/>
    <n v="2.5848382358022425E-5"/>
    <n v="248"/>
    <x v="2"/>
    <n v="1094"/>
  </r>
  <r>
    <s v="SELBIN AKKAMPARA"/>
    <x v="1051"/>
    <x v="3"/>
    <n v="98522"/>
    <n v="2.5813452111592665E-5"/>
    <n v="241"/>
    <x v="2"/>
    <n v="1097"/>
  </r>
  <r>
    <s v="SUNNY GEORGE"/>
    <x v="1052"/>
    <x v="3"/>
    <n v="98524"/>
    <n v="2.5778521865162906E-5"/>
    <n v="323"/>
    <x v="2"/>
    <n v="1098"/>
  </r>
  <r>
    <s v="SATHYAN , PAZHAMTHOTTAM"/>
    <x v="1053"/>
    <x v="3"/>
    <n v="98535"/>
    <n v="2.5586405509799224E-5"/>
    <n v="134"/>
    <x v="2"/>
    <n v="1099"/>
  </r>
  <r>
    <s v="ADS N ART"/>
    <x v="1054"/>
    <x v="3"/>
    <n v="98548"/>
    <n v="2.5359358908005785E-5"/>
    <n v="60"/>
    <x v="0"/>
    <n v="1100"/>
  </r>
  <r>
    <s v="VISHNU VENNIPARAMBIL"/>
    <x v="1055"/>
    <x v="3"/>
    <n v="98549"/>
    <n v="2.5341893784790906E-5"/>
    <n v="73"/>
    <x v="1"/>
    <n v="1101"/>
  </r>
  <r>
    <s v="SHYJU VALAMBOOR"/>
    <x v="1056"/>
    <x v="3"/>
    <n v="98550"/>
    <n v="2.5324428661576026E-5"/>
    <n v="68"/>
    <x v="1"/>
    <n v="1102"/>
  </r>
  <r>
    <s v="PEBBLE OF TRADING"/>
    <x v="1057"/>
    <x v="3"/>
    <n v="98560"/>
    <n v="2.5149777429427223E-5"/>
    <n v="267"/>
    <x v="2"/>
    <n v="1103"/>
  </r>
  <r>
    <s v="COSE VARGHESE"/>
    <x v="1058"/>
    <x v="3"/>
    <n v="98562"/>
    <n v="2.5114847182997464E-5"/>
    <n v="229"/>
    <x v="2"/>
    <n v="1104"/>
  </r>
  <r>
    <s v="INDWARE HARDWARE STEEL"/>
    <x v="1059"/>
    <x v="3"/>
    <n v="98564"/>
    <n v="2.5079916936567705E-5"/>
    <n v="110"/>
    <x v="1"/>
    <n v="1105"/>
  </r>
  <r>
    <s v="MILLY JACOB"/>
    <x v="1060"/>
    <x v="3"/>
    <n v="98580"/>
    <n v="2.4800474965129625E-5"/>
    <n v="102"/>
    <x v="1"/>
    <n v="1106"/>
  </r>
  <r>
    <s v="ABDULKHADER THANDAKALA"/>
    <x v="1061"/>
    <x v="3"/>
    <n v="98589"/>
    <n v="2.4643288856195705E-5"/>
    <n v="32"/>
    <x v="0"/>
    <n v="1107"/>
  </r>
  <r>
    <s v="SANDEEP KUMMANODE"/>
    <x v="1062"/>
    <x v="3"/>
    <n v="98598"/>
    <n v="2.4486102747261785E-5"/>
    <n v="247"/>
    <x v="2"/>
    <n v="1108"/>
  </r>
  <r>
    <s v="JIBU K.P"/>
    <x v="1063"/>
    <x v="3"/>
    <n v="98600"/>
    <n v="2.4451172500832026E-5"/>
    <n v="149"/>
    <x v="2"/>
    <n v="1109"/>
  </r>
  <r>
    <s v="SIJU KOLANKUDY"/>
    <x v="1063"/>
    <x v="3"/>
    <n v="98600"/>
    <n v="2.4451172500832026E-5"/>
    <n v="320"/>
    <x v="2"/>
    <n v="1109"/>
  </r>
  <r>
    <s v="SAKEER PATTIMATTOM"/>
    <x v="1064"/>
    <x v="3"/>
    <n v="98604"/>
    <n v="2.4381312007972504E-5"/>
    <n v="122"/>
    <x v="2"/>
    <n v="1111"/>
  </r>
  <r>
    <s v="RAKESH KAITHAKKAD"/>
    <x v="1065"/>
    <x v="3"/>
    <n v="98610"/>
    <n v="2.4276521268683223E-5"/>
    <n v="64"/>
    <x v="1"/>
    <n v="1112"/>
  </r>
  <r>
    <s v="AMBUJAN"/>
    <x v="1066"/>
    <x v="3"/>
    <n v="98640"/>
    <n v="2.3752567572236824E-5"/>
    <n v="145"/>
    <x v="2"/>
    <n v="1113"/>
  </r>
  <r>
    <s v="ELDHO KOKKAT, KUMMANODE"/>
    <x v="1067"/>
    <x v="3"/>
    <n v="98643"/>
    <n v="2.3700172202592182E-5"/>
    <n v="275"/>
    <x v="2"/>
    <n v="1114"/>
  </r>
  <r>
    <s v="JINS PATTIMATTOM"/>
    <x v="1068"/>
    <x v="3"/>
    <n v="98650"/>
    <n v="2.3577916340088025E-5"/>
    <n v="48"/>
    <x v="0"/>
    <n v="1115"/>
  </r>
  <r>
    <s v="ANIL TRUSS  MANGALATHUNADA"/>
    <x v="1069"/>
    <x v="3"/>
    <n v="98666"/>
    <n v="2.3298474368649944E-5"/>
    <n v="72"/>
    <x v="1"/>
    <n v="1116"/>
  </r>
  <r>
    <s v="SHINU HANDRAIL (ROYALENGINEERING)"/>
    <x v="1070"/>
    <x v="3"/>
    <n v="98673"/>
    <n v="2.3176218506145784E-5"/>
    <n v="57"/>
    <x v="0"/>
    <n v="1117"/>
  </r>
  <r>
    <s v="VARGHESE MANGALATHUNADA"/>
    <x v="1071"/>
    <x v="3"/>
    <n v="98674"/>
    <n v="2.3158753382930904E-5"/>
    <n v="178"/>
    <x v="2"/>
    <n v="1118"/>
  </r>
  <r>
    <s v="KUTTAI NAVAS PATTIMATTOM"/>
    <x v="1072"/>
    <x v="3"/>
    <n v="98695"/>
    <n v="2.2791985795418422E-5"/>
    <n v="117"/>
    <x v="1"/>
    <n v="1119"/>
  </r>
  <r>
    <s v="ALIYAR BISMI"/>
    <x v="1073"/>
    <x v="3"/>
    <n v="98700"/>
    <n v="2.2704660179344021E-5"/>
    <n v="255"/>
    <x v="2"/>
    <n v="1120"/>
  </r>
  <r>
    <s v="UMA SANKAR"/>
    <x v="1074"/>
    <x v="3"/>
    <n v="98705"/>
    <n v="2.2617334563269623E-5"/>
    <n v="123"/>
    <x v="2"/>
    <n v="1121"/>
  </r>
  <r>
    <s v="U K ENGINEERING AND POWDER COATING"/>
    <x v="1075"/>
    <x v="3"/>
    <n v="98707"/>
    <n v="2.2582404316839864E-5"/>
    <n v="319"/>
    <x v="2"/>
    <n v="1122"/>
  </r>
  <r>
    <s v="ANEESH"/>
    <x v="1076"/>
    <x v="3"/>
    <n v="98717"/>
    <n v="2.2407753084691061E-5"/>
    <n v="58"/>
    <x v="0"/>
    <n v="1123"/>
  </r>
  <r>
    <s v="PRAISE MATHEWS"/>
    <x v="1077"/>
    <x v="3"/>
    <n v="98720"/>
    <n v="2.2355357715046422E-5"/>
    <n v="6"/>
    <x v="0"/>
    <n v="1124"/>
  </r>
  <r>
    <s v="GEORGE PATTIMATTOM"/>
    <x v="1078"/>
    <x v="3"/>
    <n v="98736"/>
    <n v="2.2075915743608341E-5"/>
    <n v="241"/>
    <x v="2"/>
    <n v="1125"/>
  </r>
  <r>
    <s v="AJMAL.P.P"/>
    <x v="1079"/>
    <x v="3"/>
    <n v="98746"/>
    <n v="2.1901264511459542E-5"/>
    <n v="136"/>
    <x v="2"/>
    <n v="1126"/>
  </r>
  <r>
    <s v="DINIL VALMBOOR"/>
    <x v="1080"/>
    <x v="3"/>
    <n v="98750"/>
    <n v="2.183140401860002E-5"/>
    <n v="332"/>
    <x v="2"/>
    <n v="1127"/>
  </r>
  <r>
    <s v="JOE ANTONY"/>
    <x v="1081"/>
    <x v="3"/>
    <n v="98760"/>
    <n v="2.1656752786451221E-5"/>
    <n v="83"/>
    <x v="1"/>
    <n v="1128"/>
  </r>
  <r>
    <s v="MATHEW"/>
    <x v="1081"/>
    <x v="3"/>
    <n v="98760"/>
    <n v="2.1656752786451221E-5"/>
    <n v="325"/>
    <x v="2"/>
    <n v="1128"/>
  </r>
  <r>
    <s v="ARUN KUMMANODE"/>
    <x v="1082"/>
    <x v="3"/>
    <n v="98773"/>
    <n v="2.1429706184657782E-5"/>
    <n v="185"/>
    <x v="2"/>
    <n v="1130"/>
  </r>
  <r>
    <s v="MUJEEB , PATTIMATTOM"/>
    <x v="1083"/>
    <x v="3"/>
    <n v="98776"/>
    <n v="2.137731081501314E-5"/>
    <n v="296"/>
    <x v="2"/>
    <n v="1131"/>
  </r>
  <r>
    <s v="SHIHAB, PATTIMATTOM"/>
    <x v="1084"/>
    <x v="3"/>
    <n v="98789"/>
    <n v="2.1150264213219702E-5"/>
    <n v="261"/>
    <x v="2"/>
    <n v="1132"/>
  </r>
  <r>
    <s v="RATHEESH ERAPPUMPARA"/>
    <x v="1085"/>
    <x v="3"/>
    <n v="98800"/>
    <n v="2.095814785785602E-5"/>
    <n v="141"/>
    <x v="2"/>
    <n v="1133"/>
  </r>
  <r>
    <s v="SAJI , MORAKKALA"/>
    <x v="1085"/>
    <x v="3"/>
    <n v="98800"/>
    <n v="2.095814785785602E-5"/>
    <n v="39"/>
    <x v="0"/>
    <n v="1133"/>
  </r>
  <r>
    <s v="RIYAS, PATTIMATTOM"/>
    <x v="1086"/>
    <x v="3"/>
    <n v="98806"/>
    <n v="2.0853357118566742E-5"/>
    <n v="156"/>
    <x v="2"/>
    <n v="1135"/>
  </r>
  <r>
    <s v="ANEESH KIZHAKKAMBALAM"/>
    <x v="1087"/>
    <x v="3"/>
    <n v="98816"/>
    <n v="2.0678705886417939E-5"/>
    <n v="22"/>
    <x v="0"/>
    <n v="1136"/>
  </r>
  <r>
    <s v="SIVAN"/>
    <x v="1088"/>
    <x v="3"/>
    <n v="98838"/>
    <n v="2.0294473175690581E-5"/>
    <n v="125"/>
    <x v="2"/>
    <n v="1137"/>
  </r>
  <r>
    <s v="VINEETH"/>
    <x v="1089"/>
    <x v="3"/>
    <n v="98839"/>
    <n v="2.0277008052475701E-5"/>
    <n v="67"/>
    <x v="1"/>
    <n v="1138"/>
  </r>
  <r>
    <s v="SASINDRAN NERIYAMPARAMBATH"/>
    <x v="1090"/>
    <x v="3"/>
    <n v="98843"/>
    <n v="2.0207147559616179E-5"/>
    <n v="184"/>
    <x v="2"/>
    <n v="1139"/>
  </r>
  <r>
    <s v="PRAMODH"/>
    <x v="1091"/>
    <x v="3"/>
    <n v="98845"/>
    <n v="2.017221731318642E-5"/>
    <n v="61"/>
    <x v="1"/>
    <n v="1140"/>
  </r>
  <r>
    <s v="ANURAJ"/>
    <x v="1092"/>
    <x v="3"/>
    <n v="98850"/>
    <n v="2.0084891697112019E-5"/>
    <n v="162"/>
    <x v="2"/>
    <n v="1141"/>
  </r>
  <r>
    <s v="SUNEER , CHENGARA"/>
    <x v="1093"/>
    <x v="3"/>
    <n v="98854"/>
    <n v="2.00150312042525E-5"/>
    <n v="327"/>
    <x v="2"/>
    <n v="1142"/>
  </r>
  <r>
    <s v="VIJAYAN ERAPPUMPARA"/>
    <x v="1094"/>
    <x v="3"/>
    <n v="98859"/>
    <n v="1.9927705588178099E-5"/>
    <n v="62"/>
    <x v="1"/>
    <n v="1143"/>
  </r>
  <r>
    <s v="SASI VALAMBOOR"/>
    <x v="1095"/>
    <x v="3"/>
    <n v="98861"/>
    <n v="1.989277534174834E-5"/>
    <n v="157"/>
    <x v="2"/>
    <n v="1144"/>
  </r>
  <r>
    <s v="SAJU PAPPALIL"/>
    <x v="1096"/>
    <x v="3"/>
    <n v="98863"/>
    <n v="1.9857845095318581E-5"/>
    <n v="76"/>
    <x v="1"/>
    <n v="1145"/>
  </r>
  <r>
    <s v="KHADER PASSENGER"/>
    <x v="1097"/>
    <x v="3"/>
    <n v="98870"/>
    <n v="1.973558923281442E-5"/>
    <n v="123"/>
    <x v="2"/>
    <n v="1146"/>
  </r>
  <r>
    <s v="BASIL MARADY"/>
    <x v="1098"/>
    <x v="3"/>
    <n v="98877"/>
    <n v="1.9613333370310259E-5"/>
    <n v="300"/>
    <x v="2"/>
    <n v="1147"/>
  </r>
  <r>
    <s v="ROY MYLATTUMOLAYIL"/>
    <x v="1099"/>
    <x v="3"/>
    <n v="98880"/>
    <n v="1.956093800066562E-5"/>
    <n v="314"/>
    <x v="2"/>
    <n v="1148"/>
  </r>
  <r>
    <s v="ANAS , ANJAMILEPALAM"/>
    <x v="1100"/>
    <x v="3"/>
    <n v="98890"/>
    <n v="1.9386286768516818E-5"/>
    <n v="201"/>
    <x v="2"/>
    <n v="1149"/>
  </r>
  <r>
    <s v="AJAS PATTIMATTOM"/>
    <x v="1100"/>
    <x v="3"/>
    <n v="98890"/>
    <n v="1.9386286768516818E-5"/>
    <n v="169"/>
    <x v="2"/>
    <n v="1149"/>
  </r>
  <r>
    <s v="JOHNSON PATTIMATTOM"/>
    <x v="1100"/>
    <x v="3"/>
    <n v="98890"/>
    <n v="1.9386286768516818E-5"/>
    <n v="284"/>
    <x v="2"/>
    <n v="1149"/>
  </r>
  <r>
    <s v="IBRAHIM UNION"/>
    <x v="1101"/>
    <x v="3"/>
    <n v="98910"/>
    <n v="1.9036984304219219E-5"/>
    <n v="11"/>
    <x v="0"/>
    <n v="1152"/>
  </r>
  <r>
    <s v="ALIF KUMMANODE"/>
    <x v="1102"/>
    <x v="3"/>
    <n v="98920"/>
    <n v="1.8862333072070419E-5"/>
    <n v="230"/>
    <x v="2"/>
    <n v="1153"/>
  </r>
  <r>
    <s v="BIJU ALINCHUVADU"/>
    <x v="1103"/>
    <x v="3"/>
    <n v="98930"/>
    <n v="1.868768183992162E-5"/>
    <n v="305"/>
    <x v="2"/>
    <n v="1154"/>
  </r>
  <r>
    <s v="DRONIMAGINATION"/>
    <x v="1104"/>
    <x v="3"/>
    <n v="98935"/>
    <n v="1.8600356223847218E-5"/>
    <n v="270"/>
    <x v="2"/>
    <n v="1155"/>
  </r>
  <r>
    <s v="SIBU"/>
    <x v="1105"/>
    <x v="3"/>
    <n v="98940"/>
    <n v="1.8513030607772817E-5"/>
    <n v="46"/>
    <x v="0"/>
    <n v="1156"/>
  </r>
  <r>
    <s v="FAIZAL"/>
    <x v="1106"/>
    <x v="3"/>
    <n v="98944"/>
    <n v="1.8443170114913299E-5"/>
    <n v="143"/>
    <x v="2"/>
    <n v="1157"/>
  </r>
  <r>
    <s v="BINU PERUMANI"/>
    <x v="1107"/>
    <x v="3"/>
    <n v="98950"/>
    <n v="1.8338379375624018E-5"/>
    <n v="158"/>
    <x v="2"/>
    <n v="1158"/>
  </r>
  <r>
    <s v="RAJEEVAN PATTIMATTOM"/>
    <x v="1107"/>
    <x v="3"/>
    <n v="98950"/>
    <n v="1.8338379375624018E-5"/>
    <n v="286"/>
    <x v="2"/>
    <n v="1158"/>
  </r>
  <r>
    <s v="JINU , PATTIMATTAM"/>
    <x v="1108"/>
    <x v="3"/>
    <n v="98954"/>
    <n v="1.8268518882764499E-5"/>
    <n v="5"/>
    <x v="0"/>
    <n v="1160"/>
  </r>
  <r>
    <s v="SURESHKUMAR"/>
    <x v="1109"/>
    <x v="3"/>
    <n v="98957"/>
    <n v="1.8216123513119857E-5"/>
    <n v="156"/>
    <x v="2"/>
    <n v="1161"/>
  </r>
  <r>
    <s v="PREJITH KAKKANAD"/>
    <x v="1110"/>
    <x v="3"/>
    <n v="98965"/>
    <n v="1.8076402527400817E-5"/>
    <n v="10"/>
    <x v="0"/>
    <n v="1162"/>
  </r>
  <r>
    <s v="DILLY FURNITURE MART VALAMBOOR"/>
    <x v="1111"/>
    <x v="3"/>
    <n v="98970"/>
    <n v="1.7989076911326419E-5"/>
    <n v="93"/>
    <x v="1"/>
    <n v="1163"/>
  </r>
  <r>
    <s v="JOBY BABY"/>
    <x v="1112"/>
    <x v="3"/>
    <n v="98975"/>
    <n v="1.7901751295252017E-5"/>
    <n v="68"/>
    <x v="1"/>
    <n v="1164"/>
  </r>
  <r>
    <s v="JAYAN KAITHAKKAD"/>
    <x v="1113"/>
    <x v="3"/>
    <n v="98979"/>
    <n v="1.7831890802392499E-5"/>
    <n v="137"/>
    <x v="2"/>
    <n v="1165"/>
  </r>
  <r>
    <s v="LALU , CHENGARA"/>
    <x v="1114"/>
    <x v="3"/>
    <n v="98980"/>
    <n v="1.7814425679177619E-5"/>
    <n v="325"/>
    <x v="2"/>
    <n v="1166"/>
  </r>
  <r>
    <s v="SHAJAN KANINAD"/>
    <x v="1114"/>
    <x v="3"/>
    <n v="98980"/>
    <n v="1.7814425679177619E-5"/>
    <n v="40"/>
    <x v="0"/>
    <n v="1166"/>
  </r>
  <r>
    <s v="SAVADH KAITHAKKAD"/>
    <x v="1114"/>
    <x v="3"/>
    <n v="98980"/>
    <n v="1.7814425679177619E-5"/>
    <n v="114"/>
    <x v="1"/>
    <n v="1166"/>
  </r>
  <r>
    <s v="RAMAKRISNAN VALAMBOOR"/>
    <x v="1115"/>
    <x v="3"/>
    <n v="98989"/>
    <n v="1.7657239570243696E-5"/>
    <n v="244"/>
    <x v="2"/>
    <n v="1169"/>
  </r>
  <r>
    <s v="PAREETH"/>
    <x v="1116"/>
    <x v="3"/>
    <n v="99000"/>
    <n v="1.7465123214880017E-5"/>
    <n v="134"/>
    <x v="2"/>
    <n v="1170"/>
  </r>
  <r>
    <s v="PAUL ALIAS"/>
    <x v="1117"/>
    <x v="3"/>
    <n v="99015"/>
    <n v="1.7203146366656816E-5"/>
    <n v="32"/>
    <x v="0"/>
    <n v="1171"/>
  </r>
  <r>
    <s v="KALLU BHAI CNTR"/>
    <x v="1118"/>
    <x v="3"/>
    <n v="99020"/>
    <n v="1.7115820750582418E-5"/>
    <n v="31"/>
    <x v="0"/>
    <n v="1172"/>
  </r>
  <r>
    <s v="ARUN , VALAMBOOR"/>
    <x v="1119"/>
    <x v="3"/>
    <n v="99040"/>
    <n v="1.6766518286284816E-5"/>
    <n v="241"/>
    <x v="2"/>
    <n v="1173"/>
  </r>
  <r>
    <s v="SIYAR PANAYAPPILLY"/>
    <x v="1119"/>
    <x v="3"/>
    <n v="99040"/>
    <n v="1.6766518286284816E-5"/>
    <n v="121"/>
    <x v="2"/>
    <n v="1173"/>
  </r>
  <r>
    <s v="ABU PAINTER"/>
    <x v="1120"/>
    <x v="3"/>
    <n v="99052"/>
    <n v="1.6556936807706257E-5"/>
    <n v="34"/>
    <x v="0"/>
    <n v="1175"/>
  </r>
  <r>
    <s v="SALIM UNIVERSAL"/>
    <x v="1120"/>
    <x v="3"/>
    <n v="99052"/>
    <n v="1.6556936807706257E-5"/>
    <n v="60"/>
    <x v="0"/>
    <n v="1175"/>
  </r>
  <r>
    <s v="SUNIL , ERAPPUMPARA"/>
    <x v="1121"/>
    <x v="3"/>
    <n v="99060"/>
    <n v="1.6417215821987217E-5"/>
    <n v="143"/>
    <x v="2"/>
    <n v="1177"/>
  </r>
  <r>
    <s v="BIJU ARACKKAPADY"/>
    <x v="1122"/>
    <x v="3"/>
    <n v="99072"/>
    <n v="1.6207634343408655E-5"/>
    <n v="274"/>
    <x v="2"/>
    <n v="1178"/>
  </r>
  <r>
    <s v="SAJU KOCHAKKAN"/>
    <x v="1123"/>
    <x v="3"/>
    <n v="99079"/>
    <n v="1.6085378480904497E-5"/>
    <n v="72"/>
    <x v="1"/>
    <n v="1179"/>
  </r>
  <r>
    <s v="AJIKUMR VALAMBOOR"/>
    <x v="1124"/>
    <x v="3"/>
    <n v="99080"/>
    <n v="1.6067913357689614E-5"/>
    <n v="39"/>
    <x v="0"/>
    <n v="1180"/>
  </r>
  <r>
    <s v="ST. MARYS CHRISTIAN ASSOCIATION"/>
    <x v="1124"/>
    <x v="3"/>
    <n v="99080"/>
    <n v="1.6067913357689614E-5"/>
    <n v="180"/>
    <x v="2"/>
    <n v="1180"/>
  </r>
  <r>
    <s v="DE THREE BUILDERS"/>
    <x v="1125"/>
    <x v="3"/>
    <n v="99083"/>
    <n v="1.6015517988044976E-5"/>
    <n v="272"/>
    <x v="2"/>
    <n v="1182"/>
  </r>
  <r>
    <s v="BIJU MAZHUVANNOOR"/>
    <x v="1126"/>
    <x v="3"/>
    <n v="99084"/>
    <n v="1.5998052864830096E-5"/>
    <n v="279"/>
    <x v="2"/>
    <n v="1183"/>
  </r>
  <r>
    <s v="NAVAS KUZHIPPILLY"/>
    <x v="1127"/>
    <x v="3"/>
    <n v="99086"/>
    <n v="1.5963122618400337E-5"/>
    <n v="160"/>
    <x v="2"/>
    <n v="1184"/>
  </r>
  <r>
    <s v="ANANDU , MAZHUVANNOOR"/>
    <x v="1128"/>
    <x v="3"/>
    <n v="99100"/>
    <n v="1.5718610893392015E-5"/>
    <n v="92"/>
    <x v="1"/>
    <n v="1185"/>
  </r>
  <r>
    <s v="NISHAD PATTIMATTOM"/>
    <x v="1129"/>
    <x v="3"/>
    <n v="99112"/>
    <n v="1.5509029414813457E-5"/>
    <n v="152"/>
    <x v="2"/>
    <n v="1186"/>
  </r>
  <r>
    <s v="VINU MAMBAKKADAN"/>
    <x v="1130"/>
    <x v="3"/>
    <n v="99126"/>
    <n v="1.5264517689805136E-5"/>
    <n v="300"/>
    <x v="2"/>
    <n v="1187"/>
  </r>
  <r>
    <s v="KRED ENERGY LTD"/>
    <x v="1131"/>
    <x v="3"/>
    <n v="99127"/>
    <n v="1.5247052566590256E-5"/>
    <n v="309"/>
    <x v="2"/>
    <n v="1188"/>
  </r>
  <r>
    <s v="VIJAYAN PATTIMATTOM"/>
    <x v="1132"/>
    <x v="3"/>
    <n v="99134"/>
    <n v="1.5124796704086095E-5"/>
    <n v="43"/>
    <x v="0"/>
    <n v="1189"/>
  </r>
  <r>
    <s v="ELDHOSE AIRAPURAM"/>
    <x v="1133"/>
    <x v="3"/>
    <n v="99137"/>
    <n v="1.5072401334441455E-5"/>
    <n v="141"/>
    <x v="2"/>
    <n v="1190"/>
  </r>
  <r>
    <s v="AMAL PANCODE"/>
    <x v="1134"/>
    <x v="3"/>
    <n v="99150"/>
    <n v="1.4845354732648015E-5"/>
    <n v="72"/>
    <x v="1"/>
    <n v="1191"/>
  </r>
  <r>
    <s v="VINU NARAYANAN"/>
    <x v="1134"/>
    <x v="3"/>
    <n v="99150"/>
    <n v="1.4845354732648015E-5"/>
    <n v="293"/>
    <x v="2"/>
    <n v="1191"/>
  </r>
  <r>
    <s v="Siju"/>
    <x v="1135"/>
    <x v="3"/>
    <n v="99161"/>
    <n v="1.4653238377284334E-5"/>
    <n v="93"/>
    <x v="1"/>
    <n v="1193"/>
  </r>
  <r>
    <s v="BIJU DAIVASAHAYAM ACE"/>
    <x v="1136"/>
    <x v="3"/>
    <n v="99171"/>
    <n v="1.4478587145135535E-5"/>
    <n v="100"/>
    <x v="1"/>
    <n v="1194"/>
  </r>
  <r>
    <s v="THAMPI , VALAMBOOR"/>
    <x v="1137"/>
    <x v="3"/>
    <n v="99175"/>
    <n v="1.4408726652276014E-5"/>
    <n v="199"/>
    <x v="2"/>
    <n v="1195"/>
  </r>
  <r>
    <s v="YUNGSTERS"/>
    <x v="1138"/>
    <x v="3"/>
    <n v="99198"/>
    <n v="1.4007028818333773E-5"/>
    <n v="134"/>
    <x v="2"/>
    <n v="1196"/>
  </r>
  <r>
    <s v="JOICE"/>
    <x v="1139"/>
    <x v="3"/>
    <n v="99200"/>
    <n v="1.3972098571904014E-5"/>
    <n v="313"/>
    <x v="2"/>
    <n v="1197"/>
  </r>
  <r>
    <s v="JINEESH KUMMANODE"/>
    <x v="1140"/>
    <x v="3"/>
    <n v="99214"/>
    <n v="1.3727586846895693E-5"/>
    <n v="102"/>
    <x v="1"/>
    <n v="1198"/>
  </r>
  <r>
    <s v="KHADER ATHANI"/>
    <x v="1141"/>
    <x v="3"/>
    <n v="99230"/>
    <n v="1.3448144875457614E-5"/>
    <n v="37"/>
    <x v="0"/>
    <n v="1199"/>
  </r>
  <r>
    <s v="ANIL KUMAR"/>
    <x v="1142"/>
    <x v="3"/>
    <n v="99240"/>
    <n v="1.3273493643308813E-5"/>
    <n v="137"/>
    <x v="2"/>
    <n v="1200"/>
  </r>
  <r>
    <s v="SAM PATTIMATTOM"/>
    <x v="1142"/>
    <x v="3"/>
    <n v="99240"/>
    <n v="1.3273493643308813E-5"/>
    <n v="183"/>
    <x v="2"/>
    <n v="1200"/>
  </r>
  <r>
    <s v="DILEEP , KILIKULAM"/>
    <x v="1143"/>
    <x v="3"/>
    <n v="99255"/>
    <n v="1.3011516795085614E-5"/>
    <n v="130"/>
    <x v="2"/>
    <n v="1202"/>
  </r>
  <r>
    <s v="ARSHAD VALAMBOOR"/>
    <x v="1144"/>
    <x v="3"/>
    <n v="99260"/>
    <n v="1.2924191179011212E-5"/>
    <n v="198"/>
    <x v="2"/>
    <n v="1203"/>
  </r>
  <r>
    <s v="AFZAL , DOUBLEPALM"/>
    <x v="1144"/>
    <x v="3"/>
    <n v="99260"/>
    <n v="1.2924191179011212E-5"/>
    <n v="276"/>
    <x v="2"/>
    <n v="1203"/>
  </r>
  <r>
    <s v="JITHIN PATTIMATTOM"/>
    <x v="1144"/>
    <x v="3"/>
    <n v="99260"/>
    <n v="1.2924191179011212E-5"/>
    <n v="272"/>
    <x v="2"/>
    <n v="1203"/>
  </r>
  <r>
    <s v="Mathai Passenger"/>
    <x v="1144"/>
    <x v="3"/>
    <n v="99260"/>
    <n v="1.2924191179011212E-5"/>
    <n v="192"/>
    <x v="2"/>
    <n v="1203"/>
  </r>
  <r>
    <s v="MOITHEEN DOUBLEPALAM"/>
    <x v="1144"/>
    <x v="3"/>
    <n v="99260"/>
    <n v="1.2924191179011212E-5"/>
    <n v="271"/>
    <x v="2"/>
    <n v="1203"/>
  </r>
  <r>
    <s v="MALAYIDUMTHURUTHU PRATHYASHA BHAVAN"/>
    <x v="1144"/>
    <x v="3"/>
    <n v="99260"/>
    <n v="1.2924191179011212E-5"/>
    <n v="208"/>
    <x v="2"/>
    <n v="1203"/>
  </r>
  <r>
    <s v="RAJAN , DEYARAPADY"/>
    <x v="1144"/>
    <x v="3"/>
    <n v="99260"/>
    <n v="1.2924191179011212E-5"/>
    <n v="180"/>
    <x v="2"/>
    <n v="1203"/>
  </r>
  <r>
    <s v="RASAK PATTIMATTOM"/>
    <x v="1144"/>
    <x v="3"/>
    <n v="99260"/>
    <n v="1.2924191179011212E-5"/>
    <n v="221"/>
    <x v="2"/>
    <n v="1203"/>
  </r>
  <r>
    <s v="SATHEESH VENGACHUVATTIL"/>
    <x v="1144"/>
    <x v="3"/>
    <n v="99260"/>
    <n v="1.2924191179011212E-5"/>
    <n v="241"/>
    <x v="2"/>
    <n v="1203"/>
  </r>
  <r>
    <s v="SLOMO VARGHESE"/>
    <x v="1144"/>
    <x v="3"/>
    <n v="99260"/>
    <n v="1.2924191179011212E-5"/>
    <n v="85"/>
    <x v="1"/>
    <n v="1203"/>
  </r>
  <r>
    <s v="VINOD , CHENGARA"/>
    <x v="1144"/>
    <x v="3"/>
    <n v="99260"/>
    <n v="1.2924191179011212E-5"/>
    <n v="170"/>
    <x v="2"/>
    <n v="1203"/>
  </r>
  <r>
    <s v="JUSTIN"/>
    <x v="1145"/>
    <x v="3"/>
    <n v="99267"/>
    <n v="1.2801935316507053E-5"/>
    <n v="107"/>
    <x v="1"/>
    <n v="1214"/>
  </r>
  <r>
    <s v="AKHIL PUNNORKODE"/>
    <x v="1146"/>
    <x v="3"/>
    <n v="99275"/>
    <n v="1.2662214330788013E-5"/>
    <n v="158"/>
    <x v="2"/>
    <n v="1215"/>
  </r>
  <r>
    <s v="RAMACHANDRAN ARACKAPADY"/>
    <x v="1147"/>
    <x v="3"/>
    <n v="99280"/>
    <n v="1.2574888714713612E-5"/>
    <n v="302"/>
    <x v="2"/>
    <n v="1216"/>
  </r>
  <r>
    <s v="SIGIN"/>
    <x v="1148"/>
    <x v="3"/>
    <n v="99290"/>
    <n v="1.2400237482564812E-5"/>
    <n v="216"/>
    <x v="2"/>
    <n v="1217"/>
  </r>
  <r>
    <s v="AFSAL K M"/>
    <x v="1149"/>
    <x v="3"/>
    <n v="99300"/>
    <n v="1.2225586250416013E-5"/>
    <n v="159"/>
    <x v="2"/>
    <n v="1218"/>
  </r>
  <r>
    <s v="VIVEK"/>
    <x v="1149"/>
    <x v="3"/>
    <n v="99300"/>
    <n v="1.2225586250416013E-5"/>
    <n v="162"/>
    <x v="2"/>
    <n v="1218"/>
  </r>
  <r>
    <s v="NAUFAL KUMMANODE"/>
    <x v="1150"/>
    <x v="3"/>
    <n v="99310"/>
    <n v="1.2050935018267212E-5"/>
    <n v="132"/>
    <x v="2"/>
    <n v="1220"/>
  </r>
  <r>
    <s v="ALI , NARIKKUZHY"/>
    <x v="1151"/>
    <x v="3"/>
    <n v="99314"/>
    <n v="1.1981074525407692E-5"/>
    <n v="16"/>
    <x v="0"/>
    <n v="1221"/>
  </r>
  <r>
    <s v="ALI THANDAKALA"/>
    <x v="1152"/>
    <x v="3"/>
    <n v="99320"/>
    <n v="1.1876283786118412E-5"/>
    <n v="128"/>
    <x v="2"/>
    <n v="1222"/>
  </r>
  <r>
    <s v="SHIHAB ATHANI"/>
    <x v="1152"/>
    <x v="3"/>
    <n v="99320"/>
    <n v="1.1876283786118412E-5"/>
    <n v="332"/>
    <x v="2"/>
    <n v="1222"/>
  </r>
  <r>
    <s v="BINI PATTIMATTOM"/>
    <x v="1153"/>
    <x v="3"/>
    <n v="99334"/>
    <n v="1.1631772061110091E-5"/>
    <n v="285"/>
    <x v="2"/>
    <n v="1224"/>
  </r>
  <r>
    <s v="REHIM TRUSS"/>
    <x v="1154"/>
    <x v="3"/>
    <n v="99356"/>
    <n v="1.1247539350382731E-5"/>
    <n v="311"/>
    <x v="2"/>
    <n v="1225"/>
  </r>
  <r>
    <s v="JINESH KUMMANODE"/>
    <x v="1155"/>
    <x v="3"/>
    <n v="99360"/>
    <n v="1.1177678857523211E-5"/>
    <n v="48"/>
    <x v="0"/>
    <n v="1226"/>
  </r>
  <r>
    <s v="SANAL KUMMANODE"/>
    <x v="1155"/>
    <x v="3"/>
    <n v="99360"/>
    <n v="1.1177678857523211E-5"/>
    <n v="34"/>
    <x v="0"/>
    <n v="1226"/>
  </r>
  <r>
    <s v="SREEJITH PATTIMATTOM"/>
    <x v="1155"/>
    <x v="3"/>
    <n v="99360"/>
    <n v="1.1177678857523211E-5"/>
    <n v="3"/>
    <x v="0"/>
    <n v="1226"/>
  </r>
  <r>
    <s v="SAJAN VALAMBOOR"/>
    <x v="1156"/>
    <x v="3"/>
    <n v="99365"/>
    <n v="1.1090353241448811E-5"/>
    <n v="227"/>
    <x v="2"/>
    <n v="1229"/>
  </r>
  <r>
    <s v="SREEKANTH , ATHANI"/>
    <x v="1157"/>
    <x v="3"/>
    <n v="99370"/>
    <n v="1.1003027625374412E-5"/>
    <n v="8"/>
    <x v="0"/>
    <n v="1230"/>
  </r>
  <r>
    <s v="AJITH VALETHUPADY"/>
    <x v="1158"/>
    <x v="3"/>
    <n v="99380"/>
    <n v="1.082837639322561E-5"/>
    <n v="52"/>
    <x v="0"/>
    <n v="1231"/>
  </r>
  <r>
    <s v="RAJESH, CHENGARA"/>
    <x v="1158"/>
    <x v="3"/>
    <n v="99380"/>
    <n v="1.082837639322561E-5"/>
    <n v="75"/>
    <x v="1"/>
    <n v="1231"/>
  </r>
  <r>
    <s v="BONY KURIAN"/>
    <x v="1159"/>
    <x v="3"/>
    <n v="99394"/>
    <n v="1.0583864668217291E-5"/>
    <n v="267"/>
    <x v="2"/>
    <n v="1233"/>
  </r>
  <r>
    <s v="SIJESH"/>
    <x v="1160"/>
    <x v="3"/>
    <n v="99399"/>
    <n v="1.0496539052142891E-5"/>
    <n v="268"/>
    <x v="2"/>
    <n v="1234"/>
  </r>
  <r>
    <s v="ALBIN TEXAS VILLAS"/>
    <x v="1161"/>
    <x v="3"/>
    <n v="99400"/>
    <n v="1.047907392892801E-5"/>
    <n v="22"/>
    <x v="0"/>
    <n v="1235"/>
  </r>
  <r>
    <s v="PRESS CLUB KOLENCHERY"/>
    <x v="1161"/>
    <x v="3"/>
    <n v="99400"/>
    <n v="1.047907392892801E-5"/>
    <n v="331"/>
    <x v="2"/>
    <n v="1235"/>
  </r>
  <r>
    <s v="EBIN PULINCHODE"/>
    <x v="1162"/>
    <x v="3"/>
    <n v="99409"/>
    <n v="1.032188781999409E-5"/>
    <n v="72"/>
    <x v="1"/>
    <n v="1237"/>
  </r>
  <r>
    <s v="BIJU , 9947703676"/>
    <x v="1163"/>
    <x v="3"/>
    <n v="99410"/>
    <n v="1.030442269677921E-5"/>
    <n v="65"/>
    <x v="1"/>
    <n v="1238"/>
  </r>
  <r>
    <s v="PRATHEESH"/>
    <x v="1163"/>
    <x v="3"/>
    <n v="99410"/>
    <n v="1.030442269677921E-5"/>
    <n v="221"/>
    <x v="2"/>
    <n v="1238"/>
  </r>
  <r>
    <s v="PREMJI THATTAMUGAL"/>
    <x v="1163"/>
    <x v="3"/>
    <n v="99410"/>
    <n v="1.030442269677921E-5"/>
    <n v="129"/>
    <x v="2"/>
    <n v="1238"/>
  </r>
  <r>
    <s v="ELDHO ABRAHAM"/>
    <x v="1164"/>
    <x v="3"/>
    <n v="99412"/>
    <n v="1.0269492450349449E-5"/>
    <n v="271"/>
    <x v="2"/>
    <n v="1241"/>
  </r>
  <r>
    <s v="JINESH , VALAMBOOR"/>
    <x v="1165"/>
    <x v="3"/>
    <n v="99414"/>
    <n v="1.023456220391969E-5"/>
    <n v="46"/>
    <x v="0"/>
    <n v="1242"/>
  </r>
  <r>
    <s v="SIYAD , DAUBLEPALAM"/>
    <x v="1166"/>
    <x v="3"/>
    <n v="99419"/>
    <n v="1.014723658784529E-5"/>
    <n v="114"/>
    <x v="1"/>
    <n v="1243"/>
  </r>
  <r>
    <s v="NELSON MATHEW"/>
    <x v="1167"/>
    <x v="3"/>
    <n v="99428"/>
    <n v="9.9900504789113706E-6"/>
    <n v="150"/>
    <x v="2"/>
    <n v="1244"/>
  </r>
  <r>
    <s v="E.C SOLUTIONS TVM"/>
    <x v="1168"/>
    <x v="3"/>
    <n v="99435"/>
    <n v="9.86779461640721E-6"/>
    <n v="15"/>
    <x v="0"/>
    <n v="1245"/>
  </r>
  <r>
    <s v="ANSAL ARACKKAPADY"/>
    <x v="1169"/>
    <x v="3"/>
    <n v="99438"/>
    <n v="9.8153992467625695E-6"/>
    <n v="4"/>
    <x v="0"/>
    <n v="1246"/>
  </r>
  <r>
    <s v="SIDHQUE BISMI"/>
    <x v="1170"/>
    <x v="3"/>
    <n v="99439"/>
    <n v="9.7979341235476899E-6"/>
    <n v="117"/>
    <x v="1"/>
    <n v="1247"/>
  </r>
  <r>
    <s v="SHYJU MAMBAKKADAN"/>
    <x v="1171"/>
    <x v="3"/>
    <n v="99443"/>
    <n v="9.7280736306881697E-6"/>
    <n v="176"/>
    <x v="2"/>
    <n v="1248"/>
  </r>
  <r>
    <s v="SAJEESH PATTIMATTOM"/>
    <x v="1172"/>
    <x v="3"/>
    <n v="99445"/>
    <n v="9.6931433842584088E-6"/>
    <n v="4"/>
    <x v="0"/>
    <n v="1249"/>
  </r>
  <r>
    <s v="SANDEEP CHOORAKODE"/>
    <x v="1173"/>
    <x v="3"/>
    <n v="99450"/>
    <n v="9.6058177681840091E-6"/>
    <n v="162"/>
    <x v="2"/>
    <n v="1250"/>
  </r>
  <r>
    <s v="RAHUL ARACKAPADY"/>
    <x v="1173"/>
    <x v="3"/>
    <n v="99450"/>
    <n v="9.6058177681840091E-6"/>
    <n v="176"/>
    <x v="2"/>
    <n v="1250"/>
  </r>
  <r>
    <s v="MANOJ"/>
    <x v="1174"/>
    <x v="3"/>
    <n v="99480"/>
    <n v="9.081864071737609E-6"/>
    <n v="96"/>
    <x v="1"/>
    <n v="1252"/>
  </r>
  <r>
    <s v="REHMAN , PATTIMATTAM"/>
    <x v="1174"/>
    <x v="3"/>
    <n v="99480"/>
    <n v="9.081864071737609E-6"/>
    <n v="36"/>
    <x v="0"/>
    <n v="1252"/>
  </r>
  <r>
    <s v="SHARON PATTIMATTOM"/>
    <x v="1175"/>
    <x v="3"/>
    <n v="99487"/>
    <n v="8.9596082092334484E-6"/>
    <n v="270"/>
    <x v="2"/>
    <n v="1254"/>
  </r>
  <r>
    <s v="SAJI MON (ASK TYRES)"/>
    <x v="1176"/>
    <x v="3"/>
    <n v="99494"/>
    <n v="8.8373523467292895E-6"/>
    <n v="12"/>
    <x v="0"/>
    <n v="1255"/>
  </r>
  <r>
    <s v="ABU PASSNEGER"/>
    <x v="1177"/>
    <x v="3"/>
    <n v="99500"/>
    <n v="8.7325616074400084E-6"/>
    <n v="5"/>
    <x v="0"/>
    <n v="1256"/>
  </r>
  <r>
    <s v="LINTO , KUMMANODU"/>
    <x v="1177"/>
    <x v="3"/>
    <n v="99500"/>
    <n v="8.7325616074400084E-6"/>
    <n v="221"/>
    <x v="2"/>
    <n v="1256"/>
  </r>
  <r>
    <s v="PRADEEP, CHENAGARA"/>
    <x v="1177"/>
    <x v="3"/>
    <n v="99500"/>
    <n v="8.7325616074400084E-6"/>
    <n v="93"/>
    <x v="1"/>
    <n v="1256"/>
  </r>
  <r>
    <s v="SABU MYLATTUMUGAL"/>
    <x v="1178"/>
    <x v="3"/>
    <n v="99505"/>
    <n v="8.6452359913656087E-6"/>
    <n v="319"/>
    <x v="2"/>
    <n v="1259"/>
  </r>
  <r>
    <s v="ANOOP CHINUS"/>
    <x v="1179"/>
    <x v="3"/>
    <n v="99516"/>
    <n v="8.4531196360019279E-6"/>
    <n v="29"/>
    <x v="0"/>
    <n v="1260"/>
  </r>
  <r>
    <s v="UNNI MOONELIL CNTR"/>
    <x v="1180"/>
    <x v="3"/>
    <n v="99530"/>
    <n v="8.2086079109936084E-6"/>
    <n v="229"/>
    <x v="2"/>
    <n v="1261"/>
  </r>
  <r>
    <s v="VINU , CHENGARA"/>
    <x v="1181"/>
    <x v="3"/>
    <n v="99535"/>
    <n v="8.1212822949192086E-6"/>
    <n v="155"/>
    <x v="2"/>
    <n v="1262"/>
  </r>
  <r>
    <s v="ADITHYA KRISHNA"/>
    <x v="1182"/>
    <x v="3"/>
    <n v="99540"/>
    <n v="8.0339566788448072E-6"/>
    <n v="24"/>
    <x v="0"/>
    <n v="1263"/>
  </r>
  <r>
    <s v="ESTHAPANOSE , PATTIMATTAM"/>
    <x v="1182"/>
    <x v="3"/>
    <n v="99540"/>
    <n v="8.0339566788448072E-6"/>
    <n v="230"/>
    <x v="2"/>
    <n v="1263"/>
  </r>
  <r>
    <s v="KATHIK"/>
    <x v="1182"/>
    <x v="3"/>
    <n v="99540"/>
    <n v="8.0339566788448072E-6"/>
    <n v="3"/>
    <x v="0"/>
    <n v="1263"/>
  </r>
  <r>
    <s v="BENNY VAYALIPARAMBIL"/>
    <x v="1183"/>
    <x v="3"/>
    <n v="99544"/>
    <n v="7.9640961859852871E-6"/>
    <n v="305"/>
    <x v="2"/>
    <n v="1266"/>
  </r>
  <r>
    <s v="PAULOSE PARAYANCHERY"/>
    <x v="1184"/>
    <x v="3"/>
    <n v="99546"/>
    <n v="7.9291659395555279E-6"/>
    <n v="232"/>
    <x v="2"/>
    <n v="1267"/>
  </r>
  <r>
    <s v="ALEXANDER A V"/>
    <x v="1185"/>
    <x v="3"/>
    <n v="99550"/>
    <n v="7.8593054466960077E-6"/>
    <n v="209"/>
    <x v="2"/>
    <n v="1268"/>
  </r>
  <r>
    <s v="ABDUL NAZEER"/>
    <x v="1185"/>
    <x v="3"/>
    <n v="99550"/>
    <n v="7.8593054466960077E-6"/>
    <n v="331"/>
    <x v="2"/>
    <n v="1268"/>
  </r>
  <r>
    <s v="AJFAR PATTIMATTOM"/>
    <x v="1186"/>
    <x v="3"/>
    <n v="99560"/>
    <n v="7.6846542145472083E-6"/>
    <n v="157"/>
    <x v="2"/>
    <n v="1270"/>
  </r>
  <r>
    <s v="MALABAR SPICES"/>
    <x v="1187"/>
    <x v="3"/>
    <n v="99575"/>
    <n v="7.4226773663240074E-6"/>
    <n v="285"/>
    <x v="2"/>
    <n v="1271"/>
  </r>
  <r>
    <s v="SUJITH CHENGARA"/>
    <x v="1187"/>
    <x v="3"/>
    <n v="99575"/>
    <n v="7.4226773663240074E-6"/>
    <n v="176"/>
    <x v="2"/>
    <n v="1271"/>
  </r>
  <r>
    <s v="ANOOP KUMMANODE"/>
    <x v="1188"/>
    <x v="3"/>
    <n v="99580"/>
    <n v="7.3353517502496077E-6"/>
    <n v="276"/>
    <x v="2"/>
    <n v="1273"/>
  </r>
  <r>
    <s v="AZIZ PATTIMATTOM"/>
    <x v="1188"/>
    <x v="3"/>
    <n v="99580"/>
    <n v="7.3353517502496077E-6"/>
    <n v="172"/>
    <x v="2"/>
    <n v="1273"/>
  </r>
  <r>
    <s v="SHIJU"/>
    <x v="1189"/>
    <x v="3"/>
    <n v="99590"/>
    <n v="7.1607005181008074E-6"/>
    <n v="178"/>
    <x v="2"/>
    <n v="1275"/>
  </r>
  <r>
    <s v="ATHUL KADAYIRUPPU"/>
    <x v="1190"/>
    <x v="3"/>
    <n v="99595"/>
    <n v="7.0733749020264068E-6"/>
    <n v="274"/>
    <x v="2"/>
    <n v="1276"/>
  </r>
  <r>
    <s v="ANEESH , PATTIMATTOM"/>
    <x v="1191"/>
    <x v="3"/>
    <n v="99600"/>
    <n v="6.9860492859520071E-6"/>
    <n v="20"/>
    <x v="0"/>
    <n v="1277"/>
  </r>
  <r>
    <s v="AJMAL KUMMANODE"/>
    <x v="1191"/>
    <x v="3"/>
    <n v="99600"/>
    <n v="6.9860492859520071E-6"/>
    <n v="3"/>
    <x v="0"/>
    <n v="1277"/>
  </r>
  <r>
    <s v="BONY DANIEL"/>
    <x v="1191"/>
    <x v="3"/>
    <n v="99600"/>
    <n v="6.9860492859520071E-6"/>
    <n v="169"/>
    <x v="2"/>
    <n v="1277"/>
  </r>
  <r>
    <s v="JABBAR PATTIMATTOM"/>
    <x v="1192"/>
    <x v="3"/>
    <n v="99605"/>
    <n v="6.8987236698776065E-6"/>
    <n v="20"/>
    <x v="0"/>
    <n v="1280"/>
  </r>
  <r>
    <s v="SURENDRAN KUMMANODE"/>
    <x v="1192"/>
    <x v="3"/>
    <n v="99605"/>
    <n v="6.8987236698776065E-6"/>
    <n v="283"/>
    <x v="2"/>
    <n v="1280"/>
  </r>
  <r>
    <s v="JOHN PAREPEEDIKA"/>
    <x v="1193"/>
    <x v="3"/>
    <n v="99610"/>
    <n v="6.8113980538032068E-6"/>
    <n v="278"/>
    <x v="2"/>
    <n v="1282"/>
  </r>
  <r>
    <s v="SUDHEER THANDAKALA"/>
    <x v="1193"/>
    <x v="3"/>
    <n v="99610"/>
    <n v="6.8113980538032068E-6"/>
    <n v="231"/>
    <x v="2"/>
    <n v="1282"/>
  </r>
  <r>
    <s v="ELDHO MANGALATHUNADA"/>
    <x v="1194"/>
    <x v="3"/>
    <n v="99615"/>
    <n v="6.724072437728807E-6"/>
    <n v="37"/>
    <x v="0"/>
    <n v="1284"/>
  </r>
  <r>
    <s v="DILEEP AIRAPURAM"/>
    <x v="1195"/>
    <x v="3"/>
    <n v="99617"/>
    <n v="6.689142191299047E-6"/>
    <n v="173"/>
    <x v="2"/>
    <n v="1285"/>
  </r>
  <r>
    <s v="ABHIJITH PUNNOORKODE"/>
    <x v="1196"/>
    <x v="3"/>
    <n v="99620"/>
    <n v="6.6367468216544065E-6"/>
    <n v="152"/>
    <x v="2"/>
    <n v="1286"/>
  </r>
  <r>
    <s v="BIJU BAKERY"/>
    <x v="1196"/>
    <x v="3"/>
    <n v="99620"/>
    <n v="6.6367468216544065E-6"/>
    <n v="142"/>
    <x v="2"/>
    <n v="1286"/>
  </r>
  <r>
    <s v="S K TOOLS"/>
    <x v="1197"/>
    <x v="3"/>
    <n v="99623"/>
    <n v="6.5843514520097668E-6"/>
    <n v="111"/>
    <x v="1"/>
    <n v="1288"/>
  </r>
  <r>
    <s v="AKBAR CHENGARA"/>
    <x v="1198"/>
    <x v="3"/>
    <n v="99630"/>
    <n v="6.4620955895056062E-6"/>
    <n v="199"/>
    <x v="2"/>
    <n v="1289"/>
  </r>
  <r>
    <s v="AFZAL"/>
    <x v="1198"/>
    <x v="3"/>
    <n v="99630"/>
    <n v="6.4620955895056062E-6"/>
    <n v="274"/>
    <x v="2"/>
    <n v="1289"/>
  </r>
  <r>
    <s v="ASWATHY"/>
    <x v="1198"/>
    <x v="3"/>
    <n v="99630"/>
    <n v="6.4620955895056062E-6"/>
    <n v="198"/>
    <x v="2"/>
    <n v="1289"/>
  </r>
  <r>
    <s v="ARUN PATTIMATTOM"/>
    <x v="1198"/>
    <x v="3"/>
    <n v="99630"/>
    <n v="6.4620955895056062E-6"/>
    <n v="167"/>
    <x v="2"/>
    <n v="1289"/>
  </r>
  <r>
    <s v="BIJU.M.GEORGE"/>
    <x v="1198"/>
    <x v="3"/>
    <n v="99630"/>
    <n v="6.4620955895056062E-6"/>
    <n v="223"/>
    <x v="2"/>
    <n v="1289"/>
  </r>
  <r>
    <s v="JAWAD"/>
    <x v="1198"/>
    <x v="3"/>
    <n v="99630"/>
    <n v="6.4620955895056062E-6"/>
    <n v="247"/>
    <x v="2"/>
    <n v="1289"/>
  </r>
  <r>
    <s v="KAREEM PATTIMATTOM"/>
    <x v="1198"/>
    <x v="3"/>
    <n v="99630"/>
    <n v="6.4620955895056062E-6"/>
    <n v="181"/>
    <x v="2"/>
    <n v="1289"/>
  </r>
  <r>
    <s v="PRAJESH MANNOOR"/>
    <x v="1198"/>
    <x v="3"/>
    <n v="99630"/>
    <n v="6.4620955895056062E-6"/>
    <n v="176"/>
    <x v="2"/>
    <n v="1289"/>
  </r>
  <r>
    <s v="SABU PULINCHODE"/>
    <x v="1198"/>
    <x v="3"/>
    <n v="99630"/>
    <n v="6.4620955895056062E-6"/>
    <n v="181"/>
    <x v="2"/>
    <n v="1289"/>
  </r>
  <r>
    <s v="RAHANA AYYAPPENKUTTY"/>
    <x v="1198"/>
    <x v="3"/>
    <n v="99630"/>
    <n v="6.4620955895056062E-6"/>
    <n v="251"/>
    <x v="2"/>
    <n v="1289"/>
  </r>
  <r>
    <s v="SHIYAS KUMMANODE"/>
    <x v="1198"/>
    <x v="3"/>
    <n v="99630"/>
    <n v="6.4620955895056062E-6"/>
    <n v="171"/>
    <x v="2"/>
    <n v="1289"/>
  </r>
  <r>
    <s v="THOMAS , ASPIRE VILLA"/>
    <x v="1198"/>
    <x v="3"/>
    <n v="99630"/>
    <n v="6.4620955895056062E-6"/>
    <n v="233"/>
    <x v="2"/>
    <n v="1289"/>
  </r>
  <r>
    <s v="SUPRAN  AKKAMPARA"/>
    <x v="1198"/>
    <x v="3"/>
    <n v="99630"/>
    <n v="6.4620955895056062E-6"/>
    <n v="296"/>
    <x v="2"/>
    <n v="1289"/>
  </r>
  <r>
    <s v="MAJEED"/>
    <x v="1199"/>
    <x v="3"/>
    <n v="99632"/>
    <n v="6.4271653430758461E-6"/>
    <n v="52"/>
    <x v="0"/>
    <n v="1302"/>
  </r>
  <r>
    <s v="BABU DOUBLEPALAM"/>
    <x v="1200"/>
    <x v="3"/>
    <n v="99640"/>
    <n v="6.2874443573568059E-6"/>
    <n v="130"/>
    <x v="2"/>
    <n v="1303"/>
  </r>
  <r>
    <s v="SAJI M K"/>
    <x v="1200"/>
    <x v="3"/>
    <n v="99640"/>
    <n v="6.2874443573568059E-6"/>
    <n v="302"/>
    <x v="2"/>
    <n v="1303"/>
  </r>
  <r>
    <s v="SURESH EDATHIKKARA"/>
    <x v="1201"/>
    <x v="3"/>
    <n v="99648"/>
    <n v="6.1477233716377665E-6"/>
    <n v="173"/>
    <x v="2"/>
    <n v="1305"/>
  </r>
  <r>
    <s v="AJI MORIA"/>
    <x v="1202"/>
    <x v="3"/>
    <n v="99650"/>
    <n v="6.1127931252080064E-6"/>
    <n v="153"/>
    <x v="2"/>
    <n v="1306"/>
  </r>
  <r>
    <s v="BABU , PATTIMATTOM"/>
    <x v="1202"/>
    <x v="3"/>
    <n v="99650"/>
    <n v="6.1127931252080064E-6"/>
    <n v="152"/>
    <x v="2"/>
    <n v="1306"/>
  </r>
  <r>
    <s v="BENNY CHOORAKKODU"/>
    <x v="1202"/>
    <x v="3"/>
    <n v="99650"/>
    <n v="6.1127931252080064E-6"/>
    <n v="318"/>
    <x v="2"/>
    <n v="1306"/>
  </r>
  <r>
    <s v="ANWAR SCARP"/>
    <x v="1203"/>
    <x v="3"/>
    <n v="99660"/>
    <n v="5.9381418930592061E-6"/>
    <n v="141"/>
    <x v="2"/>
    <n v="1309"/>
  </r>
  <r>
    <s v="DARSHAN"/>
    <x v="1203"/>
    <x v="3"/>
    <n v="99660"/>
    <n v="5.9381418930592061E-6"/>
    <n v="110"/>
    <x v="1"/>
    <n v="1309"/>
  </r>
  <r>
    <s v="HASSAN KUZHIPPILLY"/>
    <x v="1203"/>
    <x v="3"/>
    <n v="99660"/>
    <n v="5.9381418930592061E-6"/>
    <n v="327"/>
    <x v="2"/>
    <n v="1309"/>
  </r>
  <r>
    <s v="BIJU MARIYIL PASSENGER"/>
    <x v="1203"/>
    <x v="3"/>
    <n v="99660"/>
    <n v="5.9381418930592061E-6"/>
    <n v="99"/>
    <x v="1"/>
    <n v="1309"/>
  </r>
  <r>
    <s v="JAYAN VENGOLA"/>
    <x v="1203"/>
    <x v="3"/>
    <n v="99660"/>
    <n v="5.9381418930592061E-6"/>
    <n v="320"/>
    <x v="2"/>
    <n v="1309"/>
  </r>
  <r>
    <s v="LALU PATTIMATTOM"/>
    <x v="1203"/>
    <x v="3"/>
    <n v="99660"/>
    <n v="5.9381418930592061E-6"/>
    <n v="146"/>
    <x v="2"/>
    <n v="1309"/>
  </r>
  <r>
    <s v="SATHEESH CHEENIKUZY"/>
    <x v="1203"/>
    <x v="3"/>
    <n v="99660"/>
    <n v="5.9381418930592061E-6"/>
    <n v="94"/>
    <x v="1"/>
    <n v="1309"/>
  </r>
  <r>
    <s v="RAVI PATTIMATTOM"/>
    <x v="1203"/>
    <x v="3"/>
    <n v="99660"/>
    <n v="5.9381418930592061E-6"/>
    <n v="145"/>
    <x v="2"/>
    <n v="1309"/>
  </r>
  <r>
    <s v="ROOPESH PASSENGER"/>
    <x v="1203"/>
    <x v="3"/>
    <n v="99660"/>
    <n v="5.9381418930592061E-6"/>
    <n v="101"/>
    <x v="1"/>
    <n v="1309"/>
  </r>
  <r>
    <s v="SHAMSUDHEEN C.P"/>
    <x v="1203"/>
    <x v="3"/>
    <n v="99660"/>
    <n v="5.9381418930592061E-6"/>
    <n v="321"/>
    <x v="2"/>
    <n v="1309"/>
  </r>
  <r>
    <s v="THOUFEEQUE KUZHIPPILLY"/>
    <x v="1203"/>
    <x v="3"/>
    <n v="99660"/>
    <n v="5.9381418930592061E-6"/>
    <n v="130"/>
    <x v="2"/>
    <n v="1309"/>
  </r>
  <r>
    <s v="MUHAMMED"/>
    <x v="1204"/>
    <x v="3"/>
    <n v="99670"/>
    <n v="5.7634906609104058E-6"/>
    <n v="19"/>
    <x v="0"/>
    <n v="1320"/>
  </r>
  <r>
    <s v="KABEER, PATTIMATTOM"/>
    <x v="1204"/>
    <x v="3"/>
    <n v="99670"/>
    <n v="5.7634906609104058E-6"/>
    <n v="286"/>
    <x v="2"/>
    <n v="1320"/>
  </r>
  <r>
    <s v="SURENDRAN CHOLLAPPILLY"/>
    <x v="1204"/>
    <x v="3"/>
    <n v="99670"/>
    <n v="5.7634906609104058E-6"/>
    <n v="88"/>
    <x v="1"/>
    <n v="1320"/>
  </r>
  <r>
    <s v="LIJI , VALAMBOOR"/>
    <x v="1205"/>
    <x v="3"/>
    <n v="99676"/>
    <n v="5.6586999216211256E-6"/>
    <n v="197"/>
    <x v="2"/>
    <n v="1323"/>
  </r>
  <r>
    <s v="TONY PATTIMATTOM"/>
    <x v="1206"/>
    <x v="3"/>
    <n v="99678"/>
    <n v="5.6237696751913656E-6"/>
    <n v="102"/>
    <x v="1"/>
    <n v="1324"/>
  </r>
  <r>
    <s v="BABU , CHOORAKKODE"/>
    <x v="1207"/>
    <x v="3"/>
    <n v="99680"/>
    <n v="5.5888394287616055E-6"/>
    <n v="6"/>
    <x v="0"/>
    <n v="1325"/>
  </r>
  <r>
    <s v="ANZAR....."/>
    <x v="1207"/>
    <x v="3"/>
    <n v="99680"/>
    <n v="5.5888394287616055E-6"/>
    <n v="13"/>
    <x v="0"/>
    <n v="1325"/>
  </r>
  <r>
    <s v="JOHNSON ERAPPUMPARA"/>
    <x v="1207"/>
    <x v="3"/>
    <n v="99680"/>
    <n v="5.5888394287616055E-6"/>
    <n v="44"/>
    <x v="0"/>
    <n v="1325"/>
  </r>
  <r>
    <s v="KAIMAL PASSENGER"/>
    <x v="1207"/>
    <x v="3"/>
    <n v="99680"/>
    <n v="5.5888394287616055E-6"/>
    <n v="16"/>
    <x v="0"/>
    <n v="1325"/>
  </r>
  <r>
    <s v="MUHAMMED PATTIMATTOM"/>
    <x v="1207"/>
    <x v="3"/>
    <n v="99680"/>
    <n v="5.5888394287616055E-6"/>
    <n v="1"/>
    <x v="0"/>
    <n v="1325"/>
  </r>
  <r>
    <s v="SABEENA PATTIMATTOM"/>
    <x v="1207"/>
    <x v="3"/>
    <n v="99680"/>
    <n v="5.5888394287616055E-6"/>
    <n v="26"/>
    <x v="0"/>
    <n v="1325"/>
  </r>
  <r>
    <s v="REJI , CHENGARA"/>
    <x v="1207"/>
    <x v="3"/>
    <n v="99680"/>
    <n v="5.5888394287616055E-6"/>
    <n v="23"/>
    <x v="0"/>
    <n v="1325"/>
  </r>
  <r>
    <s v="SHAHAS DOUBLEPALAM"/>
    <x v="1207"/>
    <x v="3"/>
    <n v="99680"/>
    <n v="5.5888394287616055E-6"/>
    <n v="15"/>
    <x v="0"/>
    <n v="1325"/>
  </r>
  <r>
    <s v="SETHU"/>
    <x v="1207"/>
    <x v="3"/>
    <n v="99680"/>
    <n v="5.5888394287616055E-6"/>
    <n v="44"/>
    <x v="0"/>
    <n v="1325"/>
  </r>
  <r>
    <s v="Sidhique , Chengara"/>
    <x v="1207"/>
    <x v="3"/>
    <n v="99680"/>
    <n v="5.5888394287616055E-6"/>
    <n v="10"/>
    <x v="0"/>
    <n v="1325"/>
  </r>
  <r>
    <s v="SIDHQUE CHENGARA"/>
    <x v="1207"/>
    <x v="3"/>
    <n v="99680"/>
    <n v="5.5888394287616055E-6"/>
    <n v="8"/>
    <x v="0"/>
    <n v="1325"/>
  </r>
  <r>
    <s v="BAVA MANNACHERRY"/>
    <x v="1208"/>
    <x v="3"/>
    <n v="99690"/>
    <n v="5.4141881966128052E-6"/>
    <n v="75"/>
    <x v="1"/>
    <n v="1336"/>
  </r>
  <r>
    <s v="DEEPU MANGALATHUNADA"/>
    <x v="1208"/>
    <x v="3"/>
    <n v="99690"/>
    <n v="5.4141881966128052E-6"/>
    <n v="24"/>
    <x v="0"/>
    <n v="1336"/>
  </r>
  <r>
    <s v="PAUL CHACHAN"/>
    <x v="1208"/>
    <x v="3"/>
    <n v="99690"/>
    <n v="5.4141881966128052E-6"/>
    <n v="183"/>
    <x v="2"/>
    <n v="1336"/>
  </r>
  <r>
    <s v="NAZER , THAILAN"/>
    <x v="1208"/>
    <x v="3"/>
    <n v="99690"/>
    <n v="5.4141881966128052E-6"/>
    <n v="74"/>
    <x v="1"/>
    <n v="1336"/>
  </r>
  <r>
    <s v="SHYJU KOLAMKUDY"/>
    <x v="1208"/>
    <x v="3"/>
    <n v="99690"/>
    <n v="5.4141881966128052E-6"/>
    <n v="62"/>
    <x v="1"/>
    <n v="1336"/>
  </r>
  <r>
    <s v="SREEJITH C"/>
    <x v="1208"/>
    <x v="3"/>
    <n v="99690"/>
    <n v="5.4141881966128052E-6"/>
    <n v="75"/>
    <x v="1"/>
    <n v="1336"/>
  </r>
  <r>
    <s v="ALIYAR"/>
    <x v="1209"/>
    <x v="3"/>
    <n v="99700"/>
    <n v="5.2395369644640049E-6"/>
    <n v="22"/>
    <x v="0"/>
    <n v="1342"/>
  </r>
  <r>
    <s v="ASWIN DEV"/>
    <x v="1209"/>
    <x v="3"/>
    <n v="99700"/>
    <n v="5.2395369644640049E-6"/>
    <n v="78"/>
    <x v="1"/>
    <n v="1342"/>
  </r>
  <r>
    <s v="ALAN PAUL"/>
    <x v="1210"/>
    <x v="3"/>
    <n v="99703"/>
    <n v="5.1871415948193652E-6"/>
    <n v="285"/>
    <x v="2"/>
    <n v="1344"/>
  </r>
  <r>
    <s v="A S ASSOCIATES"/>
    <x v="1211"/>
    <x v="3"/>
    <n v="99710"/>
    <n v="5.0648857323152054E-6"/>
    <n v="328"/>
    <x v="2"/>
    <n v="1345"/>
  </r>
  <r>
    <s v="PRADEEP PATTIMATTOM"/>
    <x v="1211"/>
    <x v="3"/>
    <n v="99710"/>
    <n v="5.0648857323152054E-6"/>
    <n v="216"/>
    <x v="2"/>
    <n v="1345"/>
  </r>
  <r>
    <s v="FIBI"/>
    <x v="1212"/>
    <x v="3"/>
    <n v="99714"/>
    <n v="4.9950252394556853E-6"/>
    <n v="284"/>
    <x v="2"/>
    <n v="1347"/>
  </r>
  <r>
    <s v="JIJITH UNION"/>
    <x v="1213"/>
    <x v="3"/>
    <n v="99720"/>
    <n v="4.8902345001664051E-6"/>
    <n v="20"/>
    <x v="0"/>
    <n v="1348"/>
  </r>
  <r>
    <s v="PAULOSE PAZHAMTHOTTAM"/>
    <x v="1214"/>
    <x v="3"/>
    <n v="99735"/>
    <n v="4.6282576519432042E-6"/>
    <n v="118"/>
    <x v="1"/>
    <n v="1349"/>
  </r>
  <r>
    <s v="SURESH MEMBER"/>
    <x v="1215"/>
    <x v="3"/>
    <n v="99736"/>
    <n v="4.6107925287283246E-6"/>
    <n v="241"/>
    <x v="2"/>
    <n v="1350"/>
  </r>
  <r>
    <s v="ABIN BABU"/>
    <x v="1216"/>
    <x v="3"/>
    <n v="99740"/>
    <n v="4.5409320358688045E-6"/>
    <n v="11"/>
    <x v="0"/>
    <n v="1351"/>
  </r>
  <r>
    <s v="BINU PULINCHODE"/>
    <x v="1217"/>
    <x v="3"/>
    <n v="99750"/>
    <n v="4.3662808037200042E-6"/>
    <n v="156"/>
    <x v="2"/>
    <n v="1352"/>
  </r>
  <r>
    <s v="KALHARAM PATTIMATTOM"/>
    <x v="1217"/>
    <x v="3"/>
    <n v="99750"/>
    <n v="4.3662808037200042E-6"/>
    <n v="258"/>
    <x v="2"/>
    <n v="1352"/>
  </r>
  <r>
    <s v="SHEMEER CHELAKUALM"/>
    <x v="1217"/>
    <x v="3"/>
    <n v="99750"/>
    <n v="4.3662808037200042E-6"/>
    <n v="156"/>
    <x v="2"/>
    <n v="1352"/>
  </r>
  <r>
    <s v="VISWAMBARAN , DAUBLEPALAM"/>
    <x v="1217"/>
    <x v="3"/>
    <n v="99750"/>
    <n v="4.3662808037200042E-6"/>
    <n v="65"/>
    <x v="1"/>
    <n v="1352"/>
  </r>
  <r>
    <s v="KAILASAN PARAKKAL"/>
    <x v="1218"/>
    <x v="3"/>
    <n v="99775"/>
    <n v="3.9296527233480039E-6"/>
    <n v="36"/>
    <x v="0"/>
    <n v="1356"/>
  </r>
  <r>
    <s v="SURYA"/>
    <x v="1218"/>
    <x v="3"/>
    <n v="99775"/>
    <n v="3.9296527233480039E-6"/>
    <n v="330"/>
    <x v="2"/>
    <n v="1356"/>
  </r>
  <r>
    <s v="ANSON"/>
    <x v="1219"/>
    <x v="3"/>
    <n v="99779"/>
    <n v="3.8597922304884838E-6"/>
    <n v="22"/>
    <x v="0"/>
    <n v="1358"/>
  </r>
  <r>
    <s v="BASIL PAZHAMTHOTTAM"/>
    <x v="1220"/>
    <x v="3"/>
    <n v="99790"/>
    <n v="3.6676758751248038E-6"/>
    <n v="278"/>
    <x v="2"/>
    <n v="1359"/>
  </r>
  <r>
    <s v="ASHARAF THADAKKALA"/>
    <x v="1220"/>
    <x v="3"/>
    <n v="99790"/>
    <n v="3.6676758751248038E-6"/>
    <n v="256"/>
    <x v="2"/>
    <n v="1359"/>
  </r>
  <r>
    <s v="SATHEESH KUMAR"/>
    <x v="1221"/>
    <x v="3"/>
    <n v="99795"/>
    <n v="3.5803502590504037E-6"/>
    <n v="103"/>
    <x v="1"/>
    <n v="1361"/>
  </r>
  <r>
    <s v="NISHAD"/>
    <x v="1222"/>
    <x v="3"/>
    <n v="99800"/>
    <n v="3.4930246429760035E-6"/>
    <n v="134"/>
    <x v="2"/>
    <n v="1362"/>
  </r>
  <r>
    <s v="PAPPU  PATTIMATTOM"/>
    <x v="1222"/>
    <x v="3"/>
    <n v="99800"/>
    <n v="3.4930246429760035E-6"/>
    <n v="20"/>
    <x v="0"/>
    <n v="1362"/>
  </r>
  <r>
    <s v="SINI BINU"/>
    <x v="1222"/>
    <x v="3"/>
    <n v="99800"/>
    <n v="3.4930246429760035E-6"/>
    <n v="146"/>
    <x v="2"/>
    <n v="1362"/>
  </r>
  <r>
    <s v="ANU V NAIR"/>
    <x v="1223"/>
    <x v="3"/>
    <n v="99810"/>
    <n v="3.3183734108272032E-6"/>
    <n v="92"/>
    <x v="1"/>
    <n v="1365"/>
  </r>
  <r>
    <s v="HABITATE HARMONIE VENTURES"/>
    <x v="1224"/>
    <x v="3"/>
    <n v="99812"/>
    <n v="3.2834431643974432E-6"/>
    <n v="121"/>
    <x v="2"/>
    <n v="1366"/>
  </r>
  <r>
    <s v="SUDEEP PATTIMATTOM"/>
    <x v="1225"/>
    <x v="3"/>
    <n v="99815"/>
    <n v="3.2310477947528031E-6"/>
    <n v="130"/>
    <x v="2"/>
    <n v="1367"/>
  </r>
  <r>
    <s v="ANU DAS"/>
    <x v="1226"/>
    <x v="3"/>
    <n v="99820"/>
    <n v="3.1437221786784029E-6"/>
    <n v="90"/>
    <x v="1"/>
    <n v="1368"/>
  </r>
  <r>
    <s v="JITHU"/>
    <x v="1226"/>
    <x v="3"/>
    <n v="99820"/>
    <n v="3.1437221786784029E-6"/>
    <n v="59"/>
    <x v="0"/>
    <n v="1368"/>
  </r>
  <r>
    <s v="ABBAS ALIYAR"/>
    <x v="1227"/>
    <x v="3"/>
    <n v="99835"/>
    <n v="2.8817453304552029E-6"/>
    <n v="9"/>
    <x v="0"/>
    <n v="1370"/>
  </r>
  <r>
    <s v="RINSHAD PATTIMATTOM"/>
    <x v="1228"/>
    <x v="3"/>
    <n v="99840"/>
    <n v="2.7944197143808027E-6"/>
    <n v="218"/>
    <x v="2"/>
    <n v="1371"/>
  </r>
  <r>
    <s v="AMEER , CHOORAKKODE"/>
    <x v="1229"/>
    <x v="3"/>
    <n v="99850"/>
    <n v="2.6197684822320024E-6"/>
    <n v="263"/>
    <x v="2"/>
    <n v="1372"/>
  </r>
  <r>
    <s v="BABY , PATTIMATTOM"/>
    <x v="1229"/>
    <x v="3"/>
    <n v="99850"/>
    <n v="2.6197684822320024E-6"/>
    <n v="71"/>
    <x v="1"/>
    <n v="1372"/>
  </r>
  <r>
    <s v="PRIYA , EZHIPURAM"/>
    <x v="1229"/>
    <x v="3"/>
    <n v="99850"/>
    <n v="2.6197684822320024E-6"/>
    <n v="12"/>
    <x v="0"/>
    <n v="1372"/>
  </r>
  <r>
    <s v="SUJITH"/>
    <x v="1229"/>
    <x v="3"/>
    <n v="99850"/>
    <n v="2.6197684822320024E-6"/>
    <n v="8"/>
    <x v="0"/>
    <n v="1372"/>
  </r>
  <r>
    <s v="RAJI , PATHAMILE"/>
    <x v="1230"/>
    <x v="3"/>
    <n v="99860"/>
    <n v="2.4451172500832026E-6"/>
    <n v="45"/>
    <x v="0"/>
    <n v="1376"/>
  </r>
  <r>
    <s v="REHIM BIKE"/>
    <x v="1230"/>
    <x v="3"/>
    <n v="99860"/>
    <n v="2.4451172500832026E-6"/>
    <n v="281"/>
    <x v="2"/>
    <n v="1376"/>
  </r>
  <r>
    <s v="ROBIN KIZHAKKAMBALAM"/>
    <x v="1231"/>
    <x v="3"/>
    <n v="99870"/>
    <n v="2.2704660179344023E-6"/>
    <n v="61"/>
    <x v="1"/>
    <n v="1378"/>
  </r>
  <r>
    <s v="SURESH PATTIMATTAM"/>
    <x v="1231"/>
    <x v="3"/>
    <n v="99870"/>
    <n v="2.2704660179344023E-6"/>
    <n v="299"/>
    <x v="2"/>
    <n v="1378"/>
  </r>
  <r>
    <s v="ELDHO VALMBOOR"/>
    <x v="1232"/>
    <x v="3"/>
    <n v="99879"/>
    <n v="2.113279909000482E-6"/>
    <n v="191"/>
    <x v="2"/>
    <n v="1380"/>
  </r>
  <r>
    <s v="AYYAPPAN"/>
    <x v="1233"/>
    <x v="3"/>
    <n v="99880"/>
    <n v="2.095814785785602E-6"/>
    <n v="173"/>
    <x v="2"/>
    <n v="1381"/>
  </r>
  <r>
    <s v="AJI , N.V"/>
    <x v="1234"/>
    <x v="3"/>
    <n v="99890"/>
    <n v="1.9211635536368021E-6"/>
    <n v="39"/>
    <x v="0"/>
    <n v="1382"/>
  </r>
  <r>
    <s v="DR.BABY PAZHAMPILLY"/>
    <x v="1235"/>
    <x v="3"/>
    <n v="99899"/>
    <n v="1.7639774447028818E-6"/>
    <n v="164"/>
    <x v="2"/>
    <n v="1383"/>
  </r>
  <r>
    <s v="HIVE SOLAR POWER SOLUTIONS"/>
    <x v="1236"/>
    <x v="3"/>
    <n v="99900"/>
    <n v="1.7465123214880018E-6"/>
    <n v="305"/>
    <x v="2"/>
    <n v="1384"/>
  </r>
  <r>
    <s v="MOIDEEN KUZIPPILLY"/>
    <x v="1236"/>
    <x v="3"/>
    <n v="99900"/>
    <n v="1.7465123214880018E-6"/>
    <n v="18"/>
    <x v="0"/>
    <n v="1384"/>
  </r>
  <r>
    <s v="REJI P MATHAI"/>
    <x v="1236"/>
    <x v="3"/>
    <n v="99900"/>
    <n v="1.7465123214880018E-6"/>
    <n v="20"/>
    <x v="0"/>
    <n v="1384"/>
  </r>
  <r>
    <s v="PRINCE VEMBILLY"/>
    <x v="1236"/>
    <x v="3"/>
    <n v="99900"/>
    <n v="1.7465123214880018E-6"/>
    <n v="104"/>
    <x v="1"/>
    <n v="1384"/>
  </r>
  <r>
    <s v="SHEJIL M JACOB"/>
    <x v="1237"/>
    <x v="3"/>
    <n v="99910"/>
    <n v="1.5718610893392015E-6"/>
    <n v="106"/>
    <x v="1"/>
    <n v="1388"/>
  </r>
  <r>
    <s v="GREGAREY SUNNY"/>
    <x v="1238"/>
    <x v="3"/>
    <n v="99920"/>
    <n v="1.3972098571904014E-6"/>
    <n v="314"/>
    <x v="2"/>
    <n v="1389"/>
  </r>
  <r>
    <s v="ROY VALAMBOOR"/>
    <x v="1238"/>
    <x v="3"/>
    <n v="99920"/>
    <n v="1.3972098571904014E-6"/>
    <n v="93"/>
    <x v="1"/>
    <n v="1389"/>
  </r>
  <r>
    <s v="SHIBU KALLUNGAL"/>
    <x v="1239"/>
    <x v="3"/>
    <n v="99925"/>
    <n v="1.3098842411160012E-6"/>
    <n v="274"/>
    <x v="2"/>
    <n v="1391"/>
  </r>
  <r>
    <s v="RAHUL PATTIMATTOM"/>
    <x v="1240"/>
    <x v="3"/>
    <n v="99928"/>
    <n v="1.2574888714713613E-6"/>
    <n v="183"/>
    <x v="2"/>
    <n v="1392"/>
  </r>
  <r>
    <s v="ANANDHU CHELAKULAM"/>
    <x v="1241"/>
    <x v="3"/>
    <n v="99930"/>
    <n v="1.2225586250416013E-6"/>
    <n v="64"/>
    <x v="1"/>
    <n v="1393"/>
  </r>
  <r>
    <s v="ASIF AKKAMBARA"/>
    <x v="1242"/>
    <x v="3"/>
    <n v="99935"/>
    <n v="1.1352330089672011E-6"/>
    <n v="5"/>
    <x v="0"/>
    <n v="1394"/>
  </r>
  <r>
    <s v="PRINCE VARGHESE"/>
    <x v="1242"/>
    <x v="3"/>
    <n v="99935"/>
    <n v="1.1352330089672011E-6"/>
    <n v="208"/>
    <x v="2"/>
    <n v="1394"/>
  </r>
  <r>
    <s v="HARI ATHANI"/>
    <x v="1243"/>
    <x v="3"/>
    <n v="99936"/>
    <n v="1.1177678857523211E-6"/>
    <n v="103"/>
    <x v="1"/>
    <n v="1396"/>
  </r>
  <r>
    <s v="ABU WORKSHOP"/>
    <x v="1244"/>
    <x v="3"/>
    <n v="99940"/>
    <n v="1.047907392892801E-6"/>
    <n v="102"/>
    <x v="1"/>
    <n v="1397"/>
  </r>
  <r>
    <s v="RENJITH ARACKKAPADY"/>
    <x v="1244"/>
    <x v="3"/>
    <n v="99940"/>
    <n v="1.047907392892801E-6"/>
    <n v="123"/>
    <x v="2"/>
    <n v="1397"/>
  </r>
  <r>
    <s v="SONY VALAMBOOR"/>
    <x v="1245"/>
    <x v="3"/>
    <n v="99943"/>
    <n v="9.9551202324816089E-7"/>
    <n v="109"/>
    <x v="1"/>
    <n v="1399"/>
  </r>
  <r>
    <s v="SHAFI , ATHANI"/>
    <x v="1246"/>
    <x v="3"/>
    <n v="99945"/>
    <n v="9.6058177681840104E-7"/>
    <n v="153"/>
    <x v="2"/>
    <n v="1400"/>
  </r>
  <r>
    <s v="ANWAR PATTIMATTOM"/>
    <x v="1247"/>
    <x v="3"/>
    <n v="99950"/>
    <n v="8.7325616074400088E-7"/>
    <n v="50"/>
    <x v="0"/>
    <n v="1401"/>
  </r>
  <r>
    <s v="ASLAM P MUSTHAFA"/>
    <x v="1247"/>
    <x v="3"/>
    <n v="99950"/>
    <n v="8.7325616074400088E-7"/>
    <n v="321"/>
    <x v="2"/>
    <n v="1401"/>
  </r>
  <r>
    <s v="AKSHAI IRAPURAM"/>
    <x v="1247"/>
    <x v="3"/>
    <n v="99950"/>
    <n v="8.7325616074400088E-7"/>
    <n v="324"/>
    <x v="2"/>
    <n v="1401"/>
  </r>
  <r>
    <s v="ARUN IRAPURAM"/>
    <x v="1247"/>
    <x v="3"/>
    <n v="99950"/>
    <n v="8.7325616074400088E-7"/>
    <n v="318"/>
    <x v="2"/>
    <n v="1401"/>
  </r>
  <r>
    <s v="ANJALI"/>
    <x v="1247"/>
    <x v="3"/>
    <n v="99950"/>
    <n v="8.7325616074400088E-7"/>
    <n v="215"/>
    <x v="2"/>
    <n v="1401"/>
  </r>
  <r>
    <s v="EBIN KURIAN"/>
    <x v="1247"/>
    <x v="3"/>
    <n v="99950"/>
    <n v="8.7325616074400088E-7"/>
    <n v="92"/>
    <x v="1"/>
    <n v="1401"/>
  </r>
  <r>
    <s v="ELDHO NJARALLOOR"/>
    <x v="1247"/>
    <x v="3"/>
    <n v="99950"/>
    <n v="8.7325616074400088E-7"/>
    <n v="158"/>
    <x v="2"/>
    <n v="1401"/>
  </r>
  <r>
    <s v="KANNAN"/>
    <x v="1247"/>
    <x v="3"/>
    <n v="99950"/>
    <n v="8.7325616074400088E-7"/>
    <n v="184"/>
    <x v="2"/>
    <n v="1401"/>
  </r>
  <r>
    <s v="SASI THATTAMUKAL"/>
    <x v="1247"/>
    <x v="3"/>
    <n v="99950"/>
    <n v="8.7325616074400088E-7"/>
    <n v="293"/>
    <x v="2"/>
    <n v="1401"/>
  </r>
  <r>
    <s v="SEBIN CHERIYAN"/>
    <x v="1247"/>
    <x v="3"/>
    <n v="99950"/>
    <n v="8.7325616074400088E-7"/>
    <n v="268"/>
    <x v="2"/>
    <n v="1401"/>
  </r>
  <r>
    <s v="SHEREEF PATTIMATTOM"/>
    <x v="1247"/>
    <x v="3"/>
    <n v="99950"/>
    <n v="8.7325616074400088E-7"/>
    <n v="288"/>
    <x v="2"/>
    <n v="1401"/>
  </r>
  <r>
    <s v="WILSON , THEYYAMPURAM"/>
    <x v="1247"/>
    <x v="3"/>
    <n v="99950"/>
    <n v="8.7325616074400088E-7"/>
    <n v="176"/>
    <x v="2"/>
    <n v="1401"/>
  </r>
  <r>
    <s v="SUMANRAJ, KUMMANODE"/>
    <x v="1247"/>
    <x v="3"/>
    <n v="99950"/>
    <n v="8.7325616074400088E-7"/>
    <n v="214"/>
    <x v="2"/>
    <n v="1401"/>
  </r>
  <r>
    <s v="NANDHU"/>
    <x v="1248"/>
    <x v="3"/>
    <n v="99960"/>
    <n v="6.9860492859520069E-7"/>
    <n v="226"/>
    <x v="2"/>
    <n v="1414"/>
  </r>
  <r>
    <s v="ANIL , CHENGARA"/>
    <x v="1249"/>
    <x v="3"/>
    <n v="99961"/>
    <n v="6.8113980538032066E-7"/>
    <n v="215"/>
    <x v="2"/>
    <n v="1415"/>
  </r>
  <r>
    <s v="SAJI , CHENGARA"/>
    <x v="1250"/>
    <x v="3"/>
    <n v="99970"/>
    <n v="5.2395369644640049E-7"/>
    <n v="267"/>
    <x v="2"/>
    <n v="1416"/>
  </r>
  <r>
    <s v="TAHIR , KUMMANODU"/>
    <x v="1250"/>
    <x v="3"/>
    <n v="99970"/>
    <n v="5.2395369644640049E-7"/>
    <n v="41"/>
    <x v="0"/>
    <n v="1416"/>
  </r>
  <r>
    <s v="SYAM PATTIMATTOM"/>
    <x v="1250"/>
    <x v="3"/>
    <n v="99970"/>
    <n v="5.2395369644640049E-7"/>
    <n v="250"/>
    <x v="2"/>
    <n v="1416"/>
  </r>
  <r>
    <s v="JASSEL MANNAMKUZHY"/>
    <x v="1251"/>
    <x v="3"/>
    <n v="99976"/>
    <n v="4.1916295715712041E-7"/>
    <n v="249"/>
    <x v="2"/>
    <n v="1419"/>
  </r>
  <r>
    <s v="JAIMON"/>
    <x v="1252"/>
    <x v="3"/>
    <n v="99980"/>
    <n v="3.4930246429760034E-7"/>
    <n v="186"/>
    <x v="2"/>
    <n v="1420"/>
  </r>
  <r>
    <s v="PAZINO INFOTECH"/>
    <x v="1252"/>
    <x v="3"/>
    <n v="99980"/>
    <n v="3.4930246429760034E-7"/>
    <n v="249"/>
    <x v="2"/>
    <n v="1420"/>
  </r>
  <r>
    <s v="MANU DRIVER KUMMANODE"/>
    <x v="1252"/>
    <x v="3"/>
    <n v="99980"/>
    <n v="3.4930246429760034E-7"/>
    <n v="148"/>
    <x v="2"/>
    <n v="1420"/>
  </r>
  <r>
    <s v="SUNIL CHENGARA"/>
    <x v="1252"/>
    <x v="3"/>
    <n v="99980"/>
    <n v="3.4930246429760034E-7"/>
    <n v="295"/>
    <x v="2"/>
    <n v="1420"/>
  </r>
  <r>
    <s v="AJITH KAITHAKKADU"/>
    <x v="1253"/>
    <x v="3"/>
    <n v="99988"/>
    <n v="2.0958147857856021E-7"/>
    <n v="248"/>
    <x v="2"/>
    <n v="1424"/>
  </r>
  <r>
    <s v="AZEES CHELAKKULAM"/>
    <x v="1254"/>
    <x v="3"/>
    <n v="99990"/>
    <n v="1.7465123214880017E-7"/>
    <n v="94"/>
    <x v="1"/>
    <n v="1425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  <r>
    <n v="0"/>
    <x v="1255"/>
    <x v="0"/>
    <n v="0"/>
    <e v="#VALUE!"/>
    <e v="#REF!"/>
    <x v="3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0867B-441B-4614-BC1F-F8983393991F}" name="PivotTable1" cacheId="23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6">
    <pivotField compact="0" numFmtId="15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ales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02659-85DA-4A71-9E1A-C4EA2F5C5B2A}" name="PivotTable2" cacheId="238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ustomers">
  <location ref="A3:C1428" firstHeaderRow="0" firstDataRow="1" firstDataCol="1"/>
  <pivotFields count="6">
    <pivotField dataField="1" numFmtId="15" showAll="0"/>
    <pivotField axis="axisRow" showAll="0" sortType="descending">
      <items count="1428">
        <item h="1" m="1" x="1426"/>
        <item x="331"/>
        <item x="217"/>
        <item x="1228"/>
        <item x="363"/>
        <item x="986"/>
        <item x="965"/>
        <item x="57"/>
        <item x="62"/>
        <item x="1126"/>
        <item x="1355"/>
        <item x="501"/>
        <item x="690"/>
        <item x="798"/>
        <item x="490"/>
        <item x="495"/>
        <item x="52"/>
        <item x="160"/>
        <item x="856"/>
        <item x="1247"/>
        <item x="1195"/>
        <item x="307"/>
        <item x="1171"/>
        <item x="43"/>
        <item x="435"/>
        <item x="1266"/>
        <item x="1274"/>
        <item x="824"/>
        <item x="287"/>
        <item x="865"/>
        <item x="314"/>
        <item x="80"/>
        <item x="750"/>
        <item x="888"/>
        <item x="734"/>
        <item x="98"/>
        <item x="346"/>
        <item x="229"/>
        <item x="461"/>
        <item x="327"/>
        <item x="827"/>
        <item x="1142"/>
        <item x="1114"/>
        <item x="1034"/>
        <item x="660"/>
        <item x="874"/>
        <item x="1341"/>
        <item x="694"/>
        <item x="621"/>
        <item x="1213"/>
        <item x="390"/>
        <item x="1267"/>
        <item x="1326"/>
        <item x="1362"/>
        <item x="1210"/>
        <item x="329"/>
        <item x="662"/>
        <item x="930"/>
        <item x="649"/>
        <item x="105"/>
        <item x="1224"/>
        <item x="816"/>
        <item x="148"/>
        <item x="27"/>
        <item x="4"/>
        <item x="881"/>
        <item x="1194"/>
        <item x="560"/>
        <item x="82"/>
        <item x="1196"/>
        <item x="1008"/>
        <item x="149"/>
        <item x="790"/>
        <item x="862"/>
        <item x="1192"/>
        <item x="54"/>
        <item x="609"/>
        <item x="1249"/>
        <item x="1414"/>
        <item x="616"/>
        <item x="945"/>
        <item x="92"/>
        <item x="512"/>
        <item x="488"/>
        <item x="828"/>
        <item x="1233"/>
        <item x="600"/>
        <item x="576"/>
        <item x="574"/>
        <item x="699"/>
        <item x="992"/>
        <item x="71"/>
        <item x="137"/>
        <item x="30"/>
        <item x="1316"/>
        <item x="1073"/>
        <item x="1053"/>
        <item x="1075"/>
        <item x="1237"/>
        <item x="749"/>
        <item x="1050"/>
        <item x="706"/>
        <item x="974"/>
        <item x="379"/>
        <item x="1250"/>
        <item x="50"/>
        <item x="1150"/>
        <item x="584"/>
        <item x="659"/>
        <item x="1333"/>
        <item x="164"/>
        <item x="349"/>
        <item x="714"/>
        <item x="466"/>
        <item x="1273"/>
        <item x="521"/>
        <item x="991"/>
        <item x="59"/>
        <item x="884"/>
        <item x="937"/>
        <item x="272"/>
        <item x="554"/>
        <item x="1268"/>
        <item x="26"/>
        <item x="556"/>
        <item x="810"/>
        <item x="743"/>
        <item x="285"/>
        <item x="383"/>
        <item x="744"/>
        <item x="1120"/>
        <item x="762"/>
        <item x="294"/>
        <item x="382"/>
        <item x="704"/>
        <item x="161"/>
        <item x="113"/>
        <item x="1188"/>
        <item x="1337"/>
        <item x="1097"/>
        <item x="1365"/>
        <item x="141"/>
        <item x="1"/>
        <item x="586"/>
        <item x="1293"/>
        <item x="115"/>
        <item x="1179"/>
        <item x="1105"/>
        <item x="300"/>
        <item x="935"/>
        <item x="83"/>
        <item x="933"/>
        <item x="663"/>
        <item x="276"/>
        <item x="665"/>
        <item x="887"/>
        <item x="682"/>
        <item x="845"/>
        <item x="1040"/>
        <item x="666"/>
        <item x="380"/>
        <item x="1028"/>
        <item x="319"/>
        <item x="326"/>
        <item x="590"/>
        <item x="1338"/>
        <item x="801"/>
        <item x="1395"/>
        <item x="1175"/>
        <item x="540"/>
        <item x="568"/>
        <item x="594"/>
        <item x="17"/>
        <item x="667"/>
        <item x="972"/>
        <item x="365"/>
        <item x="661"/>
        <item x="259"/>
        <item x="1317"/>
        <item x="368"/>
        <item x="196"/>
        <item x="29"/>
        <item x="193"/>
        <item x="311"/>
        <item x="1131"/>
        <item x="70"/>
        <item x="497"/>
        <item x="291"/>
        <item x="1091"/>
        <item x="756"/>
        <item x="1368"/>
        <item x="596"/>
        <item x="255"/>
        <item x="1209"/>
        <item x="211"/>
        <item x="475"/>
        <item x="91"/>
        <item x="782"/>
        <item x="736"/>
        <item x="1134"/>
        <item x="1221"/>
        <item x="957"/>
        <item x="1023"/>
        <item x="683"/>
        <item x="1151"/>
        <item x="626"/>
        <item x="75"/>
        <item x="1156"/>
        <item x="1145"/>
        <item x="76"/>
        <item x="1389"/>
        <item x="1416"/>
        <item x="1144"/>
        <item x="967"/>
        <item x="1163"/>
        <item x="317"/>
        <item x="1141"/>
        <item x="715"/>
        <item x="239"/>
        <item x="1047"/>
        <item x="13"/>
        <item x="412"/>
        <item x="1061"/>
        <item x="993"/>
        <item x="236"/>
        <item x="611"/>
        <item x="1255"/>
        <item x="354"/>
        <item x="281"/>
        <item x="1312"/>
        <item x="117"/>
        <item x="581"/>
        <item x="1129"/>
        <item x="708"/>
        <item x="817"/>
        <item x="1003"/>
        <item x="632"/>
        <item x="1027"/>
        <item x="243"/>
        <item x="439"/>
        <item x="514"/>
        <item x="1149"/>
        <item x="969"/>
        <item x="984"/>
        <item x="472"/>
        <item x="1226"/>
        <item x="550"/>
        <item x="334"/>
        <item x="924"/>
        <item x="504"/>
        <item x="191"/>
        <item x="1148"/>
        <item x="171"/>
        <item x="131"/>
        <item x="189"/>
        <item x="1227"/>
        <item x="612"/>
        <item x="455"/>
        <item x="38"/>
        <item x="1415"/>
        <item x="518"/>
        <item x="133"/>
        <item x="1390"/>
        <item x="1018"/>
        <item x="623"/>
        <item x="1384"/>
        <item x="587"/>
        <item x="1182"/>
        <item x="1184"/>
        <item x="277"/>
        <item x="1076"/>
        <item x="1205"/>
        <item x="823"/>
        <item x="341"/>
        <item x="428"/>
        <item x="820"/>
        <item x="846"/>
        <item x="589"/>
        <item x="127"/>
        <item x="997"/>
        <item x="1374"/>
        <item x="792"/>
        <item x="3"/>
        <item x="532"/>
        <item x="481"/>
        <item x="67"/>
        <item x="33"/>
        <item x="459"/>
        <item x="165"/>
        <item x="1115"/>
        <item x="218"/>
        <item x="417"/>
        <item x="1016"/>
        <item x="605"/>
        <item x="385"/>
        <item x="347"/>
        <item x="882"/>
        <item x="407"/>
        <item x="1055"/>
        <item x="441"/>
        <item x="647"/>
        <item x="1167"/>
        <item x="125"/>
        <item x="220"/>
        <item x="889"/>
        <item x="1222"/>
        <item x="583"/>
        <item x="1343"/>
        <item x="28"/>
        <item x="42"/>
        <item x="727"/>
        <item x="249"/>
        <item x="352"/>
        <item x="292"/>
        <item x="983"/>
        <item x="771"/>
        <item x="46"/>
        <item x="1202"/>
        <item x="831"/>
        <item x="199"/>
        <item x="333"/>
        <item x="751"/>
        <item x="247"/>
        <item x="799"/>
        <item x="1275"/>
        <item x="1367"/>
        <item x="895"/>
        <item x="1264"/>
        <item x="746"/>
        <item x="553"/>
        <item x="212"/>
        <item x="452"/>
        <item x="489"/>
        <item x="658"/>
        <item x="1328"/>
        <item x="1026"/>
        <item x="964"/>
        <item x="1081"/>
        <item x="538"/>
        <item x="1071"/>
        <item x="1093"/>
        <item x="1319"/>
        <item x="358"/>
        <item x="479"/>
        <item x="766"/>
        <item x="917"/>
        <item x="879"/>
        <item x="312"/>
        <item x="953"/>
        <item x="447"/>
        <item x="819"/>
        <item x="725"/>
        <item x="642"/>
        <item x="1422"/>
        <item x="36"/>
        <item x="286"/>
        <item x="1285"/>
        <item x="434"/>
        <item x="821"/>
        <item x="503"/>
        <item x="279"/>
        <item x="431"/>
        <item x="847"/>
        <item x="838"/>
        <item x="1284"/>
        <item x="789"/>
        <item x="537"/>
        <item x="237"/>
        <item x="891"/>
        <item x="228"/>
        <item x="1299"/>
        <item x="1207"/>
        <item x="1217"/>
        <item x="807"/>
        <item x="1086"/>
        <item x="904"/>
        <item x="200"/>
        <item x="1306"/>
        <item x="639"/>
        <item x="1218"/>
        <item x="1354"/>
        <item x="330"/>
        <item x="927"/>
        <item x="89"/>
        <item x="892"/>
        <item x="688"/>
        <item x="996"/>
        <item x="1225"/>
        <item x="1155"/>
        <item x="1077"/>
        <item x="1173"/>
        <item x="1033"/>
        <item x="302"/>
        <item x="1235"/>
        <item x="1197"/>
        <item x="1379"/>
        <item x="353"/>
        <item x="1152"/>
        <item x="1059"/>
        <item x="1085"/>
        <item x="188"/>
        <item x="791"/>
        <item x="203"/>
        <item x="22"/>
        <item x="1376"/>
        <item x="262"/>
        <item x="1272"/>
        <item x="182"/>
        <item x="140"/>
        <item x="1276"/>
        <item x="460"/>
        <item x="216"/>
        <item x="1176"/>
        <item x="525"/>
        <item x="1020"/>
        <item x="201"/>
        <item x="1409"/>
        <item x="486"/>
        <item x="1231"/>
        <item x="1116"/>
        <item x="548"/>
        <item x="231"/>
        <item x="315"/>
        <item x="685"/>
        <item x="1401"/>
        <item x="1138"/>
        <item x="541"/>
        <item x="778"/>
        <item x="1387"/>
        <item x="144"/>
        <item x="169"/>
        <item x="922"/>
        <item x="1323"/>
        <item x="65"/>
        <item x="1037"/>
        <item x="1140"/>
        <item x="1330"/>
        <item x="271"/>
        <item x="1334"/>
        <item x="812"/>
        <item x="500"/>
        <item x="1100"/>
        <item x="1139"/>
        <item x="351"/>
        <item x="61"/>
        <item x="453"/>
        <item x="397"/>
        <item x="114"/>
        <item x="1078"/>
        <item x="793"/>
        <item x="1212"/>
        <item x="990"/>
        <item x="832"/>
        <item x="701"/>
        <item x="641"/>
        <item x="369"/>
        <item x="1087"/>
        <item x="480"/>
        <item x="156"/>
        <item x="1044"/>
        <item x="477"/>
        <item x="858"/>
        <item x="1108"/>
        <item x="387"/>
        <item x="485"/>
        <item x="987"/>
        <item x="985"/>
        <item x="1124"/>
        <item x="278"/>
        <item x="650"/>
        <item x="637"/>
        <item x="752"/>
        <item x="1307"/>
        <item x="519"/>
        <item x="1130"/>
        <item x="1336"/>
        <item x="705"/>
        <item x="1295"/>
        <item x="194"/>
        <item x="393"/>
        <item x="995"/>
        <item x="739"/>
        <item x="1049"/>
        <item x="940"/>
        <item x="929"/>
        <item x="359"/>
        <item x="1382"/>
        <item x="625"/>
        <item x="119"/>
        <item x="843"/>
        <item x="357"/>
        <item x="907"/>
        <item x="580"/>
        <item x="1313"/>
        <item x="951"/>
        <item x="116"/>
        <item x="20"/>
        <item x="864"/>
        <item x="631"/>
        <item x="1070"/>
        <item x="711"/>
        <item x="565"/>
        <item x="424"/>
        <item x="703"/>
        <item x="1157"/>
        <item x="545"/>
        <item x="770"/>
        <item x="923"/>
        <item x="579"/>
        <item x="487"/>
        <item x="263"/>
        <item x="638"/>
        <item x="1314"/>
        <item x="1080"/>
        <item x="345"/>
        <item x="445"/>
        <item x="1119"/>
        <item x="1259"/>
        <item x="1159"/>
        <item x="60"/>
        <item x="1304"/>
        <item x="1128"/>
        <item x="968"/>
        <item x="802"/>
        <item x="1014"/>
        <item x="370"/>
        <item x="360"/>
        <item x="1048"/>
        <item x="803"/>
        <item x="1183"/>
        <item x="338"/>
        <item x="668"/>
        <item x="780"/>
        <item x="72"/>
        <item x="223"/>
        <item x="772"/>
        <item x="630"/>
        <item x="797"/>
        <item x="517"/>
        <item x="221"/>
        <item x="1000"/>
        <item x="970"/>
        <item x="1325"/>
        <item x="1417"/>
        <item x="1280"/>
        <item x="1412"/>
        <item x="264"/>
        <item x="1377"/>
        <item x="1064"/>
        <item x="680"/>
        <item x="691"/>
        <item x="49"/>
        <item x="978"/>
        <item x="1383"/>
        <item x="308"/>
        <item x="340"/>
        <item x="629"/>
        <item x="163"/>
        <item x="47"/>
        <item x="39"/>
        <item x="422"/>
        <item x="916"/>
        <item x="471"/>
        <item x="1214"/>
        <item x="242"/>
        <item x="932"/>
        <item x="1112"/>
        <item x="800"/>
        <item x="1398"/>
        <item x="1103"/>
        <item x="524"/>
        <item x="648"/>
        <item x="1301"/>
        <item x="297"/>
        <item x="1352"/>
        <item x="374"/>
        <item x="1262"/>
        <item x="1410"/>
        <item x="796"/>
        <item x="449"/>
        <item x="1396"/>
        <item x="465"/>
        <item x="456"/>
        <item x="381"/>
        <item x="522"/>
        <item x="529"/>
        <item x="1062"/>
        <item x="107"/>
        <item x="1013"/>
        <item x="593"/>
        <item x="622"/>
        <item x="654"/>
        <item x="516"/>
        <item x="34"/>
        <item x="773"/>
        <item x="1302"/>
        <item x="866"/>
        <item x="502"/>
        <item x="253"/>
        <item x="1253"/>
        <item x="508"/>
        <item x="429"/>
        <item x="962"/>
        <item x="64"/>
        <item x="1290"/>
        <item x="1162"/>
        <item x="718"/>
        <item x="815"/>
        <item x="273"/>
        <item x="84"/>
        <item x="1009"/>
        <item x="698"/>
        <item x="710"/>
        <item x="288"/>
        <item x="724"/>
        <item x="926"/>
        <item x="582"/>
        <item x="1375"/>
        <item x="394"/>
        <item x="1046"/>
        <item x="901"/>
        <item x="1327"/>
        <item x="179"/>
        <item x="645"/>
        <item x="1060"/>
        <item x="573"/>
        <item x="1318"/>
        <item x="10"/>
        <item x="145"/>
        <item x="1265"/>
        <item x="547"/>
        <item x="1065"/>
        <item x="233"/>
        <item x="912"/>
        <item x="702"/>
        <item x="1035"/>
        <item x="1038"/>
        <item x="619"/>
        <item x="1168"/>
        <item x="674"/>
        <item x="1110"/>
        <item x="143"/>
        <item x="860"/>
        <item x="1269"/>
        <item x="544"/>
        <item x="618"/>
        <item x="1223"/>
        <item x="948"/>
        <item x="79"/>
        <item x="876"/>
        <item x="1236"/>
        <item x="321"/>
        <item x="868"/>
        <item x="613"/>
        <item x="1418"/>
        <item x="1296"/>
        <item x="467"/>
        <item x="68"/>
        <item x="523"/>
        <item x="835"/>
        <item x="1185"/>
        <item x="676"/>
        <item x="398"/>
        <item x="549"/>
        <item x="716"/>
        <item x="476"/>
        <item x="339"/>
        <item x="671"/>
        <item x="296"/>
        <item x="1425"/>
        <item x="825"/>
        <item x="644"/>
        <item x="604"/>
        <item x="1347"/>
        <item x="267"/>
        <item x="463"/>
        <item x="157"/>
        <item x="336"/>
        <item x="437"/>
        <item x="1356"/>
        <item x="274"/>
        <item x="759"/>
        <item x="7"/>
        <item x="578"/>
        <item x="451"/>
        <item x="1024"/>
        <item x="530"/>
        <item x="100"/>
        <item x="651"/>
        <item x="851"/>
        <item x="599"/>
        <item x="730"/>
        <item x="74"/>
        <item x="729"/>
        <item x="146"/>
        <item x="299"/>
        <item x="836"/>
        <item x="1342"/>
        <item x="1321"/>
        <item x="738"/>
        <item x="1392"/>
        <item x="760"/>
        <item x="1189"/>
        <item x="902"/>
        <item x="571"/>
        <item x="99"/>
        <item x="1029"/>
        <item x="454"/>
        <item x="733"/>
        <item x="153"/>
        <item x="1118"/>
        <item x="304"/>
        <item x="1107"/>
        <item x="258"/>
        <item x="511"/>
        <item x="848"/>
        <item x="205"/>
        <item x="106"/>
        <item x="190"/>
        <item x="783"/>
        <item x="12"/>
        <item x="919"/>
        <item x="808"/>
        <item x="788"/>
        <item x="696"/>
        <item x="664"/>
        <item x="728"/>
        <item x="880"/>
        <item x="2"/>
        <item x="918"/>
        <item x="178"/>
        <item x="269"/>
        <item x="603"/>
        <item x="863"/>
        <item x="45"/>
        <item x="73"/>
        <item x="230"/>
        <item x="185"/>
        <item x="679"/>
        <item x="366"/>
        <item x="722"/>
        <item x="900"/>
        <item x="873"/>
        <item x="1160"/>
        <item x="896"/>
        <item x="952"/>
        <item x="687"/>
        <item x="677"/>
        <item x="941"/>
        <item x="606"/>
        <item x="681"/>
        <item x="421"/>
        <item x="158"/>
        <item x="391"/>
        <item x="977"/>
        <item x="469"/>
        <item x="483"/>
        <item x="505"/>
        <item x="597"/>
        <item x="41"/>
        <item x="416"/>
        <item x="533"/>
        <item x="723"/>
        <item x="470"/>
        <item x="1388"/>
        <item x="1322"/>
        <item x="813"/>
        <item x="737"/>
        <item x="925"/>
        <item x="101"/>
        <item x="608"/>
        <item x="443"/>
        <item x="1424"/>
        <item x="468"/>
        <item x="298"/>
        <item x="672"/>
        <item x="826"/>
        <item x="764"/>
        <item x="446"/>
        <item x="265"/>
        <item x="1393"/>
        <item x="328"/>
        <item x="564"/>
        <item x="795"/>
        <item x="920"/>
        <item x="335"/>
        <item x="1051"/>
        <item x="646"/>
        <item x="332"/>
        <item x="562"/>
        <item x="1373"/>
        <item x="1372"/>
        <item x="1360"/>
        <item x="869"/>
        <item x="692"/>
        <item x="208"/>
        <item x="16"/>
        <item x="1413"/>
        <item x="66"/>
        <item x="615"/>
        <item x="348"/>
        <item x="1358"/>
        <item x="989"/>
        <item x="1288"/>
        <item x="1104"/>
        <item x="814"/>
        <item x="410"/>
        <item x="0"/>
        <item x="1286"/>
        <item x="1420"/>
        <item x="775"/>
        <item x="786"/>
        <item x="1170"/>
        <item x="769"/>
        <item x="275"/>
        <item x="464"/>
        <item x="767"/>
        <item x="86"/>
        <item x="717"/>
        <item x="484"/>
        <item x="373"/>
        <item x="282"/>
        <item x="244"/>
        <item x="154"/>
        <item x="971"/>
        <item x="1364"/>
        <item x="1291"/>
        <item x="1254"/>
        <item x="355"/>
        <item x="225"/>
        <item x="234"/>
        <item x="1054"/>
        <item x="1411"/>
        <item x="1394"/>
        <item x="861"/>
        <item x="494"/>
        <item x="735"/>
        <item x="942"/>
        <item x="1216"/>
        <item x="310"/>
        <item x="90"/>
        <item x="1399"/>
        <item x="261"/>
        <item x="1017"/>
        <item x="260"/>
        <item x="1166"/>
        <item x="1181"/>
        <item x="591"/>
        <item x="966"/>
        <item x="436"/>
        <item x="402"/>
        <item x="1357"/>
        <item x="634"/>
        <item x="184"/>
        <item x="915"/>
        <item x="765"/>
        <item x="753"/>
        <item x="186"/>
        <item x="173"/>
        <item x="721"/>
        <item x="254"/>
        <item x="289"/>
        <item x="108"/>
        <item x="35"/>
        <item x="378"/>
        <item x="142"/>
        <item x="1263"/>
        <item x="135"/>
        <item x="104"/>
        <item x="1315"/>
        <item x="401"/>
        <item x="316"/>
        <item x="180"/>
        <item x="1133"/>
        <item x="5"/>
        <item x="1232"/>
        <item x="301"/>
        <item x="979"/>
        <item x="419"/>
        <item x="1180"/>
        <item x="1200"/>
        <item x="126"/>
        <item x="1348"/>
        <item x="552"/>
        <item x="1219"/>
        <item x="241"/>
        <item x="427"/>
        <item x="95"/>
        <item x="841"/>
        <item x="1405"/>
        <item x="1096"/>
        <item x="908"/>
        <item x="784"/>
        <item x="1407"/>
        <item x="386"/>
        <item x="1371"/>
        <item x="1248"/>
        <item x="1158"/>
        <item x="840"/>
        <item x="122"/>
        <item x="440"/>
        <item x="25"/>
        <item x="1199"/>
        <item x="102"/>
        <item x="1344"/>
        <item x="129"/>
        <item x="913"/>
        <item x="309"/>
        <item x="982"/>
        <item x="1090"/>
        <item x="878"/>
        <item x="303"/>
        <item x="213"/>
        <item x="23"/>
        <item x="130"/>
        <item x="1230"/>
        <item x="1391"/>
        <item x="6"/>
        <item x="954"/>
        <item x="118"/>
        <item x="506"/>
        <item x="1066"/>
        <item x="539"/>
        <item x="1270"/>
        <item x="526"/>
        <item x="693"/>
        <item x="344"/>
        <item x="563"/>
        <item x="227"/>
        <item x="1353"/>
        <item x="159"/>
        <item x="636"/>
        <item x="758"/>
        <item x="56"/>
        <item x="628"/>
        <item x="53"/>
        <item x="207"/>
        <item x="155"/>
        <item x="1350"/>
        <item x="531"/>
        <item x="588"/>
        <item x="994"/>
        <item x="909"/>
        <item x="77"/>
        <item x="1423"/>
        <item x="1042"/>
        <item x="482"/>
        <item x="478"/>
        <item x="1169"/>
        <item x="1366"/>
        <item x="1378"/>
        <item x="376"/>
        <item x="1404"/>
        <item x="134"/>
        <item x="961"/>
        <item x="1036"/>
        <item x="235"/>
        <item x="87"/>
        <item x="1271"/>
        <item x="222"/>
        <item x="85"/>
        <item x="206"/>
        <item x="806"/>
        <item x="601"/>
        <item x="1069"/>
        <item x="313"/>
        <item x="257"/>
        <item x="1002"/>
        <item x="1400"/>
        <item x="1068"/>
        <item x="1329"/>
        <item x="176"/>
        <item x="32"/>
        <item x="395"/>
        <item x="1011"/>
        <item x="1109"/>
        <item x="1083"/>
        <item x="1283"/>
        <item x="872"/>
        <item x="546"/>
        <item x="1310"/>
        <item x="958"/>
        <item x="342"/>
        <item x="1089"/>
        <item x="686"/>
        <item x="555"/>
        <item x="700"/>
        <item x="755"/>
        <item x="1229"/>
        <item x="1204"/>
        <item x="785"/>
        <item x="839"/>
        <item x="1359"/>
        <item x="1057"/>
        <item x="569"/>
        <item x="818"/>
        <item x="950"/>
        <item x="1041"/>
        <item x="306"/>
        <item x="14"/>
        <item x="1385"/>
        <item x="377"/>
        <item x="210"/>
        <item x="172"/>
        <item x="1022"/>
        <item x="936"/>
        <item x="343"/>
        <item x="280"/>
        <item x="542"/>
        <item x="136"/>
        <item x="426"/>
        <item x="1067"/>
        <item x="635"/>
        <item x="320"/>
        <item x="513"/>
        <item x="1154"/>
        <item x="150"/>
        <item x="1370"/>
        <item x="1324"/>
        <item x="946"/>
        <item x="911"/>
        <item x="284"/>
        <item x="731"/>
        <item x="740"/>
        <item x="732"/>
        <item x="409"/>
        <item x="949"/>
        <item x="592"/>
        <item x="31"/>
        <item x="875"/>
        <item x="1260"/>
        <item x="1289"/>
        <item x="415"/>
        <item x="1135"/>
        <item x="653"/>
        <item x="1287"/>
        <item x="1206"/>
        <item x="215"/>
        <item x="170"/>
        <item x="226"/>
        <item x="1025"/>
        <item x="1122"/>
        <item x="438"/>
        <item x="356"/>
        <item x="168"/>
        <item x="1006"/>
        <item x="890"/>
        <item x="585"/>
        <item x="367"/>
        <item x="1172"/>
        <item x="1111"/>
        <item x="1311"/>
        <item x="425"/>
        <item x="433"/>
        <item x="430"/>
        <item x="689"/>
        <item x="1297"/>
        <item x="988"/>
        <item x="162"/>
        <item x="849"/>
        <item x="392"/>
        <item x="748"/>
        <item x="37"/>
        <item x="1099"/>
        <item x="777"/>
        <item x="405"/>
        <item x="822"/>
        <item x="811"/>
        <item x="976"/>
        <item x="252"/>
        <item x="202"/>
        <item x="981"/>
        <item x="250"/>
        <item x="1332"/>
        <item x="1300"/>
        <item x="1346"/>
        <item x="432"/>
        <item x="290"/>
        <item x="1406"/>
        <item x="779"/>
        <item x="652"/>
        <item x="499"/>
        <item x="1043"/>
        <item x="256"/>
        <item x="640"/>
        <item x="602"/>
        <item x="1421"/>
        <item x="240"/>
        <item x="94"/>
        <item x="617"/>
        <item x="414"/>
        <item x="713"/>
        <item x="1294"/>
        <item x="1058"/>
        <item x="695"/>
        <item x="266"/>
        <item x="910"/>
        <item x="245"/>
        <item x="375"/>
        <item x="754"/>
        <item x="1039"/>
        <item x="559"/>
        <item x="1123"/>
        <item x="11"/>
        <item x="670"/>
        <item x="561"/>
        <item x="1246"/>
        <item x="1281"/>
        <item x="458"/>
        <item x="830"/>
        <item x="1245"/>
        <item x="1252"/>
        <item x="899"/>
        <item x="757"/>
        <item x="883"/>
        <item x="870"/>
        <item x="1032"/>
        <item x="8"/>
        <item x="614"/>
        <item x="58"/>
        <item x="350"/>
        <item x="1292"/>
        <item x="362"/>
        <item x="774"/>
        <item x="684"/>
        <item x="850"/>
        <item x="399"/>
        <item x="624"/>
        <item x="510"/>
        <item x="1335"/>
        <item x="147"/>
        <item x="678"/>
        <item x="1178"/>
        <item x="400"/>
        <item x="509"/>
        <item x="462"/>
        <item x="1084"/>
        <item x="293"/>
        <item x="1146"/>
        <item x="1079"/>
        <item x="944"/>
        <item x="418"/>
        <item x="110"/>
        <item x="1101"/>
        <item x="384"/>
        <item x="166"/>
        <item x="128"/>
        <item x="192"/>
        <item x="1198"/>
        <item x="943"/>
        <item x="1007"/>
        <item x="1251"/>
        <item x="9"/>
        <item x="473"/>
        <item x="1015"/>
        <item x="598"/>
        <item x="238"/>
        <item x="97"/>
        <item x="938"/>
        <item x="1282"/>
        <item x="998"/>
        <item x="934"/>
        <item x="152"/>
        <item x="877"/>
        <item x="1190"/>
        <item x="1211"/>
        <item x="1161"/>
        <item x="1256"/>
        <item x="448"/>
        <item x="55"/>
        <item x="403"/>
        <item x="283"/>
        <item x="270"/>
        <item x="372"/>
        <item x="224"/>
        <item x="1361"/>
        <item x="195"/>
        <item x="183"/>
        <item x="833"/>
        <item x="1143"/>
        <item x="893"/>
        <item x="620"/>
        <item x="1005"/>
        <item x="963"/>
        <item x="776"/>
        <item x="1208"/>
        <item x="323"/>
        <item x="251"/>
        <item x="844"/>
        <item x="745"/>
        <item x="1309"/>
        <item x="1320"/>
        <item x="781"/>
        <item x="1177"/>
        <item x="1125"/>
        <item x="853"/>
        <item x="295"/>
        <item x="1045"/>
        <item x="204"/>
        <item x="322"/>
        <item x="726"/>
        <item x="527"/>
        <item x="931"/>
        <item x="975"/>
        <item x="88"/>
        <item x="1220"/>
        <item x="1095"/>
        <item x="903"/>
        <item x="1012"/>
        <item x="1397"/>
        <item x="697"/>
        <item x="906"/>
        <item x="1094"/>
        <item x="96"/>
        <item x="809"/>
        <item x="607"/>
        <item x="1240"/>
        <item x="40"/>
        <item x="493"/>
        <item x="1238"/>
        <item x="318"/>
        <item x="15"/>
        <item x="1106"/>
        <item x="423"/>
        <item x="768"/>
        <item x="570"/>
        <item x="1153"/>
        <item x="720"/>
        <item x="124"/>
        <item x="19"/>
        <item x="1402"/>
        <item x="1052"/>
        <item x="232"/>
        <item x="1019"/>
        <item x="897"/>
        <item x="1074"/>
        <item x="956"/>
        <item x="139"/>
        <item x="492"/>
        <item x="112"/>
        <item x="837"/>
        <item x="1098"/>
        <item x="761"/>
        <item x="209"/>
        <item x="742"/>
        <item x="151"/>
        <item x="1165"/>
        <item x="515"/>
        <item x="1201"/>
        <item x="857"/>
        <item x="181"/>
        <item x="557"/>
        <item x="528"/>
        <item x="1010"/>
        <item x="719"/>
        <item x="123"/>
        <item x="928"/>
        <item x="450"/>
        <item x="794"/>
        <item x="1369"/>
        <item x="947"/>
        <item x="1242"/>
        <item x="855"/>
        <item x="1113"/>
        <item x="1117"/>
        <item x="1031"/>
        <item x="558"/>
        <item x="177"/>
        <item x="885"/>
        <item x="805"/>
        <item x="1063"/>
        <item x="595"/>
        <item x="1408"/>
        <item x="198"/>
        <item x="69"/>
        <item x="18"/>
        <item x="103"/>
        <item x="413"/>
        <item x="24"/>
        <item x="1164"/>
        <item x="627"/>
        <item x="610"/>
        <item x="1030"/>
        <item x="657"/>
        <item x="1137"/>
        <item x="1174"/>
        <item x="741"/>
        <item x="1004"/>
        <item x="955"/>
        <item x="566"/>
        <item x="551"/>
        <item x="1021"/>
        <item x="1349"/>
        <item x="656"/>
        <item x="536"/>
        <item x="1261"/>
        <item x="78"/>
        <item x="886"/>
        <item x="1340"/>
        <item x="1345"/>
        <item x="81"/>
        <item x="175"/>
        <item x="707"/>
        <item x="973"/>
        <item x="1147"/>
        <item x="1203"/>
        <item x="120"/>
        <item x="457"/>
        <item x="474"/>
        <item x="921"/>
        <item x="21"/>
        <item x="787"/>
        <item x="408"/>
        <item x="543"/>
        <item x="404"/>
        <item x="496"/>
        <item x="1339"/>
        <item x="187"/>
        <item x="914"/>
        <item x="852"/>
        <item x="655"/>
        <item x="1258"/>
        <item x="747"/>
        <item x="980"/>
        <item x="1092"/>
        <item x="246"/>
        <item x="669"/>
        <item x="1363"/>
        <item x="675"/>
        <item x="93"/>
        <item x="268"/>
        <item x="197"/>
        <item x="1308"/>
        <item x="51"/>
        <item x="1121"/>
        <item x="575"/>
        <item x="364"/>
        <item x="109"/>
        <item x="337"/>
        <item x="871"/>
        <item x="396"/>
        <item x="325"/>
        <item x="48"/>
        <item x="167"/>
        <item x="712"/>
        <item x="132"/>
        <item x="1239"/>
        <item x="959"/>
        <item x="1419"/>
        <item x="643"/>
        <item x="633"/>
        <item x="1234"/>
        <item x="534"/>
        <item x="999"/>
        <item x="498"/>
        <item x="1243"/>
        <item x="1278"/>
        <item x="248"/>
        <item x="1351"/>
        <item x="894"/>
        <item x="507"/>
        <item x="1244"/>
        <item x="371"/>
        <item x="1187"/>
        <item x="1277"/>
        <item x="406"/>
        <item x="1241"/>
        <item x="939"/>
        <item x="763"/>
        <item x="905"/>
        <item x="214"/>
        <item x="709"/>
        <item x="1193"/>
        <item x="1056"/>
        <item x="442"/>
        <item x="834"/>
        <item x="1279"/>
        <item x="572"/>
        <item x="1132"/>
        <item x="960"/>
        <item x="411"/>
        <item x="420"/>
        <item x="219"/>
        <item x="867"/>
        <item x="1191"/>
        <item x="324"/>
        <item x="1215"/>
        <item x="1331"/>
        <item x="567"/>
        <item x="804"/>
        <item x="121"/>
        <item x="1102"/>
        <item x="1186"/>
        <item x="389"/>
        <item x="361"/>
        <item x="1072"/>
        <item x="1403"/>
        <item x="1298"/>
        <item x="1136"/>
        <item x="842"/>
        <item x="388"/>
        <item x="1082"/>
        <item x="174"/>
        <item x="1380"/>
        <item x="520"/>
        <item x="854"/>
        <item x="535"/>
        <item x="898"/>
        <item x="111"/>
        <item x="1303"/>
        <item x="1257"/>
        <item x="305"/>
        <item x="44"/>
        <item x="577"/>
        <item x="1001"/>
        <item x="673"/>
        <item x="1088"/>
        <item x="1305"/>
        <item x="829"/>
        <item x="444"/>
        <item x="1381"/>
        <item x="1386"/>
        <item x="859"/>
        <item x="491"/>
        <item x="1127"/>
        <item x="63"/>
        <item h="1" x="13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1"/>
  </rowFields>
  <rowItems count="1425">
    <i>
      <x v="913"/>
    </i>
    <i>
      <x v="998"/>
    </i>
    <i>
      <x v="196"/>
    </i>
    <i>
      <x v="1055"/>
    </i>
    <i>
      <x v="1411"/>
    </i>
    <i>
      <x v="1103"/>
    </i>
    <i>
      <x v="64"/>
    </i>
    <i>
      <x v="603"/>
    </i>
    <i>
      <x v="1117"/>
    </i>
    <i>
      <x v="496"/>
    </i>
    <i>
      <x v="239"/>
    </i>
    <i>
      <x v="627"/>
    </i>
    <i>
      <x v="593"/>
    </i>
    <i>
      <x v="1038"/>
    </i>
    <i>
      <x v="557"/>
    </i>
    <i>
      <x v="558"/>
    </i>
    <i>
      <x v="1095"/>
    </i>
    <i>
      <x v="145"/>
    </i>
    <i>
      <x v="652"/>
    </i>
    <i>
      <x v="16"/>
    </i>
    <i>
      <x v="1274"/>
    </i>
    <i>
      <x v="573"/>
    </i>
    <i>
      <x v="999"/>
    </i>
    <i>
      <x v="525"/>
    </i>
    <i>
      <x v="885"/>
    </i>
    <i>
      <x v="1385"/>
    </i>
    <i>
      <x v="779"/>
    </i>
    <i>
      <x v="124"/>
    </i>
    <i>
      <x v="1077"/>
    </i>
    <i>
      <x v="408"/>
    </i>
    <i>
      <x v="252"/>
    </i>
    <i>
      <x v="704"/>
    </i>
    <i>
      <x v="643"/>
    </i>
    <i>
      <x v="1044"/>
    </i>
    <i>
      <x v="199"/>
    </i>
    <i>
      <x v="796"/>
    </i>
    <i>
      <x v="536"/>
    </i>
    <i>
      <x v="1036"/>
    </i>
    <i>
      <x v="1009"/>
    </i>
    <i>
      <x v="44"/>
    </i>
    <i>
      <x v="650"/>
    </i>
    <i>
      <x v="185"/>
    </i>
    <i>
      <x v="667"/>
    </i>
    <i>
      <x v="194"/>
    </i>
    <i>
      <x v="1357"/>
    </i>
    <i>
      <x v="767"/>
    </i>
    <i>
      <x v="43"/>
    </i>
    <i>
      <x v="19"/>
    </i>
    <i>
      <x v="1097"/>
    </i>
    <i>
      <x v="203"/>
    </i>
    <i>
      <x v="308"/>
    </i>
    <i>
      <x v="862"/>
    </i>
    <i>
      <x v="1341"/>
    </i>
    <i>
      <x v="926"/>
    </i>
    <i>
      <x v="1221"/>
    </i>
    <i>
      <x v="877"/>
    </i>
    <i>
      <x v="76"/>
    </i>
    <i>
      <x v="48"/>
    </i>
    <i>
      <x v="806"/>
    </i>
    <i>
      <x v="930"/>
    </i>
    <i>
      <x v="461"/>
    </i>
    <i>
      <x v="108"/>
    </i>
    <i>
      <x v="1213"/>
    </i>
    <i>
      <x v="901"/>
    </i>
    <i>
      <x v="672"/>
    </i>
    <i>
      <x v="1275"/>
    </i>
    <i>
      <x v="1185"/>
    </i>
    <i>
      <x v="190"/>
    </i>
    <i>
      <x v="648"/>
    </i>
    <i>
      <x v="1125"/>
    </i>
    <i>
      <x v="367"/>
    </i>
    <i>
      <x v="426"/>
    </i>
    <i>
      <x v="660"/>
    </i>
    <i>
      <x v="420"/>
    </i>
    <i>
      <x v="755"/>
    </i>
    <i>
      <x v="1319"/>
    </i>
    <i>
      <x v="80"/>
    </i>
    <i>
      <x v="34"/>
    </i>
    <i>
      <x v="858"/>
    </i>
    <i>
      <x v="940"/>
    </i>
    <i>
      <x v="1060"/>
    </i>
    <i>
      <x v="1257"/>
    </i>
    <i>
      <x v="123"/>
    </i>
    <i>
      <x v="981"/>
    </i>
    <i>
      <x v="101"/>
    </i>
    <i>
      <x v="622"/>
    </i>
    <i>
      <x v="172"/>
    </i>
    <i>
      <x v="853"/>
    </i>
    <i>
      <x v="192"/>
    </i>
    <i>
      <x v="991"/>
    </i>
    <i>
      <x v="758"/>
    </i>
    <i>
      <x v="1296"/>
    </i>
    <i>
      <x v="191"/>
    </i>
    <i>
      <x v="1248"/>
    </i>
    <i>
      <x v="206"/>
    </i>
    <i>
      <x v="1271"/>
    </i>
    <i>
      <x v="37"/>
    </i>
    <i>
      <x v="160"/>
    </i>
    <i>
      <x v="294"/>
    </i>
    <i>
      <x v="1307"/>
    </i>
    <i>
      <x v="703"/>
    </i>
    <i>
      <x v="383"/>
    </i>
    <i>
      <x v="609"/>
    </i>
    <i>
      <x v="972"/>
    </i>
    <i>
      <x v="515"/>
    </i>
    <i>
      <x v="618"/>
    </i>
    <i>
      <x v="292"/>
    </i>
    <i>
      <x v="740"/>
    </i>
    <i>
      <x v="499"/>
    </i>
    <i>
      <x v="957"/>
    </i>
    <i>
      <x v="352"/>
    </i>
    <i>
      <x v="1047"/>
    </i>
    <i>
      <x v="220"/>
    </i>
    <i>
      <x v="1379"/>
    </i>
    <i>
      <x v="1204"/>
    </i>
    <i>
      <x v="47"/>
    </i>
    <i>
      <x v="872"/>
    </i>
    <i>
      <x v="1101"/>
    </i>
    <i>
      <x v="361"/>
    </i>
    <i>
      <x v="928"/>
    </i>
    <i>
      <x v="1324"/>
    </i>
    <i>
      <x v="437"/>
    </i>
    <i>
      <x v="1159"/>
    </i>
    <i>
      <x v="761"/>
    </i>
    <i>
      <x v="9"/>
    </i>
    <i>
      <x v="608"/>
    </i>
    <i>
      <x v="634"/>
    </i>
    <i>
      <x v="246"/>
    </i>
    <i>
      <x v="936"/>
    </i>
    <i>
      <x v="482"/>
    </i>
    <i>
      <x v="282"/>
    </i>
    <i>
      <x v="1130"/>
    </i>
    <i>
      <x v="1258"/>
    </i>
    <i>
      <x v="436"/>
    </i>
    <i>
      <x v="570"/>
    </i>
    <i>
      <x v="1287"/>
    </i>
    <i>
      <x v="470"/>
    </i>
    <i>
      <x v="727"/>
    </i>
    <i>
      <x v="852"/>
    </i>
    <i>
      <x v="579"/>
    </i>
    <i>
      <x v="717"/>
    </i>
    <i>
      <x v="966"/>
    </i>
    <i>
      <x v="542"/>
    </i>
    <i>
      <x v="1389"/>
    </i>
    <i>
      <x v="698"/>
    </i>
    <i>
      <x v="630"/>
    </i>
    <i>
      <x v="2"/>
    </i>
    <i>
      <x v="882"/>
    </i>
    <i>
      <x v="1137"/>
    </i>
    <i>
      <x v="387"/>
    </i>
    <i>
      <x v="732"/>
    </i>
    <i>
      <x v="204"/>
    </i>
    <i>
      <x v="236"/>
    </i>
    <i>
      <x v="104"/>
    </i>
    <i>
      <x v="842"/>
    </i>
    <i>
      <x v="245"/>
    </i>
    <i>
      <x v="710"/>
    </i>
    <i>
      <x v="488"/>
    </i>
    <i>
      <x v="328"/>
    </i>
    <i>
      <x v="829"/>
    </i>
    <i>
      <x v="655"/>
    </i>
    <i>
      <x v="1239"/>
    </i>
    <i>
      <x v="254"/>
    </i>
    <i>
      <x v="1253"/>
    </i>
    <i>
      <x v="1289"/>
    </i>
    <i>
      <x v="177"/>
    </i>
    <i>
      <x v="1232"/>
    </i>
    <i>
      <x v="1346"/>
    </i>
    <i>
      <x v="682"/>
    </i>
    <i>
      <x v="1408"/>
    </i>
    <i>
      <x v="439"/>
    </i>
    <i>
      <x v="534"/>
    </i>
    <i>
      <x v="997"/>
    </i>
    <i>
      <x v="519"/>
    </i>
    <i>
      <x v="170"/>
    </i>
    <i>
      <x v="540"/>
    </i>
    <i>
      <x v="421"/>
    </i>
    <i>
      <x v="1183"/>
    </i>
    <i>
      <x v="285"/>
    </i>
    <i>
      <x v="794"/>
    </i>
    <i>
      <x v="333"/>
    </i>
    <i>
      <x v="720"/>
    </i>
    <i>
      <x v="391"/>
    </i>
    <i>
      <x v="849"/>
    </i>
    <i>
      <x v="1382"/>
    </i>
    <i>
      <x v="839"/>
    </i>
    <i>
      <x v="1058"/>
    </i>
    <i>
      <x v="1175"/>
    </i>
    <i>
      <x v="353"/>
    </i>
    <i>
      <x v="647"/>
    </i>
    <i>
      <x v="1353"/>
    </i>
    <i>
      <x v="105"/>
    </i>
    <i>
      <x v="597"/>
    </i>
    <i>
      <x v="316"/>
    </i>
    <i>
      <x v="1021"/>
    </i>
    <i>
      <x v="948"/>
    </i>
    <i>
      <x v="23"/>
    </i>
    <i>
      <x v="151"/>
    </i>
    <i>
      <x v="598"/>
    </i>
    <i>
      <x v="135"/>
    </i>
    <i>
      <x v="473"/>
    </i>
    <i>
      <x v="503"/>
    </i>
    <i>
      <x v="1196"/>
    </i>
    <i>
      <x v="78"/>
    </i>
    <i>
      <x v="1247"/>
    </i>
    <i>
      <x v="968"/>
    </i>
    <i>
      <x v="1061"/>
    </i>
    <i>
      <x v="800"/>
    </i>
    <i>
      <x v="629"/>
    </i>
    <i>
      <x v="753"/>
    </i>
    <i>
      <x v="713"/>
    </i>
    <i>
      <x v="1028"/>
    </i>
    <i>
      <x v="1250"/>
    </i>
    <i>
      <x v="1057"/>
    </i>
    <i>
      <x v="543"/>
    </i>
    <i>
      <x v="587"/>
    </i>
    <i>
      <x v="109"/>
    </i>
    <i>
      <x v="631"/>
    </i>
    <i>
      <x v="401"/>
    </i>
    <i>
      <x v="782"/>
    </i>
    <i>
      <x v="358"/>
    </i>
    <i>
      <x v="1388"/>
    </i>
    <i>
      <x v="1217"/>
    </i>
    <i>
      <x v="735"/>
    </i>
    <i>
      <x v="195"/>
    </i>
    <i>
      <x v="17"/>
    </i>
    <i>
      <x v="423"/>
    </i>
    <i>
      <x v="137"/>
    </i>
    <i>
      <x v="943"/>
    </i>
    <i>
      <x v="832"/>
    </i>
    <i>
      <x v="1219"/>
    </i>
    <i>
      <x v="1113"/>
    </i>
    <i>
      <x v="354"/>
    </i>
    <i>
      <x v="322"/>
    </i>
    <i>
      <x v="1037"/>
    </i>
    <i>
      <x v="701"/>
    </i>
    <i>
      <x v="422"/>
    </i>
    <i>
      <x v="1312"/>
    </i>
    <i>
      <x v="611"/>
    </i>
    <i>
      <x v="1158"/>
    </i>
    <i>
      <x v="483"/>
    </i>
    <i>
      <x v="274"/>
    </i>
    <i>
      <x v="835"/>
    </i>
    <i>
      <x v="583"/>
    </i>
    <i>
      <x v="983"/>
    </i>
    <i>
      <x v="730"/>
    </i>
    <i>
      <x v="893"/>
    </i>
    <i>
      <x v="27"/>
    </i>
    <i>
      <x v="94"/>
    </i>
    <i>
      <x v="509"/>
    </i>
    <i>
      <x v="765"/>
    </i>
    <i>
      <x v="396"/>
    </i>
    <i>
      <x v="591"/>
    </i>
    <i>
      <x v="838"/>
    </i>
    <i>
      <x v="804"/>
    </i>
    <i>
      <x v="1065"/>
    </i>
    <i>
      <x v="1035"/>
    </i>
    <i>
      <x v="77"/>
    </i>
    <i>
      <x v="258"/>
    </i>
    <i>
      <x v="1003"/>
    </i>
    <i>
      <x v="1116"/>
    </i>
    <i>
      <x v="447"/>
    </i>
    <i>
      <x v="3"/>
    </i>
    <i>
      <x v="146"/>
    </i>
    <i>
      <x v="635"/>
    </i>
    <i>
      <x v="1083"/>
    </i>
    <i>
      <x v="1165"/>
    </i>
    <i>
      <x v="590"/>
    </i>
    <i>
      <x v="28"/>
    </i>
    <i>
      <x v="902"/>
    </i>
    <i>
      <x v="480"/>
    </i>
    <i>
      <x v="555"/>
    </i>
    <i>
      <x v="186"/>
    </i>
    <i>
      <x v="546"/>
    </i>
    <i>
      <x v="1135"/>
    </i>
    <i>
      <x v="1314"/>
    </i>
    <i>
      <x v="907"/>
    </i>
    <i>
      <x v="487"/>
    </i>
    <i>
      <x v="1371"/>
    </i>
    <i>
      <x v="141"/>
    </i>
    <i>
      <x v="1358"/>
    </i>
    <i>
      <x v="888"/>
    </i>
    <i>
      <x v="931"/>
    </i>
    <i>
      <x v="813"/>
    </i>
    <i>
      <x v="1318"/>
    </i>
    <i>
      <x v="181"/>
    </i>
    <i>
      <x v="362"/>
    </i>
    <i>
      <x v="527"/>
    </i>
    <i>
      <x v="303"/>
    </i>
    <i>
      <x v="451"/>
    </i>
    <i>
      <x v="162"/>
    </i>
    <i>
      <x v="520"/>
    </i>
    <i>
      <x v="222"/>
    </i>
    <i>
      <x v="1074"/>
    </i>
    <i>
      <x v="1002"/>
    </i>
    <i>
      <x v="7"/>
    </i>
    <i>
      <x v="5"/>
    </i>
    <i>
      <x v="1218"/>
    </i>
    <i>
      <x v="1295"/>
    </i>
    <i>
      <x v="1424"/>
    </i>
    <i>
      <x v="1205"/>
    </i>
    <i>
      <x v="1276"/>
    </i>
    <i>
      <x v="126"/>
    </i>
    <i>
      <x v="360"/>
    </i>
    <i>
      <x v="1160"/>
    </i>
    <i>
      <x v="300"/>
    </i>
    <i>
      <x v="815"/>
    </i>
    <i>
      <x v="780"/>
    </i>
    <i>
      <x v="65"/>
    </i>
    <i>
      <x v="1222"/>
    </i>
    <i>
      <x v="1071"/>
    </i>
    <i>
      <x v="1360"/>
    </i>
    <i>
      <x v="1188"/>
    </i>
    <i>
      <x v="249"/>
    </i>
    <i>
      <x v="1404"/>
    </i>
    <i>
      <x v="903"/>
    </i>
    <i>
      <x v="766"/>
    </i>
    <i>
      <x v="760"/>
    </i>
    <i>
      <x v="41"/>
    </i>
    <i>
      <x v="1053"/>
    </i>
    <i>
      <x v="440"/>
    </i>
    <i>
      <x v="1280"/>
    </i>
    <i>
      <x v="1282"/>
    </i>
    <i>
      <x v="1094"/>
    </i>
    <i>
      <x v="506"/>
    </i>
    <i>
      <x v="561"/>
    </i>
    <i>
      <x v="8"/>
    </i>
    <i>
      <x v="911"/>
    </i>
    <i>
      <x v="1024"/>
    </i>
    <i>
      <x v="1220"/>
    </i>
    <i>
      <x v="227"/>
    </i>
    <i>
      <x v="1201"/>
    </i>
    <i>
      <x v="371"/>
    </i>
    <i>
      <x v="318"/>
    </i>
    <i>
      <x v="1040"/>
    </i>
    <i>
      <x v="1078"/>
    </i>
    <i>
      <x v="712"/>
    </i>
    <i>
      <x v="91"/>
    </i>
    <i>
      <x v="785"/>
    </i>
    <i>
      <x v="1174"/>
    </i>
    <i>
      <x v="251"/>
    </i>
    <i>
      <x v="959"/>
    </i>
    <i>
      <x v="1020"/>
    </i>
    <i>
      <x v="1216"/>
    </i>
    <i>
      <x v="752"/>
    </i>
    <i>
      <x v="1367"/>
    </i>
    <i>
      <x v="116"/>
    </i>
    <i>
      <x v="1366"/>
    </i>
    <i>
      <x v="1043"/>
    </i>
    <i>
      <x v="696"/>
    </i>
    <i>
      <x v="320"/>
    </i>
    <i>
      <x v="787"/>
    </i>
    <i>
      <x v="891"/>
    </i>
    <i>
      <x v="278"/>
    </i>
    <i>
      <x v="1179"/>
    </i>
    <i>
      <x v="399"/>
    </i>
    <i>
      <x v="1410"/>
    </i>
    <i>
      <x v="1018"/>
    </i>
    <i>
      <x v="1013"/>
    </i>
    <i>
      <x v="1169"/>
    </i>
    <i>
      <x v="699"/>
    </i>
    <i>
      <x v="244"/>
    </i>
    <i>
      <x v="267"/>
    </i>
    <i>
      <x v="1233"/>
    </i>
    <i>
      <x v="1008"/>
    </i>
    <i>
      <x v="963"/>
    </i>
    <i>
      <x v="807"/>
    </i>
    <i>
      <x v="1110"/>
    </i>
    <i>
      <x v="1027"/>
    </i>
    <i>
      <x v="507"/>
    </i>
    <i>
      <x v="1033"/>
    </i>
    <i>
      <x v="129"/>
    </i>
    <i>
      <x v="745"/>
    </i>
    <i>
      <x v="876"/>
    </i>
    <i>
      <x v="223"/>
    </i>
    <i>
      <x v="61"/>
    </i>
    <i>
      <x v="601"/>
    </i>
    <i>
      <x v="539"/>
    </i>
    <i>
      <x v="205"/>
    </i>
    <i>
      <x v="113"/>
    </i>
    <i>
      <x v="1016"/>
    </i>
    <i>
      <x v="163"/>
    </i>
    <i>
      <x v="744"/>
    </i>
    <i>
      <x v="458"/>
    </i>
    <i>
      <x v="55"/>
    </i>
    <i>
      <x v="187"/>
    </i>
    <i>
      <x v="144"/>
    </i>
    <i>
      <x v="1145"/>
    </i>
    <i>
      <x v="1256"/>
    </i>
    <i>
      <x v="1345"/>
    </i>
    <i>
      <x v="147"/>
    </i>
    <i>
      <x v="159"/>
    </i>
    <i>
      <x v="62"/>
    </i>
    <i>
      <x v="212"/>
    </i>
    <i>
      <x v="418"/>
    </i>
    <i>
      <x v="658"/>
    </i>
    <i>
      <x v="686"/>
    </i>
    <i>
      <x v="1089"/>
    </i>
    <i>
      <x v="811"/>
    </i>
    <i>
      <x v="433"/>
    </i>
    <i>
      <x v="415"/>
    </i>
    <i>
      <x v="134"/>
    </i>
    <i>
      <x v="694"/>
    </i>
    <i>
      <x v="68"/>
    </i>
    <i>
      <x v="946"/>
    </i>
    <i>
      <x v="428"/>
    </i>
    <i>
      <x v="1105"/>
    </i>
    <i>
      <x v="934"/>
    </i>
    <i>
      <x v="1163"/>
    </i>
    <i>
      <x v="359"/>
    </i>
    <i>
      <x v="1355"/>
    </i>
    <i>
      <x v="238"/>
    </i>
    <i>
      <x v="817"/>
    </i>
    <i>
      <x v="1011"/>
    </i>
    <i>
      <x v="1152"/>
    </i>
    <i>
      <x v="978"/>
    </i>
    <i>
      <x v="1370"/>
    </i>
    <i>
      <x v="88"/>
    </i>
    <i>
      <x v="965"/>
    </i>
    <i>
      <x v="855"/>
    </i>
    <i>
      <x v="605"/>
    </i>
    <i>
      <x v="947"/>
    </i>
    <i>
      <x v="233"/>
    </i>
    <i>
      <x v="979"/>
    </i>
    <i>
      <x v="1372"/>
    </i>
    <i>
      <x v="733"/>
    </i>
    <i>
      <x v="615"/>
    </i>
    <i>
      <x v="213"/>
    </i>
    <i>
      <x v="1080"/>
    </i>
    <i>
      <x v="562"/>
    </i>
    <i>
      <x v="774"/>
    </i>
    <i>
      <x v="958"/>
    </i>
    <i>
      <x v="692"/>
    </i>
    <i>
      <x v="1010"/>
    </i>
    <i>
      <x v="1231"/>
    </i>
    <i>
      <x v="497"/>
    </i>
    <i>
      <x v="240"/>
    </i>
    <i>
      <x v="856"/>
    </i>
    <i>
      <x v="492"/>
    </i>
    <i>
      <x v="25"/>
    </i>
    <i>
      <x v="209"/>
    </i>
    <i>
      <x v="783"/>
    </i>
    <i>
      <x v="714"/>
    </i>
    <i>
      <x v="1178"/>
    </i>
    <i>
      <x v="314"/>
    </i>
    <i>
      <x v="152"/>
    </i>
    <i>
      <x v="1269"/>
    </i>
    <i>
      <x v="164"/>
    </i>
    <i>
      <x v="53"/>
    </i>
    <i>
      <x v="616"/>
    </i>
    <i>
      <x v="1121"/>
    </i>
    <i>
      <x v="312"/>
    </i>
    <i>
      <x v="651"/>
    </i>
    <i>
      <x v="1340"/>
    </i>
    <i>
      <x v="994"/>
    </i>
    <i>
      <x v="1157"/>
    </i>
    <i>
      <x v="937"/>
    </i>
    <i>
      <x v="348"/>
    </i>
    <i>
      <x v="293"/>
    </i>
    <i>
      <x v="869"/>
    </i>
    <i>
      <x v="1045"/>
    </i>
    <i>
      <x v="226"/>
    </i>
    <i>
      <x v="1155"/>
    </i>
    <i>
      <x v="504"/>
    </i>
    <i>
      <x v="775"/>
    </i>
    <i>
      <x v="1368"/>
    </i>
    <i>
      <x v="805"/>
    </i>
    <i>
      <x v="264"/>
    </i>
    <i>
      <x v="56"/>
    </i>
    <i>
      <x v="822"/>
    </i>
    <i>
      <x v="921"/>
    </i>
    <i>
      <x v="1255"/>
    </i>
    <i>
      <x v="512"/>
    </i>
    <i>
      <x v="1154"/>
    </i>
    <i>
      <x v="661"/>
    </i>
    <i>
      <x v="464"/>
    </i>
    <i>
      <x v="414"/>
    </i>
    <i>
      <x v="821"/>
    </i>
    <i>
      <x v="848"/>
    </i>
    <i>
      <x v="273"/>
    </i>
    <i>
      <x v="202"/>
    </i>
    <i>
      <x v="596"/>
    </i>
    <i>
      <x v="691"/>
    </i>
    <i>
      <x v="641"/>
    </i>
    <i>
      <x v="1292"/>
    </i>
    <i>
      <x v="784"/>
    </i>
    <i>
      <x v="592"/>
    </i>
    <i>
      <x v="580"/>
    </i>
    <i>
      <x v="87"/>
    </i>
    <i>
      <x v="1084"/>
    </i>
    <i>
      <x v="734"/>
    </i>
    <i>
      <x v="466"/>
    </i>
    <i>
      <x v="847"/>
    </i>
    <i>
      <x v="375"/>
    </i>
    <i>
      <x v="763"/>
    </i>
    <i>
      <x v="676"/>
    </i>
    <i>
      <x v="613"/>
    </i>
    <i>
      <x v="229"/>
    </i>
    <i>
      <x v="833"/>
    </i>
    <i>
      <x v="157"/>
    </i>
    <i>
      <x v="1297"/>
    </i>
    <i>
      <x v="1225"/>
    </i>
    <i>
      <x v="1198"/>
    </i>
    <i>
      <x v="836"/>
    </i>
    <i>
      <x v="1128"/>
    </i>
    <i>
      <x v="508"/>
    </i>
    <i>
      <x v="859"/>
    </i>
    <i>
      <x v="632"/>
    </i>
    <i>
      <x v="407"/>
    </i>
    <i>
      <x v="827"/>
    </i>
    <i>
      <x v="614"/>
    </i>
    <i>
      <x v="577"/>
    </i>
    <i>
      <x v="781"/>
    </i>
    <i>
      <x v="1331"/>
    </i>
    <i>
      <x v="834"/>
    </i>
    <i>
      <x v="1014"/>
    </i>
    <i>
      <x v="823"/>
    </i>
    <i>
      <x v="489"/>
    </i>
    <i>
      <x v="12"/>
    </i>
    <i>
      <x v="374"/>
    </i>
    <i>
      <x v="1420"/>
    </i>
    <i>
      <x v="1417"/>
    </i>
    <i>
      <x v="970"/>
    </i>
    <i>
      <x v="208"/>
    </i>
    <i>
      <x v="140"/>
    </i>
    <i>
      <x v="319"/>
    </i>
    <i>
      <x v="776"/>
    </i>
    <i>
      <x v="1215"/>
    </i>
    <i>
      <x v="395"/>
    </i>
    <i>
      <x v="381"/>
    </i>
    <i>
      <x v="60"/>
    </i>
    <i>
      <x v="334"/>
    </i>
    <i>
      <x v="840"/>
    </i>
    <i>
      <x v="349"/>
    </i>
    <i>
      <x v="468"/>
    </i>
    <i>
      <x v="961"/>
    </i>
    <i>
      <x v="198"/>
    </i>
    <i>
      <x v="975"/>
    </i>
    <i>
      <x v="933"/>
    </i>
    <i>
      <x v="485"/>
    </i>
    <i>
      <x v="345"/>
    </i>
    <i>
      <x v="456"/>
    </i>
    <i>
      <x v="687"/>
    </i>
    <i>
      <x v="228"/>
    </i>
    <i>
      <x v="581"/>
    </i>
    <i>
      <x v="530"/>
    </i>
    <i>
      <x v="1273"/>
    </i>
    <i>
      <x v="671"/>
    </i>
    <i>
      <x v="700"/>
    </i>
    <i>
      <x v="201"/>
    </i>
    <i>
      <x v="522"/>
    </i>
    <i>
      <x v="1012"/>
    </i>
    <i>
      <x v="100"/>
    </i>
    <i>
      <x v="969"/>
    </i>
    <i>
      <x v="1118"/>
    </i>
    <i>
      <x v="909"/>
    </i>
    <i>
      <x v="330"/>
    </i>
    <i>
      <x v="830"/>
    </i>
    <i>
      <x v="1030"/>
    </i>
    <i>
      <x v="400"/>
    </i>
    <i>
      <x v="84"/>
    </i>
    <i>
      <x v="221"/>
    </i>
    <i>
      <x v="725"/>
    </i>
    <i>
      <x v="707"/>
    </i>
    <i>
      <x v="1177"/>
    </i>
    <i>
      <x v="610"/>
    </i>
    <i>
      <x v="411"/>
    </i>
    <i>
      <x v="973"/>
    </i>
    <i>
      <x v="1086"/>
    </i>
    <i>
      <x v="131"/>
    </i>
    <i>
      <x v="38"/>
    </i>
    <i>
      <x v="654"/>
    </i>
    <i>
      <x v="1200"/>
    </i>
    <i>
      <x v="380"/>
    </i>
    <i>
      <x v="953"/>
    </i>
    <i>
      <x v="460"/>
    </i>
    <i>
      <x v="912"/>
    </i>
    <i>
      <x v="373"/>
    </i>
    <i>
      <x v="1313"/>
    </i>
    <i>
      <x v="425"/>
    </i>
    <i>
      <x v="1102"/>
    </i>
    <i>
      <x v="1046"/>
    </i>
    <i>
      <x v="883"/>
    </i>
    <i>
      <x v="1093"/>
    </i>
    <i>
      <x v="640"/>
    </i>
    <i>
      <x v="69"/>
    </i>
    <i>
      <x v="176"/>
    </i>
    <i>
      <x v="1300"/>
    </i>
    <i>
      <x v="15"/>
    </i>
    <i>
      <x v="1190"/>
    </i>
    <i>
      <x v="1369"/>
    </i>
    <i>
      <x v="384"/>
    </i>
    <i>
      <x v="1107"/>
    </i>
    <i>
      <x v="746"/>
    </i>
    <i>
      <x v="637"/>
    </i>
    <i>
      <x v="111"/>
    </i>
    <i>
      <x v="412"/>
    </i>
    <i>
      <x v="1199"/>
    </i>
    <i>
      <x v="1176"/>
    </i>
    <i>
      <x v="1266"/>
    </i>
    <i>
      <x v="1131"/>
    </i>
    <i>
      <x v="719"/>
    </i>
    <i>
      <x v="716"/>
    </i>
    <i>
      <x v="1322"/>
    </i>
    <i>
      <x v="1"/>
    </i>
    <i>
      <x v="927"/>
    </i>
    <i>
      <x v="1088"/>
    </i>
    <i>
      <x v="1423"/>
    </i>
    <i>
      <x v="1406"/>
    </i>
    <i>
      <x v="1079"/>
    </i>
    <i>
      <x v="1112"/>
    </i>
    <i>
      <x v="1249"/>
    </i>
    <i>
      <x v="165"/>
    </i>
    <i>
      <x v="261"/>
    </i>
    <i>
      <x v="915"/>
    </i>
    <i>
      <x v="808"/>
    </i>
    <i>
      <x v="139"/>
    </i>
    <i>
      <x v="1151"/>
    </i>
    <i>
      <x v="731"/>
    </i>
    <i>
      <x v="217"/>
    </i>
    <i>
      <x v="995"/>
    </i>
    <i>
      <x v="14"/>
    </i>
    <i>
      <x v="566"/>
    </i>
    <i>
      <x v="1208"/>
    </i>
    <i>
      <x v="1120"/>
    </i>
    <i>
      <x v="81"/>
    </i>
    <i>
      <x v="455"/>
    </i>
    <i>
      <x v="490"/>
    </i>
    <i>
      <x v="1041"/>
    </i>
    <i>
      <x v="230"/>
    </i>
    <i>
      <x v="1173"/>
    </i>
    <i>
      <x v="786"/>
    </i>
    <i>
      <x v="749"/>
    </i>
    <i>
      <x v="351"/>
    </i>
    <i>
      <x v="1243"/>
    </i>
    <i>
      <x v="600"/>
    </i>
    <i>
      <x v="677"/>
    </i>
    <i>
      <x v="723"/>
    </i>
    <i>
      <x v="304"/>
    </i>
    <i>
      <x v="1096"/>
    </i>
    <i>
      <x v="980"/>
    </i>
    <i>
      <x v="110"/>
    </i>
    <i>
      <x v="742"/>
    </i>
    <i>
      <x v="309"/>
    </i>
    <i>
      <x v="1405"/>
    </i>
    <i>
      <x v="270"/>
    </i>
    <i>
      <x v="788"/>
    </i>
    <i>
      <x v="684"/>
    </i>
    <i>
      <x v="288"/>
    </i>
    <i>
      <x v="241"/>
    </i>
    <i>
      <x v="919"/>
    </i>
    <i>
      <x v="119"/>
    </i>
    <i>
      <x v="1064"/>
    </i>
    <i>
      <x v="106"/>
    </i>
    <i>
      <x v="70"/>
    </i>
    <i>
      <x v="459"/>
    </i>
    <i>
      <x v="736"/>
    </i>
    <i>
      <x v="624"/>
    </i>
    <i>
      <x v="280"/>
    </i>
    <i>
      <x v="1187"/>
    </i>
    <i>
      <x v="182"/>
    </i>
    <i>
      <x v="1192"/>
    </i>
    <i>
      <x v="75"/>
    </i>
    <i>
      <x v="79"/>
    </i>
    <i>
      <x v="57"/>
    </i>
    <i>
      <x v="1087"/>
    </i>
    <i>
      <x v="984"/>
    </i>
    <i>
      <x v="337"/>
    </i>
    <i>
      <x v="180"/>
    </i>
    <i>
      <x v="1081"/>
    </i>
    <i>
      <x v="688"/>
    </i>
    <i>
      <x v="576"/>
    </i>
    <i>
      <x v="702"/>
    </i>
    <i>
      <x v="1234"/>
    </i>
    <i>
      <x v="234"/>
    </i>
    <i>
      <x v="259"/>
    </i>
    <i>
      <x v="189"/>
    </i>
    <i>
      <x v="695"/>
    </i>
    <i>
      <x v="356"/>
    </i>
    <i>
      <x v="1066"/>
    </i>
    <i>
      <x v="1197"/>
    </i>
    <i>
      <x v="1181"/>
    </i>
    <i>
      <x v="97"/>
    </i>
    <i>
      <x v="728"/>
    </i>
    <i>
      <x v="612"/>
    </i>
    <i>
      <x v="474"/>
    </i>
    <i>
      <x v="26"/>
    </i>
    <i>
      <x v="385"/>
    </i>
    <i>
      <x v="772"/>
    </i>
    <i>
      <x v="127"/>
    </i>
    <i>
      <x v="1099"/>
    </i>
    <i>
      <x v="435"/>
    </i>
    <i>
      <x v="944"/>
    </i>
    <i>
      <x v="851"/>
    </i>
    <i>
      <x v="824"/>
    </i>
    <i>
      <x v="317"/>
    </i>
    <i>
      <x v="1191"/>
    </i>
    <i>
      <x v="545"/>
    </i>
    <i>
      <x v="1374"/>
    </i>
    <i>
      <x v="4"/>
    </i>
    <i>
      <x v="910"/>
    </i>
    <i>
      <x v="476"/>
    </i>
    <i>
      <x v="193"/>
    </i>
    <i>
      <x v="1284"/>
    </i>
    <i>
      <x v="143"/>
    </i>
    <i>
      <x v="578"/>
    </i>
    <i>
      <x v="724"/>
    </i>
    <i>
      <x v="683"/>
    </i>
    <i>
      <x v="1104"/>
    </i>
    <i>
      <x v="1126"/>
    </i>
    <i>
      <x v="39"/>
    </i>
    <i>
      <x v="413"/>
    </i>
    <i>
      <x v="709"/>
    </i>
    <i>
      <x v="685"/>
    </i>
    <i>
      <x v="449"/>
    </i>
    <i>
      <x v="63"/>
    </i>
    <i>
      <x v="1422"/>
    </i>
    <i>
      <x v="565"/>
    </i>
    <i>
      <x v="541"/>
    </i>
    <i>
      <x v="628"/>
    </i>
    <i>
      <x v="741"/>
    </i>
    <i>
      <x v="514"/>
    </i>
    <i>
      <x v="770"/>
    </i>
    <i>
      <x v="586"/>
    </i>
    <i>
      <x v="21"/>
    </i>
    <i>
      <x v="1237"/>
    </i>
    <i>
      <x v="1376"/>
    </i>
    <i>
      <x v="59"/>
    </i>
    <i>
      <x v="1171"/>
    </i>
    <i>
      <x v="419"/>
    </i>
    <i>
      <x v="24"/>
    </i>
    <i>
      <x v="531"/>
    </i>
    <i>
      <x v="982"/>
    </i>
    <i>
      <x v="1335"/>
    </i>
    <i>
      <x v="1090"/>
    </i>
    <i>
      <x v="52"/>
    </i>
    <i>
      <x v="1195"/>
    </i>
    <i>
      <x v="1350"/>
    </i>
    <i>
      <x v="279"/>
    </i>
    <i>
      <x v="880"/>
    </i>
    <i>
      <x v="1310"/>
    </i>
    <i>
      <x v="662"/>
    </i>
    <i>
      <x v="168"/>
    </i>
    <i>
      <x v="471"/>
    </i>
    <i>
      <x v="382"/>
    </i>
    <i>
      <x v="481"/>
    </i>
    <i>
      <x v="1270"/>
    </i>
    <i>
      <x v="793"/>
    </i>
    <i>
      <x v="1378"/>
    </i>
    <i>
      <x v="1025"/>
    </i>
    <i>
      <x v="363"/>
    </i>
    <i>
      <x v="1194"/>
    </i>
    <i>
      <x v="917"/>
    </i>
    <i>
      <x v="469"/>
    </i>
    <i>
      <x v="1072"/>
    </i>
    <i>
      <x v="844"/>
    </i>
    <i>
      <x v="801"/>
    </i>
    <i>
      <x v="1419"/>
    </i>
    <i>
      <x v="1034"/>
    </i>
    <i>
      <x v="1415"/>
    </i>
    <i>
      <x v="1326"/>
    </i>
    <i>
      <x v="289"/>
    </i>
    <i>
      <x v="1241"/>
    </i>
    <i>
      <x v="773"/>
    </i>
    <i>
      <x v="799"/>
    </i>
    <i>
      <x v="820"/>
    </i>
    <i>
      <x v="560"/>
    </i>
    <i>
      <x v="96"/>
    </i>
    <i>
      <x v="764"/>
    </i>
    <i>
      <x v="1333"/>
    </i>
    <i>
      <x v="923"/>
    </i>
    <i>
      <x v="36"/>
    </i>
    <i>
      <x v="71"/>
    </i>
    <i>
      <x v="445"/>
    </i>
    <i>
      <x v="626"/>
    </i>
    <i>
      <x v="908"/>
    </i>
    <i>
      <x v="32"/>
    </i>
    <i>
      <x v="218"/>
    </i>
    <i>
      <x v="900"/>
    </i>
    <i>
      <x v="424"/>
    </i>
    <i>
      <x v="1294"/>
    </i>
    <i>
      <x v="493"/>
    </i>
    <i>
      <x v="502"/>
    </i>
    <i>
      <x v="431"/>
    </i>
    <i>
      <x v="1304"/>
    </i>
    <i>
      <x v="500"/>
    </i>
    <i>
      <x v="1413"/>
    </i>
    <i>
      <x v="792"/>
    </i>
    <i>
      <x v="575"/>
    </i>
    <i>
      <x v="529"/>
    </i>
    <i>
      <x v="1401"/>
    </i>
    <i>
      <x v="98"/>
    </i>
    <i>
      <x v="599"/>
    </i>
    <i>
      <x v="183"/>
    </i>
    <i>
      <x v="954"/>
    </i>
    <i>
      <x v="372"/>
    </i>
    <i>
      <x v="46"/>
    </i>
    <i>
      <x v="789"/>
    </i>
    <i>
      <x v="925"/>
    </i>
    <i>
      <x v="457"/>
    </i>
    <i>
      <x v="846"/>
    </i>
    <i>
      <x v="452"/>
    </i>
    <i>
      <x v="49"/>
    </i>
    <i>
      <x v="1098"/>
    </i>
    <i>
      <x v="290"/>
    </i>
    <i>
      <x v="1075"/>
    </i>
    <i>
      <x v="665"/>
    </i>
    <i>
      <x v="442"/>
    </i>
    <i>
      <x v="798"/>
    </i>
    <i>
      <x v="1373"/>
    </i>
    <i>
      <x v="516"/>
    </i>
    <i>
      <x v="99"/>
    </i>
    <i>
      <x v="73"/>
    </i>
    <i>
      <x v="463"/>
    </i>
    <i>
      <x v="977"/>
    </i>
    <i>
      <x v="430"/>
    </i>
    <i>
      <x v="1362"/>
    </i>
    <i>
      <x v="255"/>
    </i>
    <i>
      <x v="511"/>
    </i>
    <i>
      <x v="389"/>
    </i>
    <i>
      <x v="989"/>
    </i>
    <i>
      <x v="242"/>
    </i>
    <i>
      <x v="1119"/>
    </i>
    <i>
      <x v="332"/>
    </i>
    <i>
      <x v="1393"/>
    </i>
    <i>
      <x v="1100"/>
    </i>
    <i>
      <x v="1000"/>
    </i>
    <i>
      <x v="778"/>
    </i>
    <i>
      <x v="287"/>
    </i>
    <i>
      <x v="670"/>
    </i>
    <i>
      <x v="215"/>
    </i>
    <i>
      <x v="974"/>
    </i>
    <i>
      <x v="467"/>
    </i>
    <i>
      <x v="297"/>
    </i>
    <i>
      <x v="1306"/>
    </i>
    <i>
      <x v="559"/>
    </i>
    <i>
      <x v="892"/>
    </i>
    <i>
      <x v="941"/>
    </i>
    <i>
      <x v="207"/>
    </i>
    <i>
      <x v="1402"/>
    </i>
    <i>
      <x v="1244"/>
    </i>
    <i>
      <x v="874"/>
    </i>
    <i>
      <x v="85"/>
    </i>
    <i>
      <x v="962"/>
    </i>
    <i>
      <x v="690"/>
    </i>
    <i>
      <x v="315"/>
    </i>
    <i>
      <x v="138"/>
    </i>
    <i>
      <x v="74"/>
    </i>
    <i>
      <x v="867"/>
    </i>
    <i>
      <x v="1278"/>
    </i>
    <i>
      <x v="1342"/>
    </i>
    <i>
      <x v="664"/>
    </i>
    <i>
      <x v="850"/>
    </i>
    <i>
      <x v="737"/>
    </i>
    <i>
      <x v="1206"/>
    </i>
    <i>
      <x v="1354"/>
    </i>
    <i>
      <x v="1416"/>
    </i>
    <i>
      <x v="751"/>
    </i>
    <i>
      <x v="861"/>
    </i>
    <i>
      <x v="1321"/>
    </i>
    <i>
      <x v="976"/>
    </i>
    <i>
      <x v="1106"/>
    </i>
    <i>
      <x v="881"/>
    </i>
    <i>
      <x v="554"/>
    </i>
    <i>
      <x v="1390"/>
    </i>
    <i>
      <x v="1039"/>
    </i>
    <i>
      <x v="528"/>
    </i>
    <i>
      <x v="446"/>
    </i>
    <i>
      <x v="572"/>
    </i>
    <i>
      <x v="1147"/>
    </i>
    <i>
      <x v="949"/>
    </i>
    <i>
      <x v="1252"/>
    </i>
    <i>
      <x v="501"/>
    </i>
    <i>
      <x v="1246"/>
    </i>
    <i>
      <x v="173"/>
    </i>
    <i>
      <x v="158"/>
    </i>
    <i>
      <x v="771"/>
    </i>
    <i>
      <x v="1391"/>
    </i>
    <i>
      <x v="1343"/>
    </i>
    <i>
      <x v="155"/>
    </i>
    <i>
      <x v="993"/>
    </i>
    <i>
      <x v="584"/>
    </i>
    <i>
      <x v="1129"/>
    </i>
    <i>
      <x v="756"/>
    </i>
    <i>
      <x v="875"/>
    </i>
    <i>
      <x v="952"/>
    </i>
    <i>
      <x v="1150"/>
    </i>
    <i>
      <x v="621"/>
    </i>
    <i>
      <x v="224"/>
    </i>
    <i>
      <x v="142"/>
    </i>
    <i>
      <x v="1399"/>
    </i>
    <i>
      <x v="1168"/>
    </i>
    <i>
      <x v="1286"/>
    </i>
    <i>
      <x v="863"/>
    </i>
    <i>
      <x v="1229"/>
    </i>
    <i>
      <x v="82"/>
    </i>
    <i>
      <x v="341"/>
    </i>
    <i>
      <x v="153"/>
    </i>
    <i>
      <x v="617"/>
    </i>
    <i>
      <x v="231"/>
    </i>
    <i>
      <x v="706"/>
    </i>
    <i>
      <x v="306"/>
    </i>
    <i>
      <x v="895"/>
    </i>
    <i>
      <x v="355"/>
    </i>
    <i>
      <x v="1124"/>
    </i>
    <i>
      <x v="1143"/>
    </i>
    <i>
      <x v="1138"/>
    </i>
    <i>
      <x v="50"/>
    </i>
    <i>
      <x v="675"/>
    </i>
    <i>
      <x v="93"/>
    </i>
    <i>
      <x v="1091"/>
    </i>
    <i>
      <x v="1164"/>
    </i>
    <i>
      <x v="564"/>
    </i>
    <i>
      <x v="1320"/>
    </i>
    <i>
      <x v="865"/>
    </i>
    <i>
      <x v="935"/>
    </i>
    <i>
      <x v="1235"/>
    </i>
    <i>
      <x v="1146"/>
    </i>
    <i>
      <x v="175"/>
    </i>
    <i>
      <x v="942"/>
    </i>
    <i>
      <x v="689"/>
    </i>
    <i>
      <x v="188"/>
    </i>
    <i>
      <x v="533"/>
    </i>
    <i>
      <x v="574"/>
    </i>
    <i>
      <x v="156"/>
    </i>
    <i>
      <x v="1161"/>
    </i>
    <i>
      <x v="1123"/>
    </i>
    <i>
      <x v="1330"/>
    </i>
    <i>
      <x v="1052"/>
    </i>
    <i>
      <x v="905"/>
    </i>
    <i>
      <x v="837"/>
    </i>
    <i>
      <x v="398"/>
    </i>
    <i>
      <x v="301"/>
    </i>
    <i>
      <x v="868"/>
    </i>
    <i>
      <x v="342"/>
    </i>
    <i>
      <x v="659"/>
    </i>
    <i>
      <x v="657"/>
    </i>
    <i>
      <x v="718"/>
    </i>
    <i>
      <x v="1182"/>
    </i>
    <i>
      <x v="216"/>
    </i>
    <i>
      <x v="524"/>
    </i>
    <i>
      <x v="845"/>
    </i>
    <i>
      <x v="486"/>
    </i>
    <i>
      <x v="1144"/>
    </i>
    <i>
      <x v="1111"/>
    </i>
    <i>
      <x v="247"/>
    </i>
    <i>
      <x v="951"/>
    </i>
    <i>
      <x v="987"/>
    </i>
    <i>
      <x v="715"/>
    </i>
    <i>
      <x v="1394"/>
    </i>
    <i>
      <x v="45"/>
    </i>
    <i>
      <x v="1332"/>
    </i>
    <i>
      <x v="393"/>
    </i>
    <i>
      <x v="178"/>
    </i>
    <i>
      <x v="639"/>
    </i>
    <i>
      <x v="854"/>
    </i>
    <i>
      <x v="1017"/>
    </i>
    <i>
      <x v="83"/>
    </i>
    <i>
      <x v="443"/>
    </i>
    <i>
      <x v="1236"/>
    </i>
    <i>
      <x v="992"/>
    </i>
    <i>
      <x v="663"/>
    </i>
    <i>
      <x v="406"/>
    </i>
    <i>
      <x v="887"/>
    </i>
    <i>
      <x v="1361"/>
    </i>
    <i>
      <x v="364"/>
    </i>
    <i>
      <x v="871"/>
    </i>
    <i>
      <x v="606"/>
    </i>
    <i>
      <x v="988"/>
    </i>
    <i>
      <x v="323"/>
    </i>
    <i>
      <x v="955"/>
    </i>
    <i>
      <x v="1224"/>
    </i>
    <i>
      <x v="357"/>
    </i>
    <i>
      <x v="1134"/>
    </i>
    <i>
      <x v="35"/>
    </i>
    <i>
      <x v="916"/>
    </i>
    <i>
      <x v="920"/>
    </i>
    <i>
      <x v="607"/>
    </i>
    <i>
      <x v="1325"/>
    </i>
    <i>
      <x v="1384"/>
    </i>
    <i>
      <x v="666"/>
    </i>
    <i>
      <x v="184"/>
    </i>
    <i>
      <x v="376"/>
    </i>
    <i>
      <x v="711"/>
    </i>
    <i>
      <x v="636"/>
    </i>
    <i>
      <x v="1414"/>
    </i>
    <i>
      <x v="1281"/>
    </i>
    <i>
      <x v="619"/>
    </i>
    <i>
      <x v="272"/>
    </i>
    <i>
      <x v="66"/>
    </i>
    <i>
      <x v="1392"/>
    </i>
    <i>
      <x v="656"/>
    </i>
    <i>
      <x v="1006"/>
    </i>
    <i>
      <x v="1202"/>
    </i>
    <i>
      <x v="1400"/>
    </i>
    <i>
      <x v="646"/>
    </i>
    <i>
      <x v="169"/>
    </i>
    <i>
      <x v="681"/>
    </i>
    <i>
      <x v="277"/>
    </i>
    <i>
      <x v="161"/>
    </i>
    <i>
      <x v="1329"/>
    </i>
    <i>
      <x v="990"/>
    </i>
    <i>
      <x v="397"/>
    </i>
    <i>
      <x v="200"/>
    </i>
    <i>
      <x v="67"/>
    </i>
    <i>
      <x v="377"/>
    </i>
    <i>
      <x v="1418"/>
    </i>
    <i>
      <x v="313"/>
    </i>
    <i>
      <x v="1153"/>
    </i>
    <i>
      <x v="1180"/>
    </i>
    <i>
      <x v="1056"/>
    </i>
    <i>
      <x v="1015"/>
    </i>
    <i>
      <x v="368"/>
    </i>
    <i>
      <x v="1184"/>
    </i>
    <i>
      <x v="790"/>
    </i>
    <i>
      <x v="812"/>
    </i>
    <i>
      <x v="680"/>
    </i>
    <i>
      <x v="1026"/>
    </i>
    <i>
      <x v="674"/>
    </i>
    <i>
      <x v="1186"/>
    </i>
    <i>
      <x v="179"/>
    </i>
    <i>
      <x v="722"/>
    </i>
    <i>
      <x v="890"/>
    </i>
    <i>
      <x v="750"/>
    </i>
    <i>
      <x v="11"/>
    </i>
    <i>
      <x v="1022"/>
    </i>
    <i>
      <x v="225"/>
    </i>
    <i>
      <x v="1265"/>
    </i>
    <i>
      <x v="645"/>
    </i>
    <i>
      <x v="754"/>
    </i>
    <i>
      <x v="394"/>
    </i>
    <i>
      <x v="899"/>
    </i>
    <i>
      <x v="1004"/>
    </i>
    <i>
      <x v="938"/>
    </i>
    <i>
      <x v="10"/>
    </i>
    <i>
      <x v="996"/>
    </i>
    <i>
      <x v="550"/>
    </i>
    <i>
      <x v="625"/>
    </i>
    <i>
      <x v="759"/>
    </i>
    <i>
      <x v="814"/>
    </i>
    <i>
      <x v="544"/>
    </i>
    <i>
      <x v="1167"/>
    </i>
    <i>
      <x v="1132"/>
    </i>
    <i>
      <x v="1149"/>
    </i>
    <i>
      <x v="89"/>
    </i>
    <i>
      <x v="521"/>
    </i>
    <i>
      <x v="392"/>
    </i>
    <i>
      <x v="365"/>
    </i>
    <i>
      <x v="250"/>
    </i>
    <i>
      <x v="986"/>
    </i>
    <i>
      <x v="791"/>
    </i>
    <i>
      <x v="122"/>
    </i>
    <i>
      <x v="1290"/>
    </i>
    <i>
      <x v="860"/>
    </i>
    <i>
      <x v="797"/>
    </i>
    <i>
      <x v="402"/>
    </i>
    <i>
      <x v="438"/>
    </i>
    <i>
      <x v="491"/>
    </i>
    <i>
      <x v="748"/>
    </i>
    <i>
      <x v="103"/>
    </i>
    <i>
      <x v="1211"/>
    </i>
    <i>
      <x v="1268"/>
    </i>
    <i>
      <x v="1189"/>
    </i>
    <i>
      <x v="495"/>
    </i>
    <i>
      <x v="462"/>
    </i>
    <i>
      <x v="1069"/>
    </i>
    <i>
      <x v="644"/>
    </i>
    <i>
      <x v="523"/>
    </i>
    <i>
      <x v="929"/>
    </i>
    <i>
      <x v="1048"/>
    </i>
    <i>
      <x v="697"/>
    </i>
    <i>
      <x v="307"/>
    </i>
    <i>
      <x v="321"/>
    </i>
    <i>
      <x v="310"/>
    </i>
    <i>
      <x v="133"/>
    </i>
    <i>
      <x v="1338"/>
    </i>
    <i>
      <x v="843"/>
    </i>
    <i>
      <x v="350"/>
    </i>
    <i>
      <x v="747"/>
    </i>
    <i>
      <x v="1398"/>
    </i>
    <i>
      <x v="1291"/>
    </i>
    <i>
      <x v="1363"/>
    </i>
    <i>
      <x v="311"/>
    </i>
    <i>
      <x v="1070"/>
    </i>
    <i>
      <x v="403"/>
    </i>
    <i>
      <x v="29"/>
    </i>
    <i>
      <x v="58"/>
    </i>
    <i>
      <x v="726"/>
    </i>
    <i>
      <x v="841"/>
    </i>
    <i>
      <x v="878"/>
    </i>
    <i>
      <x v="305"/>
    </i>
    <i>
      <x v="1349"/>
    </i>
    <i>
      <x v="1092"/>
    </i>
    <i>
      <x v="1377"/>
    </i>
    <i>
      <x v="343"/>
    </i>
    <i>
      <x v="283"/>
    </i>
    <i>
      <x v="329"/>
    </i>
    <i>
      <x v="136"/>
    </i>
    <i>
      <x v="336"/>
    </i>
    <i>
      <x v="1386"/>
    </i>
    <i>
      <x v="22"/>
    </i>
    <i>
      <x v="268"/>
    </i>
    <i>
      <x v="582"/>
    </i>
    <i>
      <x v="1085"/>
    </i>
    <i>
      <x v="945"/>
    </i>
    <i>
      <x v="693"/>
    </i>
    <i>
      <x v="1409"/>
    </i>
    <i>
      <x v="366"/>
    </i>
    <i>
      <x v="906"/>
    </i>
    <i>
      <x v="253"/>
    </i>
    <i>
      <x v="386"/>
    </i>
    <i>
      <x v="513"/>
    </i>
    <i>
      <x v="1309"/>
    </i>
    <i>
      <x v="1032"/>
    </i>
    <i>
      <x v="894"/>
    </i>
    <i>
      <x v="1285"/>
    </i>
    <i>
      <x v="276"/>
    </i>
    <i>
      <x v="72"/>
    </i>
    <i>
      <x v="777"/>
    </i>
    <i>
      <x v="1315"/>
    </i>
    <i>
      <x v="90"/>
    </i>
    <i>
      <x v="92"/>
    </i>
    <i>
      <x v="1301"/>
    </i>
    <i>
      <x v="568"/>
    </i>
    <i>
      <x v="985"/>
    </i>
    <i>
      <x v="1347"/>
    </i>
    <i>
      <x v="1062"/>
    </i>
    <i>
      <x v="873"/>
    </i>
    <i>
      <x v="705"/>
    </i>
    <i>
      <x v="1242"/>
    </i>
    <i>
      <x v="668"/>
    </i>
    <i>
      <x v="284"/>
    </i>
    <i>
      <x v="494"/>
    </i>
    <i>
      <x v="409"/>
    </i>
    <i>
      <x v="453"/>
    </i>
    <i>
      <x v="1298"/>
    </i>
    <i>
      <x v="243"/>
    </i>
    <i>
      <x v="42"/>
    </i>
    <i>
      <x v="344"/>
    </i>
    <i>
      <x v="563"/>
    </i>
    <i>
      <x v="1262"/>
    </i>
    <i>
      <x v="150"/>
    </i>
    <i>
      <x v="54"/>
    </i>
    <i>
      <x v="346"/>
    </i>
    <i>
      <x v="388"/>
    </i>
    <i>
      <x v="802"/>
    </i>
    <i>
      <x v="1172"/>
    </i>
    <i>
      <x v="444"/>
    </i>
    <i>
      <x v="1302"/>
    </i>
    <i>
      <x v="1375"/>
    </i>
    <i>
      <x v="864"/>
    </i>
    <i>
      <x v="950"/>
    </i>
    <i>
      <x v="1317"/>
    </i>
    <i>
      <x v="1142"/>
    </i>
    <i>
      <x v="1054"/>
    </i>
    <i>
      <x v="266"/>
    </i>
    <i>
      <x v="1005"/>
    </i>
    <i>
      <x v="1115"/>
    </i>
    <i>
      <x v="526"/>
    </i>
    <i>
      <x v="889"/>
    </i>
    <i>
      <x v="118"/>
    </i>
    <i>
      <x v="553"/>
    </i>
    <i>
      <x v="1063"/>
    </i>
    <i>
      <x v="879"/>
    </i>
    <i>
      <x v="918"/>
    </i>
    <i>
      <x v="769"/>
    </i>
    <i>
      <x v="324"/>
    </i>
    <i>
      <x v="335"/>
    </i>
    <i>
      <x v="505"/>
    </i>
    <i>
      <x v="602"/>
    </i>
    <i>
      <x v="595"/>
    </i>
    <i>
      <x v="818"/>
    </i>
    <i>
      <x v="1251"/>
    </i>
    <i>
      <x v="235"/>
    </i>
    <i>
      <x v="1397"/>
    </i>
    <i>
      <x v="379"/>
    </i>
    <i>
      <x v="149"/>
    </i>
    <i>
      <x v="1141"/>
    </i>
    <i>
      <x v="390"/>
    </i>
    <i>
      <x v="1356"/>
    </i>
    <i>
      <x v="197"/>
    </i>
    <i>
      <x v="1076"/>
    </i>
    <i>
      <x v="1133"/>
    </i>
    <i>
      <x v="642"/>
    </i>
    <i>
      <x v="1303"/>
    </i>
    <i>
      <x v="620"/>
    </i>
    <i>
      <x v="31"/>
    </i>
    <i>
      <x v="795"/>
    </i>
    <i>
      <x v="51"/>
    </i>
    <i>
      <x v="1019"/>
    </i>
    <i>
      <x v="1311"/>
    </i>
    <i>
      <x v="30"/>
    </i>
    <i>
      <x v="256"/>
    </i>
    <i>
      <x v="1139"/>
    </i>
    <i>
      <x v="112"/>
    </i>
    <i>
      <x v="6"/>
    </i>
    <i>
      <x v="857"/>
    </i>
    <i>
      <x v="898"/>
    </i>
    <i>
      <x v="803"/>
    </i>
    <i>
      <x v="1288"/>
    </i>
    <i>
      <x v="378"/>
    </i>
    <i>
      <x v="1068"/>
    </i>
    <i>
      <x v="1254"/>
    </i>
    <i>
      <x v="1380"/>
    </i>
    <i>
      <x v="886"/>
    </i>
    <i>
      <x v="708"/>
    </i>
    <i>
      <x v="678"/>
    </i>
    <i>
      <x v="738"/>
    </i>
    <i>
      <x v="532"/>
    </i>
    <i>
      <x v="498"/>
    </i>
    <i>
      <x v="338"/>
    </i>
    <i>
      <x v="232"/>
    </i>
    <i>
      <x v="40"/>
    </i>
    <i>
      <x v="831"/>
    </i>
    <i>
      <x v="1339"/>
    </i>
    <i>
      <x v="510"/>
    </i>
    <i>
      <x v="260"/>
    </i>
    <i>
      <x v="1383"/>
    </i>
    <i>
      <x v="18"/>
    </i>
    <i>
      <x v="649"/>
    </i>
    <i>
      <x v="1327"/>
    </i>
    <i>
      <x v="1323"/>
    </i>
    <i>
      <x v="286"/>
    </i>
    <i>
      <x v="1122"/>
    </i>
    <i>
      <x v="478"/>
    </i>
    <i>
      <x v="896"/>
    </i>
    <i>
      <x v="370"/>
    </i>
    <i>
      <x v="211"/>
    </i>
    <i>
      <x v="417"/>
    </i>
    <i>
      <x v="210"/>
    </i>
    <i>
      <x v="1351"/>
    </i>
    <i>
      <x v="518"/>
    </i>
    <i>
      <x v="1108"/>
    </i>
    <i>
      <x v="257"/>
    </i>
    <i>
      <x v="1334"/>
    </i>
    <i>
      <x v="551"/>
    </i>
    <i>
      <x v="1049"/>
    </i>
    <i>
      <x v="1148"/>
    </i>
    <i>
      <x v="556"/>
    </i>
    <i>
      <x v="552"/>
    </i>
    <i>
      <x v="1042"/>
    </i>
    <i>
      <x v="897"/>
    </i>
    <i>
      <x v="237"/>
    </i>
    <i>
      <x v="633"/>
    </i>
    <i>
      <x v="1051"/>
    </i>
    <i>
      <x v="1272"/>
    </i>
    <i>
      <x v="263"/>
    </i>
    <i>
      <x v="269"/>
    </i>
    <i>
      <x v="416"/>
    </i>
    <i>
      <x v="369"/>
    </i>
    <i>
      <x v="537"/>
    </i>
    <i>
      <x v="729"/>
    </i>
    <i>
      <x v="477"/>
    </i>
    <i>
      <x v="299"/>
    </i>
    <i>
      <x v="404"/>
    </i>
    <i>
      <x v="1396"/>
    </i>
    <i>
      <x v="757"/>
    </i>
    <i>
      <x v="569"/>
    </i>
    <i>
      <x v="429"/>
    </i>
    <i>
      <x v="1279"/>
    </i>
    <i>
      <x v="86"/>
    </i>
    <i>
      <x v="33"/>
    </i>
    <i>
      <x v="1387"/>
    </i>
    <i>
      <x v="1007"/>
    </i>
    <i>
      <x v="809"/>
    </i>
    <i>
      <x v="1156"/>
    </i>
    <i>
      <x v="589"/>
    </i>
    <i>
      <x v="1328"/>
    </i>
    <i>
      <x v="1412"/>
    </i>
    <i>
      <x v="1365"/>
    </i>
    <i>
      <x v="739"/>
    </i>
    <i>
      <x v="166"/>
    </i>
    <i>
      <x v="1277"/>
    </i>
    <i>
      <x v="1210"/>
    </i>
    <i>
      <x v="281"/>
    </i>
    <i>
      <x v="1223"/>
    </i>
    <i>
      <x v="1299"/>
    </i>
    <i>
      <x v="1348"/>
    </i>
    <i>
      <x v="1109"/>
    </i>
    <i>
      <x v="939"/>
    </i>
    <i>
      <x v="128"/>
    </i>
    <i>
      <x v="870"/>
    </i>
    <i>
      <x v="171"/>
    </i>
    <i>
      <x v="1031"/>
    </i>
    <i>
      <x v="1067"/>
    </i>
    <i>
      <x v="1407"/>
    </i>
    <i>
      <x v="1140"/>
    </i>
    <i>
      <x v="434"/>
    </i>
    <i>
      <x v="1344"/>
    </i>
    <i>
      <x v="1381"/>
    </i>
    <i>
      <x v="1227"/>
    </i>
    <i>
      <x v="1240"/>
    </i>
    <i>
      <x v="1127"/>
    </i>
    <i>
      <x v="922"/>
    </i>
    <i>
      <x v="810"/>
    </i>
    <i>
      <x v="567"/>
    </i>
    <i>
      <x v="427"/>
    </i>
    <i>
      <x v="538"/>
    </i>
    <i>
      <x v="275"/>
    </i>
    <i>
      <x v="107"/>
    </i>
    <i>
      <x v="132"/>
    </i>
    <i>
      <x v="743"/>
    </i>
    <i>
      <x v="1203"/>
    </i>
    <i>
      <x v="405"/>
    </i>
    <i>
      <x v="125"/>
    </i>
    <i>
      <x v="1359"/>
    </i>
    <i>
      <x v="1207"/>
    </i>
    <i>
      <x v="1162"/>
    </i>
    <i>
      <x v="1260"/>
    </i>
    <i>
      <x v="1082"/>
    </i>
    <i>
      <x v="960"/>
    </i>
    <i>
      <x v="1136"/>
    </i>
    <i>
      <x v="914"/>
    </i>
    <i>
      <x v="768"/>
    </i>
    <i>
      <x v="340"/>
    </i>
    <i>
      <x v="484"/>
    </i>
    <i>
      <x v="448"/>
    </i>
    <i>
      <x v="302"/>
    </i>
    <i>
      <x v="102"/>
    </i>
    <i>
      <x v="673"/>
    </i>
    <i>
      <x v="828"/>
    </i>
    <i>
      <x v="130"/>
    </i>
    <i>
      <x v="762"/>
    </i>
    <i>
      <x v="95"/>
    </i>
    <i>
      <x v="1209"/>
    </i>
    <i>
      <x v="1259"/>
    </i>
    <i>
      <x v="866"/>
    </i>
    <i>
      <x v="825"/>
    </i>
    <i>
      <x v="669"/>
    </i>
    <i>
      <x v="432"/>
    </i>
    <i>
      <x v="475"/>
    </i>
    <i>
      <x v="325"/>
    </i>
    <i>
      <x v="327"/>
    </i>
    <i>
      <x v="265"/>
    </i>
    <i>
      <x v="262"/>
    </i>
    <i>
      <x v="1166"/>
    </i>
    <i>
      <x v="1073"/>
    </i>
    <i>
      <x v="594"/>
    </i>
    <i>
      <x v="638"/>
    </i>
    <i>
      <x v="271"/>
    </i>
    <i>
      <x v="214"/>
    </i>
    <i>
      <x v="1316"/>
    </i>
    <i>
      <x v="1226"/>
    </i>
    <i>
      <x v="1336"/>
    </i>
    <i>
      <x v="1425"/>
    </i>
    <i>
      <x v="571"/>
    </i>
    <i>
      <x v="1001"/>
    </i>
    <i>
      <x v="904"/>
    </i>
    <i>
      <x v="588"/>
    </i>
    <i>
      <x v="121"/>
    </i>
    <i>
      <x v="1403"/>
    </i>
    <i>
      <x v="1114"/>
    </i>
    <i>
      <x v="819"/>
    </i>
    <i>
      <x v="296"/>
    </i>
    <i>
      <x v="20"/>
    </i>
    <i>
      <x v="826"/>
    </i>
    <i>
      <x v="117"/>
    </i>
    <i>
      <x v="1267"/>
    </i>
    <i>
      <x v="1170"/>
    </i>
    <i>
      <x v="1238"/>
    </i>
    <i>
      <x v="339"/>
    </i>
    <i>
      <x v="623"/>
    </i>
    <i>
      <x v="604"/>
    </i>
    <i>
      <x v="248"/>
    </i>
    <i>
      <x v="1263"/>
    </i>
    <i>
      <x v="967"/>
    </i>
    <i>
      <x v="174"/>
    </i>
    <i>
      <x v="1264"/>
    </i>
    <i>
      <x v="884"/>
    </i>
    <i>
      <x v="1421"/>
    </i>
    <i>
      <x v="454"/>
    </i>
    <i>
      <x v="1308"/>
    </i>
    <i>
      <x v="1193"/>
    </i>
    <i>
      <x v="547"/>
    </i>
    <i>
      <x v="167"/>
    </i>
    <i>
      <x v="517"/>
    </i>
    <i>
      <x v="479"/>
    </i>
    <i>
      <x v="450"/>
    </i>
    <i>
      <x v="120"/>
    </i>
    <i>
      <x v="1023"/>
    </i>
    <i>
      <x v="1214"/>
    </i>
    <i>
      <x v="1364"/>
    </i>
    <i>
      <x v="1059"/>
    </i>
    <i>
      <x v="956"/>
    </i>
    <i>
      <x v="679"/>
    </i>
    <i>
      <x v="472"/>
    </i>
    <i>
      <x v="548"/>
    </i>
    <i>
      <x v="298"/>
    </i>
    <i>
      <x v="971"/>
    </i>
    <i>
      <x v="441"/>
    </i>
    <i>
      <x v="291"/>
    </i>
    <i>
      <x v="535"/>
    </i>
    <i>
      <x v="1305"/>
    </i>
    <i>
      <x v="1230"/>
    </i>
    <i>
      <x v="549"/>
    </i>
    <i>
      <x v="964"/>
    </i>
    <i>
      <x v="1395"/>
    </i>
    <i>
      <x v="465"/>
    </i>
    <i>
      <x v="219"/>
    </i>
    <i>
      <x v="326"/>
    </i>
    <i>
      <x v="1261"/>
    </i>
    <i>
      <x v="1228"/>
    </i>
    <i>
      <x v="1337"/>
    </i>
    <i>
      <x v="1245"/>
    </i>
    <i>
      <x v="1283"/>
    </i>
    <i>
      <x v="1050"/>
    </i>
    <i>
      <x v="1029"/>
    </i>
    <i>
      <x v="816"/>
    </i>
    <i>
      <x v="347"/>
    </i>
    <i>
      <x v="331"/>
    </i>
    <i>
      <x v="295"/>
    </i>
    <i>
      <x v="13"/>
    </i>
    <i>
      <x v="154"/>
    </i>
    <i>
      <x v="653"/>
    </i>
    <i>
      <x v="1293"/>
    </i>
    <i>
      <x v="410"/>
    </i>
    <i>
      <x v="114"/>
    </i>
    <i>
      <x v="115"/>
    </i>
    <i>
      <x v="924"/>
    </i>
    <i>
      <x v="932"/>
    </i>
    <i>
      <x v="585"/>
    </i>
    <i>
      <x v="721"/>
    </i>
    <i>
      <x v="148"/>
    </i>
    <i>
      <x v="1352"/>
    </i>
    <i>
      <x v="1212"/>
    </i>
  </rowItems>
  <colFields count="1">
    <field x="-2"/>
  </colFields>
  <colItems count="2">
    <i>
      <x/>
    </i>
    <i i="1">
      <x v="1"/>
    </i>
  </colItems>
  <dataFields count="2">
    <dataField name="LastPurchaseDate" fld="0" subtotal="max" baseField="1" baseItem="0" numFmtId="15"/>
    <dataField name="Sum of Sales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CC82A-BD30-4779-8F9A-48908EFBB3E0}" name="PivotTable1" cacheId="238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ustomers">
  <location ref="A3:B1428" firstHeaderRow="1" firstDataRow="1" firstDataCol="1"/>
  <pivotFields count="6">
    <pivotField showAll="0"/>
    <pivotField axis="axisRow" showAll="0" sortType="descending">
      <items count="1428">
        <item h="1" m="1" x="1426"/>
        <item x="331"/>
        <item x="217"/>
        <item x="1228"/>
        <item x="363"/>
        <item x="986"/>
        <item x="965"/>
        <item x="57"/>
        <item x="62"/>
        <item x="1126"/>
        <item x="1355"/>
        <item x="501"/>
        <item x="690"/>
        <item x="798"/>
        <item x="490"/>
        <item x="495"/>
        <item x="52"/>
        <item x="160"/>
        <item x="856"/>
        <item x="1247"/>
        <item x="1195"/>
        <item x="307"/>
        <item x="1171"/>
        <item x="43"/>
        <item x="435"/>
        <item x="1266"/>
        <item x="1274"/>
        <item x="824"/>
        <item x="287"/>
        <item x="865"/>
        <item x="314"/>
        <item x="80"/>
        <item x="750"/>
        <item x="888"/>
        <item x="734"/>
        <item x="98"/>
        <item x="346"/>
        <item x="229"/>
        <item x="461"/>
        <item x="327"/>
        <item x="827"/>
        <item x="1142"/>
        <item x="1114"/>
        <item x="1034"/>
        <item x="660"/>
        <item x="874"/>
        <item x="1341"/>
        <item x="694"/>
        <item x="621"/>
        <item x="1213"/>
        <item x="390"/>
        <item x="1267"/>
        <item x="1326"/>
        <item x="1362"/>
        <item x="1210"/>
        <item x="329"/>
        <item x="662"/>
        <item x="930"/>
        <item x="649"/>
        <item x="105"/>
        <item x="1224"/>
        <item x="816"/>
        <item x="148"/>
        <item x="27"/>
        <item x="4"/>
        <item x="881"/>
        <item x="1194"/>
        <item x="560"/>
        <item x="82"/>
        <item x="1196"/>
        <item x="1008"/>
        <item x="149"/>
        <item x="790"/>
        <item x="862"/>
        <item x="1192"/>
        <item x="54"/>
        <item x="609"/>
        <item x="1249"/>
        <item x="1414"/>
        <item x="616"/>
        <item x="945"/>
        <item x="92"/>
        <item x="512"/>
        <item x="488"/>
        <item x="828"/>
        <item x="1233"/>
        <item x="600"/>
        <item x="576"/>
        <item x="574"/>
        <item x="699"/>
        <item x="992"/>
        <item x="71"/>
        <item x="137"/>
        <item x="30"/>
        <item x="1316"/>
        <item x="1073"/>
        <item x="1053"/>
        <item x="1075"/>
        <item x="1237"/>
        <item x="749"/>
        <item x="1050"/>
        <item x="706"/>
        <item x="974"/>
        <item x="379"/>
        <item x="1250"/>
        <item x="50"/>
        <item x="1150"/>
        <item x="584"/>
        <item x="659"/>
        <item x="1333"/>
        <item x="164"/>
        <item x="349"/>
        <item x="714"/>
        <item x="466"/>
        <item x="1273"/>
        <item x="521"/>
        <item x="991"/>
        <item x="59"/>
        <item x="884"/>
        <item x="937"/>
        <item x="272"/>
        <item x="554"/>
        <item x="1268"/>
        <item x="26"/>
        <item x="556"/>
        <item x="810"/>
        <item x="743"/>
        <item x="285"/>
        <item x="383"/>
        <item x="744"/>
        <item x="1120"/>
        <item x="762"/>
        <item x="294"/>
        <item x="382"/>
        <item x="704"/>
        <item x="161"/>
        <item x="113"/>
        <item x="1188"/>
        <item x="1337"/>
        <item x="1097"/>
        <item x="1365"/>
        <item x="141"/>
        <item x="1"/>
        <item x="586"/>
        <item x="1293"/>
        <item x="115"/>
        <item x="1179"/>
        <item x="1105"/>
        <item x="300"/>
        <item x="935"/>
        <item x="83"/>
        <item x="933"/>
        <item x="663"/>
        <item x="276"/>
        <item x="665"/>
        <item x="887"/>
        <item x="682"/>
        <item x="845"/>
        <item x="1040"/>
        <item x="666"/>
        <item x="380"/>
        <item x="1028"/>
        <item x="319"/>
        <item x="326"/>
        <item x="590"/>
        <item x="1338"/>
        <item x="801"/>
        <item x="1395"/>
        <item x="1175"/>
        <item x="540"/>
        <item x="568"/>
        <item x="594"/>
        <item x="17"/>
        <item x="667"/>
        <item x="972"/>
        <item x="365"/>
        <item x="661"/>
        <item x="259"/>
        <item x="1317"/>
        <item x="368"/>
        <item x="196"/>
        <item x="29"/>
        <item x="193"/>
        <item x="311"/>
        <item x="1131"/>
        <item x="70"/>
        <item x="497"/>
        <item x="291"/>
        <item x="1091"/>
        <item x="756"/>
        <item x="1368"/>
        <item x="596"/>
        <item x="255"/>
        <item x="1209"/>
        <item x="211"/>
        <item x="475"/>
        <item x="91"/>
        <item x="782"/>
        <item x="736"/>
        <item x="1134"/>
        <item x="1221"/>
        <item x="957"/>
        <item x="1023"/>
        <item x="683"/>
        <item x="1151"/>
        <item x="626"/>
        <item x="75"/>
        <item x="1156"/>
        <item x="1145"/>
        <item x="76"/>
        <item x="1389"/>
        <item x="1416"/>
        <item x="1144"/>
        <item x="967"/>
        <item x="1163"/>
        <item x="317"/>
        <item x="1141"/>
        <item x="715"/>
        <item x="239"/>
        <item x="1047"/>
        <item x="13"/>
        <item x="412"/>
        <item x="1061"/>
        <item x="993"/>
        <item x="236"/>
        <item x="611"/>
        <item x="1255"/>
        <item x="354"/>
        <item x="281"/>
        <item x="1312"/>
        <item x="117"/>
        <item x="581"/>
        <item x="1129"/>
        <item x="708"/>
        <item x="817"/>
        <item x="1003"/>
        <item x="632"/>
        <item x="1027"/>
        <item x="243"/>
        <item x="439"/>
        <item x="514"/>
        <item x="1149"/>
        <item x="969"/>
        <item x="984"/>
        <item x="472"/>
        <item x="1226"/>
        <item x="550"/>
        <item x="334"/>
        <item x="924"/>
        <item x="504"/>
        <item x="191"/>
        <item x="1148"/>
        <item x="171"/>
        <item x="131"/>
        <item x="189"/>
        <item x="1227"/>
        <item x="612"/>
        <item x="455"/>
        <item x="38"/>
        <item x="1415"/>
        <item x="518"/>
        <item x="133"/>
        <item x="1390"/>
        <item x="1018"/>
        <item x="623"/>
        <item x="1384"/>
        <item x="587"/>
        <item x="1182"/>
        <item x="1184"/>
        <item x="277"/>
        <item x="1076"/>
        <item x="1205"/>
        <item x="823"/>
        <item x="341"/>
        <item x="428"/>
        <item x="820"/>
        <item x="846"/>
        <item x="589"/>
        <item x="127"/>
        <item x="997"/>
        <item x="1374"/>
        <item x="792"/>
        <item x="3"/>
        <item x="532"/>
        <item x="481"/>
        <item x="67"/>
        <item x="33"/>
        <item x="459"/>
        <item x="165"/>
        <item x="1115"/>
        <item x="218"/>
        <item x="417"/>
        <item x="1016"/>
        <item x="605"/>
        <item x="385"/>
        <item x="347"/>
        <item x="882"/>
        <item x="407"/>
        <item x="1055"/>
        <item x="441"/>
        <item x="647"/>
        <item x="1167"/>
        <item x="125"/>
        <item x="220"/>
        <item x="889"/>
        <item x="1222"/>
        <item x="583"/>
        <item x="1343"/>
        <item x="28"/>
        <item x="42"/>
        <item x="727"/>
        <item x="249"/>
        <item x="352"/>
        <item x="292"/>
        <item x="983"/>
        <item x="771"/>
        <item x="46"/>
        <item x="1202"/>
        <item x="831"/>
        <item x="199"/>
        <item x="333"/>
        <item x="751"/>
        <item x="247"/>
        <item x="799"/>
        <item x="1275"/>
        <item x="1367"/>
        <item x="895"/>
        <item x="1264"/>
        <item x="746"/>
        <item x="553"/>
        <item x="212"/>
        <item x="452"/>
        <item x="489"/>
        <item x="658"/>
        <item x="1328"/>
        <item x="1026"/>
        <item x="964"/>
        <item x="1081"/>
        <item x="538"/>
        <item x="1071"/>
        <item x="1093"/>
        <item x="1319"/>
        <item x="358"/>
        <item x="479"/>
        <item x="766"/>
        <item x="917"/>
        <item x="879"/>
        <item x="312"/>
        <item x="953"/>
        <item x="447"/>
        <item x="819"/>
        <item x="725"/>
        <item x="642"/>
        <item x="1422"/>
        <item x="36"/>
        <item x="286"/>
        <item x="1285"/>
        <item x="434"/>
        <item x="821"/>
        <item x="503"/>
        <item x="279"/>
        <item x="431"/>
        <item x="847"/>
        <item x="838"/>
        <item x="1284"/>
        <item x="789"/>
        <item x="537"/>
        <item x="237"/>
        <item x="891"/>
        <item x="228"/>
        <item x="1299"/>
        <item x="1207"/>
        <item x="1217"/>
        <item x="807"/>
        <item x="1086"/>
        <item x="904"/>
        <item x="200"/>
        <item x="1306"/>
        <item x="639"/>
        <item x="1218"/>
        <item x="1354"/>
        <item x="330"/>
        <item x="927"/>
        <item x="89"/>
        <item x="892"/>
        <item x="688"/>
        <item x="996"/>
        <item x="1225"/>
        <item x="1155"/>
        <item x="1077"/>
        <item x="1173"/>
        <item x="1033"/>
        <item x="302"/>
        <item x="1235"/>
        <item x="1197"/>
        <item x="1379"/>
        <item x="353"/>
        <item x="1152"/>
        <item x="1059"/>
        <item x="1085"/>
        <item x="188"/>
        <item x="791"/>
        <item x="203"/>
        <item x="22"/>
        <item x="1376"/>
        <item x="262"/>
        <item x="1272"/>
        <item x="182"/>
        <item x="140"/>
        <item x="1276"/>
        <item x="460"/>
        <item x="216"/>
        <item x="1176"/>
        <item x="525"/>
        <item x="1020"/>
        <item x="201"/>
        <item x="1409"/>
        <item x="486"/>
        <item x="1231"/>
        <item x="1116"/>
        <item x="548"/>
        <item x="231"/>
        <item x="315"/>
        <item x="685"/>
        <item x="1401"/>
        <item x="1138"/>
        <item x="541"/>
        <item x="778"/>
        <item x="1387"/>
        <item x="144"/>
        <item x="169"/>
        <item x="922"/>
        <item x="1323"/>
        <item x="65"/>
        <item x="1037"/>
        <item x="1140"/>
        <item x="1330"/>
        <item x="271"/>
        <item x="1334"/>
        <item x="812"/>
        <item x="500"/>
        <item x="1100"/>
        <item x="1139"/>
        <item x="351"/>
        <item x="61"/>
        <item x="453"/>
        <item x="397"/>
        <item x="114"/>
        <item x="1078"/>
        <item x="793"/>
        <item x="1212"/>
        <item x="990"/>
        <item x="832"/>
        <item x="701"/>
        <item x="641"/>
        <item x="369"/>
        <item x="1087"/>
        <item x="480"/>
        <item x="156"/>
        <item x="1044"/>
        <item x="477"/>
        <item x="858"/>
        <item x="1108"/>
        <item x="387"/>
        <item x="485"/>
        <item x="987"/>
        <item x="985"/>
        <item x="1124"/>
        <item x="278"/>
        <item x="650"/>
        <item x="637"/>
        <item x="752"/>
        <item x="1307"/>
        <item x="519"/>
        <item x="1130"/>
        <item x="1336"/>
        <item x="705"/>
        <item x="1295"/>
        <item x="194"/>
        <item x="393"/>
        <item x="995"/>
        <item x="739"/>
        <item x="1049"/>
        <item x="940"/>
        <item x="929"/>
        <item x="359"/>
        <item x="1382"/>
        <item x="625"/>
        <item x="119"/>
        <item x="843"/>
        <item x="357"/>
        <item x="907"/>
        <item x="580"/>
        <item x="1313"/>
        <item x="951"/>
        <item x="116"/>
        <item x="20"/>
        <item x="864"/>
        <item x="631"/>
        <item x="1070"/>
        <item x="711"/>
        <item x="565"/>
        <item x="424"/>
        <item x="703"/>
        <item x="1157"/>
        <item x="545"/>
        <item x="770"/>
        <item x="923"/>
        <item x="579"/>
        <item x="487"/>
        <item x="263"/>
        <item x="638"/>
        <item x="1314"/>
        <item x="1080"/>
        <item x="345"/>
        <item x="445"/>
        <item x="1119"/>
        <item x="1259"/>
        <item x="1159"/>
        <item x="60"/>
        <item x="1304"/>
        <item x="1128"/>
        <item x="968"/>
        <item x="802"/>
        <item x="1014"/>
        <item x="370"/>
        <item x="360"/>
        <item x="1048"/>
        <item x="803"/>
        <item x="1183"/>
        <item x="338"/>
        <item x="668"/>
        <item x="780"/>
        <item x="72"/>
        <item x="223"/>
        <item x="772"/>
        <item x="630"/>
        <item x="797"/>
        <item x="517"/>
        <item x="221"/>
        <item x="1000"/>
        <item x="970"/>
        <item x="1325"/>
        <item x="1417"/>
        <item x="1280"/>
        <item x="1412"/>
        <item x="264"/>
        <item x="1377"/>
        <item x="1064"/>
        <item x="680"/>
        <item x="691"/>
        <item x="49"/>
        <item x="978"/>
        <item x="1383"/>
        <item x="308"/>
        <item x="340"/>
        <item x="629"/>
        <item x="163"/>
        <item x="47"/>
        <item x="39"/>
        <item x="422"/>
        <item x="916"/>
        <item x="471"/>
        <item x="1214"/>
        <item x="242"/>
        <item x="932"/>
        <item x="1112"/>
        <item x="800"/>
        <item x="1398"/>
        <item x="1103"/>
        <item x="524"/>
        <item x="648"/>
        <item x="1301"/>
        <item x="297"/>
        <item x="1352"/>
        <item x="374"/>
        <item x="1262"/>
        <item x="1410"/>
        <item x="796"/>
        <item x="449"/>
        <item x="1396"/>
        <item x="465"/>
        <item x="456"/>
        <item x="381"/>
        <item x="522"/>
        <item x="529"/>
        <item x="1062"/>
        <item x="107"/>
        <item x="1013"/>
        <item x="593"/>
        <item x="622"/>
        <item x="654"/>
        <item x="516"/>
        <item x="34"/>
        <item x="773"/>
        <item x="1302"/>
        <item x="866"/>
        <item x="502"/>
        <item x="253"/>
        <item x="1253"/>
        <item x="508"/>
        <item x="429"/>
        <item x="962"/>
        <item x="64"/>
        <item x="1290"/>
        <item x="1162"/>
        <item x="718"/>
        <item x="815"/>
        <item x="273"/>
        <item x="84"/>
        <item x="1009"/>
        <item x="698"/>
        <item x="710"/>
        <item x="288"/>
        <item x="724"/>
        <item x="926"/>
        <item x="582"/>
        <item x="1375"/>
        <item x="394"/>
        <item x="1046"/>
        <item x="901"/>
        <item x="1327"/>
        <item x="179"/>
        <item x="645"/>
        <item x="1060"/>
        <item x="573"/>
        <item x="1318"/>
        <item x="10"/>
        <item x="145"/>
        <item x="1265"/>
        <item x="547"/>
        <item x="1065"/>
        <item x="233"/>
        <item x="912"/>
        <item x="702"/>
        <item x="1035"/>
        <item x="1038"/>
        <item x="619"/>
        <item x="1168"/>
        <item x="674"/>
        <item x="1110"/>
        <item x="143"/>
        <item x="860"/>
        <item x="1269"/>
        <item x="544"/>
        <item x="618"/>
        <item x="1223"/>
        <item x="948"/>
        <item x="79"/>
        <item x="876"/>
        <item x="1236"/>
        <item x="321"/>
        <item x="868"/>
        <item x="613"/>
        <item x="1418"/>
        <item x="1296"/>
        <item x="467"/>
        <item x="68"/>
        <item x="523"/>
        <item x="835"/>
        <item x="1185"/>
        <item x="676"/>
        <item x="398"/>
        <item x="549"/>
        <item x="716"/>
        <item x="476"/>
        <item x="339"/>
        <item x="671"/>
        <item x="296"/>
        <item x="1425"/>
        <item x="825"/>
        <item x="644"/>
        <item x="604"/>
        <item x="1347"/>
        <item x="267"/>
        <item x="463"/>
        <item x="157"/>
        <item x="336"/>
        <item x="437"/>
        <item x="1356"/>
        <item x="274"/>
        <item x="759"/>
        <item x="7"/>
        <item x="578"/>
        <item x="451"/>
        <item x="1024"/>
        <item x="530"/>
        <item x="100"/>
        <item x="651"/>
        <item x="851"/>
        <item x="599"/>
        <item x="730"/>
        <item x="74"/>
        <item x="729"/>
        <item x="146"/>
        <item x="299"/>
        <item x="836"/>
        <item x="1342"/>
        <item x="1321"/>
        <item x="738"/>
        <item x="1392"/>
        <item x="760"/>
        <item x="1189"/>
        <item x="902"/>
        <item x="571"/>
        <item x="99"/>
        <item x="1029"/>
        <item x="454"/>
        <item x="733"/>
        <item x="153"/>
        <item x="1118"/>
        <item x="304"/>
        <item x="1107"/>
        <item x="258"/>
        <item x="511"/>
        <item x="848"/>
        <item x="205"/>
        <item x="106"/>
        <item x="190"/>
        <item x="783"/>
        <item x="12"/>
        <item x="919"/>
        <item x="808"/>
        <item x="788"/>
        <item x="696"/>
        <item x="664"/>
        <item x="728"/>
        <item x="880"/>
        <item x="2"/>
        <item x="918"/>
        <item x="178"/>
        <item x="269"/>
        <item x="603"/>
        <item x="863"/>
        <item x="45"/>
        <item x="73"/>
        <item x="230"/>
        <item x="185"/>
        <item x="679"/>
        <item x="366"/>
        <item x="722"/>
        <item x="900"/>
        <item x="873"/>
        <item x="1160"/>
        <item x="896"/>
        <item x="952"/>
        <item x="687"/>
        <item x="677"/>
        <item x="941"/>
        <item x="606"/>
        <item x="681"/>
        <item x="421"/>
        <item x="158"/>
        <item x="391"/>
        <item x="977"/>
        <item x="469"/>
        <item x="483"/>
        <item x="505"/>
        <item x="597"/>
        <item x="41"/>
        <item x="416"/>
        <item x="533"/>
        <item x="723"/>
        <item x="470"/>
        <item x="1388"/>
        <item x="1322"/>
        <item x="813"/>
        <item x="737"/>
        <item x="925"/>
        <item x="101"/>
        <item x="608"/>
        <item x="443"/>
        <item x="1424"/>
        <item x="468"/>
        <item x="298"/>
        <item x="672"/>
        <item x="826"/>
        <item x="764"/>
        <item x="446"/>
        <item x="265"/>
        <item x="1393"/>
        <item x="328"/>
        <item x="564"/>
        <item x="795"/>
        <item x="920"/>
        <item x="335"/>
        <item x="1051"/>
        <item x="646"/>
        <item x="332"/>
        <item x="562"/>
        <item x="1373"/>
        <item x="1372"/>
        <item x="1360"/>
        <item x="869"/>
        <item x="692"/>
        <item x="208"/>
        <item x="16"/>
        <item x="1413"/>
        <item x="66"/>
        <item x="615"/>
        <item x="348"/>
        <item x="1358"/>
        <item x="989"/>
        <item x="1288"/>
        <item x="1104"/>
        <item x="814"/>
        <item x="410"/>
        <item x="0"/>
        <item x="1286"/>
        <item x="1420"/>
        <item x="775"/>
        <item x="786"/>
        <item x="1170"/>
        <item x="769"/>
        <item x="275"/>
        <item x="464"/>
        <item x="767"/>
        <item x="86"/>
        <item x="717"/>
        <item x="484"/>
        <item x="373"/>
        <item x="282"/>
        <item x="244"/>
        <item x="154"/>
        <item x="971"/>
        <item x="1364"/>
        <item x="1291"/>
        <item x="1254"/>
        <item x="355"/>
        <item x="225"/>
        <item x="234"/>
        <item x="1054"/>
        <item x="1411"/>
        <item x="1394"/>
        <item x="861"/>
        <item x="494"/>
        <item x="735"/>
        <item x="942"/>
        <item x="1216"/>
        <item x="310"/>
        <item x="90"/>
        <item x="1399"/>
        <item x="261"/>
        <item x="1017"/>
        <item x="260"/>
        <item x="1166"/>
        <item x="1181"/>
        <item x="591"/>
        <item x="966"/>
        <item x="436"/>
        <item x="402"/>
        <item x="1357"/>
        <item x="634"/>
        <item x="184"/>
        <item x="915"/>
        <item x="765"/>
        <item x="753"/>
        <item x="186"/>
        <item x="173"/>
        <item x="721"/>
        <item x="254"/>
        <item x="289"/>
        <item x="108"/>
        <item x="35"/>
        <item x="378"/>
        <item x="142"/>
        <item x="1263"/>
        <item x="135"/>
        <item x="104"/>
        <item x="1315"/>
        <item x="401"/>
        <item x="316"/>
        <item x="180"/>
        <item x="1133"/>
        <item x="5"/>
        <item x="1232"/>
        <item x="301"/>
        <item x="979"/>
        <item x="419"/>
        <item x="1180"/>
        <item x="1200"/>
        <item x="126"/>
        <item x="1348"/>
        <item x="552"/>
        <item x="1219"/>
        <item x="241"/>
        <item x="427"/>
        <item x="95"/>
        <item x="841"/>
        <item x="1405"/>
        <item x="1096"/>
        <item x="908"/>
        <item x="784"/>
        <item x="1407"/>
        <item x="386"/>
        <item x="1371"/>
        <item x="1248"/>
        <item x="1158"/>
        <item x="840"/>
        <item x="122"/>
        <item x="440"/>
        <item x="25"/>
        <item x="1199"/>
        <item x="102"/>
        <item x="1344"/>
        <item x="129"/>
        <item x="913"/>
        <item x="309"/>
        <item x="982"/>
        <item x="1090"/>
        <item x="878"/>
        <item x="303"/>
        <item x="213"/>
        <item x="23"/>
        <item x="130"/>
        <item x="1230"/>
        <item x="1391"/>
        <item x="6"/>
        <item x="954"/>
        <item x="118"/>
        <item x="506"/>
        <item x="1066"/>
        <item x="539"/>
        <item x="1270"/>
        <item x="526"/>
        <item x="693"/>
        <item x="344"/>
        <item x="563"/>
        <item x="227"/>
        <item x="1353"/>
        <item x="159"/>
        <item x="636"/>
        <item x="758"/>
        <item x="56"/>
        <item x="628"/>
        <item x="53"/>
        <item x="207"/>
        <item x="155"/>
        <item x="1350"/>
        <item x="531"/>
        <item x="588"/>
        <item x="994"/>
        <item x="909"/>
        <item x="77"/>
        <item x="1423"/>
        <item x="1042"/>
        <item x="482"/>
        <item x="478"/>
        <item x="1169"/>
        <item x="1366"/>
        <item x="1378"/>
        <item x="376"/>
        <item x="1404"/>
        <item x="134"/>
        <item x="961"/>
        <item x="1036"/>
        <item x="235"/>
        <item x="87"/>
        <item x="1271"/>
        <item x="222"/>
        <item x="85"/>
        <item x="206"/>
        <item x="806"/>
        <item x="601"/>
        <item x="1069"/>
        <item x="313"/>
        <item x="257"/>
        <item x="1002"/>
        <item x="1400"/>
        <item x="1068"/>
        <item x="1329"/>
        <item x="176"/>
        <item x="32"/>
        <item x="395"/>
        <item x="1011"/>
        <item x="1109"/>
        <item x="1083"/>
        <item x="1283"/>
        <item x="872"/>
        <item x="546"/>
        <item x="1310"/>
        <item x="958"/>
        <item x="342"/>
        <item x="1089"/>
        <item x="686"/>
        <item x="555"/>
        <item x="700"/>
        <item x="755"/>
        <item x="1229"/>
        <item x="1204"/>
        <item x="785"/>
        <item x="839"/>
        <item x="1359"/>
        <item x="1057"/>
        <item x="569"/>
        <item x="818"/>
        <item x="950"/>
        <item x="1041"/>
        <item x="306"/>
        <item x="14"/>
        <item x="1385"/>
        <item x="377"/>
        <item x="210"/>
        <item x="172"/>
        <item x="1022"/>
        <item x="936"/>
        <item x="343"/>
        <item x="280"/>
        <item x="542"/>
        <item x="136"/>
        <item x="426"/>
        <item x="1067"/>
        <item x="635"/>
        <item x="320"/>
        <item x="513"/>
        <item x="1154"/>
        <item x="150"/>
        <item x="1370"/>
        <item x="1324"/>
        <item x="946"/>
        <item x="911"/>
        <item x="284"/>
        <item x="731"/>
        <item x="740"/>
        <item x="732"/>
        <item x="409"/>
        <item x="949"/>
        <item x="592"/>
        <item x="31"/>
        <item x="875"/>
        <item x="1260"/>
        <item x="1289"/>
        <item x="415"/>
        <item x="1135"/>
        <item x="653"/>
        <item x="1287"/>
        <item x="1206"/>
        <item x="215"/>
        <item x="170"/>
        <item x="226"/>
        <item x="1025"/>
        <item x="1122"/>
        <item x="438"/>
        <item x="356"/>
        <item x="168"/>
        <item x="1006"/>
        <item x="890"/>
        <item x="585"/>
        <item x="367"/>
        <item x="1172"/>
        <item x="1111"/>
        <item x="1311"/>
        <item x="425"/>
        <item x="433"/>
        <item x="430"/>
        <item x="689"/>
        <item x="1297"/>
        <item x="988"/>
        <item x="162"/>
        <item x="849"/>
        <item x="392"/>
        <item x="748"/>
        <item x="37"/>
        <item x="1099"/>
        <item x="777"/>
        <item x="405"/>
        <item x="822"/>
        <item x="811"/>
        <item x="976"/>
        <item x="252"/>
        <item x="202"/>
        <item x="981"/>
        <item x="250"/>
        <item x="1332"/>
        <item x="1300"/>
        <item x="1346"/>
        <item x="432"/>
        <item x="290"/>
        <item x="1406"/>
        <item x="779"/>
        <item x="652"/>
        <item x="499"/>
        <item x="1043"/>
        <item x="256"/>
        <item x="640"/>
        <item x="602"/>
        <item x="1421"/>
        <item x="240"/>
        <item x="94"/>
        <item x="617"/>
        <item x="414"/>
        <item x="713"/>
        <item x="1294"/>
        <item x="1058"/>
        <item x="695"/>
        <item x="266"/>
        <item x="910"/>
        <item x="245"/>
        <item x="375"/>
        <item x="754"/>
        <item x="1039"/>
        <item x="559"/>
        <item x="1123"/>
        <item x="11"/>
        <item x="670"/>
        <item x="561"/>
        <item x="1246"/>
        <item x="1281"/>
        <item x="458"/>
        <item x="830"/>
        <item x="1245"/>
        <item x="1252"/>
        <item x="899"/>
        <item x="757"/>
        <item x="883"/>
        <item x="870"/>
        <item x="1032"/>
        <item x="8"/>
        <item x="614"/>
        <item x="58"/>
        <item x="350"/>
        <item x="1292"/>
        <item x="362"/>
        <item x="774"/>
        <item x="684"/>
        <item x="850"/>
        <item x="399"/>
        <item x="624"/>
        <item x="510"/>
        <item x="1335"/>
        <item x="147"/>
        <item x="678"/>
        <item x="1178"/>
        <item x="400"/>
        <item x="509"/>
        <item x="462"/>
        <item x="1084"/>
        <item x="293"/>
        <item x="1146"/>
        <item x="1079"/>
        <item x="944"/>
        <item x="418"/>
        <item x="110"/>
        <item x="1101"/>
        <item x="384"/>
        <item x="166"/>
        <item x="128"/>
        <item x="192"/>
        <item x="1198"/>
        <item x="943"/>
        <item x="1007"/>
        <item x="1251"/>
        <item x="9"/>
        <item x="473"/>
        <item x="1015"/>
        <item x="598"/>
        <item x="238"/>
        <item x="97"/>
        <item x="938"/>
        <item x="1282"/>
        <item x="998"/>
        <item x="934"/>
        <item x="152"/>
        <item x="877"/>
        <item x="1190"/>
        <item x="1211"/>
        <item x="1161"/>
        <item x="1256"/>
        <item x="448"/>
        <item x="55"/>
        <item x="403"/>
        <item x="283"/>
        <item x="270"/>
        <item x="372"/>
        <item x="224"/>
        <item x="1361"/>
        <item x="195"/>
        <item x="183"/>
        <item x="833"/>
        <item x="1143"/>
        <item x="893"/>
        <item x="620"/>
        <item x="1005"/>
        <item x="963"/>
        <item x="776"/>
        <item x="1208"/>
        <item x="323"/>
        <item x="251"/>
        <item x="844"/>
        <item x="745"/>
        <item x="1309"/>
        <item x="1320"/>
        <item x="781"/>
        <item x="1177"/>
        <item x="1125"/>
        <item x="853"/>
        <item x="295"/>
        <item x="1045"/>
        <item x="204"/>
        <item x="322"/>
        <item x="726"/>
        <item x="527"/>
        <item x="931"/>
        <item x="975"/>
        <item x="88"/>
        <item x="1220"/>
        <item x="1095"/>
        <item x="903"/>
        <item x="1012"/>
        <item x="1397"/>
        <item x="697"/>
        <item x="906"/>
        <item x="1094"/>
        <item x="96"/>
        <item x="809"/>
        <item x="607"/>
        <item x="1240"/>
        <item x="40"/>
        <item x="493"/>
        <item x="1238"/>
        <item x="318"/>
        <item x="15"/>
        <item x="1106"/>
        <item x="423"/>
        <item x="768"/>
        <item x="570"/>
        <item x="1153"/>
        <item x="720"/>
        <item x="124"/>
        <item x="19"/>
        <item x="1402"/>
        <item x="1052"/>
        <item x="232"/>
        <item x="1019"/>
        <item x="897"/>
        <item x="1074"/>
        <item x="956"/>
        <item x="139"/>
        <item x="492"/>
        <item x="112"/>
        <item x="837"/>
        <item x="1098"/>
        <item x="761"/>
        <item x="209"/>
        <item x="742"/>
        <item x="151"/>
        <item x="1165"/>
        <item x="515"/>
        <item x="1201"/>
        <item x="857"/>
        <item x="181"/>
        <item x="557"/>
        <item x="528"/>
        <item x="1010"/>
        <item x="719"/>
        <item x="123"/>
        <item x="928"/>
        <item x="450"/>
        <item x="794"/>
        <item x="1369"/>
        <item x="947"/>
        <item x="1242"/>
        <item x="855"/>
        <item x="1113"/>
        <item x="1117"/>
        <item x="1031"/>
        <item x="558"/>
        <item x="177"/>
        <item x="885"/>
        <item x="805"/>
        <item x="1063"/>
        <item x="595"/>
        <item x="1408"/>
        <item x="198"/>
        <item x="69"/>
        <item x="18"/>
        <item x="103"/>
        <item x="413"/>
        <item x="24"/>
        <item x="1164"/>
        <item x="627"/>
        <item x="610"/>
        <item x="1030"/>
        <item x="657"/>
        <item x="1137"/>
        <item x="1174"/>
        <item x="741"/>
        <item x="1004"/>
        <item x="955"/>
        <item x="566"/>
        <item x="551"/>
        <item x="1021"/>
        <item x="1349"/>
        <item x="656"/>
        <item x="536"/>
        <item x="1261"/>
        <item x="78"/>
        <item x="886"/>
        <item x="1340"/>
        <item x="1345"/>
        <item x="81"/>
        <item x="175"/>
        <item x="707"/>
        <item x="973"/>
        <item x="1147"/>
        <item x="1203"/>
        <item x="120"/>
        <item x="457"/>
        <item x="474"/>
        <item x="921"/>
        <item x="21"/>
        <item x="787"/>
        <item x="408"/>
        <item x="543"/>
        <item x="404"/>
        <item x="496"/>
        <item x="1339"/>
        <item x="187"/>
        <item x="914"/>
        <item x="852"/>
        <item x="655"/>
        <item x="1258"/>
        <item x="747"/>
        <item x="980"/>
        <item x="1092"/>
        <item x="246"/>
        <item x="669"/>
        <item x="1363"/>
        <item x="675"/>
        <item x="93"/>
        <item x="268"/>
        <item x="197"/>
        <item x="1308"/>
        <item x="51"/>
        <item x="1121"/>
        <item x="575"/>
        <item x="364"/>
        <item x="109"/>
        <item x="337"/>
        <item x="871"/>
        <item x="396"/>
        <item x="325"/>
        <item x="48"/>
        <item x="167"/>
        <item x="712"/>
        <item x="132"/>
        <item x="1239"/>
        <item x="959"/>
        <item x="1419"/>
        <item x="643"/>
        <item x="633"/>
        <item x="1234"/>
        <item x="534"/>
        <item x="999"/>
        <item x="498"/>
        <item x="1243"/>
        <item x="1278"/>
        <item x="248"/>
        <item x="1351"/>
        <item x="894"/>
        <item x="507"/>
        <item x="1244"/>
        <item x="371"/>
        <item x="1187"/>
        <item x="1277"/>
        <item x="406"/>
        <item x="1241"/>
        <item x="939"/>
        <item x="763"/>
        <item x="905"/>
        <item x="214"/>
        <item x="709"/>
        <item x="1193"/>
        <item x="1056"/>
        <item x="442"/>
        <item x="834"/>
        <item x="1279"/>
        <item x="572"/>
        <item x="1132"/>
        <item x="960"/>
        <item x="411"/>
        <item x="420"/>
        <item x="219"/>
        <item x="867"/>
        <item x="1191"/>
        <item x="324"/>
        <item x="1215"/>
        <item x="1331"/>
        <item x="567"/>
        <item x="804"/>
        <item x="121"/>
        <item x="1102"/>
        <item x="1186"/>
        <item x="389"/>
        <item x="361"/>
        <item x="1072"/>
        <item x="1403"/>
        <item x="1298"/>
        <item x="1136"/>
        <item x="842"/>
        <item x="388"/>
        <item x="1082"/>
        <item x="174"/>
        <item x="1380"/>
        <item x="520"/>
        <item x="854"/>
        <item x="535"/>
        <item x="898"/>
        <item x="111"/>
        <item x="1303"/>
        <item x="1257"/>
        <item x="305"/>
        <item x="44"/>
        <item x="577"/>
        <item x="1001"/>
        <item x="673"/>
        <item x="1088"/>
        <item x="1305"/>
        <item x="829"/>
        <item x="444"/>
        <item x="1381"/>
        <item x="1386"/>
        <item x="859"/>
        <item x="491"/>
        <item x="1127"/>
        <item x="63"/>
        <item h="1" x="1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1"/>
  </rowFields>
  <rowItems count="1425">
    <i>
      <x v="913"/>
    </i>
    <i>
      <x v="998"/>
    </i>
    <i>
      <x v="196"/>
    </i>
    <i>
      <x v="1055"/>
    </i>
    <i>
      <x v="1411"/>
    </i>
    <i>
      <x v="1103"/>
    </i>
    <i>
      <x v="64"/>
    </i>
    <i>
      <x v="603"/>
    </i>
    <i>
      <x v="1117"/>
    </i>
    <i>
      <x v="496"/>
    </i>
    <i>
      <x v="239"/>
    </i>
    <i>
      <x v="627"/>
    </i>
    <i>
      <x v="593"/>
    </i>
    <i>
      <x v="1038"/>
    </i>
    <i>
      <x v="557"/>
    </i>
    <i>
      <x v="558"/>
    </i>
    <i>
      <x v="1095"/>
    </i>
    <i>
      <x v="145"/>
    </i>
    <i>
      <x v="652"/>
    </i>
    <i>
      <x v="16"/>
    </i>
    <i>
      <x v="1274"/>
    </i>
    <i>
      <x v="573"/>
    </i>
    <i>
      <x v="999"/>
    </i>
    <i>
      <x v="525"/>
    </i>
    <i>
      <x v="885"/>
    </i>
    <i>
      <x v="1385"/>
    </i>
    <i>
      <x v="779"/>
    </i>
    <i>
      <x v="124"/>
    </i>
    <i>
      <x v="1077"/>
    </i>
    <i>
      <x v="408"/>
    </i>
    <i>
      <x v="252"/>
    </i>
    <i>
      <x v="704"/>
    </i>
    <i>
      <x v="643"/>
    </i>
    <i>
      <x v="1044"/>
    </i>
    <i>
      <x v="199"/>
    </i>
    <i>
      <x v="796"/>
    </i>
    <i>
      <x v="536"/>
    </i>
    <i>
      <x v="1036"/>
    </i>
    <i>
      <x v="1009"/>
    </i>
    <i>
      <x v="44"/>
    </i>
    <i>
      <x v="650"/>
    </i>
    <i>
      <x v="185"/>
    </i>
    <i>
      <x v="667"/>
    </i>
    <i>
      <x v="194"/>
    </i>
    <i>
      <x v="1357"/>
    </i>
    <i>
      <x v="767"/>
    </i>
    <i>
      <x v="43"/>
    </i>
    <i>
      <x v="19"/>
    </i>
    <i>
      <x v="1097"/>
    </i>
    <i>
      <x v="203"/>
    </i>
    <i>
      <x v="308"/>
    </i>
    <i>
      <x v="862"/>
    </i>
    <i>
      <x v="1341"/>
    </i>
    <i>
      <x v="926"/>
    </i>
    <i>
      <x v="1221"/>
    </i>
    <i>
      <x v="877"/>
    </i>
    <i>
      <x v="76"/>
    </i>
    <i>
      <x v="48"/>
    </i>
    <i>
      <x v="806"/>
    </i>
    <i>
      <x v="930"/>
    </i>
    <i>
      <x v="461"/>
    </i>
    <i>
      <x v="108"/>
    </i>
    <i>
      <x v="1213"/>
    </i>
    <i>
      <x v="901"/>
    </i>
    <i>
      <x v="672"/>
    </i>
    <i>
      <x v="1275"/>
    </i>
    <i>
      <x v="1185"/>
    </i>
    <i>
      <x v="190"/>
    </i>
    <i>
      <x v="648"/>
    </i>
    <i>
      <x v="1125"/>
    </i>
    <i>
      <x v="367"/>
    </i>
    <i>
      <x v="426"/>
    </i>
    <i>
      <x v="660"/>
    </i>
    <i>
      <x v="420"/>
    </i>
    <i>
      <x v="755"/>
    </i>
    <i>
      <x v="1319"/>
    </i>
    <i>
      <x v="80"/>
    </i>
    <i>
      <x v="34"/>
    </i>
    <i>
      <x v="858"/>
    </i>
    <i>
      <x v="940"/>
    </i>
    <i>
      <x v="1060"/>
    </i>
    <i>
      <x v="1257"/>
    </i>
    <i>
      <x v="123"/>
    </i>
    <i>
      <x v="981"/>
    </i>
    <i>
      <x v="101"/>
    </i>
    <i>
      <x v="622"/>
    </i>
    <i>
      <x v="172"/>
    </i>
    <i>
      <x v="853"/>
    </i>
    <i>
      <x v="192"/>
    </i>
    <i>
      <x v="991"/>
    </i>
    <i>
      <x v="758"/>
    </i>
    <i>
      <x v="1296"/>
    </i>
    <i>
      <x v="191"/>
    </i>
    <i>
      <x v="1248"/>
    </i>
    <i>
      <x v="206"/>
    </i>
    <i>
      <x v="1271"/>
    </i>
    <i>
      <x v="37"/>
    </i>
    <i>
      <x v="160"/>
    </i>
    <i>
      <x v="294"/>
    </i>
    <i>
      <x v="1307"/>
    </i>
    <i>
      <x v="703"/>
    </i>
    <i>
      <x v="383"/>
    </i>
    <i>
      <x v="609"/>
    </i>
    <i>
      <x v="972"/>
    </i>
    <i>
      <x v="515"/>
    </i>
    <i>
      <x v="618"/>
    </i>
    <i>
      <x v="292"/>
    </i>
    <i>
      <x v="740"/>
    </i>
    <i>
      <x v="499"/>
    </i>
    <i>
      <x v="957"/>
    </i>
    <i>
      <x v="352"/>
    </i>
    <i>
      <x v="1047"/>
    </i>
    <i>
      <x v="220"/>
    </i>
    <i>
      <x v="1379"/>
    </i>
    <i>
      <x v="1204"/>
    </i>
    <i>
      <x v="47"/>
    </i>
    <i>
      <x v="872"/>
    </i>
    <i>
      <x v="1101"/>
    </i>
    <i>
      <x v="361"/>
    </i>
    <i>
      <x v="928"/>
    </i>
    <i>
      <x v="1324"/>
    </i>
    <i>
      <x v="437"/>
    </i>
    <i>
      <x v="1159"/>
    </i>
    <i>
      <x v="761"/>
    </i>
    <i>
      <x v="9"/>
    </i>
    <i>
      <x v="608"/>
    </i>
    <i>
      <x v="634"/>
    </i>
    <i>
      <x v="246"/>
    </i>
    <i>
      <x v="936"/>
    </i>
    <i>
      <x v="482"/>
    </i>
    <i>
      <x v="282"/>
    </i>
    <i>
      <x v="1130"/>
    </i>
    <i>
      <x v="1258"/>
    </i>
    <i>
      <x v="436"/>
    </i>
    <i>
      <x v="570"/>
    </i>
    <i>
      <x v="1287"/>
    </i>
    <i>
      <x v="470"/>
    </i>
    <i>
      <x v="727"/>
    </i>
    <i>
      <x v="852"/>
    </i>
    <i>
      <x v="579"/>
    </i>
    <i>
      <x v="717"/>
    </i>
    <i>
      <x v="966"/>
    </i>
    <i>
      <x v="542"/>
    </i>
    <i>
      <x v="1389"/>
    </i>
    <i>
      <x v="698"/>
    </i>
    <i>
      <x v="630"/>
    </i>
    <i>
      <x v="2"/>
    </i>
    <i>
      <x v="882"/>
    </i>
    <i>
      <x v="1137"/>
    </i>
    <i>
      <x v="387"/>
    </i>
    <i>
      <x v="732"/>
    </i>
    <i>
      <x v="204"/>
    </i>
    <i>
      <x v="236"/>
    </i>
    <i>
      <x v="104"/>
    </i>
    <i>
      <x v="842"/>
    </i>
    <i>
      <x v="245"/>
    </i>
    <i>
      <x v="710"/>
    </i>
    <i>
      <x v="488"/>
    </i>
    <i>
      <x v="328"/>
    </i>
    <i>
      <x v="829"/>
    </i>
    <i>
      <x v="655"/>
    </i>
    <i>
      <x v="1239"/>
    </i>
    <i>
      <x v="254"/>
    </i>
    <i>
      <x v="1253"/>
    </i>
    <i>
      <x v="1289"/>
    </i>
    <i>
      <x v="177"/>
    </i>
    <i>
      <x v="1232"/>
    </i>
    <i>
      <x v="1346"/>
    </i>
    <i>
      <x v="682"/>
    </i>
    <i>
      <x v="1408"/>
    </i>
    <i>
      <x v="439"/>
    </i>
    <i>
      <x v="534"/>
    </i>
    <i>
      <x v="997"/>
    </i>
    <i>
      <x v="519"/>
    </i>
    <i>
      <x v="170"/>
    </i>
    <i>
      <x v="540"/>
    </i>
    <i>
      <x v="421"/>
    </i>
    <i>
      <x v="1183"/>
    </i>
    <i>
      <x v="285"/>
    </i>
    <i>
      <x v="794"/>
    </i>
    <i>
      <x v="333"/>
    </i>
    <i>
      <x v="720"/>
    </i>
    <i>
      <x v="391"/>
    </i>
    <i>
      <x v="849"/>
    </i>
    <i>
      <x v="1382"/>
    </i>
    <i>
      <x v="839"/>
    </i>
    <i>
      <x v="1058"/>
    </i>
    <i>
      <x v="1175"/>
    </i>
    <i>
      <x v="353"/>
    </i>
    <i>
      <x v="647"/>
    </i>
    <i>
      <x v="1353"/>
    </i>
    <i>
      <x v="105"/>
    </i>
    <i>
      <x v="597"/>
    </i>
    <i>
      <x v="316"/>
    </i>
    <i>
      <x v="1021"/>
    </i>
    <i>
      <x v="948"/>
    </i>
    <i>
      <x v="23"/>
    </i>
    <i>
      <x v="151"/>
    </i>
    <i>
      <x v="598"/>
    </i>
    <i>
      <x v="135"/>
    </i>
    <i>
      <x v="473"/>
    </i>
    <i>
      <x v="503"/>
    </i>
    <i>
      <x v="1196"/>
    </i>
    <i>
      <x v="78"/>
    </i>
    <i>
      <x v="1247"/>
    </i>
    <i>
      <x v="968"/>
    </i>
    <i>
      <x v="1061"/>
    </i>
    <i>
      <x v="800"/>
    </i>
    <i>
      <x v="629"/>
    </i>
    <i>
      <x v="753"/>
    </i>
    <i>
      <x v="713"/>
    </i>
    <i>
      <x v="1028"/>
    </i>
    <i>
      <x v="1250"/>
    </i>
    <i>
      <x v="1057"/>
    </i>
    <i>
      <x v="543"/>
    </i>
    <i>
      <x v="587"/>
    </i>
    <i>
      <x v="109"/>
    </i>
    <i>
      <x v="631"/>
    </i>
    <i>
      <x v="401"/>
    </i>
    <i>
      <x v="782"/>
    </i>
    <i>
      <x v="358"/>
    </i>
    <i>
      <x v="1388"/>
    </i>
    <i>
      <x v="1217"/>
    </i>
    <i>
      <x v="735"/>
    </i>
    <i>
      <x v="195"/>
    </i>
    <i>
      <x v="17"/>
    </i>
    <i>
      <x v="423"/>
    </i>
    <i>
      <x v="137"/>
    </i>
    <i>
      <x v="943"/>
    </i>
    <i>
      <x v="832"/>
    </i>
    <i>
      <x v="1219"/>
    </i>
    <i>
      <x v="1113"/>
    </i>
    <i>
      <x v="354"/>
    </i>
    <i>
      <x v="322"/>
    </i>
    <i>
      <x v="1037"/>
    </i>
    <i>
      <x v="701"/>
    </i>
    <i>
      <x v="422"/>
    </i>
    <i>
      <x v="1312"/>
    </i>
    <i>
      <x v="611"/>
    </i>
    <i>
      <x v="1158"/>
    </i>
    <i>
      <x v="483"/>
    </i>
    <i>
      <x v="274"/>
    </i>
    <i>
      <x v="835"/>
    </i>
    <i>
      <x v="583"/>
    </i>
    <i>
      <x v="983"/>
    </i>
    <i>
      <x v="730"/>
    </i>
    <i>
      <x v="893"/>
    </i>
    <i>
      <x v="27"/>
    </i>
    <i>
      <x v="94"/>
    </i>
    <i>
      <x v="509"/>
    </i>
    <i>
      <x v="765"/>
    </i>
    <i>
      <x v="396"/>
    </i>
    <i>
      <x v="591"/>
    </i>
    <i>
      <x v="838"/>
    </i>
    <i>
      <x v="804"/>
    </i>
    <i>
      <x v="1065"/>
    </i>
    <i>
      <x v="1035"/>
    </i>
    <i>
      <x v="77"/>
    </i>
    <i>
      <x v="258"/>
    </i>
    <i>
      <x v="1003"/>
    </i>
    <i>
      <x v="1116"/>
    </i>
    <i>
      <x v="447"/>
    </i>
    <i>
      <x v="3"/>
    </i>
    <i>
      <x v="146"/>
    </i>
    <i>
      <x v="635"/>
    </i>
    <i>
      <x v="1083"/>
    </i>
    <i>
      <x v="1165"/>
    </i>
    <i>
      <x v="590"/>
    </i>
    <i>
      <x v="28"/>
    </i>
    <i>
      <x v="902"/>
    </i>
    <i>
      <x v="480"/>
    </i>
    <i>
      <x v="555"/>
    </i>
    <i>
      <x v="186"/>
    </i>
    <i>
      <x v="546"/>
    </i>
    <i>
      <x v="1135"/>
    </i>
    <i>
      <x v="1314"/>
    </i>
    <i>
      <x v="907"/>
    </i>
    <i>
      <x v="487"/>
    </i>
    <i>
      <x v="1371"/>
    </i>
    <i>
      <x v="141"/>
    </i>
    <i>
      <x v="1358"/>
    </i>
    <i>
      <x v="888"/>
    </i>
    <i>
      <x v="931"/>
    </i>
    <i>
      <x v="813"/>
    </i>
    <i>
      <x v="1318"/>
    </i>
    <i>
      <x v="181"/>
    </i>
    <i>
      <x v="362"/>
    </i>
    <i>
      <x v="527"/>
    </i>
    <i>
      <x v="303"/>
    </i>
    <i>
      <x v="451"/>
    </i>
    <i>
      <x v="162"/>
    </i>
    <i>
      <x v="520"/>
    </i>
    <i>
      <x v="222"/>
    </i>
    <i>
      <x v="1074"/>
    </i>
    <i>
      <x v="1002"/>
    </i>
    <i>
      <x v="7"/>
    </i>
    <i>
      <x v="5"/>
    </i>
    <i>
      <x v="1218"/>
    </i>
    <i>
      <x v="1295"/>
    </i>
    <i>
      <x v="1424"/>
    </i>
    <i>
      <x v="1205"/>
    </i>
    <i>
      <x v="1276"/>
    </i>
    <i>
      <x v="126"/>
    </i>
    <i>
      <x v="360"/>
    </i>
    <i>
      <x v="1160"/>
    </i>
    <i>
      <x v="300"/>
    </i>
    <i>
      <x v="815"/>
    </i>
    <i>
      <x v="780"/>
    </i>
    <i>
      <x v="65"/>
    </i>
    <i>
      <x v="1222"/>
    </i>
    <i>
      <x v="1071"/>
    </i>
    <i>
      <x v="1360"/>
    </i>
    <i>
      <x v="1188"/>
    </i>
    <i>
      <x v="249"/>
    </i>
    <i>
      <x v="1404"/>
    </i>
    <i>
      <x v="903"/>
    </i>
    <i>
      <x v="766"/>
    </i>
    <i>
      <x v="760"/>
    </i>
    <i>
      <x v="41"/>
    </i>
    <i>
      <x v="1053"/>
    </i>
    <i>
      <x v="440"/>
    </i>
    <i>
      <x v="1280"/>
    </i>
    <i>
      <x v="1282"/>
    </i>
    <i>
      <x v="1094"/>
    </i>
    <i>
      <x v="506"/>
    </i>
    <i>
      <x v="561"/>
    </i>
    <i>
      <x v="8"/>
    </i>
    <i>
      <x v="911"/>
    </i>
    <i>
      <x v="1024"/>
    </i>
    <i>
      <x v="1220"/>
    </i>
    <i>
      <x v="227"/>
    </i>
    <i>
      <x v="1201"/>
    </i>
    <i>
      <x v="371"/>
    </i>
    <i>
      <x v="318"/>
    </i>
    <i>
      <x v="1040"/>
    </i>
    <i>
      <x v="1078"/>
    </i>
    <i>
      <x v="712"/>
    </i>
    <i>
      <x v="91"/>
    </i>
    <i>
      <x v="785"/>
    </i>
    <i>
      <x v="1174"/>
    </i>
    <i>
      <x v="251"/>
    </i>
    <i>
      <x v="959"/>
    </i>
    <i>
      <x v="1020"/>
    </i>
    <i>
      <x v="1216"/>
    </i>
    <i>
      <x v="752"/>
    </i>
    <i>
      <x v="1367"/>
    </i>
    <i>
      <x v="116"/>
    </i>
    <i>
      <x v="1366"/>
    </i>
    <i>
      <x v="1043"/>
    </i>
    <i>
      <x v="696"/>
    </i>
    <i>
      <x v="320"/>
    </i>
    <i>
      <x v="787"/>
    </i>
    <i>
      <x v="891"/>
    </i>
    <i>
      <x v="278"/>
    </i>
    <i>
      <x v="1179"/>
    </i>
    <i>
      <x v="399"/>
    </i>
    <i>
      <x v="1410"/>
    </i>
    <i>
      <x v="1018"/>
    </i>
    <i>
      <x v="1013"/>
    </i>
    <i>
      <x v="1169"/>
    </i>
    <i>
      <x v="699"/>
    </i>
    <i>
      <x v="244"/>
    </i>
    <i>
      <x v="267"/>
    </i>
    <i>
      <x v="1233"/>
    </i>
    <i>
      <x v="1008"/>
    </i>
    <i>
      <x v="963"/>
    </i>
    <i>
      <x v="807"/>
    </i>
    <i>
      <x v="1110"/>
    </i>
    <i>
      <x v="1027"/>
    </i>
    <i>
      <x v="507"/>
    </i>
    <i>
      <x v="1033"/>
    </i>
    <i>
      <x v="129"/>
    </i>
    <i>
      <x v="745"/>
    </i>
    <i>
      <x v="876"/>
    </i>
    <i>
      <x v="223"/>
    </i>
    <i>
      <x v="61"/>
    </i>
    <i>
      <x v="601"/>
    </i>
    <i>
      <x v="539"/>
    </i>
    <i>
      <x v="205"/>
    </i>
    <i>
      <x v="113"/>
    </i>
    <i>
      <x v="1016"/>
    </i>
    <i>
      <x v="163"/>
    </i>
    <i>
      <x v="744"/>
    </i>
    <i>
      <x v="458"/>
    </i>
    <i>
      <x v="55"/>
    </i>
    <i>
      <x v="187"/>
    </i>
    <i>
      <x v="144"/>
    </i>
    <i>
      <x v="1145"/>
    </i>
    <i>
      <x v="1256"/>
    </i>
    <i>
      <x v="1345"/>
    </i>
    <i>
      <x v="147"/>
    </i>
    <i>
      <x v="159"/>
    </i>
    <i>
      <x v="62"/>
    </i>
    <i>
      <x v="212"/>
    </i>
    <i>
      <x v="418"/>
    </i>
    <i>
      <x v="658"/>
    </i>
    <i>
      <x v="686"/>
    </i>
    <i>
      <x v="1089"/>
    </i>
    <i>
      <x v="811"/>
    </i>
    <i>
      <x v="433"/>
    </i>
    <i>
      <x v="415"/>
    </i>
    <i>
      <x v="134"/>
    </i>
    <i>
      <x v="694"/>
    </i>
    <i>
      <x v="68"/>
    </i>
    <i>
      <x v="946"/>
    </i>
    <i>
      <x v="428"/>
    </i>
    <i>
      <x v="1105"/>
    </i>
    <i>
      <x v="934"/>
    </i>
    <i>
      <x v="1163"/>
    </i>
    <i>
      <x v="359"/>
    </i>
    <i>
      <x v="1355"/>
    </i>
    <i>
      <x v="238"/>
    </i>
    <i>
      <x v="817"/>
    </i>
    <i>
      <x v="1011"/>
    </i>
    <i>
      <x v="1152"/>
    </i>
    <i>
      <x v="978"/>
    </i>
    <i>
      <x v="1370"/>
    </i>
    <i>
      <x v="88"/>
    </i>
    <i>
      <x v="965"/>
    </i>
    <i>
      <x v="855"/>
    </i>
    <i>
      <x v="605"/>
    </i>
    <i>
      <x v="947"/>
    </i>
    <i>
      <x v="233"/>
    </i>
    <i>
      <x v="979"/>
    </i>
    <i>
      <x v="1372"/>
    </i>
    <i>
      <x v="733"/>
    </i>
    <i>
      <x v="615"/>
    </i>
    <i>
      <x v="213"/>
    </i>
    <i>
      <x v="1080"/>
    </i>
    <i>
      <x v="562"/>
    </i>
    <i>
      <x v="774"/>
    </i>
    <i>
      <x v="958"/>
    </i>
    <i>
      <x v="692"/>
    </i>
    <i>
      <x v="1010"/>
    </i>
    <i>
      <x v="1231"/>
    </i>
    <i>
      <x v="497"/>
    </i>
    <i>
      <x v="240"/>
    </i>
    <i>
      <x v="856"/>
    </i>
    <i>
      <x v="492"/>
    </i>
    <i>
      <x v="25"/>
    </i>
    <i>
      <x v="209"/>
    </i>
    <i>
      <x v="783"/>
    </i>
    <i>
      <x v="714"/>
    </i>
    <i>
      <x v="1178"/>
    </i>
    <i>
      <x v="314"/>
    </i>
    <i>
      <x v="152"/>
    </i>
    <i>
      <x v="1269"/>
    </i>
    <i>
      <x v="164"/>
    </i>
    <i>
      <x v="53"/>
    </i>
    <i>
      <x v="616"/>
    </i>
    <i>
      <x v="1121"/>
    </i>
    <i>
      <x v="312"/>
    </i>
    <i>
      <x v="651"/>
    </i>
    <i>
      <x v="1340"/>
    </i>
    <i>
      <x v="994"/>
    </i>
    <i>
      <x v="1157"/>
    </i>
    <i>
      <x v="937"/>
    </i>
    <i>
      <x v="348"/>
    </i>
    <i>
      <x v="293"/>
    </i>
    <i>
      <x v="869"/>
    </i>
    <i>
      <x v="1045"/>
    </i>
    <i>
      <x v="226"/>
    </i>
    <i>
      <x v="1155"/>
    </i>
    <i>
      <x v="504"/>
    </i>
    <i>
      <x v="775"/>
    </i>
    <i>
      <x v="1368"/>
    </i>
    <i>
      <x v="805"/>
    </i>
    <i>
      <x v="264"/>
    </i>
    <i>
      <x v="56"/>
    </i>
    <i>
      <x v="822"/>
    </i>
    <i>
      <x v="921"/>
    </i>
    <i>
      <x v="1255"/>
    </i>
    <i>
      <x v="512"/>
    </i>
    <i>
      <x v="1154"/>
    </i>
    <i>
      <x v="661"/>
    </i>
    <i>
      <x v="464"/>
    </i>
    <i>
      <x v="414"/>
    </i>
    <i>
      <x v="821"/>
    </i>
    <i>
      <x v="848"/>
    </i>
    <i>
      <x v="273"/>
    </i>
    <i>
      <x v="202"/>
    </i>
    <i>
      <x v="596"/>
    </i>
    <i>
      <x v="691"/>
    </i>
    <i>
      <x v="641"/>
    </i>
    <i>
      <x v="1292"/>
    </i>
    <i>
      <x v="784"/>
    </i>
    <i>
      <x v="592"/>
    </i>
    <i>
      <x v="580"/>
    </i>
    <i>
      <x v="87"/>
    </i>
    <i>
      <x v="1084"/>
    </i>
    <i>
      <x v="734"/>
    </i>
    <i>
      <x v="466"/>
    </i>
    <i>
      <x v="847"/>
    </i>
    <i>
      <x v="375"/>
    </i>
    <i>
      <x v="763"/>
    </i>
    <i>
      <x v="676"/>
    </i>
    <i>
      <x v="613"/>
    </i>
    <i>
      <x v="229"/>
    </i>
    <i>
      <x v="833"/>
    </i>
    <i>
      <x v="157"/>
    </i>
    <i>
      <x v="1297"/>
    </i>
    <i>
      <x v="1225"/>
    </i>
    <i>
      <x v="1198"/>
    </i>
    <i>
      <x v="836"/>
    </i>
    <i>
      <x v="1128"/>
    </i>
    <i>
      <x v="508"/>
    </i>
    <i>
      <x v="859"/>
    </i>
    <i>
      <x v="632"/>
    </i>
    <i>
      <x v="407"/>
    </i>
    <i>
      <x v="827"/>
    </i>
    <i>
      <x v="614"/>
    </i>
    <i>
      <x v="577"/>
    </i>
    <i>
      <x v="781"/>
    </i>
    <i>
      <x v="1331"/>
    </i>
    <i>
      <x v="834"/>
    </i>
    <i>
      <x v="1014"/>
    </i>
    <i>
      <x v="823"/>
    </i>
    <i>
      <x v="489"/>
    </i>
    <i>
      <x v="12"/>
    </i>
    <i>
      <x v="374"/>
    </i>
    <i>
      <x v="1420"/>
    </i>
    <i>
      <x v="1417"/>
    </i>
    <i>
      <x v="970"/>
    </i>
    <i>
      <x v="208"/>
    </i>
    <i>
      <x v="140"/>
    </i>
    <i>
      <x v="319"/>
    </i>
    <i>
      <x v="776"/>
    </i>
    <i>
      <x v="1215"/>
    </i>
    <i>
      <x v="395"/>
    </i>
    <i>
      <x v="381"/>
    </i>
    <i>
      <x v="60"/>
    </i>
    <i>
      <x v="334"/>
    </i>
    <i>
      <x v="840"/>
    </i>
    <i>
      <x v="349"/>
    </i>
    <i>
      <x v="468"/>
    </i>
    <i>
      <x v="961"/>
    </i>
    <i>
      <x v="198"/>
    </i>
    <i>
      <x v="975"/>
    </i>
    <i>
      <x v="933"/>
    </i>
    <i>
      <x v="485"/>
    </i>
    <i>
      <x v="345"/>
    </i>
    <i>
      <x v="456"/>
    </i>
    <i>
      <x v="687"/>
    </i>
    <i>
      <x v="228"/>
    </i>
    <i>
      <x v="581"/>
    </i>
    <i>
      <x v="530"/>
    </i>
    <i>
      <x v="1273"/>
    </i>
    <i>
      <x v="671"/>
    </i>
    <i>
      <x v="700"/>
    </i>
    <i>
      <x v="201"/>
    </i>
    <i>
      <x v="522"/>
    </i>
    <i>
      <x v="1012"/>
    </i>
    <i>
      <x v="100"/>
    </i>
    <i>
      <x v="969"/>
    </i>
    <i>
      <x v="1118"/>
    </i>
    <i>
      <x v="909"/>
    </i>
    <i>
      <x v="330"/>
    </i>
    <i>
      <x v="830"/>
    </i>
    <i>
      <x v="1030"/>
    </i>
    <i>
      <x v="400"/>
    </i>
    <i>
      <x v="84"/>
    </i>
    <i>
      <x v="221"/>
    </i>
    <i>
      <x v="725"/>
    </i>
    <i>
      <x v="707"/>
    </i>
    <i>
      <x v="1177"/>
    </i>
    <i>
      <x v="610"/>
    </i>
    <i>
      <x v="411"/>
    </i>
    <i>
      <x v="973"/>
    </i>
    <i>
      <x v="1086"/>
    </i>
    <i>
      <x v="131"/>
    </i>
    <i>
      <x v="38"/>
    </i>
    <i>
      <x v="654"/>
    </i>
    <i>
      <x v="1200"/>
    </i>
    <i>
      <x v="380"/>
    </i>
    <i>
      <x v="953"/>
    </i>
    <i>
      <x v="460"/>
    </i>
    <i>
      <x v="912"/>
    </i>
    <i>
      <x v="373"/>
    </i>
    <i>
      <x v="1313"/>
    </i>
    <i>
      <x v="425"/>
    </i>
    <i>
      <x v="1102"/>
    </i>
    <i>
      <x v="1046"/>
    </i>
    <i>
      <x v="883"/>
    </i>
    <i>
      <x v="1093"/>
    </i>
    <i>
      <x v="640"/>
    </i>
    <i>
      <x v="69"/>
    </i>
    <i>
      <x v="176"/>
    </i>
    <i>
      <x v="1300"/>
    </i>
    <i>
      <x v="15"/>
    </i>
    <i>
      <x v="1190"/>
    </i>
    <i>
      <x v="1369"/>
    </i>
    <i>
      <x v="384"/>
    </i>
    <i>
      <x v="1107"/>
    </i>
    <i>
      <x v="746"/>
    </i>
    <i>
      <x v="637"/>
    </i>
    <i>
      <x v="111"/>
    </i>
    <i>
      <x v="412"/>
    </i>
    <i>
      <x v="1199"/>
    </i>
    <i>
      <x v="1176"/>
    </i>
    <i>
      <x v="1266"/>
    </i>
    <i>
      <x v="1131"/>
    </i>
    <i>
      <x v="719"/>
    </i>
    <i>
      <x v="716"/>
    </i>
    <i>
      <x v="1322"/>
    </i>
    <i>
      <x v="1"/>
    </i>
    <i>
      <x v="927"/>
    </i>
    <i>
      <x v="1088"/>
    </i>
    <i>
      <x v="1423"/>
    </i>
    <i>
      <x v="1406"/>
    </i>
    <i>
      <x v="1079"/>
    </i>
    <i>
      <x v="1112"/>
    </i>
    <i>
      <x v="1249"/>
    </i>
    <i>
      <x v="165"/>
    </i>
    <i>
      <x v="261"/>
    </i>
    <i>
      <x v="915"/>
    </i>
    <i>
      <x v="808"/>
    </i>
    <i>
      <x v="139"/>
    </i>
    <i>
      <x v="1151"/>
    </i>
    <i>
      <x v="731"/>
    </i>
    <i>
      <x v="217"/>
    </i>
    <i>
      <x v="995"/>
    </i>
    <i>
      <x v="14"/>
    </i>
    <i>
      <x v="566"/>
    </i>
    <i>
      <x v="1208"/>
    </i>
    <i>
      <x v="1120"/>
    </i>
    <i>
      <x v="81"/>
    </i>
    <i>
      <x v="455"/>
    </i>
    <i>
      <x v="490"/>
    </i>
    <i>
      <x v="1041"/>
    </i>
    <i>
      <x v="230"/>
    </i>
    <i>
      <x v="1173"/>
    </i>
    <i>
      <x v="786"/>
    </i>
    <i>
      <x v="749"/>
    </i>
    <i>
      <x v="351"/>
    </i>
    <i>
      <x v="1243"/>
    </i>
    <i>
      <x v="600"/>
    </i>
    <i>
      <x v="677"/>
    </i>
    <i>
      <x v="723"/>
    </i>
    <i>
      <x v="304"/>
    </i>
    <i>
      <x v="1096"/>
    </i>
    <i>
      <x v="980"/>
    </i>
    <i>
      <x v="110"/>
    </i>
    <i>
      <x v="742"/>
    </i>
    <i>
      <x v="309"/>
    </i>
    <i>
      <x v="1405"/>
    </i>
    <i>
      <x v="270"/>
    </i>
    <i>
      <x v="788"/>
    </i>
    <i>
      <x v="684"/>
    </i>
    <i>
      <x v="288"/>
    </i>
    <i>
      <x v="241"/>
    </i>
    <i>
      <x v="919"/>
    </i>
    <i>
      <x v="119"/>
    </i>
    <i>
      <x v="1064"/>
    </i>
    <i>
      <x v="106"/>
    </i>
    <i>
      <x v="70"/>
    </i>
    <i>
      <x v="459"/>
    </i>
    <i>
      <x v="736"/>
    </i>
    <i>
      <x v="624"/>
    </i>
    <i>
      <x v="280"/>
    </i>
    <i>
      <x v="1187"/>
    </i>
    <i>
      <x v="182"/>
    </i>
    <i>
      <x v="1192"/>
    </i>
    <i>
      <x v="75"/>
    </i>
    <i>
      <x v="79"/>
    </i>
    <i>
      <x v="57"/>
    </i>
    <i>
      <x v="1087"/>
    </i>
    <i>
      <x v="984"/>
    </i>
    <i>
      <x v="337"/>
    </i>
    <i>
      <x v="180"/>
    </i>
    <i>
      <x v="1081"/>
    </i>
    <i>
      <x v="688"/>
    </i>
    <i>
      <x v="576"/>
    </i>
    <i>
      <x v="702"/>
    </i>
    <i>
      <x v="1234"/>
    </i>
    <i>
      <x v="234"/>
    </i>
    <i>
      <x v="259"/>
    </i>
    <i>
      <x v="189"/>
    </i>
    <i>
      <x v="695"/>
    </i>
    <i>
      <x v="356"/>
    </i>
    <i>
      <x v="1066"/>
    </i>
    <i>
      <x v="1197"/>
    </i>
    <i>
      <x v="1181"/>
    </i>
    <i>
      <x v="97"/>
    </i>
    <i>
      <x v="728"/>
    </i>
    <i>
      <x v="612"/>
    </i>
    <i>
      <x v="474"/>
    </i>
    <i>
      <x v="26"/>
    </i>
    <i>
      <x v="385"/>
    </i>
    <i>
      <x v="772"/>
    </i>
    <i>
      <x v="127"/>
    </i>
    <i>
      <x v="1099"/>
    </i>
    <i>
      <x v="435"/>
    </i>
    <i>
      <x v="944"/>
    </i>
    <i>
      <x v="851"/>
    </i>
    <i>
      <x v="824"/>
    </i>
    <i>
      <x v="317"/>
    </i>
    <i>
      <x v="1191"/>
    </i>
    <i>
      <x v="545"/>
    </i>
    <i>
      <x v="1374"/>
    </i>
    <i>
      <x v="4"/>
    </i>
    <i>
      <x v="910"/>
    </i>
    <i>
      <x v="476"/>
    </i>
    <i>
      <x v="193"/>
    </i>
    <i>
      <x v="1284"/>
    </i>
    <i>
      <x v="143"/>
    </i>
    <i>
      <x v="578"/>
    </i>
    <i>
      <x v="724"/>
    </i>
    <i>
      <x v="683"/>
    </i>
    <i>
      <x v="1104"/>
    </i>
    <i>
      <x v="1126"/>
    </i>
    <i>
      <x v="39"/>
    </i>
    <i>
      <x v="413"/>
    </i>
    <i>
      <x v="709"/>
    </i>
    <i>
      <x v="685"/>
    </i>
    <i>
      <x v="449"/>
    </i>
    <i>
      <x v="63"/>
    </i>
    <i>
      <x v="1422"/>
    </i>
    <i>
      <x v="565"/>
    </i>
    <i>
      <x v="541"/>
    </i>
    <i>
      <x v="628"/>
    </i>
    <i>
      <x v="741"/>
    </i>
    <i>
      <x v="514"/>
    </i>
    <i>
      <x v="770"/>
    </i>
    <i>
      <x v="586"/>
    </i>
    <i>
      <x v="21"/>
    </i>
    <i>
      <x v="1237"/>
    </i>
    <i>
      <x v="1376"/>
    </i>
    <i>
      <x v="59"/>
    </i>
    <i>
      <x v="1171"/>
    </i>
    <i>
      <x v="419"/>
    </i>
    <i>
      <x v="24"/>
    </i>
    <i>
      <x v="531"/>
    </i>
    <i>
      <x v="982"/>
    </i>
    <i>
      <x v="1335"/>
    </i>
    <i>
      <x v="1090"/>
    </i>
    <i>
      <x v="52"/>
    </i>
    <i>
      <x v="1195"/>
    </i>
    <i>
      <x v="1350"/>
    </i>
    <i>
      <x v="279"/>
    </i>
    <i>
      <x v="880"/>
    </i>
    <i>
      <x v="1310"/>
    </i>
    <i>
      <x v="662"/>
    </i>
    <i>
      <x v="168"/>
    </i>
    <i>
      <x v="471"/>
    </i>
    <i>
      <x v="382"/>
    </i>
    <i>
      <x v="481"/>
    </i>
    <i>
      <x v="1270"/>
    </i>
    <i>
      <x v="793"/>
    </i>
    <i>
      <x v="1378"/>
    </i>
    <i>
      <x v="1025"/>
    </i>
    <i>
      <x v="363"/>
    </i>
    <i>
      <x v="1194"/>
    </i>
    <i>
      <x v="917"/>
    </i>
    <i>
      <x v="469"/>
    </i>
    <i>
      <x v="1072"/>
    </i>
    <i>
      <x v="844"/>
    </i>
    <i>
      <x v="801"/>
    </i>
    <i>
      <x v="1419"/>
    </i>
    <i>
      <x v="1034"/>
    </i>
    <i>
      <x v="1415"/>
    </i>
    <i>
      <x v="1326"/>
    </i>
    <i>
      <x v="289"/>
    </i>
    <i>
      <x v="1241"/>
    </i>
    <i>
      <x v="773"/>
    </i>
    <i>
      <x v="799"/>
    </i>
    <i>
      <x v="820"/>
    </i>
    <i>
      <x v="560"/>
    </i>
    <i>
      <x v="96"/>
    </i>
    <i>
      <x v="764"/>
    </i>
    <i>
      <x v="1333"/>
    </i>
    <i>
      <x v="923"/>
    </i>
    <i>
      <x v="36"/>
    </i>
    <i>
      <x v="71"/>
    </i>
    <i>
      <x v="445"/>
    </i>
    <i>
      <x v="626"/>
    </i>
    <i>
      <x v="908"/>
    </i>
    <i>
      <x v="32"/>
    </i>
    <i>
      <x v="218"/>
    </i>
    <i>
      <x v="900"/>
    </i>
    <i>
      <x v="424"/>
    </i>
    <i>
      <x v="1294"/>
    </i>
    <i>
      <x v="493"/>
    </i>
    <i>
      <x v="502"/>
    </i>
    <i>
      <x v="431"/>
    </i>
    <i>
      <x v="1304"/>
    </i>
    <i>
      <x v="500"/>
    </i>
    <i>
      <x v="1413"/>
    </i>
    <i>
      <x v="792"/>
    </i>
    <i>
      <x v="575"/>
    </i>
    <i>
      <x v="529"/>
    </i>
    <i>
      <x v="1401"/>
    </i>
    <i>
      <x v="98"/>
    </i>
    <i>
      <x v="599"/>
    </i>
    <i>
      <x v="183"/>
    </i>
    <i>
      <x v="954"/>
    </i>
    <i>
      <x v="372"/>
    </i>
    <i>
      <x v="46"/>
    </i>
    <i>
      <x v="789"/>
    </i>
    <i>
      <x v="925"/>
    </i>
    <i>
      <x v="457"/>
    </i>
    <i>
      <x v="846"/>
    </i>
    <i>
      <x v="452"/>
    </i>
    <i>
      <x v="49"/>
    </i>
    <i>
      <x v="1098"/>
    </i>
    <i>
      <x v="290"/>
    </i>
    <i>
      <x v="1075"/>
    </i>
    <i>
      <x v="665"/>
    </i>
    <i>
      <x v="442"/>
    </i>
    <i>
      <x v="798"/>
    </i>
    <i>
      <x v="1373"/>
    </i>
    <i>
      <x v="516"/>
    </i>
    <i>
      <x v="99"/>
    </i>
    <i>
      <x v="73"/>
    </i>
    <i>
      <x v="463"/>
    </i>
    <i>
      <x v="977"/>
    </i>
    <i>
      <x v="430"/>
    </i>
    <i>
      <x v="1362"/>
    </i>
    <i>
      <x v="255"/>
    </i>
    <i>
      <x v="511"/>
    </i>
    <i>
      <x v="389"/>
    </i>
    <i>
      <x v="989"/>
    </i>
    <i>
      <x v="242"/>
    </i>
    <i>
      <x v="1119"/>
    </i>
    <i>
      <x v="332"/>
    </i>
    <i>
      <x v="1393"/>
    </i>
    <i>
      <x v="1100"/>
    </i>
    <i>
      <x v="1000"/>
    </i>
    <i>
      <x v="778"/>
    </i>
    <i>
      <x v="287"/>
    </i>
    <i>
      <x v="670"/>
    </i>
    <i>
      <x v="215"/>
    </i>
    <i>
      <x v="974"/>
    </i>
    <i>
      <x v="467"/>
    </i>
    <i>
      <x v="297"/>
    </i>
    <i>
      <x v="1306"/>
    </i>
    <i>
      <x v="559"/>
    </i>
    <i>
      <x v="892"/>
    </i>
    <i>
      <x v="941"/>
    </i>
    <i>
      <x v="207"/>
    </i>
    <i>
      <x v="1402"/>
    </i>
    <i>
      <x v="1244"/>
    </i>
    <i>
      <x v="874"/>
    </i>
    <i>
      <x v="85"/>
    </i>
    <i>
      <x v="962"/>
    </i>
    <i>
      <x v="690"/>
    </i>
    <i>
      <x v="315"/>
    </i>
    <i>
      <x v="138"/>
    </i>
    <i>
      <x v="74"/>
    </i>
    <i>
      <x v="867"/>
    </i>
    <i>
      <x v="1278"/>
    </i>
    <i>
      <x v="1342"/>
    </i>
    <i>
      <x v="664"/>
    </i>
    <i>
      <x v="850"/>
    </i>
    <i>
      <x v="737"/>
    </i>
    <i>
      <x v="1206"/>
    </i>
    <i>
      <x v="1354"/>
    </i>
    <i>
      <x v="1416"/>
    </i>
    <i>
      <x v="751"/>
    </i>
    <i>
      <x v="861"/>
    </i>
    <i>
      <x v="1321"/>
    </i>
    <i>
      <x v="976"/>
    </i>
    <i>
      <x v="1106"/>
    </i>
    <i>
      <x v="881"/>
    </i>
    <i>
      <x v="554"/>
    </i>
    <i>
      <x v="1390"/>
    </i>
    <i>
      <x v="1039"/>
    </i>
    <i>
      <x v="528"/>
    </i>
    <i>
      <x v="446"/>
    </i>
    <i>
      <x v="572"/>
    </i>
    <i>
      <x v="1147"/>
    </i>
    <i>
      <x v="949"/>
    </i>
    <i>
      <x v="1252"/>
    </i>
    <i>
      <x v="501"/>
    </i>
    <i>
      <x v="1246"/>
    </i>
    <i>
      <x v="173"/>
    </i>
    <i>
      <x v="158"/>
    </i>
    <i>
      <x v="771"/>
    </i>
    <i>
      <x v="1391"/>
    </i>
    <i>
      <x v="1343"/>
    </i>
    <i>
      <x v="155"/>
    </i>
    <i>
      <x v="993"/>
    </i>
    <i>
      <x v="584"/>
    </i>
    <i>
      <x v="1129"/>
    </i>
    <i>
      <x v="756"/>
    </i>
    <i>
      <x v="875"/>
    </i>
    <i>
      <x v="952"/>
    </i>
    <i>
      <x v="1150"/>
    </i>
    <i>
      <x v="621"/>
    </i>
    <i>
      <x v="224"/>
    </i>
    <i>
      <x v="142"/>
    </i>
    <i>
      <x v="1399"/>
    </i>
    <i>
      <x v="1168"/>
    </i>
    <i>
      <x v="1286"/>
    </i>
    <i>
      <x v="863"/>
    </i>
    <i>
      <x v="1229"/>
    </i>
    <i>
      <x v="82"/>
    </i>
    <i>
      <x v="341"/>
    </i>
    <i>
      <x v="153"/>
    </i>
    <i>
      <x v="617"/>
    </i>
    <i>
      <x v="231"/>
    </i>
    <i>
      <x v="706"/>
    </i>
    <i>
      <x v="306"/>
    </i>
    <i>
      <x v="895"/>
    </i>
    <i>
      <x v="355"/>
    </i>
    <i>
      <x v="1124"/>
    </i>
    <i>
      <x v="1143"/>
    </i>
    <i>
      <x v="1138"/>
    </i>
    <i>
      <x v="50"/>
    </i>
    <i>
      <x v="675"/>
    </i>
    <i>
      <x v="93"/>
    </i>
    <i>
      <x v="1091"/>
    </i>
    <i>
      <x v="1164"/>
    </i>
    <i>
      <x v="564"/>
    </i>
    <i>
      <x v="1320"/>
    </i>
    <i>
      <x v="865"/>
    </i>
    <i>
      <x v="935"/>
    </i>
    <i>
      <x v="1235"/>
    </i>
    <i>
      <x v="1146"/>
    </i>
    <i>
      <x v="175"/>
    </i>
    <i>
      <x v="942"/>
    </i>
    <i>
      <x v="689"/>
    </i>
    <i>
      <x v="188"/>
    </i>
    <i>
      <x v="533"/>
    </i>
    <i>
      <x v="574"/>
    </i>
    <i>
      <x v="156"/>
    </i>
    <i>
      <x v="1161"/>
    </i>
    <i>
      <x v="1123"/>
    </i>
    <i>
      <x v="1330"/>
    </i>
    <i>
      <x v="1052"/>
    </i>
    <i>
      <x v="905"/>
    </i>
    <i>
      <x v="837"/>
    </i>
    <i>
      <x v="398"/>
    </i>
    <i>
      <x v="301"/>
    </i>
    <i>
      <x v="868"/>
    </i>
    <i>
      <x v="342"/>
    </i>
    <i>
      <x v="659"/>
    </i>
    <i>
      <x v="657"/>
    </i>
    <i>
      <x v="718"/>
    </i>
    <i>
      <x v="1182"/>
    </i>
    <i>
      <x v="216"/>
    </i>
    <i>
      <x v="524"/>
    </i>
    <i>
      <x v="845"/>
    </i>
    <i>
      <x v="486"/>
    </i>
    <i>
      <x v="1144"/>
    </i>
    <i>
      <x v="1111"/>
    </i>
    <i>
      <x v="247"/>
    </i>
    <i>
      <x v="951"/>
    </i>
    <i>
      <x v="987"/>
    </i>
    <i>
      <x v="715"/>
    </i>
    <i>
      <x v="1394"/>
    </i>
    <i>
      <x v="45"/>
    </i>
    <i>
      <x v="1332"/>
    </i>
    <i>
      <x v="393"/>
    </i>
    <i>
      <x v="178"/>
    </i>
    <i>
      <x v="639"/>
    </i>
    <i>
      <x v="854"/>
    </i>
    <i>
      <x v="1017"/>
    </i>
    <i>
      <x v="83"/>
    </i>
    <i>
      <x v="443"/>
    </i>
    <i>
      <x v="1236"/>
    </i>
    <i>
      <x v="992"/>
    </i>
    <i>
      <x v="663"/>
    </i>
    <i>
      <x v="406"/>
    </i>
    <i>
      <x v="887"/>
    </i>
    <i>
      <x v="1361"/>
    </i>
    <i>
      <x v="364"/>
    </i>
    <i>
      <x v="871"/>
    </i>
    <i>
      <x v="606"/>
    </i>
    <i>
      <x v="988"/>
    </i>
    <i>
      <x v="323"/>
    </i>
    <i>
      <x v="955"/>
    </i>
    <i>
      <x v="1224"/>
    </i>
    <i>
      <x v="357"/>
    </i>
    <i>
      <x v="1134"/>
    </i>
    <i>
      <x v="35"/>
    </i>
    <i>
      <x v="916"/>
    </i>
    <i>
      <x v="920"/>
    </i>
    <i>
      <x v="607"/>
    </i>
    <i>
      <x v="1325"/>
    </i>
    <i>
      <x v="1384"/>
    </i>
    <i>
      <x v="666"/>
    </i>
    <i>
      <x v="184"/>
    </i>
    <i>
      <x v="376"/>
    </i>
    <i>
      <x v="711"/>
    </i>
    <i>
      <x v="636"/>
    </i>
    <i>
      <x v="1414"/>
    </i>
    <i>
      <x v="1281"/>
    </i>
    <i>
      <x v="619"/>
    </i>
    <i>
      <x v="272"/>
    </i>
    <i>
      <x v="66"/>
    </i>
    <i>
      <x v="1392"/>
    </i>
    <i>
      <x v="656"/>
    </i>
    <i>
      <x v="1006"/>
    </i>
    <i>
      <x v="1202"/>
    </i>
    <i>
      <x v="1400"/>
    </i>
    <i>
      <x v="646"/>
    </i>
    <i>
      <x v="169"/>
    </i>
    <i>
      <x v="681"/>
    </i>
    <i>
      <x v="277"/>
    </i>
    <i>
      <x v="161"/>
    </i>
    <i>
      <x v="1329"/>
    </i>
    <i>
      <x v="990"/>
    </i>
    <i>
      <x v="397"/>
    </i>
    <i>
      <x v="200"/>
    </i>
    <i>
      <x v="67"/>
    </i>
    <i>
      <x v="377"/>
    </i>
    <i>
      <x v="1418"/>
    </i>
    <i>
      <x v="313"/>
    </i>
    <i>
      <x v="1153"/>
    </i>
    <i>
      <x v="1180"/>
    </i>
    <i>
      <x v="1056"/>
    </i>
    <i>
      <x v="1015"/>
    </i>
    <i>
      <x v="368"/>
    </i>
    <i>
      <x v="1184"/>
    </i>
    <i>
      <x v="790"/>
    </i>
    <i>
      <x v="812"/>
    </i>
    <i>
      <x v="680"/>
    </i>
    <i>
      <x v="1026"/>
    </i>
    <i>
      <x v="674"/>
    </i>
    <i>
      <x v="1186"/>
    </i>
    <i>
      <x v="179"/>
    </i>
    <i>
      <x v="722"/>
    </i>
    <i>
      <x v="890"/>
    </i>
    <i>
      <x v="750"/>
    </i>
    <i>
      <x v="11"/>
    </i>
    <i>
      <x v="1022"/>
    </i>
    <i>
      <x v="225"/>
    </i>
    <i>
      <x v="1265"/>
    </i>
    <i>
      <x v="645"/>
    </i>
    <i>
      <x v="754"/>
    </i>
    <i>
      <x v="394"/>
    </i>
    <i>
      <x v="899"/>
    </i>
    <i>
      <x v="1004"/>
    </i>
    <i>
      <x v="938"/>
    </i>
    <i>
      <x v="10"/>
    </i>
    <i>
      <x v="996"/>
    </i>
    <i>
      <x v="550"/>
    </i>
    <i>
      <x v="625"/>
    </i>
    <i>
      <x v="759"/>
    </i>
    <i>
      <x v="814"/>
    </i>
    <i>
      <x v="544"/>
    </i>
    <i>
      <x v="1167"/>
    </i>
    <i>
      <x v="1132"/>
    </i>
    <i>
      <x v="1149"/>
    </i>
    <i>
      <x v="89"/>
    </i>
    <i>
      <x v="521"/>
    </i>
    <i>
      <x v="392"/>
    </i>
    <i>
      <x v="365"/>
    </i>
    <i>
      <x v="250"/>
    </i>
    <i>
      <x v="986"/>
    </i>
    <i>
      <x v="791"/>
    </i>
    <i>
      <x v="122"/>
    </i>
    <i>
      <x v="1290"/>
    </i>
    <i>
      <x v="860"/>
    </i>
    <i>
      <x v="797"/>
    </i>
    <i>
      <x v="402"/>
    </i>
    <i>
      <x v="438"/>
    </i>
    <i>
      <x v="491"/>
    </i>
    <i>
      <x v="748"/>
    </i>
    <i>
      <x v="103"/>
    </i>
    <i>
      <x v="1211"/>
    </i>
    <i>
      <x v="1268"/>
    </i>
    <i>
      <x v="1189"/>
    </i>
    <i>
      <x v="495"/>
    </i>
    <i>
      <x v="462"/>
    </i>
    <i>
      <x v="1069"/>
    </i>
    <i>
      <x v="644"/>
    </i>
    <i>
      <x v="523"/>
    </i>
    <i>
      <x v="929"/>
    </i>
    <i>
      <x v="1048"/>
    </i>
    <i>
      <x v="697"/>
    </i>
    <i>
      <x v="307"/>
    </i>
    <i>
      <x v="321"/>
    </i>
    <i>
      <x v="310"/>
    </i>
    <i>
      <x v="133"/>
    </i>
    <i>
      <x v="1338"/>
    </i>
    <i>
      <x v="843"/>
    </i>
    <i>
      <x v="350"/>
    </i>
    <i>
      <x v="747"/>
    </i>
    <i>
      <x v="1398"/>
    </i>
    <i>
      <x v="1291"/>
    </i>
    <i>
      <x v="1363"/>
    </i>
    <i>
      <x v="311"/>
    </i>
    <i>
      <x v="1070"/>
    </i>
    <i>
      <x v="403"/>
    </i>
    <i>
      <x v="29"/>
    </i>
    <i>
      <x v="58"/>
    </i>
    <i>
      <x v="726"/>
    </i>
    <i>
      <x v="841"/>
    </i>
    <i>
      <x v="878"/>
    </i>
    <i>
      <x v="305"/>
    </i>
    <i>
      <x v="1349"/>
    </i>
    <i>
      <x v="1092"/>
    </i>
    <i>
      <x v="1377"/>
    </i>
    <i>
      <x v="343"/>
    </i>
    <i>
      <x v="283"/>
    </i>
    <i>
      <x v="329"/>
    </i>
    <i>
      <x v="136"/>
    </i>
    <i>
      <x v="336"/>
    </i>
    <i>
      <x v="1386"/>
    </i>
    <i>
      <x v="22"/>
    </i>
    <i>
      <x v="268"/>
    </i>
    <i>
      <x v="582"/>
    </i>
    <i>
      <x v="1085"/>
    </i>
    <i>
      <x v="945"/>
    </i>
    <i>
      <x v="693"/>
    </i>
    <i>
      <x v="1409"/>
    </i>
    <i>
      <x v="366"/>
    </i>
    <i>
      <x v="906"/>
    </i>
    <i>
      <x v="253"/>
    </i>
    <i>
      <x v="386"/>
    </i>
    <i>
      <x v="513"/>
    </i>
    <i>
      <x v="1309"/>
    </i>
    <i>
      <x v="1032"/>
    </i>
    <i>
      <x v="894"/>
    </i>
    <i>
      <x v="1285"/>
    </i>
    <i>
      <x v="276"/>
    </i>
    <i>
      <x v="72"/>
    </i>
    <i>
      <x v="777"/>
    </i>
    <i>
      <x v="1315"/>
    </i>
    <i>
      <x v="90"/>
    </i>
    <i>
      <x v="92"/>
    </i>
    <i>
      <x v="1301"/>
    </i>
    <i>
      <x v="568"/>
    </i>
    <i>
      <x v="985"/>
    </i>
    <i>
      <x v="1347"/>
    </i>
    <i>
      <x v="1062"/>
    </i>
    <i>
      <x v="873"/>
    </i>
    <i>
      <x v="705"/>
    </i>
    <i>
      <x v="1242"/>
    </i>
    <i>
      <x v="668"/>
    </i>
    <i>
      <x v="284"/>
    </i>
    <i>
      <x v="494"/>
    </i>
    <i>
      <x v="409"/>
    </i>
    <i>
      <x v="453"/>
    </i>
    <i>
      <x v="1298"/>
    </i>
    <i>
      <x v="243"/>
    </i>
    <i>
      <x v="42"/>
    </i>
    <i>
      <x v="344"/>
    </i>
    <i>
      <x v="563"/>
    </i>
    <i>
      <x v="1262"/>
    </i>
    <i>
      <x v="150"/>
    </i>
    <i>
      <x v="54"/>
    </i>
    <i>
      <x v="346"/>
    </i>
    <i>
      <x v="388"/>
    </i>
    <i>
      <x v="802"/>
    </i>
    <i>
      <x v="1172"/>
    </i>
    <i>
      <x v="444"/>
    </i>
    <i>
      <x v="1302"/>
    </i>
    <i>
      <x v="1375"/>
    </i>
    <i>
      <x v="864"/>
    </i>
    <i>
      <x v="950"/>
    </i>
    <i>
      <x v="1317"/>
    </i>
    <i>
      <x v="1142"/>
    </i>
    <i>
      <x v="1054"/>
    </i>
    <i>
      <x v="266"/>
    </i>
    <i>
      <x v="1005"/>
    </i>
    <i>
      <x v="1115"/>
    </i>
    <i>
      <x v="526"/>
    </i>
    <i>
      <x v="889"/>
    </i>
    <i>
      <x v="118"/>
    </i>
    <i>
      <x v="553"/>
    </i>
    <i>
      <x v="1063"/>
    </i>
    <i>
      <x v="879"/>
    </i>
    <i>
      <x v="918"/>
    </i>
    <i>
      <x v="769"/>
    </i>
    <i>
      <x v="324"/>
    </i>
    <i>
      <x v="335"/>
    </i>
    <i>
      <x v="505"/>
    </i>
    <i>
      <x v="602"/>
    </i>
    <i>
      <x v="595"/>
    </i>
    <i>
      <x v="818"/>
    </i>
    <i>
      <x v="1251"/>
    </i>
    <i>
      <x v="235"/>
    </i>
    <i>
      <x v="1397"/>
    </i>
    <i>
      <x v="379"/>
    </i>
    <i>
      <x v="149"/>
    </i>
    <i>
      <x v="1141"/>
    </i>
    <i>
      <x v="390"/>
    </i>
    <i>
      <x v="1356"/>
    </i>
    <i>
      <x v="197"/>
    </i>
    <i>
      <x v="1076"/>
    </i>
    <i>
      <x v="1133"/>
    </i>
    <i>
      <x v="642"/>
    </i>
    <i>
      <x v="1303"/>
    </i>
    <i>
      <x v="620"/>
    </i>
    <i>
      <x v="31"/>
    </i>
    <i>
      <x v="795"/>
    </i>
    <i>
      <x v="51"/>
    </i>
    <i>
      <x v="1019"/>
    </i>
    <i>
      <x v="1311"/>
    </i>
    <i>
      <x v="30"/>
    </i>
    <i>
      <x v="256"/>
    </i>
    <i>
      <x v="1139"/>
    </i>
    <i>
      <x v="112"/>
    </i>
    <i>
      <x v="6"/>
    </i>
    <i>
      <x v="857"/>
    </i>
    <i>
      <x v="898"/>
    </i>
    <i>
      <x v="803"/>
    </i>
    <i>
      <x v="1288"/>
    </i>
    <i>
      <x v="378"/>
    </i>
    <i>
      <x v="1068"/>
    </i>
    <i>
      <x v="1254"/>
    </i>
    <i>
      <x v="1380"/>
    </i>
    <i>
      <x v="886"/>
    </i>
    <i>
      <x v="708"/>
    </i>
    <i>
      <x v="678"/>
    </i>
    <i>
      <x v="738"/>
    </i>
    <i>
      <x v="532"/>
    </i>
    <i>
      <x v="498"/>
    </i>
    <i>
      <x v="338"/>
    </i>
    <i>
      <x v="232"/>
    </i>
    <i>
      <x v="40"/>
    </i>
    <i>
      <x v="831"/>
    </i>
    <i>
      <x v="1339"/>
    </i>
    <i>
      <x v="510"/>
    </i>
    <i>
      <x v="260"/>
    </i>
    <i>
      <x v="1383"/>
    </i>
    <i>
      <x v="18"/>
    </i>
    <i>
      <x v="649"/>
    </i>
    <i>
      <x v="1327"/>
    </i>
    <i>
      <x v="1323"/>
    </i>
    <i>
      <x v="286"/>
    </i>
    <i>
      <x v="1122"/>
    </i>
    <i>
      <x v="478"/>
    </i>
    <i>
      <x v="896"/>
    </i>
    <i>
      <x v="370"/>
    </i>
    <i>
      <x v="211"/>
    </i>
    <i>
      <x v="417"/>
    </i>
    <i>
      <x v="210"/>
    </i>
    <i>
      <x v="1351"/>
    </i>
    <i>
      <x v="518"/>
    </i>
    <i>
      <x v="1108"/>
    </i>
    <i>
      <x v="257"/>
    </i>
    <i>
      <x v="1334"/>
    </i>
    <i>
      <x v="551"/>
    </i>
    <i>
      <x v="1049"/>
    </i>
    <i>
      <x v="1148"/>
    </i>
    <i>
      <x v="556"/>
    </i>
    <i>
      <x v="552"/>
    </i>
    <i>
      <x v="1042"/>
    </i>
    <i>
      <x v="897"/>
    </i>
    <i>
      <x v="237"/>
    </i>
    <i>
      <x v="633"/>
    </i>
    <i>
      <x v="1051"/>
    </i>
    <i>
      <x v="1272"/>
    </i>
    <i>
      <x v="263"/>
    </i>
    <i>
      <x v="269"/>
    </i>
    <i>
      <x v="416"/>
    </i>
    <i>
      <x v="369"/>
    </i>
    <i>
      <x v="537"/>
    </i>
    <i>
      <x v="729"/>
    </i>
    <i>
      <x v="477"/>
    </i>
    <i>
      <x v="299"/>
    </i>
    <i>
      <x v="404"/>
    </i>
    <i>
      <x v="1396"/>
    </i>
    <i>
      <x v="757"/>
    </i>
    <i>
      <x v="569"/>
    </i>
    <i>
      <x v="429"/>
    </i>
    <i>
      <x v="1279"/>
    </i>
    <i>
      <x v="86"/>
    </i>
    <i>
      <x v="33"/>
    </i>
    <i>
      <x v="1387"/>
    </i>
    <i>
      <x v="1007"/>
    </i>
    <i>
      <x v="809"/>
    </i>
    <i>
      <x v="1156"/>
    </i>
    <i>
      <x v="589"/>
    </i>
    <i>
      <x v="1328"/>
    </i>
    <i>
      <x v="1412"/>
    </i>
    <i>
      <x v="1365"/>
    </i>
    <i>
      <x v="739"/>
    </i>
    <i>
      <x v="166"/>
    </i>
    <i>
      <x v="1277"/>
    </i>
    <i>
      <x v="1210"/>
    </i>
    <i>
      <x v="281"/>
    </i>
    <i>
      <x v="1223"/>
    </i>
    <i>
      <x v="1299"/>
    </i>
    <i>
      <x v="1348"/>
    </i>
    <i>
      <x v="1109"/>
    </i>
    <i>
      <x v="939"/>
    </i>
    <i>
      <x v="128"/>
    </i>
    <i>
      <x v="870"/>
    </i>
    <i>
      <x v="171"/>
    </i>
    <i>
      <x v="1031"/>
    </i>
    <i>
      <x v="1067"/>
    </i>
    <i>
      <x v="1407"/>
    </i>
    <i>
      <x v="1140"/>
    </i>
    <i>
      <x v="434"/>
    </i>
    <i>
      <x v="1344"/>
    </i>
    <i>
      <x v="1381"/>
    </i>
    <i>
      <x v="1227"/>
    </i>
    <i>
      <x v="1240"/>
    </i>
    <i>
      <x v="1127"/>
    </i>
    <i>
      <x v="922"/>
    </i>
    <i>
      <x v="810"/>
    </i>
    <i>
      <x v="567"/>
    </i>
    <i>
      <x v="427"/>
    </i>
    <i>
      <x v="538"/>
    </i>
    <i>
      <x v="275"/>
    </i>
    <i>
      <x v="107"/>
    </i>
    <i>
      <x v="132"/>
    </i>
    <i>
      <x v="743"/>
    </i>
    <i>
      <x v="1203"/>
    </i>
    <i>
      <x v="405"/>
    </i>
    <i>
      <x v="125"/>
    </i>
    <i>
      <x v="1359"/>
    </i>
    <i>
      <x v="1207"/>
    </i>
    <i>
      <x v="1162"/>
    </i>
    <i>
      <x v="1260"/>
    </i>
    <i>
      <x v="1082"/>
    </i>
    <i>
      <x v="960"/>
    </i>
    <i>
      <x v="1136"/>
    </i>
    <i>
      <x v="914"/>
    </i>
    <i>
      <x v="768"/>
    </i>
    <i>
      <x v="340"/>
    </i>
    <i>
      <x v="484"/>
    </i>
    <i>
      <x v="448"/>
    </i>
    <i>
      <x v="302"/>
    </i>
    <i>
      <x v="102"/>
    </i>
    <i>
      <x v="673"/>
    </i>
    <i>
      <x v="828"/>
    </i>
    <i>
      <x v="130"/>
    </i>
    <i>
      <x v="762"/>
    </i>
    <i>
      <x v="95"/>
    </i>
    <i>
      <x v="1209"/>
    </i>
    <i>
      <x v="1259"/>
    </i>
    <i>
      <x v="866"/>
    </i>
    <i>
      <x v="825"/>
    </i>
    <i>
      <x v="669"/>
    </i>
    <i>
      <x v="432"/>
    </i>
    <i>
      <x v="475"/>
    </i>
    <i>
      <x v="325"/>
    </i>
    <i>
      <x v="327"/>
    </i>
    <i>
      <x v="265"/>
    </i>
    <i>
      <x v="262"/>
    </i>
    <i>
      <x v="1166"/>
    </i>
    <i>
      <x v="1073"/>
    </i>
    <i>
      <x v="594"/>
    </i>
    <i>
      <x v="638"/>
    </i>
    <i>
      <x v="271"/>
    </i>
    <i>
      <x v="214"/>
    </i>
    <i>
      <x v="1316"/>
    </i>
    <i>
      <x v="1226"/>
    </i>
    <i>
      <x v="1336"/>
    </i>
    <i>
      <x v="1425"/>
    </i>
    <i>
      <x v="571"/>
    </i>
    <i>
      <x v="1001"/>
    </i>
    <i>
      <x v="904"/>
    </i>
    <i>
      <x v="588"/>
    </i>
    <i>
      <x v="121"/>
    </i>
    <i>
      <x v="1403"/>
    </i>
    <i>
      <x v="1114"/>
    </i>
    <i>
      <x v="819"/>
    </i>
    <i>
      <x v="296"/>
    </i>
    <i>
      <x v="20"/>
    </i>
    <i>
      <x v="826"/>
    </i>
    <i>
      <x v="117"/>
    </i>
    <i>
      <x v="1267"/>
    </i>
    <i>
      <x v="1170"/>
    </i>
    <i>
      <x v="1238"/>
    </i>
    <i>
      <x v="339"/>
    </i>
    <i>
      <x v="623"/>
    </i>
    <i>
      <x v="604"/>
    </i>
    <i>
      <x v="248"/>
    </i>
    <i>
      <x v="1263"/>
    </i>
    <i>
      <x v="967"/>
    </i>
    <i>
      <x v="174"/>
    </i>
    <i>
      <x v="1264"/>
    </i>
    <i>
      <x v="884"/>
    </i>
    <i>
      <x v="1421"/>
    </i>
    <i>
      <x v="454"/>
    </i>
    <i>
      <x v="1308"/>
    </i>
    <i>
      <x v="1193"/>
    </i>
    <i>
      <x v="547"/>
    </i>
    <i>
      <x v="167"/>
    </i>
    <i>
      <x v="517"/>
    </i>
    <i>
      <x v="479"/>
    </i>
    <i>
      <x v="450"/>
    </i>
    <i>
      <x v="120"/>
    </i>
    <i>
      <x v="1023"/>
    </i>
    <i>
      <x v="1214"/>
    </i>
    <i>
      <x v="1364"/>
    </i>
    <i>
      <x v="1059"/>
    </i>
    <i>
      <x v="956"/>
    </i>
    <i>
      <x v="679"/>
    </i>
    <i>
      <x v="472"/>
    </i>
    <i>
      <x v="548"/>
    </i>
    <i>
      <x v="298"/>
    </i>
    <i>
      <x v="971"/>
    </i>
    <i>
      <x v="441"/>
    </i>
    <i>
      <x v="291"/>
    </i>
    <i>
      <x v="535"/>
    </i>
    <i>
      <x v="1305"/>
    </i>
    <i>
      <x v="1230"/>
    </i>
    <i>
      <x v="549"/>
    </i>
    <i>
      <x v="964"/>
    </i>
    <i>
      <x v="1395"/>
    </i>
    <i>
      <x v="465"/>
    </i>
    <i>
      <x v="219"/>
    </i>
    <i>
      <x v="326"/>
    </i>
    <i>
      <x v="1261"/>
    </i>
    <i>
      <x v="1228"/>
    </i>
    <i>
      <x v="1337"/>
    </i>
    <i>
      <x v="1245"/>
    </i>
    <i>
      <x v="1283"/>
    </i>
    <i>
      <x v="1050"/>
    </i>
    <i>
      <x v="1029"/>
    </i>
    <i>
      <x v="816"/>
    </i>
    <i>
      <x v="347"/>
    </i>
    <i>
      <x v="331"/>
    </i>
    <i>
      <x v="295"/>
    </i>
    <i>
      <x v="13"/>
    </i>
    <i>
      <x v="154"/>
    </i>
    <i>
      <x v="653"/>
    </i>
    <i>
      <x v="1293"/>
    </i>
    <i>
      <x v="410"/>
    </i>
    <i>
      <x v="114"/>
    </i>
    <i>
      <x v="115"/>
    </i>
    <i>
      <x v="924"/>
    </i>
    <i>
      <x v="932"/>
    </i>
    <i>
      <x v="585"/>
    </i>
    <i>
      <x v="721"/>
    </i>
    <i>
      <x v="148"/>
    </i>
    <i>
      <x v="1352"/>
    </i>
    <i>
      <x v="1212"/>
    </i>
  </rowItems>
  <colItems count="1">
    <i/>
  </colItems>
  <dataFields count="1">
    <dataField name="Sales" fld="4" baseField="0" baseItem="0" numFmtId="1"/>
  </dataFields>
  <formats count="2">
    <format dxfId="11">
      <pivotArea outline="0" collapsedLevelsAreSubtotals="1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99D36-4332-477D-8AD8-BED88C68ECAD}" name="PivotTable2" cacheId="24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8">
    <pivotField compact="0" outline="0" showAll="0"/>
    <pivotField dataField="1" compact="0" outline="0" showAll="0">
      <items count="1257"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255"/>
        <item t="default"/>
      </items>
    </pivotField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1" baseField="0" baseItem="0" numFmtId="1"/>
  </dataFields>
  <formats count="2">
    <format dxfId="9">
      <pivotArea outline="0" collapsedLevelsAreSubtotals="1" fieldPosition="0"/>
    </format>
    <format dxfId="1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16A8A-27BC-4979-A4BC-FF0B63127865}" name="PivotTable3" cacheId="24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8">
    <pivotField compact="0" outline="0" showAll="0"/>
    <pivotField compact="0" outline="0" showAll="0"/>
    <pivotField axis="axisRow" dataField="1" compact="0" outline="0" showAll="0">
      <items count="5">
        <item x="1"/>
        <item x="0"/>
        <item h="1"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Customer_Count" fld="2" subtotal="count" baseField="0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A3DE3-F0D6-4BE8-819D-BC4FE44F2D02}" name="Table1" displayName="Table1" ref="A1:F6360" totalsRowShown="0" headerRowDxfId="8">
  <autoFilter ref="A1:F6360" xr:uid="{1A5A3DE3-F0D6-4BE8-819D-BC4FE44F2D02}"/>
  <tableColumns count="6">
    <tableColumn id="1" xr3:uid="{081C6EB0-3FC4-40D5-B2C2-7BA20E8C3CF3}" name="Date" dataDxfId="7"/>
    <tableColumn id="2" xr3:uid="{76A43210-942B-4230-9A7C-F85337107560}" name="Customer_name"/>
    <tableColumn id="3" xr3:uid="{13F26767-C484-4AB6-917B-A42C80627FD3}" name="Vch Type"/>
    <tableColumn id="4" xr3:uid="{271D173C-464F-4679-8182-AF4DBBC113F9}" name="Vch No."/>
    <tableColumn id="5" xr3:uid="{5084314D-7E6C-4B19-9A76-349F92E08BDD}" name="Sales Amount"/>
    <tableColumn id="6" xr3:uid="{3546321B-40AE-42BE-BB62-8A827713148E}" name="Cred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BA815F-F7A3-4488-AF97-DD1615D37049}" name="Customer_Tiers" displayName="Customer_Tiers" ref="A1:H1477" totalsRowShown="0">
  <autoFilter ref="A1:H1477" xr:uid="{4CBA815F-F7A3-4488-AF97-DD1615D37049}"/>
  <tableColumns count="8">
    <tableColumn id="1" xr3:uid="{AD702AD0-8877-4287-B24E-6D253A80C643}" name="Customer">
      <calculatedColumnFormula>'Top Customers'!A4</calculatedColumnFormula>
    </tableColumn>
    <tableColumn id="2" xr3:uid="{86329813-5DE3-4BC5-9535-AE598B1E0934}" name="Total_Sales" dataDxfId="6">
      <calculatedColumnFormula>GETPIVOTDATA("Sales Amount",'Top Customers'!$A$3,"Customer_name",'Top Customers'!A4)</calculatedColumnFormula>
    </tableColumn>
    <tableColumn id="3" xr3:uid="{5BB208E1-6789-4DBB-B77F-56B170A588C9}" name="Tier" dataDxfId="5">
      <calculatedColumnFormula>IF(B2&gt;=1000000,"Platinum",
 IF(B2&gt;=500000,"Gold",
 IF(B2&gt;=100000,"Silver","Regular")))</calculatedColumnFormula>
    </tableColumn>
    <tableColumn id="4" xr3:uid="{6043F286-4528-40A1-8800-651688B69C15}" name="Gap to Next Tier" dataDxfId="4">
      <calculatedColumnFormula>IF(C2="Platinum",0,
 IF(C2="Gold",1000000-B2,
 IF(C2="Silver",500000-B2,
 IF(C2="Regular",100000-B2,0))))</calculatedColumnFormula>
    </tableColumn>
    <tableColumn id="5" xr3:uid="{F436A767-B0FB-44D1-8D0C-A3142EE2CE25}" name="Contribution" dataDxfId="3">
      <calculatedColumnFormula>B2/SUM(B:B)</calculatedColumnFormula>
    </tableColumn>
    <tableColumn id="6" xr3:uid="{B76E167F-24C5-4DFE-8561-908758924BB0}" name="Days Since Last Purchase" dataDxfId="2">
      <calculatedColumnFormula>TODAY()-GETPIVOTDATA("LastPurchaseDate",MaxDate!$A$3,"Customer_name",MaxDate!A4)</calculatedColumnFormula>
    </tableColumn>
    <tableColumn id="7" xr3:uid="{147FE006-287E-433C-947F-0E02673BAE4A}" name="Activity Status" dataDxfId="1">
      <calculatedColumnFormula>IF(F2="","",
 IF(F2&lt;=60,"Active",
 IF(F2&lt;=120,"At Risk","Inactive")))</calculatedColumnFormula>
    </tableColumn>
    <tableColumn id="8" xr3:uid="{8F779793-AEC1-44C9-83F6-37A851FC1145}" name="Rank" dataDxfId="0">
      <calculatedColumnFormula>RANK(B2,Customer_Tiers[Total_Sales])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D38E-0867-4607-AC33-05D8DA5FE926}">
  <dimension ref="A5:R45"/>
  <sheetViews>
    <sheetView showGridLines="0" tabSelected="1" topLeftCell="A13" workbookViewId="0">
      <selection activeCell="A20" sqref="A20"/>
    </sheetView>
  </sheetViews>
  <sheetFormatPr defaultRowHeight="16.5"/>
  <cols>
    <col min="1" max="1" width="36.5703125" style="10" customWidth="1"/>
    <col min="2" max="2" width="10.42578125" style="10" bestFit="1" customWidth="1"/>
    <col min="3" max="3" width="36.5703125" style="10" bestFit="1" customWidth="1"/>
    <col min="4" max="16384" width="9.140625" style="10"/>
  </cols>
  <sheetData>
    <row r="5" spans="1:18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8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8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8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8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2" spans="1:18" ht="15" customHeight="1">
      <c r="B12" s="11"/>
      <c r="C12" s="12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18" ht="15" customHeight="1">
      <c r="B13" s="12"/>
      <c r="C13" s="12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1:18"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>
      <c r="A15" s="14" t="s">
        <v>0</v>
      </c>
      <c r="B15" s="15">
        <f xml:space="preserve"> SUM(Customer_Tiers[Total_Sales])</f>
        <v>57256967.941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>
      <c r="A16" s="14" t="s">
        <v>1</v>
      </c>
      <c r="B16" s="14">
        <f xml:space="preserve"> COUNTA(Customer_Tiers[Customer])</f>
        <v>1476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>
      <c r="A17" s="14" t="s">
        <v>2</v>
      </c>
      <c r="B17" s="14">
        <f ca="1" xml:space="preserve"> COUNTIF(Customer_Tiers[Activity Status],"Active")</f>
        <v>425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>
      <c r="A18" s="14" t="s">
        <v>3</v>
      </c>
      <c r="B18" s="14">
        <f ca="1" xml:space="preserve"> COUNTIF(Customer_Tiers[Activity Status],"Inactive")</f>
        <v>739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>
      <c r="A19" s="14" t="s">
        <v>4</v>
      </c>
      <c r="B19" s="14">
        <f ca="1" xml:space="preserve"> COUNTIF(Customer_Tiers[Activity Status],"At Risk")</f>
        <v>261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>
      <c r="A20" s="14" t="s">
        <v>5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8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>
      <c r="A25" s="14" t="s">
        <v>6</v>
      </c>
      <c r="B25" s="15">
        <f ca="1">SUM(INDEX(Customer_Tiers[Total_Sales],1):INDEX(Customer_Tiers[Total_Sales],10))</f>
        <v>12881388.933</v>
      </c>
      <c r="C25" s="19">
        <f ca="1">B25/SUM(Customer_Tiers[Total_Sales])</f>
        <v>0.22497504489363684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1:18">
      <c r="A26" s="14" t="s">
        <v>7</v>
      </c>
      <c r="B26" s="15">
        <f ca="1">SUM(INDEX(Customer_Tiers[Total_Sales],1):INDEX(Customer_Tiers[Total_Sales],50))</f>
        <v>27110973.932999998</v>
      </c>
      <c r="C26" s="20">
        <f ca="1">B26/SUM(Customer_Tiers[Total_Sales])</f>
        <v>0.47349650021524525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1:18">
      <c r="A27" s="14" t="s">
        <v>8</v>
      </c>
      <c r="B27" s="14">
        <f>SUMIFS(Customer_Tiers[Total_Sales], Customer_Tiers[Tier],"Platinum")</f>
        <v>10342204.933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1:18">
      <c r="A28" s="16" t="s">
        <v>9</v>
      </c>
      <c r="B28" s="16">
        <f>SUMIFS(Customer_Tiers[Total_Sales], Customer_Tiers[Tier],"Gold")</f>
        <v>5612534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30" spans="1:18">
      <c r="A30" s="14"/>
      <c r="B30" s="14"/>
      <c r="C30" s="14"/>
    </row>
    <row r="31" spans="1:18">
      <c r="A31" s="14"/>
      <c r="B31" s="14"/>
      <c r="C31" s="14"/>
    </row>
    <row r="32" spans="1:18">
      <c r="A32" s="14"/>
      <c r="B32" s="14"/>
      <c r="C32" s="14"/>
    </row>
    <row r="33" spans="1:6">
      <c r="A33" s="14"/>
      <c r="B33" s="14"/>
      <c r="C33" s="14"/>
    </row>
    <row r="34" spans="1:6">
      <c r="A34" s="14" t="s">
        <v>10</v>
      </c>
      <c r="B34" s="14">
        <f ca="1">COUNTIFS(Customer_Tiers[Tier],"Platinum",Customer_Tiers[Activity Status],"Inactive")</f>
        <v>0</v>
      </c>
      <c r="C34" s="14"/>
    </row>
    <row r="35" spans="1:6">
      <c r="A35" s="14" t="s">
        <v>11</v>
      </c>
      <c r="B35" s="14">
        <f ca="1">COUNTIFS(Customer_Tiers[Tier],"Platinum",Customer_Tiers[Activity Status],"At Risk")</f>
        <v>1</v>
      </c>
      <c r="C35" s="14"/>
    </row>
    <row r="36" spans="1:6">
      <c r="A36" s="14" t="s">
        <v>12</v>
      </c>
      <c r="B36" s="14">
        <f ca="1">COUNTIFS(Customer_Tiers[Tier],"Gold",Customer_Tiers[Activity Status],"Inactive")</f>
        <v>0</v>
      </c>
      <c r="C36" s="14"/>
    </row>
    <row r="37" spans="1:6">
      <c r="A37" s="14" t="s">
        <v>13</v>
      </c>
      <c r="B37" s="14">
        <f ca="1">COUNTIFS(Customer_Tiers[Tier],"Gold",Customer_Tiers[Activity Status],"At Risk")</f>
        <v>0</v>
      </c>
      <c r="C37" s="14"/>
    </row>
    <row r="38" spans="1:6">
      <c r="A38" s="16" t="s">
        <v>14</v>
      </c>
      <c r="B38" s="16">
        <f ca="1">COUNTIFS(Customer_Tiers[Rank],"&lt;="&amp;100,Customer_Tiers[Activity Status],"Inactive")</f>
        <v>20</v>
      </c>
      <c r="C38" s="16"/>
    </row>
    <row r="40" spans="1:6">
      <c r="A40" s="14"/>
      <c r="B40" s="14"/>
      <c r="C40" s="14"/>
    </row>
    <row r="41" spans="1:6">
      <c r="A41" s="14"/>
      <c r="B41" s="14"/>
      <c r="C41" s="14"/>
    </row>
    <row r="42" spans="1:6">
      <c r="A42" s="14"/>
      <c r="B42" s="14"/>
      <c r="C42" s="14"/>
    </row>
    <row r="43" spans="1:6">
      <c r="A43" s="14"/>
      <c r="B43" s="14"/>
      <c r="C43" s="14"/>
    </row>
    <row r="44" spans="1:6">
      <c r="A44" s="14" t="s">
        <v>15</v>
      </c>
      <c r="B44" s="17">
        <f>B2BvsB2C!B4/B2BvsB2C!B6</f>
        <v>0.27932359166276655</v>
      </c>
      <c r="C44" s="14"/>
      <c r="E44" s="14"/>
      <c r="F44" s="14"/>
    </row>
    <row r="45" spans="1:6">
      <c r="A45" s="16" t="s">
        <v>16</v>
      </c>
      <c r="B45" s="18">
        <f>B2BvsB2C!B5/B2BvsB2C!B6</f>
        <v>0.72067640833723345</v>
      </c>
      <c r="C45" s="16"/>
      <c r="E45" s="14"/>
      <c r="F45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8B59-59BD-49DC-A90E-D53480635432}">
  <dimension ref="A3:B6"/>
  <sheetViews>
    <sheetView workbookViewId="0">
      <selection activeCell="A3" sqref="A3"/>
    </sheetView>
  </sheetViews>
  <sheetFormatPr defaultRowHeight="15"/>
  <cols>
    <col min="1" max="1" width="12.140625" bestFit="1" customWidth="1"/>
    <col min="2" max="2" width="19.85546875" bestFit="1" customWidth="1"/>
  </cols>
  <sheetData>
    <row r="3" spans="1:2">
      <c r="A3" s="3" t="s">
        <v>17</v>
      </c>
      <c r="B3" t="s">
        <v>18</v>
      </c>
    </row>
    <row r="4" spans="1:2">
      <c r="A4" t="s">
        <v>19</v>
      </c>
      <c r="B4" s="13">
        <v>15993221.933</v>
      </c>
    </row>
    <row r="5" spans="1:2">
      <c r="A5" t="s">
        <v>20</v>
      </c>
      <c r="B5" s="13">
        <v>41263746.008000001</v>
      </c>
    </row>
    <row r="6" spans="1:2">
      <c r="A6" t="s">
        <v>21</v>
      </c>
      <c r="B6" s="13">
        <v>57256967.941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A851-5B65-4DBD-8B14-A679D34BFE17}">
  <dimension ref="A1:F6360"/>
  <sheetViews>
    <sheetView workbookViewId="0">
      <selection activeCell="B12" sqref="B12"/>
    </sheetView>
  </sheetViews>
  <sheetFormatPr defaultRowHeight="14.45"/>
  <cols>
    <col min="1" max="1" width="9.7109375" bestFit="1" customWidth="1"/>
    <col min="2" max="2" width="52.42578125" bestFit="1" customWidth="1"/>
    <col min="3" max="3" width="10.42578125" customWidth="1"/>
    <col min="4" max="5" width="11.85546875" bestFit="1" customWidth="1"/>
    <col min="6" max="6" width="7.5703125" customWidth="1"/>
  </cols>
  <sheetData>
    <row r="1" spans="1:6">
      <c r="A1" s="7" t="s">
        <v>22</v>
      </c>
      <c r="B1" s="8" t="s">
        <v>23</v>
      </c>
      <c r="C1" s="9" t="s">
        <v>17</v>
      </c>
      <c r="D1" s="7" t="s">
        <v>24</v>
      </c>
      <c r="E1" s="7" t="s">
        <v>25</v>
      </c>
      <c r="F1" s="7" t="s">
        <v>26</v>
      </c>
    </row>
    <row r="2" spans="1:6">
      <c r="A2" s="1">
        <v>45748</v>
      </c>
      <c r="B2" t="s">
        <v>27</v>
      </c>
      <c r="C2" t="s">
        <v>19</v>
      </c>
      <c r="D2" t="s">
        <v>28</v>
      </c>
      <c r="E2">
        <v>7055</v>
      </c>
    </row>
    <row r="3" spans="1:6">
      <c r="A3" s="1">
        <v>45748</v>
      </c>
      <c r="B3" t="s">
        <v>29</v>
      </c>
      <c r="C3" t="s">
        <v>20</v>
      </c>
      <c r="D3" t="s">
        <v>30</v>
      </c>
      <c r="E3">
        <v>2380</v>
      </c>
    </row>
    <row r="4" spans="1:6">
      <c r="A4" s="1">
        <v>45748</v>
      </c>
      <c r="B4" t="s">
        <v>31</v>
      </c>
      <c r="C4" t="s">
        <v>20</v>
      </c>
      <c r="D4" t="s">
        <v>32</v>
      </c>
      <c r="E4">
        <v>680</v>
      </c>
    </row>
    <row r="5" spans="1:6">
      <c r="A5" s="1">
        <v>45748</v>
      </c>
      <c r="B5" t="s">
        <v>33</v>
      </c>
      <c r="C5" t="s">
        <v>20</v>
      </c>
      <c r="D5" t="s">
        <v>34</v>
      </c>
      <c r="E5">
        <v>4776</v>
      </c>
    </row>
    <row r="6" spans="1:6">
      <c r="A6" s="1">
        <v>45748</v>
      </c>
      <c r="B6" t="s">
        <v>35</v>
      </c>
      <c r="C6" t="s">
        <v>20</v>
      </c>
      <c r="D6" t="s">
        <v>36</v>
      </c>
      <c r="E6">
        <v>2073</v>
      </c>
    </row>
    <row r="7" spans="1:6">
      <c r="A7" s="1">
        <v>45748</v>
      </c>
      <c r="B7" t="s">
        <v>37</v>
      </c>
      <c r="C7" t="s">
        <v>20</v>
      </c>
      <c r="D7" t="s">
        <v>38</v>
      </c>
      <c r="E7">
        <v>1300</v>
      </c>
    </row>
    <row r="8" spans="1:6">
      <c r="A8" s="1">
        <v>45748</v>
      </c>
      <c r="B8" t="s">
        <v>39</v>
      </c>
      <c r="C8" t="s">
        <v>20</v>
      </c>
      <c r="D8" t="s">
        <v>40</v>
      </c>
      <c r="E8">
        <v>6800</v>
      </c>
    </row>
    <row r="9" spans="1:6">
      <c r="A9" s="1">
        <v>45748</v>
      </c>
      <c r="B9" t="s">
        <v>41</v>
      </c>
      <c r="C9" t="s">
        <v>20</v>
      </c>
      <c r="D9" t="s">
        <v>42</v>
      </c>
      <c r="E9">
        <v>30855</v>
      </c>
    </row>
    <row r="10" spans="1:6">
      <c r="A10" s="1">
        <v>45748</v>
      </c>
      <c r="B10" t="s">
        <v>43</v>
      </c>
      <c r="C10" t="s">
        <v>20</v>
      </c>
      <c r="D10" t="s">
        <v>44</v>
      </c>
      <c r="E10">
        <v>2218</v>
      </c>
    </row>
    <row r="11" spans="1:6">
      <c r="A11" s="1">
        <v>45748</v>
      </c>
      <c r="B11" t="s">
        <v>45</v>
      </c>
      <c r="C11" t="s">
        <v>20</v>
      </c>
      <c r="D11" t="s">
        <v>46</v>
      </c>
      <c r="E11">
        <v>1329</v>
      </c>
    </row>
    <row r="12" spans="1:6">
      <c r="A12" s="1">
        <v>45748</v>
      </c>
      <c r="B12" t="s">
        <v>43</v>
      </c>
      <c r="C12" t="s">
        <v>20</v>
      </c>
      <c r="D12" t="s">
        <v>47</v>
      </c>
      <c r="E12">
        <v>748</v>
      </c>
    </row>
    <row r="13" spans="1:6">
      <c r="A13" s="1">
        <v>45748</v>
      </c>
      <c r="B13" t="s">
        <v>48</v>
      </c>
      <c r="C13" t="s">
        <v>20</v>
      </c>
      <c r="D13" t="s">
        <v>49</v>
      </c>
      <c r="E13">
        <v>19570</v>
      </c>
    </row>
    <row r="14" spans="1:6">
      <c r="A14" s="1">
        <v>45748</v>
      </c>
      <c r="B14" t="s">
        <v>50</v>
      </c>
      <c r="C14" t="s">
        <v>20</v>
      </c>
      <c r="D14" t="s">
        <v>51</v>
      </c>
      <c r="E14">
        <v>12</v>
      </c>
    </row>
    <row r="15" spans="1:6">
      <c r="A15" s="1">
        <v>45748</v>
      </c>
      <c r="B15" t="s">
        <v>52</v>
      </c>
      <c r="C15" t="s">
        <v>20</v>
      </c>
      <c r="D15" t="s">
        <v>53</v>
      </c>
      <c r="E15">
        <v>126</v>
      </c>
    </row>
    <row r="16" spans="1:6">
      <c r="A16" s="1">
        <v>45749</v>
      </c>
      <c r="B16" t="s">
        <v>54</v>
      </c>
      <c r="C16" t="s">
        <v>19</v>
      </c>
      <c r="D16" t="s">
        <v>55</v>
      </c>
      <c r="E16">
        <v>36001</v>
      </c>
    </row>
    <row r="17" spans="1:5">
      <c r="A17" s="1">
        <v>45749</v>
      </c>
      <c r="B17" t="s">
        <v>56</v>
      </c>
      <c r="C17" t="s">
        <v>19</v>
      </c>
      <c r="D17" t="s">
        <v>57</v>
      </c>
      <c r="E17">
        <v>1232</v>
      </c>
    </row>
    <row r="18" spans="1:5">
      <c r="A18" s="1">
        <v>45749</v>
      </c>
      <c r="B18" t="s">
        <v>58</v>
      </c>
      <c r="C18" t="s">
        <v>19</v>
      </c>
      <c r="D18" t="s">
        <v>59</v>
      </c>
      <c r="E18">
        <v>3332</v>
      </c>
    </row>
    <row r="19" spans="1:5">
      <c r="A19" s="1">
        <v>45749</v>
      </c>
      <c r="B19" t="s">
        <v>60</v>
      </c>
      <c r="C19" t="s">
        <v>19</v>
      </c>
      <c r="D19" t="s">
        <v>61</v>
      </c>
      <c r="E19">
        <v>12524</v>
      </c>
    </row>
    <row r="20" spans="1:5">
      <c r="A20" s="1">
        <v>45749</v>
      </c>
      <c r="B20" t="s">
        <v>62</v>
      </c>
      <c r="C20" t="s">
        <v>20</v>
      </c>
      <c r="D20" t="s">
        <v>63</v>
      </c>
      <c r="E20">
        <v>9458</v>
      </c>
    </row>
    <row r="21" spans="1:5">
      <c r="A21" s="1">
        <v>45749</v>
      </c>
      <c r="B21" t="s">
        <v>64</v>
      </c>
      <c r="C21" t="s">
        <v>20</v>
      </c>
      <c r="D21" t="s">
        <v>65</v>
      </c>
      <c r="E21">
        <v>78814</v>
      </c>
    </row>
    <row r="22" spans="1:5">
      <c r="A22" s="1">
        <v>45749</v>
      </c>
      <c r="B22" t="s">
        <v>66</v>
      </c>
      <c r="C22" t="s">
        <v>20</v>
      </c>
      <c r="D22" t="s">
        <v>67</v>
      </c>
      <c r="E22">
        <v>229</v>
      </c>
    </row>
    <row r="23" spans="1:5">
      <c r="A23" s="1">
        <v>45749</v>
      </c>
      <c r="B23" t="s">
        <v>68</v>
      </c>
      <c r="C23" t="s">
        <v>20</v>
      </c>
      <c r="D23" t="s">
        <v>69</v>
      </c>
      <c r="E23">
        <v>5893</v>
      </c>
    </row>
    <row r="24" spans="1:5">
      <c r="A24" s="1">
        <v>45749</v>
      </c>
      <c r="B24" t="s">
        <v>68</v>
      </c>
      <c r="C24" t="s">
        <v>20</v>
      </c>
      <c r="D24" t="s">
        <v>70</v>
      </c>
      <c r="E24">
        <v>6830</v>
      </c>
    </row>
    <row r="25" spans="1:5">
      <c r="A25" s="1">
        <v>45749</v>
      </c>
      <c r="B25" t="s">
        <v>50</v>
      </c>
      <c r="C25" t="s">
        <v>20</v>
      </c>
      <c r="D25" t="s">
        <v>71</v>
      </c>
      <c r="E25">
        <v>70</v>
      </c>
    </row>
    <row r="26" spans="1:5">
      <c r="A26" s="1">
        <v>45749</v>
      </c>
      <c r="B26" t="s">
        <v>72</v>
      </c>
      <c r="C26" t="s">
        <v>20</v>
      </c>
      <c r="D26" t="s">
        <v>73</v>
      </c>
      <c r="E26">
        <v>7115</v>
      </c>
    </row>
    <row r="27" spans="1:5">
      <c r="A27" s="1">
        <v>45749</v>
      </c>
      <c r="B27" t="s">
        <v>74</v>
      </c>
      <c r="C27" t="s">
        <v>20</v>
      </c>
      <c r="D27" t="s">
        <v>75</v>
      </c>
      <c r="E27">
        <v>1540</v>
      </c>
    </row>
    <row r="28" spans="1:5">
      <c r="A28" s="1">
        <v>45749</v>
      </c>
      <c r="B28" t="s">
        <v>76</v>
      </c>
      <c r="C28" t="s">
        <v>20</v>
      </c>
      <c r="D28" t="s">
        <v>77</v>
      </c>
      <c r="E28">
        <v>216185</v>
      </c>
    </row>
    <row r="29" spans="1:5">
      <c r="A29" s="1">
        <v>45749</v>
      </c>
      <c r="B29" t="s">
        <v>50</v>
      </c>
      <c r="C29" t="s">
        <v>20</v>
      </c>
      <c r="D29" t="s">
        <v>78</v>
      </c>
      <c r="E29">
        <v>261</v>
      </c>
    </row>
    <row r="30" spans="1:5">
      <c r="A30" s="1">
        <v>45749</v>
      </c>
      <c r="B30" t="s">
        <v>79</v>
      </c>
      <c r="C30" t="s">
        <v>20</v>
      </c>
      <c r="D30" t="s">
        <v>80</v>
      </c>
      <c r="E30">
        <v>2694</v>
      </c>
    </row>
    <row r="31" spans="1:5">
      <c r="A31" s="1">
        <v>45749</v>
      </c>
      <c r="B31" t="s">
        <v>81</v>
      </c>
      <c r="C31" t="s">
        <v>20</v>
      </c>
      <c r="D31" t="s">
        <v>82</v>
      </c>
      <c r="E31">
        <v>225</v>
      </c>
    </row>
    <row r="32" spans="1:5">
      <c r="A32" s="1">
        <v>45749</v>
      </c>
      <c r="B32" t="s">
        <v>83</v>
      </c>
      <c r="C32" t="s">
        <v>20</v>
      </c>
      <c r="D32" t="s">
        <v>84</v>
      </c>
      <c r="E32">
        <v>1400</v>
      </c>
    </row>
    <row r="33" spans="1:5">
      <c r="A33" s="1">
        <v>45749</v>
      </c>
      <c r="B33" t="s">
        <v>85</v>
      </c>
      <c r="C33" t="s">
        <v>20</v>
      </c>
      <c r="D33" t="s">
        <v>86</v>
      </c>
      <c r="E33">
        <v>7930</v>
      </c>
    </row>
    <row r="34" spans="1:5">
      <c r="A34" s="1">
        <v>45749</v>
      </c>
      <c r="B34" t="s">
        <v>87</v>
      </c>
      <c r="C34" t="s">
        <v>20</v>
      </c>
      <c r="D34" t="s">
        <v>88</v>
      </c>
      <c r="E34">
        <v>3700</v>
      </c>
    </row>
    <row r="35" spans="1:5">
      <c r="A35" s="1">
        <v>45749</v>
      </c>
      <c r="B35" t="s">
        <v>89</v>
      </c>
      <c r="C35" t="s">
        <v>20</v>
      </c>
      <c r="D35" t="s">
        <v>90</v>
      </c>
      <c r="E35">
        <v>2040</v>
      </c>
    </row>
    <row r="36" spans="1:5">
      <c r="A36" s="1">
        <v>45749</v>
      </c>
      <c r="B36" t="s">
        <v>79</v>
      </c>
      <c r="C36" t="s">
        <v>20</v>
      </c>
      <c r="D36" t="s">
        <v>91</v>
      </c>
      <c r="E36">
        <v>1540</v>
      </c>
    </row>
    <row r="37" spans="1:5">
      <c r="A37" s="1">
        <v>45749</v>
      </c>
      <c r="B37" t="s">
        <v>92</v>
      </c>
      <c r="C37" t="s">
        <v>20</v>
      </c>
      <c r="D37" t="s">
        <v>93</v>
      </c>
      <c r="E37">
        <v>545</v>
      </c>
    </row>
    <row r="38" spans="1:5">
      <c r="A38" s="1">
        <v>45750</v>
      </c>
      <c r="B38" t="s">
        <v>94</v>
      </c>
      <c r="C38" t="s">
        <v>19</v>
      </c>
      <c r="D38" t="s">
        <v>95</v>
      </c>
      <c r="E38">
        <v>12516</v>
      </c>
    </row>
    <row r="39" spans="1:5">
      <c r="A39" s="1">
        <v>45750</v>
      </c>
      <c r="B39" t="s">
        <v>96</v>
      </c>
      <c r="C39" t="s">
        <v>19</v>
      </c>
      <c r="D39" t="s">
        <v>97</v>
      </c>
      <c r="E39">
        <v>3980</v>
      </c>
    </row>
    <row r="40" spans="1:5">
      <c r="A40" s="1">
        <v>45750</v>
      </c>
      <c r="B40" t="s">
        <v>98</v>
      </c>
      <c r="C40" t="s">
        <v>20</v>
      </c>
      <c r="D40" t="s">
        <v>99</v>
      </c>
      <c r="E40">
        <v>680</v>
      </c>
    </row>
    <row r="41" spans="1:5">
      <c r="A41" s="1">
        <v>45750</v>
      </c>
      <c r="B41" t="s">
        <v>100</v>
      </c>
      <c r="C41" t="s">
        <v>20</v>
      </c>
      <c r="D41" t="s">
        <v>101</v>
      </c>
      <c r="E41">
        <v>3388</v>
      </c>
    </row>
    <row r="42" spans="1:5">
      <c r="A42" s="1">
        <v>45750</v>
      </c>
      <c r="B42" t="s">
        <v>102</v>
      </c>
      <c r="C42" t="s">
        <v>20</v>
      </c>
      <c r="D42" t="s">
        <v>103</v>
      </c>
      <c r="E42">
        <v>3400</v>
      </c>
    </row>
    <row r="43" spans="1:5">
      <c r="A43" s="1">
        <v>45750</v>
      </c>
      <c r="B43" t="s">
        <v>62</v>
      </c>
      <c r="C43" t="s">
        <v>20</v>
      </c>
      <c r="D43" t="s">
        <v>104</v>
      </c>
      <c r="E43">
        <v>34975</v>
      </c>
    </row>
    <row r="44" spans="1:5">
      <c r="A44" s="1">
        <v>45750</v>
      </c>
      <c r="B44" t="s">
        <v>50</v>
      </c>
      <c r="C44" t="s">
        <v>20</v>
      </c>
      <c r="D44" t="s">
        <v>105</v>
      </c>
      <c r="E44">
        <v>40</v>
      </c>
    </row>
    <row r="45" spans="1:5">
      <c r="A45" s="1">
        <v>45750</v>
      </c>
      <c r="B45" t="s">
        <v>68</v>
      </c>
      <c r="C45" t="s">
        <v>20</v>
      </c>
      <c r="D45" t="s">
        <v>106</v>
      </c>
      <c r="E45">
        <v>15277</v>
      </c>
    </row>
    <row r="46" spans="1:5">
      <c r="A46" s="1">
        <v>45750</v>
      </c>
      <c r="B46" t="s">
        <v>107</v>
      </c>
      <c r="C46" t="s">
        <v>20</v>
      </c>
      <c r="D46" t="s">
        <v>108</v>
      </c>
      <c r="E46">
        <v>3868</v>
      </c>
    </row>
    <row r="47" spans="1:5">
      <c r="A47" s="1">
        <v>45750</v>
      </c>
      <c r="B47" t="s">
        <v>87</v>
      </c>
      <c r="C47" t="s">
        <v>20</v>
      </c>
      <c r="D47" t="s">
        <v>109</v>
      </c>
      <c r="E47">
        <v>1265</v>
      </c>
    </row>
    <row r="48" spans="1:5">
      <c r="A48" s="1">
        <v>45750</v>
      </c>
      <c r="B48" t="s">
        <v>110</v>
      </c>
      <c r="C48" t="s">
        <v>20</v>
      </c>
      <c r="D48" t="s">
        <v>111</v>
      </c>
      <c r="E48">
        <v>1250</v>
      </c>
    </row>
    <row r="49" spans="1:5">
      <c r="A49" s="1">
        <v>45750</v>
      </c>
      <c r="B49" t="s">
        <v>112</v>
      </c>
      <c r="C49" t="s">
        <v>20</v>
      </c>
      <c r="D49" t="s">
        <v>113</v>
      </c>
      <c r="E49">
        <v>34948</v>
      </c>
    </row>
    <row r="50" spans="1:5">
      <c r="A50" s="1">
        <v>45750</v>
      </c>
      <c r="B50" t="s">
        <v>50</v>
      </c>
      <c r="C50" t="s">
        <v>20</v>
      </c>
      <c r="D50" t="s">
        <v>114</v>
      </c>
      <c r="E50">
        <v>12</v>
      </c>
    </row>
    <row r="51" spans="1:5">
      <c r="A51" s="1">
        <v>45750</v>
      </c>
      <c r="B51" t="s">
        <v>115</v>
      </c>
      <c r="C51" t="s">
        <v>20</v>
      </c>
      <c r="D51" t="s">
        <v>116</v>
      </c>
      <c r="E51">
        <v>4937</v>
      </c>
    </row>
    <row r="52" spans="1:5">
      <c r="A52" s="1">
        <v>45750</v>
      </c>
      <c r="B52" t="s">
        <v>117</v>
      </c>
      <c r="C52" t="s">
        <v>20</v>
      </c>
      <c r="D52" t="s">
        <v>118</v>
      </c>
      <c r="E52">
        <v>10090</v>
      </c>
    </row>
    <row r="53" spans="1:5">
      <c r="A53" s="1">
        <v>45750</v>
      </c>
      <c r="B53" t="s">
        <v>68</v>
      </c>
      <c r="C53" t="s">
        <v>20</v>
      </c>
      <c r="D53" t="s">
        <v>119</v>
      </c>
      <c r="E53">
        <v>2037</v>
      </c>
    </row>
    <row r="54" spans="1:5">
      <c r="A54" s="1">
        <v>45751</v>
      </c>
      <c r="B54" t="s">
        <v>120</v>
      </c>
      <c r="C54" t="s">
        <v>19</v>
      </c>
      <c r="D54" t="s">
        <v>121</v>
      </c>
      <c r="E54">
        <v>1947</v>
      </c>
    </row>
    <row r="55" spans="1:5">
      <c r="A55" s="1">
        <v>45751</v>
      </c>
      <c r="B55" t="s">
        <v>122</v>
      </c>
      <c r="C55" t="s">
        <v>20</v>
      </c>
      <c r="D55" t="s">
        <v>123</v>
      </c>
      <c r="E55">
        <v>3148</v>
      </c>
    </row>
    <row r="56" spans="1:5">
      <c r="A56" s="1">
        <v>45751</v>
      </c>
      <c r="B56" t="s">
        <v>124</v>
      </c>
      <c r="C56" t="s">
        <v>20</v>
      </c>
      <c r="D56" t="s">
        <v>125</v>
      </c>
      <c r="E56">
        <v>12846</v>
      </c>
    </row>
    <row r="57" spans="1:5">
      <c r="A57" s="1">
        <v>45751</v>
      </c>
      <c r="B57" t="s">
        <v>76</v>
      </c>
      <c r="C57" t="s">
        <v>20</v>
      </c>
      <c r="D57" t="s">
        <v>126</v>
      </c>
      <c r="E57">
        <v>450</v>
      </c>
    </row>
    <row r="58" spans="1:5">
      <c r="A58" s="1">
        <v>45751</v>
      </c>
      <c r="B58" t="s">
        <v>127</v>
      </c>
      <c r="C58" t="s">
        <v>20</v>
      </c>
      <c r="D58" t="s">
        <v>128</v>
      </c>
      <c r="E58">
        <v>450</v>
      </c>
    </row>
    <row r="59" spans="1:5">
      <c r="A59" s="1">
        <v>45751</v>
      </c>
      <c r="B59" t="s">
        <v>129</v>
      </c>
      <c r="C59" t="s">
        <v>20</v>
      </c>
      <c r="D59" t="s">
        <v>130</v>
      </c>
      <c r="E59">
        <v>4400</v>
      </c>
    </row>
    <row r="60" spans="1:5">
      <c r="A60" s="1">
        <v>45751</v>
      </c>
      <c r="B60" t="s">
        <v>131</v>
      </c>
      <c r="C60" t="s">
        <v>20</v>
      </c>
      <c r="D60" t="s">
        <v>132</v>
      </c>
      <c r="E60">
        <v>7320</v>
      </c>
    </row>
    <row r="61" spans="1:5">
      <c r="A61" s="1">
        <v>45751</v>
      </c>
      <c r="B61" t="s">
        <v>122</v>
      </c>
      <c r="C61" t="s">
        <v>20</v>
      </c>
      <c r="D61" t="s">
        <v>133</v>
      </c>
      <c r="E61">
        <v>3400</v>
      </c>
    </row>
    <row r="62" spans="1:5">
      <c r="A62" s="1">
        <v>45751</v>
      </c>
      <c r="B62" t="s">
        <v>83</v>
      </c>
      <c r="C62" t="s">
        <v>20</v>
      </c>
      <c r="D62" t="s">
        <v>134</v>
      </c>
      <c r="E62">
        <v>85</v>
      </c>
    </row>
    <row r="63" spans="1:5">
      <c r="A63" s="1">
        <v>45751</v>
      </c>
      <c r="B63" t="s">
        <v>135</v>
      </c>
      <c r="C63" t="s">
        <v>20</v>
      </c>
      <c r="D63" t="s">
        <v>136</v>
      </c>
      <c r="E63">
        <v>617</v>
      </c>
    </row>
    <row r="64" spans="1:5">
      <c r="A64" s="1">
        <v>45751</v>
      </c>
      <c r="B64" t="s">
        <v>137</v>
      </c>
      <c r="C64" t="s">
        <v>20</v>
      </c>
      <c r="D64" t="s">
        <v>138</v>
      </c>
      <c r="E64">
        <v>31</v>
      </c>
    </row>
    <row r="65" spans="1:5">
      <c r="A65" s="1">
        <v>45751</v>
      </c>
      <c r="B65" t="s">
        <v>62</v>
      </c>
      <c r="C65" t="s">
        <v>20</v>
      </c>
      <c r="D65" t="s">
        <v>139</v>
      </c>
      <c r="E65">
        <v>8500</v>
      </c>
    </row>
    <row r="66" spans="1:5">
      <c r="A66" s="1">
        <v>45751</v>
      </c>
      <c r="B66" t="s">
        <v>135</v>
      </c>
      <c r="C66" t="s">
        <v>20</v>
      </c>
      <c r="D66" t="s">
        <v>140</v>
      </c>
      <c r="E66">
        <v>1323</v>
      </c>
    </row>
    <row r="67" spans="1:5">
      <c r="A67" s="1">
        <v>45751</v>
      </c>
      <c r="B67" t="s">
        <v>141</v>
      </c>
      <c r="C67" t="s">
        <v>20</v>
      </c>
      <c r="D67" t="s">
        <v>142</v>
      </c>
      <c r="E67">
        <v>600</v>
      </c>
    </row>
    <row r="68" spans="1:5">
      <c r="A68" s="1">
        <v>45751</v>
      </c>
      <c r="B68" t="s">
        <v>143</v>
      </c>
      <c r="C68" t="s">
        <v>20</v>
      </c>
      <c r="D68" t="s">
        <v>144</v>
      </c>
      <c r="E68">
        <v>45620</v>
      </c>
    </row>
    <row r="69" spans="1:5">
      <c r="A69" s="1">
        <v>45752</v>
      </c>
      <c r="B69" t="s">
        <v>145</v>
      </c>
      <c r="C69" t="s">
        <v>19</v>
      </c>
      <c r="D69" t="s">
        <v>146</v>
      </c>
      <c r="E69">
        <v>6365</v>
      </c>
    </row>
    <row r="70" spans="1:5">
      <c r="A70" s="1">
        <v>45752</v>
      </c>
      <c r="B70" t="s">
        <v>147</v>
      </c>
      <c r="C70" t="s">
        <v>19</v>
      </c>
      <c r="D70" t="s">
        <v>148</v>
      </c>
      <c r="E70">
        <v>25472</v>
      </c>
    </row>
    <row r="71" spans="1:5">
      <c r="A71" s="1">
        <v>45752</v>
      </c>
      <c r="B71" t="s">
        <v>147</v>
      </c>
      <c r="C71" t="s">
        <v>19</v>
      </c>
      <c r="D71" t="s">
        <v>149</v>
      </c>
      <c r="E71">
        <v>4662</v>
      </c>
    </row>
    <row r="72" spans="1:5">
      <c r="A72" s="1">
        <v>45752</v>
      </c>
      <c r="B72" t="s">
        <v>107</v>
      </c>
      <c r="C72" t="s">
        <v>20</v>
      </c>
      <c r="D72" t="s">
        <v>150</v>
      </c>
      <c r="E72">
        <v>5450</v>
      </c>
    </row>
    <row r="73" spans="1:5">
      <c r="A73" s="1">
        <v>45752</v>
      </c>
      <c r="B73" t="s">
        <v>151</v>
      </c>
      <c r="C73" t="s">
        <v>20</v>
      </c>
      <c r="D73" t="s">
        <v>152</v>
      </c>
      <c r="E73">
        <v>1936</v>
      </c>
    </row>
    <row r="74" spans="1:5">
      <c r="A74" s="1">
        <v>45752</v>
      </c>
      <c r="B74" t="s">
        <v>48</v>
      </c>
      <c r="C74" t="s">
        <v>20</v>
      </c>
      <c r="D74" t="s">
        <v>153</v>
      </c>
      <c r="E74">
        <v>5427</v>
      </c>
    </row>
    <row r="75" spans="1:5">
      <c r="A75" s="1">
        <v>45752</v>
      </c>
      <c r="B75" t="s">
        <v>154</v>
      </c>
      <c r="C75" t="s">
        <v>20</v>
      </c>
      <c r="D75" t="s">
        <v>155</v>
      </c>
      <c r="E75">
        <v>4140</v>
      </c>
    </row>
    <row r="76" spans="1:5">
      <c r="A76" s="1">
        <v>45752</v>
      </c>
      <c r="B76" t="s">
        <v>156</v>
      </c>
      <c r="C76" t="s">
        <v>20</v>
      </c>
      <c r="D76" t="s">
        <v>157</v>
      </c>
      <c r="E76">
        <v>2470</v>
      </c>
    </row>
    <row r="77" spans="1:5">
      <c r="A77" s="1">
        <v>45752</v>
      </c>
      <c r="B77" t="s">
        <v>158</v>
      </c>
      <c r="C77" t="s">
        <v>20</v>
      </c>
      <c r="D77" t="s">
        <v>159</v>
      </c>
      <c r="E77">
        <v>15307</v>
      </c>
    </row>
    <row r="78" spans="1:5">
      <c r="A78" s="1">
        <v>45752</v>
      </c>
      <c r="B78" t="s">
        <v>76</v>
      </c>
      <c r="C78" t="s">
        <v>20</v>
      </c>
      <c r="D78" t="s">
        <v>160</v>
      </c>
      <c r="E78">
        <v>3788</v>
      </c>
    </row>
    <row r="79" spans="1:5">
      <c r="A79" s="1">
        <v>45752</v>
      </c>
      <c r="B79" t="s">
        <v>33</v>
      </c>
      <c r="C79" t="s">
        <v>20</v>
      </c>
      <c r="D79" t="s">
        <v>161</v>
      </c>
      <c r="E79">
        <v>680</v>
      </c>
    </row>
    <row r="80" spans="1:5">
      <c r="A80" s="1">
        <v>45752</v>
      </c>
      <c r="B80" t="s">
        <v>50</v>
      </c>
      <c r="C80" t="s">
        <v>20</v>
      </c>
      <c r="D80" t="s">
        <v>162</v>
      </c>
      <c r="E80">
        <v>12</v>
      </c>
    </row>
    <row r="81" spans="1:5">
      <c r="A81" s="1">
        <v>45752</v>
      </c>
      <c r="B81" t="s">
        <v>163</v>
      </c>
      <c r="C81" t="s">
        <v>20</v>
      </c>
      <c r="D81" t="s">
        <v>164</v>
      </c>
      <c r="E81">
        <v>9000</v>
      </c>
    </row>
    <row r="82" spans="1:5">
      <c r="A82" s="1">
        <v>45752</v>
      </c>
      <c r="B82" t="s">
        <v>33</v>
      </c>
      <c r="C82" t="s">
        <v>20</v>
      </c>
      <c r="D82" t="s">
        <v>165</v>
      </c>
      <c r="E82">
        <v>680</v>
      </c>
    </row>
    <row r="83" spans="1:5">
      <c r="A83" s="1">
        <v>45752</v>
      </c>
      <c r="B83" t="s">
        <v>29</v>
      </c>
      <c r="C83" t="s">
        <v>20</v>
      </c>
      <c r="D83" t="s">
        <v>166</v>
      </c>
      <c r="E83">
        <v>1700</v>
      </c>
    </row>
    <row r="84" spans="1:5">
      <c r="A84" s="1">
        <v>45752</v>
      </c>
      <c r="B84" t="s">
        <v>50</v>
      </c>
      <c r="C84" t="s">
        <v>20</v>
      </c>
      <c r="D84" t="s">
        <v>167</v>
      </c>
      <c r="E84">
        <v>350</v>
      </c>
    </row>
    <row r="85" spans="1:5">
      <c r="A85" s="1">
        <v>45752</v>
      </c>
      <c r="B85" t="s">
        <v>168</v>
      </c>
      <c r="C85" t="s">
        <v>20</v>
      </c>
      <c r="D85" t="s">
        <v>169</v>
      </c>
      <c r="E85">
        <v>340</v>
      </c>
    </row>
    <row r="86" spans="1:5">
      <c r="A86" s="1">
        <v>45752</v>
      </c>
      <c r="B86" t="s">
        <v>170</v>
      </c>
      <c r="C86" t="s">
        <v>20</v>
      </c>
      <c r="D86" t="s">
        <v>171</v>
      </c>
      <c r="E86">
        <v>225</v>
      </c>
    </row>
    <row r="87" spans="1:5">
      <c r="A87" s="1">
        <v>45752</v>
      </c>
      <c r="B87" t="s">
        <v>172</v>
      </c>
      <c r="C87" t="s">
        <v>20</v>
      </c>
      <c r="D87" t="s">
        <v>173</v>
      </c>
      <c r="E87">
        <v>32120</v>
      </c>
    </row>
    <row r="88" spans="1:5">
      <c r="A88" s="1">
        <v>45752</v>
      </c>
      <c r="B88" t="s">
        <v>174</v>
      </c>
      <c r="C88" t="s">
        <v>20</v>
      </c>
      <c r="D88" t="s">
        <v>175</v>
      </c>
      <c r="E88">
        <v>680</v>
      </c>
    </row>
    <row r="89" spans="1:5">
      <c r="A89" s="1">
        <v>45754</v>
      </c>
      <c r="B89" t="s">
        <v>176</v>
      </c>
      <c r="C89" t="s">
        <v>19</v>
      </c>
      <c r="D89" t="s">
        <v>177</v>
      </c>
      <c r="E89">
        <v>19803</v>
      </c>
    </row>
    <row r="90" spans="1:5">
      <c r="A90" s="1">
        <v>45754</v>
      </c>
      <c r="B90" t="s">
        <v>178</v>
      </c>
      <c r="C90" t="s">
        <v>19</v>
      </c>
      <c r="D90" t="s">
        <v>179</v>
      </c>
      <c r="E90">
        <v>290</v>
      </c>
    </row>
    <row r="91" spans="1:5">
      <c r="A91" s="1">
        <v>45754</v>
      </c>
      <c r="B91" t="s">
        <v>180</v>
      </c>
      <c r="C91" t="s">
        <v>19</v>
      </c>
      <c r="D91" t="s">
        <v>181</v>
      </c>
      <c r="E91">
        <v>1533</v>
      </c>
    </row>
    <row r="92" spans="1:5">
      <c r="A92" s="1">
        <v>45754</v>
      </c>
      <c r="B92" t="s">
        <v>182</v>
      </c>
      <c r="C92" t="s">
        <v>19</v>
      </c>
      <c r="D92" t="s">
        <v>183</v>
      </c>
      <c r="E92">
        <v>25070</v>
      </c>
    </row>
    <row r="93" spans="1:5">
      <c r="A93" s="1">
        <v>45754</v>
      </c>
      <c r="B93" t="s">
        <v>184</v>
      </c>
      <c r="C93" t="s">
        <v>20</v>
      </c>
      <c r="D93" t="s">
        <v>185</v>
      </c>
      <c r="E93">
        <v>340</v>
      </c>
    </row>
    <row r="94" spans="1:5">
      <c r="A94" s="1">
        <v>45754</v>
      </c>
      <c r="B94" t="s">
        <v>50</v>
      </c>
      <c r="C94" t="s">
        <v>20</v>
      </c>
      <c r="D94" t="s">
        <v>186</v>
      </c>
      <c r="E94">
        <v>12</v>
      </c>
    </row>
    <row r="95" spans="1:5">
      <c r="A95" s="1">
        <v>45754</v>
      </c>
      <c r="B95" t="s">
        <v>68</v>
      </c>
      <c r="C95" t="s">
        <v>20</v>
      </c>
      <c r="D95" t="s">
        <v>187</v>
      </c>
      <c r="E95">
        <v>27644</v>
      </c>
    </row>
    <row r="96" spans="1:5">
      <c r="A96" s="1">
        <v>45754</v>
      </c>
      <c r="B96" t="s">
        <v>188</v>
      </c>
      <c r="C96" t="s">
        <v>20</v>
      </c>
      <c r="D96" t="s">
        <v>189</v>
      </c>
      <c r="E96">
        <v>2465</v>
      </c>
    </row>
    <row r="97" spans="1:5">
      <c r="A97" s="1">
        <v>45754</v>
      </c>
      <c r="B97" t="s">
        <v>92</v>
      </c>
      <c r="C97" t="s">
        <v>20</v>
      </c>
      <c r="D97" t="s">
        <v>190</v>
      </c>
      <c r="E97">
        <v>100</v>
      </c>
    </row>
    <row r="98" spans="1:5">
      <c r="A98" s="1">
        <v>45754</v>
      </c>
      <c r="B98" t="s">
        <v>191</v>
      </c>
      <c r="C98" t="s">
        <v>20</v>
      </c>
      <c r="D98" t="s">
        <v>192</v>
      </c>
      <c r="E98">
        <v>780</v>
      </c>
    </row>
    <row r="99" spans="1:5">
      <c r="A99" s="1">
        <v>45754</v>
      </c>
      <c r="B99" t="s">
        <v>193</v>
      </c>
      <c r="C99" t="s">
        <v>20</v>
      </c>
      <c r="D99" t="s">
        <v>194</v>
      </c>
      <c r="E99">
        <v>4320</v>
      </c>
    </row>
    <row r="100" spans="1:5">
      <c r="A100" s="1">
        <v>45754</v>
      </c>
      <c r="B100" t="s">
        <v>195</v>
      </c>
      <c r="C100" t="s">
        <v>20</v>
      </c>
      <c r="D100" t="s">
        <v>196</v>
      </c>
      <c r="E100">
        <v>114675</v>
      </c>
    </row>
    <row r="101" spans="1:5">
      <c r="A101" s="1">
        <v>45754</v>
      </c>
      <c r="B101" t="s">
        <v>197</v>
      </c>
      <c r="C101" t="s">
        <v>20</v>
      </c>
      <c r="D101" t="s">
        <v>198</v>
      </c>
      <c r="E101">
        <v>2380</v>
      </c>
    </row>
    <row r="102" spans="1:5">
      <c r="A102" s="1">
        <v>45754</v>
      </c>
      <c r="B102" t="s">
        <v>62</v>
      </c>
      <c r="C102" t="s">
        <v>20</v>
      </c>
      <c r="D102" t="s">
        <v>199</v>
      </c>
      <c r="E102">
        <v>455</v>
      </c>
    </row>
    <row r="103" spans="1:5">
      <c r="A103" s="1">
        <v>45754</v>
      </c>
      <c r="B103" t="s">
        <v>200</v>
      </c>
      <c r="C103" t="s">
        <v>20</v>
      </c>
      <c r="D103" t="s">
        <v>201</v>
      </c>
      <c r="E103">
        <v>2040</v>
      </c>
    </row>
    <row r="104" spans="1:5">
      <c r="A104" s="1">
        <v>45754</v>
      </c>
      <c r="B104" t="s">
        <v>117</v>
      </c>
      <c r="C104" t="s">
        <v>20</v>
      </c>
      <c r="D104" t="s">
        <v>202</v>
      </c>
      <c r="E104">
        <v>7415</v>
      </c>
    </row>
    <row r="105" spans="1:5">
      <c r="A105" s="1">
        <v>45754</v>
      </c>
      <c r="B105" t="s">
        <v>203</v>
      </c>
      <c r="C105" t="s">
        <v>20</v>
      </c>
      <c r="D105" t="s">
        <v>204</v>
      </c>
      <c r="E105">
        <v>6010</v>
      </c>
    </row>
    <row r="106" spans="1:5">
      <c r="A106" s="1">
        <v>45754</v>
      </c>
      <c r="B106" t="s">
        <v>205</v>
      </c>
      <c r="C106" t="s">
        <v>20</v>
      </c>
      <c r="D106" t="s">
        <v>206</v>
      </c>
      <c r="E106">
        <v>20855</v>
      </c>
    </row>
    <row r="107" spans="1:5">
      <c r="A107" s="1">
        <v>45754</v>
      </c>
      <c r="B107" t="s">
        <v>50</v>
      </c>
      <c r="C107" t="s">
        <v>20</v>
      </c>
      <c r="D107" t="s">
        <v>207</v>
      </c>
      <c r="E107">
        <v>4587</v>
      </c>
    </row>
    <row r="108" spans="1:5">
      <c r="A108" s="1">
        <v>45754</v>
      </c>
      <c r="B108" t="s">
        <v>43</v>
      </c>
      <c r="C108" t="s">
        <v>20</v>
      </c>
      <c r="D108" t="s">
        <v>208</v>
      </c>
      <c r="E108">
        <v>14776</v>
      </c>
    </row>
    <row r="109" spans="1:5">
      <c r="A109" s="1">
        <v>45754</v>
      </c>
      <c r="B109" t="s">
        <v>50</v>
      </c>
      <c r="C109" t="s">
        <v>20</v>
      </c>
      <c r="D109" t="s">
        <v>209</v>
      </c>
      <c r="E109">
        <v>14150</v>
      </c>
    </row>
    <row r="110" spans="1:5">
      <c r="A110" s="1">
        <v>45754</v>
      </c>
      <c r="B110" t="s">
        <v>154</v>
      </c>
      <c r="C110" t="s">
        <v>20</v>
      </c>
      <c r="D110" t="s">
        <v>210</v>
      </c>
      <c r="E110">
        <v>300</v>
      </c>
    </row>
    <row r="111" spans="1:5">
      <c r="A111" s="1">
        <v>45754</v>
      </c>
      <c r="B111" t="s">
        <v>50</v>
      </c>
      <c r="C111" t="s">
        <v>20</v>
      </c>
      <c r="D111" t="s">
        <v>211</v>
      </c>
      <c r="E111">
        <v>340</v>
      </c>
    </row>
    <row r="112" spans="1:5">
      <c r="A112" s="1">
        <v>45754</v>
      </c>
      <c r="B112" t="s">
        <v>212</v>
      </c>
      <c r="C112" t="s">
        <v>20</v>
      </c>
      <c r="D112" t="s">
        <v>213</v>
      </c>
      <c r="E112">
        <v>15822</v>
      </c>
    </row>
    <row r="113" spans="1:5">
      <c r="A113" s="1">
        <v>45754</v>
      </c>
      <c r="B113" t="s">
        <v>214</v>
      </c>
      <c r="C113" t="s">
        <v>20</v>
      </c>
      <c r="D113" t="s">
        <v>215</v>
      </c>
      <c r="E113">
        <v>21328</v>
      </c>
    </row>
    <row r="114" spans="1:5">
      <c r="A114" s="1">
        <v>45755</v>
      </c>
      <c r="B114" t="s">
        <v>216</v>
      </c>
      <c r="C114" t="s">
        <v>19</v>
      </c>
      <c r="D114" t="s">
        <v>217</v>
      </c>
      <c r="E114">
        <v>1253</v>
      </c>
    </row>
    <row r="115" spans="1:5">
      <c r="A115" s="1">
        <v>45755</v>
      </c>
      <c r="B115" t="s">
        <v>56</v>
      </c>
      <c r="C115" t="s">
        <v>19</v>
      </c>
      <c r="D115" t="s">
        <v>218</v>
      </c>
      <c r="E115">
        <v>43610</v>
      </c>
    </row>
    <row r="116" spans="1:5">
      <c r="A116" s="1">
        <v>45755</v>
      </c>
      <c r="B116" t="s">
        <v>147</v>
      </c>
      <c r="C116" t="s">
        <v>19</v>
      </c>
      <c r="D116" t="s">
        <v>219</v>
      </c>
      <c r="E116">
        <v>2221</v>
      </c>
    </row>
    <row r="117" spans="1:5">
      <c r="A117" s="1">
        <v>45755</v>
      </c>
      <c r="B117" t="s">
        <v>220</v>
      </c>
      <c r="C117" t="s">
        <v>20</v>
      </c>
      <c r="D117" t="s">
        <v>221</v>
      </c>
      <c r="E117">
        <v>4993</v>
      </c>
    </row>
    <row r="118" spans="1:5">
      <c r="A118" s="1">
        <v>45755</v>
      </c>
      <c r="B118" t="s">
        <v>222</v>
      </c>
      <c r="C118" t="s">
        <v>20</v>
      </c>
      <c r="D118" t="s">
        <v>223</v>
      </c>
      <c r="E118">
        <v>330</v>
      </c>
    </row>
    <row r="119" spans="1:5">
      <c r="A119" s="1">
        <v>45755</v>
      </c>
      <c r="B119" t="s">
        <v>224</v>
      </c>
      <c r="C119" t="s">
        <v>20</v>
      </c>
      <c r="D119" t="s">
        <v>225</v>
      </c>
      <c r="E119">
        <v>154</v>
      </c>
    </row>
    <row r="120" spans="1:5">
      <c r="A120" s="1">
        <v>45755</v>
      </c>
      <c r="B120" t="s">
        <v>68</v>
      </c>
      <c r="C120" t="s">
        <v>20</v>
      </c>
      <c r="D120" t="s">
        <v>226</v>
      </c>
      <c r="E120">
        <v>4990</v>
      </c>
    </row>
    <row r="121" spans="1:5">
      <c r="A121" s="1">
        <v>45755</v>
      </c>
      <c r="B121" t="s">
        <v>43</v>
      </c>
      <c r="C121" t="s">
        <v>20</v>
      </c>
      <c r="D121" t="s">
        <v>227</v>
      </c>
      <c r="E121">
        <v>560</v>
      </c>
    </row>
    <row r="122" spans="1:5">
      <c r="A122" s="1">
        <v>45755</v>
      </c>
      <c r="B122" t="s">
        <v>228</v>
      </c>
      <c r="C122" t="s">
        <v>20</v>
      </c>
      <c r="D122" t="s">
        <v>229</v>
      </c>
      <c r="E122">
        <v>12790</v>
      </c>
    </row>
    <row r="123" spans="1:5">
      <c r="A123" s="1">
        <v>45755</v>
      </c>
      <c r="B123" t="s">
        <v>62</v>
      </c>
      <c r="C123" t="s">
        <v>20</v>
      </c>
      <c r="D123" t="s">
        <v>230</v>
      </c>
      <c r="E123">
        <v>6516</v>
      </c>
    </row>
    <row r="124" spans="1:5">
      <c r="A124" s="1">
        <v>45755</v>
      </c>
      <c r="B124" t="s">
        <v>231</v>
      </c>
      <c r="C124" t="s">
        <v>20</v>
      </c>
      <c r="D124" t="s">
        <v>232</v>
      </c>
      <c r="E124">
        <v>324</v>
      </c>
    </row>
    <row r="125" spans="1:5">
      <c r="A125" s="1">
        <v>45755</v>
      </c>
      <c r="B125" t="s">
        <v>172</v>
      </c>
      <c r="C125" t="s">
        <v>20</v>
      </c>
      <c r="D125" t="s">
        <v>233</v>
      </c>
      <c r="E125">
        <v>10124</v>
      </c>
    </row>
    <row r="126" spans="1:5">
      <c r="A126" s="1">
        <v>45755</v>
      </c>
      <c r="B126" t="s">
        <v>100</v>
      </c>
      <c r="C126" t="s">
        <v>20</v>
      </c>
      <c r="D126" t="s">
        <v>234</v>
      </c>
      <c r="E126">
        <v>842</v>
      </c>
    </row>
    <row r="127" spans="1:5">
      <c r="A127" s="1">
        <v>45755</v>
      </c>
      <c r="B127" t="s">
        <v>107</v>
      </c>
      <c r="C127" t="s">
        <v>20</v>
      </c>
      <c r="D127" t="s">
        <v>235</v>
      </c>
      <c r="E127">
        <v>690</v>
      </c>
    </row>
    <row r="128" spans="1:5">
      <c r="A128" s="1">
        <v>45755</v>
      </c>
      <c r="B128" t="s">
        <v>236</v>
      </c>
      <c r="C128" t="s">
        <v>20</v>
      </c>
      <c r="D128" t="s">
        <v>237</v>
      </c>
      <c r="E128">
        <v>1146</v>
      </c>
    </row>
    <row r="129" spans="1:5">
      <c r="A129" s="1">
        <v>45755</v>
      </c>
      <c r="B129" t="s">
        <v>50</v>
      </c>
      <c r="C129" t="s">
        <v>20</v>
      </c>
      <c r="D129" t="s">
        <v>238</v>
      </c>
      <c r="E129">
        <v>1360</v>
      </c>
    </row>
    <row r="130" spans="1:5">
      <c r="A130" s="1">
        <v>45755</v>
      </c>
      <c r="B130" t="s">
        <v>239</v>
      </c>
      <c r="C130" t="s">
        <v>20</v>
      </c>
      <c r="D130" t="s">
        <v>240</v>
      </c>
      <c r="E130">
        <v>290</v>
      </c>
    </row>
    <row r="131" spans="1:5">
      <c r="A131" s="1">
        <v>45755</v>
      </c>
      <c r="B131" t="s">
        <v>241</v>
      </c>
      <c r="C131" t="s">
        <v>20</v>
      </c>
      <c r="D131" t="s">
        <v>242</v>
      </c>
      <c r="E131">
        <v>340</v>
      </c>
    </row>
    <row r="132" spans="1:5">
      <c r="A132" s="1">
        <v>45755</v>
      </c>
      <c r="B132" t="s">
        <v>79</v>
      </c>
      <c r="C132" t="s">
        <v>20</v>
      </c>
      <c r="D132" t="s">
        <v>243</v>
      </c>
      <c r="E132">
        <v>460</v>
      </c>
    </row>
    <row r="133" spans="1:5">
      <c r="A133" s="1">
        <v>45756</v>
      </c>
      <c r="B133" t="s">
        <v>244</v>
      </c>
      <c r="C133" t="s">
        <v>19</v>
      </c>
      <c r="D133" t="s">
        <v>245</v>
      </c>
      <c r="E133">
        <v>23790</v>
      </c>
    </row>
    <row r="134" spans="1:5">
      <c r="A134" s="1">
        <v>45756</v>
      </c>
      <c r="B134" t="s">
        <v>246</v>
      </c>
      <c r="C134" t="s">
        <v>19</v>
      </c>
      <c r="D134" t="s">
        <v>247</v>
      </c>
      <c r="E134">
        <v>2630</v>
      </c>
    </row>
    <row r="135" spans="1:5">
      <c r="A135" s="1">
        <v>45756</v>
      </c>
      <c r="B135" t="s">
        <v>58</v>
      </c>
      <c r="C135" t="s">
        <v>19</v>
      </c>
      <c r="D135" t="s">
        <v>248</v>
      </c>
      <c r="E135">
        <v>1124</v>
      </c>
    </row>
    <row r="136" spans="1:5">
      <c r="A136" s="1">
        <v>45756</v>
      </c>
      <c r="B136" t="s">
        <v>94</v>
      </c>
      <c r="C136" t="s">
        <v>19</v>
      </c>
      <c r="D136" t="s">
        <v>249</v>
      </c>
      <c r="E136">
        <v>3248</v>
      </c>
    </row>
    <row r="137" spans="1:5">
      <c r="A137" s="1">
        <v>45756</v>
      </c>
      <c r="B137" t="s">
        <v>68</v>
      </c>
      <c r="C137" t="s">
        <v>20</v>
      </c>
      <c r="D137" t="s">
        <v>250</v>
      </c>
      <c r="E137">
        <v>29462</v>
      </c>
    </row>
    <row r="138" spans="1:5">
      <c r="A138" s="1">
        <v>45756</v>
      </c>
      <c r="B138" t="s">
        <v>68</v>
      </c>
      <c r="C138" t="s">
        <v>20</v>
      </c>
      <c r="D138" t="s">
        <v>251</v>
      </c>
      <c r="E138">
        <v>16673</v>
      </c>
    </row>
    <row r="139" spans="1:5">
      <c r="A139" s="1">
        <v>45756</v>
      </c>
      <c r="B139" t="s">
        <v>252</v>
      </c>
      <c r="C139" t="s">
        <v>20</v>
      </c>
      <c r="D139" t="s">
        <v>253</v>
      </c>
      <c r="E139">
        <v>16960</v>
      </c>
    </row>
    <row r="140" spans="1:5">
      <c r="A140" s="1">
        <v>45756</v>
      </c>
      <c r="B140" t="s">
        <v>254</v>
      </c>
      <c r="C140" t="s">
        <v>20</v>
      </c>
      <c r="D140" t="s">
        <v>255</v>
      </c>
      <c r="E140">
        <v>680</v>
      </c>
    </row>
    <row r="141" spans="1:5">
      <c r="A141" s="1">
        <v>45756</v>
      </c>
      <c r="B141" t="s">
        <v>50</v>
      </c>
      <c r="C141" t="s">
        <v>20</v>
      </c>
      <c r="D141" t="s">
        <v>256</v>
      </c>
      <c r="E141">
        <v>1757</v>
      </c>
    </row>
    <row r="142" spans="1:5">
      <c r="A142" s="1">
        <v>45756</v>
      </c>
      <c r="B142" t="s">
        <v>191</v>
      </c>
      <c r="C142" t="s">
        <v>20</v>
      </c>
      <c r="D142" t="s">
        <v>257</v>
      </c>
      <c r="E142">
        <v>340</v>
      </c>
    </row>
    <row r="143" spans="1:5">
      <c r="A143" s="1">
        <v>45756</v>
      </c>
      <c r="B143" t="s">
        <v>68</v>
      </c>
      <c r="C143" t="s">
        <v>20</v>
      </c>
      <c r="D143" t="s">
        <v>258</v>
      </c>
      <c r="E143">
        <v>135</v>
      </c>
    </row>
    <row r="144" spans="1:5">
      <c r="A144" s="1">
        <v>45756</v>
      </c>
      <c r="B144" t="s">
        <v>197</v>
      </c>
      <c r="C144" t="s">
        <v>20</v>
      </c>
      <c r="D144" t="s">
        <v>259</v>
      </c>
      <c r="E144">
        <v>1020</v>
      </c>
    </row>
    <row r="145" spans="1:5">
      <c r="A145" s="1">
        <v>45756</v>
      </c>
      <c r="B145" t="s">
        <v>260</v>
      </c>
      <c r="C145" t="s">
        <v>20</v>
      </c>
      <c r="D145" t="s">
        <v>261</v>
      </c>
      <c r="E145">
        <v>15480</v>
      </c>
    </row>
    <row r="146" spans="1:5">
      <c r="A146" s="1">
        <v>45756</v>
      </c>
      <c r="B146" t="s">
        <v>76</v>
      </c>
      <c r="C146" t="s">
        <v>20</v>
      </c>
      <c r="D146" t="s">
        <v>262</v>
      </c>
      <c r="E146">
        <v>4590</v>
      </c>
    </row>
    <row r="147" spans="1:5">
      <c r="A147" s="1">
        <v>45756</v>
      </c>
      <c r="B147" t="s">
        <v>172</v>
      </c>
      <c r="C147" t="s">
        <v>20</v>
      </c>
      <c r="D147" t="s">
        <v>263</v>
      </c>
      <c r="E147">
        <v>523</v>
      </c>
    </row>
    <row r="148" spans="1:5">
      <c r="A148" s="1">
        <v>45756</v>
      </c>
      <c r="B148" t="s">
        <v>50</v>
      </c>
      <c r="C148" t="s">
        <v>20</v>
      </c>
      <c r="D148" t="s">
        <v>264</v>
      </c>
      <c r="E148">
        <v>783</v>
      </c>
    </row>
    <row r="149" spans="1:5">
      <c r="A149" s="1">
        <v>45756</v>
      </c>
      <c r="B149" t="s">
        <v>265</v>
      </c>
      <c r="C149" t="s">
        <v>20</v>
      </c>
      <c r="D149" t="s">
        <v>266</v>
      </c>
      <c r="E149">
        <v>18250</v>
      </c>
    </row>
    <row r="150" spans="1:5">
      <c r="A150" s="1">
        <v>45756</v>
      </c>
      <c r="B150" t="s">
        <v>100</v>
      </c>
      <c r="C150" t="s">
        <v>20</v>
      </c>
      <c r="D150" t="s">
        <v>267</v>
      </c>
      <c r="E150">
        <v>485</v>
      </c>
    </row>
    <row r="151" spans="1:5">
      <c r="A151" s="1">
        <v>45756</v>
      </c>
      <c r="B151" t="s">
        <v>62</v>
      </c>
      <c r="C151" t="s">
        <v>20</v>
      </c>
      <c r="D151" t="s">
        <v>268</v>
      </c>
      <c r="E151">
        <v>185</v>
      </c>
    </row>
    <row r="152" spans="1:5">
      <c r="A152" s="1">
        <v>45756</v>
      </c>
      <c r="B152" t="s">
        <v>33</v>
      </c>
      <c r="C152" t="s">
        <v>20</v>
      </c>
      <c r="D152" t="s">
        <v>269</v>
      </c>
      <c r="E152">
        <v>680</v>
      </c>
    </row>
    <row r="153" spans="1:5">
      <c r="A153" s="1">
        <v>45756</v>
      </c>
      <c r="B153" t="s">
        <v>270</v>
      </c>
      <c r="C153" t="s">
        <v>20</v>
      </c>
      <c r="D153" t="s">
        <v>271</v>
      </c>
      <c r="E153">
        <v>11182</v>
      </c>
    </row>
    <row r="154" spans="1:5">
      <c r="A154" s="1">
        <v>45756</v>
      </c>
      <c r="B154" t="s">
        <v>272</v>
      </c>
      <c r="C154" t="s">
        <v>20</v>
      </c>
      <c r="D154" t="s">
        <v>273</v>
      </c>
      <c r="E154">
        <v>2435</v>
      </c>
    </row>
    <row r="155" spans="1:5">
      <c r="A155" s="1">
        <v>45756</v>
      </c>
      <c r="B155" t="s">
        <v>197</v>
      </c>
      <c r="C155" t="s">
        <v>20</v>
      </c>
      <c r="D155" t="s">
        <v>274</v>
      </c>
      <c r="E155">
        <v>340</v>
      </c>
    </row>
    <row r="156" spans="1:5">
      <c r="A156" s="1">
        <v>45756</v>
      </c>
      <c r="B156" t="s">
        <v>64</v>
      </c>
      <c r="C156" t="s">
        <v>20</v>
      </c>
      <c r="D156" t="s">
        <v>275</v>
      </c>
      <c r="E156">
        <v>300</v>
      </c>
    </row>
    <row r="157" spans="1:5">
      <c r="A157" s="1">
        <v>45756</v>
      </c>
      <c r="B157" t="s">
        <v>50</v>
      </c>
      <c r="C157" t="s">
        <v>20</v>
      </c>
      <c r="D157" t="s">
        <v>276</v>
      </c>
      <c r="E157">
        <v>12</v>
      </c>
    </row>
    <row r="158" spans="1:5">
      <c r="A158" s="1">
        <v>45756</v>
      </c>
      <c r="B158" t="s">
        <v>52</v>
      </c>
      <c r="C158" t="s">
        <v>20</v>
      </c>
      <c r="D158" t="s">
        <v>277</v>
      </c>
      <c r="E158">
        <v>8250</v>
      </c>
    </row>
    <row r="159" spans="1:5">
      <c r="A159" s="1">
        <v>45756</v>
      </c>
      <c r="B159" t="s">
        <v>50</v>
      </c>
      <c r="C159" t="s">
        <v>20</v>
      </c>
      <c r="D159" t="s">
        <v>278</v>
      </c>
      <c r="E159">
        <v>12</v>
      </c>
    </row>
    <row r="160" spans="1:5">
      <c r="A160" s="1">
        <v>45756</v>
      </c>
      <c r="B160" t="s">
        <v>172</v>
      </c>
      <c r="C160" t="s">
        <v>20</v>
      </c>
      <c r="D160" t="s">
        <v>279</v>
      </c>
      <c r="E160">
        <v>7338</v>
      </c>
    </row>
    <row r="161" spans="1:5">
      <c r="A161" s="1">
        <v>45757</v>
      </c>
      <c r="B161" t="s">
        <v>246</v>
      </c>
      <c r="C161" t="s">
        <v>19</v>
      </c>
      <c r="D161" t="s">
        <v>280</v>
      </c>
      <c r="E161">
        <v>1360</v>
      </c>
    </row>
    <row r="162" spans="1:5">
      <c r="A162" s="1">
        <v>45757</v>
      </c>
      <c r="B162" t="s">
        <v>216</v>
      </c>
      <c r="C162" t="s">
        <v>19</v>
      </c>
      <c r="D162" t="s">
        <v>281</v>
      </c>
      <c r="E162">
        <v>904</v>
      </c>
    </row>
    <row r="163" spans="1:5">
      <c r="A163" s="1">
        <v>45757</v>
      </c>
      <c r="B163" t="s">
        <v>282</v>
      </c>
      <c r="C163" t="s">
        <v>19</v>
      </c>
      <c r="D163" t="s">
        <v>283</v>
      </c>
      <c r="E163">
        <v>4950</v>
      </c>
    </row>
    <row r="164" spans="1:5">
      <c r="A164" s="1">
        <v>45757</v>
      </c>
      <c r="B164" t="s">
        <v>76</v>
      </c>
      <c r="C164" t="s">
        <v>20</v>
      </c>
      <c r="D164" t="s">
        <v>284</v>
      </c>
      <c r="E164">
        <v>1360</v>
      </c>
    </row>
    <row r="165" spans="1:5">
      <c r="A165" s="1">
        <v>45757</v>
      </c>
      <c r="B165" t="s">
        <v>285</v>
      </c>
      <c r="C165" t="s">
        <v>20</v>
      </c>
      <c r="D165" t="s">
        <v>286</v>
      </c>
      <c r="E165">
        <v>2415</v>
      </c>
    </row>
    <row r="166" spans="1:5">
      <c r="A166" s="1">
        <v>45757</v>
      </c>
      <c r="B166" t="s">
        <v>287</v>
      </c>
      <c r="C166" t="s">
        <v>20</v>
      </c>
      <c r="D166" t="s">
        <v>288</v>
      </c>
      <c r="E166">
        <v>2310</v>
      </c>
    </row>
    <row r="167" spans="1:5">
      <c r="A167" s="1">
        <v>45757</v>
      </c>
      <c r="B167" t="s">
        <v>174</v>
      </c>
      <c r="C167" t="s">
        <v>20</v>
      </c>
      <c r="D167" t="s">
        <v>289</v>
      </c>
      <c r="E167">
        <v>340</v>
      </c>
    </row>
    <row r="168" spans="1:5">
      <c r="A168" s="1">
        <v>45757</v>
      </c>
      <c r="B168" t="s">
        <v>290</v>
      </c>
      <c r="C168" t="s">
        <v>20</v>
      </c>
      <c r="D168" t="s">
        <v>291</v>
      </c>
      <c r="E168">
        <v>2110</v>
      </c>
    </row>
    <row r="169" spans="1:5">
      <c r="A169" s="1">
        <v>45757</v>
      </c>
      <c r="B169" t="s">
        <v>48</v>
      </c>
      <c r="C169" t="s">
        <v>20</v>
      </c>
      <c r="D169" t="s">
        <v>292</v>
      </c>
      <c r="E169">
        <v>34182</v>
      </c>
    </row>
    <row r="170" spans="1:5">
      <c r="A170" s="1">
        <v>45757</v>
      </c>
      <c r="B170" t="s">
        <v>293</v>
      </c>
      <c r="C170" t="s">
        <v>20</v>
      </c>
      <c r="D170" t="s">
        <v>294</v>
      </c>
      <c r="E170">
        <v>1740</v>
      </c>
    </row>
    <row r="171" spans="1:5">
      <c r="A171" s="1">
        <v>45757</v>
      </c>
      <c r="B171" t="s">
        <v>87</v>
      </c>
      <c r="C171" t="s">
        <v>20</v>
      </c>
      <c r="D171" t="s">
        <v>295</v>
      </c>
      <c r="E171">
        <v>58683</v>
      </c>
    </row>
    <row r="172" spans="1:5">
      <c r="A172" s="1">
        <v>45757</v>
      </c>
      <c r="B172" t="s">
        <v>296</v>
      </c>
      <c r="C172" t="s">
        <v>20</v>
      </c>
      <c r="D172" t="s">
        <v>297</v>
      </c>
      <c r="E172">
        <v>1240</v>
      </c>
    </row>
    <row r="173" spans="1:5">
      <c r="A173" s="1">
        <v>45757</v>
      </c>
      <c r="B173" t="s">
        <v>298</v>
      </c>
      <c r="C173" t="s">
        <v>20</v>
      </c>
      <c r="D173" t="s">
        <v>299</v>
      </c>
      <c r="E173">
        <v>4122</v>
      </c>
    </row>
    <row r="174" spans="1:5">
      <c r="A174" s="1">
        <v>45757</v>
      </c>
      <c r="B174" t="s">
        <v>300</v>
      </c>
      <c r="C174" t="s">
        <v>20</v>
      </c>
      <c r="D174" t="s">
        <v>301</v>
      </c>
      <c r="E174">
        <v>1020</v>
      </c>
    </row>
    <row r="175" spans="1:5">
      <c r="A175" s="1">
        <v>45757</v>
      </c>
      <c r="B175" t="s">
        <v>62</v>
      </c>
      <c r="C175" t="s">
        <v>20</v>
      </c>
      <c r="D175" t="s">
        <v>302</v>
      </c>
      <c r="E175">
        <v>8500</v>
      </c>
    </row>
    <row r="176" spans="1:5">
      <c r="A176" s="1">
        <v>45757</v>
      </c>
      <c r="B176" t="s">
        <v>102</v>
      </c>
      <c r="C176" t="s">
        <v>20</v>
      </c>
      <c r="D176" t="s">
        <v>303</v>
      </c>
      <c r="E176">
        <v>614</v>
      </c>
    </row>
    <row r="177" spans="1:5">
      <c r="A177" s="1">
        <v>45757</v>
      </c>
      <c r="B177" t="s">
        <v>197</v>
      </c>
      <c r="C177" t="s">
        <v>20</v>
      </c>
      <c r="D177" t="s">
        <v>304</v>
      </c>
      <c r="E177">
        <v>680</v>
      </c>
    </row>
    <row r="178" spans="1:5">
      <c r="A178" s="1">
        <v>45757</v>
      </c>
      <c r="B178" t="s">
        <v>172</v>
      </c>
      <c r="C178" t="s">
        <v>20</v>
      </c>
      <c r="D178" t="s">
        <v>305</v>
      </c>
      <c r="E178">
        <v>2158</v>
      </c>
    </row>
    <row r="179" spans="1:5">
      <c r="A179" s="1">
        <v>45757</v>
      </c>
      <c r="B179" t="s">
        <v>64</v>
      </c>
      <c r="C179" t="s">
        <v>20</v>
      </c>
      <c r="D179" t="s">
        <v>306</v>
      </c>
      <c r="E179">
        <v>670</v>
      </c>
    </row>
    <row r="180" spans="1:5">
      <c r="A180" s="1">
        <v>45757</v>
      </c>
      <c r="B180" t="s">
        <v>307</v>
      </c>
      <c r="C180" t="s">
        <v>20</v>
      </c>
      <c r="D180" t="s">
        <v>308</v>
      </c>
      <c r="E180">
        <v>33513</v>
      </c>
    </row>
    <row r="181" spans="1:5">
      <c r="A181" s="1">
        <v>45757</v>
      </c>
      <c r="B181" t="s">
        <v>309</v>
      </c>
      <c r="C181" t="s">
        <v>20</v>
      </c>
      <c r="D181" t="s">
        <v>310</v>
      </c>
      <c r="E181">
        <v>35375</v>
      </c>
    </row>
    <row r="182" spans="1:5">
      <c r="A182" s="1">
        <v>45757</v>
      </c>
      <c r="B182" t="s">
        <v>172</v>
      </c>
      <c r="C182" t="s">
        <v>20</v>
      </c>
      <c r="D182" t="s">
        <v>311</v>
      </c>
      <c r="E182">
        <v>14980</v>
      </c>
    </row>
    <row r="183" spans="1:5">
      <c r="A183" s="1">
        <v>45757</v>
      </c>
      <c r="B183" t="s">
        <v>191</v>
      </c>
      <c r="C183" t="s">
        <v>20</v>
      </c>
      <c r="D183" t="s">
        <v>312</v>
      </c>
      <c r="E183">
        <v>340</v>
      </c>
    </row>
    <row r="184" spans="1:5">
      <c r="A184" s="1">
        <v>45757</v>
      </c>
      <c r="B184" t="s">
        <v>68</v>
      </c>
      <c r="C184" t="s">
        <v>20</v>
      </c>
      <c r="D184" t="s">
        <v>313</v>
      </c>
      <c r="E184">
        <v>16350</v>
      </c>
    </row>
    <row r="185" spans="1:5">
      <c r="A185" s="1">
        <v>45757</v>
      </c>
      <c r="B185" t="s">
        <v>33</v>
      </c>
      <c r="C185" t="s">
        <v>20</v>
      </c>
      <c r="D185" t="s">
        <v>314</v>
      </c>
      <c r="E185">
        <v>680</v>
      </c>
    </row>
    <row r="186" spans="1:5">
      <c r="A186" s="1">
        <v>45758</v>
      </c>
      <c r="B186" t="s">
        <v>246</v>
      </c>
      <c r="C186" t="s">
        <v>19</v>
      </c>
      <c r="D186" t="s">
        <v>315</v>
      </c>
      <c r="E186">
        <v>9344</v>
      </c>
    </row>
    <row r="187" spans="1:5">
      <c r="A187" s="1">
        <v>45758</v>
      </c>
      <c r="B187" t="s">
        <v>316</v>
      </c>
      <c r="C187" t="s">
        <v>20</v>
      </c>
      <c r="D187" t="s">
        <v>317</v>
      </c>
      <c r="E187">
        <v>680</v>
      </c>
    </row>
    <row r="188" spans="1:5">
      <c r="A188" s="1">
        <v>45758</v>
      </c>
      <c r="B188" t="s">
        <v>318</v>
      </c>
      <c r="C188" t="s">
        <v>20</v>
      </c>
      <c r="D188" t="s">
        <v>319</v>
      </c>
      <c r="E188">
        <v>7513</v>
      </c>
    </row>
    <row r="189" spans="1:5">
      <c r="A189" s="1">
        <v>45758</v>
      </c>
      <c r="B189" t="s">
        <v>222</v>
      </c>
      <c r="C189" t="s">
        <v>20</v>
      </c>
      <c r="D189" t="s">
        <v>320</v>
      </c>
      <c r="E189">
        <v>3400</v>
      </c>
    </row>
    <row r="190" spans="1:5">
      <c r="A190" s="1">
        <v>45758</v>
      </c>
      <c r="B190" t="s">
        <v>321</v>
      </c>
      <c r="C190" t="s">
        <v>20</v>
      </c>
      <c r="D190" t="s">
        <v>322</v>
      </c>
      <c r="E190">
        <v>1383</v>
      </c>
    </row>
    <row r="191" spans="1:5">
      <c r="A191" s="1">
        <v>45758</v>
      </c>
      <c r="B191" t="s">
        <v>50</v>
      </c>
      <c r="C191" t="s">
        <v>20</v>
      </c>
      <c r="D191" t="s">
        <v>323</v>
      </c>
      <c r="E191">
        <v>2720</v>
      </c>
    </row>
    <row r="192" spans="1:5">
      <c r="A192" s="1">
        <v>45758</v>
      </c>
      <c r="B192" t="s">
        <v>87</v>
      </c>
      <c r="C192" t="s">
        <v>20</v>
      </c>
      <c r="D192" t="s">
        <v>324</v>
      </c>
      <c r="E192">
        <v>744</v>
      </c>
    </row>
    <row r="193" spans="1:5">
      <c r="A193" s="1">
        <v>45758</v>
      </c>
      <c r="B193" t="s">
        <v>50</v>
      </c>
      <c r="C193" t="s">
        <v>20</v>
      </c>
      <c r="D193" t="s">
        <v>325</v>
      </c>
      <c r="E193">
        <v>12</v>
      </c>
    </row>
    <row r="194" spans="1:5">
      <c r="A194" s="1">
        <v>45758</v>
      </c>
      <c r="B194" t="s">
        <v>76</v>
      </c>
      <c r="C194" t="s">
        <v>20</v>
      </c>
      <c r="D194" t="s">
        <v>326</v>
      </c>
      <c r="E194">
        <v>2750</v>
      </c>
    </row>
    <row r="195" spans="1:5">
      <c r="A195" s="1">
        <v>45758</v>
      </c>
      <c r="B195" t="s">
        <v>327</v>
      </c>
      <c r="C195" t="s">
        <v>20</v>
      </c>
      <c r="D195" t="s">
        <v>328</v>
      </c>
      <c r="E195">
        <v>15680</v>
      </c>
    </row>
    <row r="196" spans="1:5">
      <c r="A196" s="1">
        <v>45758</v>
      </c>
      <c r="B196" t="s">
        <v>254</v>
      </c>
      <c r="C196" t="s">
        <v>20</v>
      </c>
      <c r="D196" t="s">
        <v>329</v>
      </c>
      <c r="E196">
        <v>680</v>
      </c>
    </row>
    <row r="197" spans="1:5">
      <c r="A197" s="1">
        <v>45758</v>
      </c>
      <c r="B197" t="s">
        <v>89</v>
      </c>
      <c r="C197" t="s">
        <v>20</v>
      </c>
      <c r="D197" t="s">
        <v>330</v>
      </c>
      <c r="E197">
        <v>3510</v>
      </c>
    </row>
    <row r="198" spans="1:5">
      <c r="A198" s="1">
        <v>45758</v>
      </c>
      <c r="B198" t="s">
        <v>331</v>
      </c>
      <c r="C198" t="s">
        <v>20</v>
      </c>
      <c r="D198" t="s">
        <v>332</v>
      </c>
      <c r="E198">
        <v>967</v>
      </c>
    </row>
    <row r="199" spans="1:5">
      <c r="A199" s="1">
        <v>45758</v>
      </c>
      <c r="B199" t="s">
        <v>87</v>
      </c>
      <c r="C199" t="s">
        <v>20</v>
      </c>
      <c r="D199" t="s">
        <v>333</v>
      </c>
      <c r="E199">
        <v>1020</v>
      </c>
    </row>
    <row r="200" spans="1:5">
      <c r="A200" s="1">
        <v>45758</v>
      </c>
      <c r="B200" t="s">
        <v>334</v>
      </c>
      <c r="C200" t="s">
        <v>20</v>
      </c>
      <c r="D200" t="s">
        <v>335</v>
      </c>
      <c r="E200">
        <v>50</v>
      </c>
    </row>
    <row r="201" spans="1:5">
      <c r="A201" s="1">
        <v>45758</v>
      </c>
      <c r="B201" t="s">
        <v>336</v>
      </c>
      <c r="C201" t="s">
        <v>20</v>
      </c>
      <c r="D201" t="s">
        <v>337</v>
      </c>
      <c r="E201">
        <v>320</v>
      </c>
    </row>
    <row r="202" spans="1:5">
      <c r="A202" s="1">
        <v>45759</v>
      </c>
      <c r="B202" t="s">
        <v>58</v>
      </c>
      <c r="C202" t="s">
        <v>19</v>
      </c>
      <c r="D202" t="s">
        <v>338</v>
      </c>
      <c r="E202">
        <v>5686</v>
      </c>
    </row>
    <row r="203" spans="1:5">
      <c r="A203" s="1">
        <v>45759</v>
      </c>
      <c r="B203" t="s">
        <v>56</v>
      </c>
      <c r="C203" t="s">
        <v>19</v>
      </c>
      <c r="D203" t="s">
        <v>339</v>
      </c>
      <c r="E203">
        <v>27860</v>
      </c>
    </row>
    <row r="204" spans="1:5">
      <c r="A204" s="1">
        <v>45759</v>
      </c>
      <c r="B204" t="s">
        <v>282</v>
      </c>
      <c r="C204" t="s">
        <v>19</v>
      </c>
      <c r="D204" t="s">
        <v>340</v>
      </c>
      <c r="E204">
        <v>3400</v>
      </c>
    </row>
    <row r="205" spans="1:5">
      <c r="A205" s="1">
        <v>45759</v>
      </c>
      <c r="B205" t="s">
        <v>56</v>
      </c>
      <c r="C205" t="s">
        <v>19</v>
      </c>
      <c r="D205" t="s">
        <v>341</v>
      </c>
      <c r="E205">
        <v>5360</v>
      </c>
    </row>
    <row r="206" spans="1:5">
      <c r="A206" s="1">
        <v>45759</v>
      </c>
      <c r="B206" t="s">
        <v>58</v>
      </c>
      <c r="C206" t="s">
        <v>19</v>
      </c>
      <c r="D206" t="s">
        <v>342</v>
      </c>
      <c r="E206">
        <v>9564</v>
      </c>
    </row>
    <row r="207" spans="1:5">
      <c r="A207" s="1">
        <v>45759</v>
      </c>
      <c r="B207" t="s">
        <v>343</v>
      </c>
      <c r="C207" t="s">
        <v>19</v>
      </c>
      <c r="D207" t="s">
        <v>344</v>
      </c>
      <c r="E207">
        <v>68000</v>
      </c>
    </row>
    <row r="208" spans="1:5">
      <c r="A208" s="1">
        <v>45759</v>
      </c>
      <c r="B208" t="s">
        <v>345</v>
      </c>
      <c r="C208" t="s">
        <v>19</v>
      </c>
      <c r="D208" t="s">
        <v>346</v>
      </c>
      <c r="E208">
        <v>21000</v>
      </c>
    </row>
    <row r="209" spans="1:5">
      <c r="A209" s="1">
        <v>45759</v>
      </c>
      <c r="B209" t="s">
        <v>298</v>
      </c>
      <c r="C209" t="s">
        <v>20</v>
      </c>
      <c r="D209" t="s">
        <v>347</v>
      </c>
      <c r="E209">
        <v>7383</v>
      </c>
    </row>
    <row r="210" spans="1:5">
      <c r="A210" s="1">
        <v>45759</v>
      </c>
      <c r="B210" t="s">
        <v>76</v>
      </c>
      <c r="C210" t="s">
        <v>20</v>
      </c>
      <c r="D210" t="s">
        <v>348</v>
      </c>
      <c r="E210">
        <v>325</v>
      </c>
    </row>
    <row r="211" spans="1:5">
      <c r="A211" s="1">
        <v>45759</v>
      </c>
      <c r="B211" t="s">
        <v>184</v>
      </c>
      <c r="C211" t="s">
        <v>20</v>
      </c>
      <c r="D211" t="s">
        <v>349</v>
      </c>
      <c r="E211">
        <v>340</v>
      </c>
    </row>
    <row r="212" spans="1:5">
      <c r="A212" s="1">
        <v>45759</v>
      </c>
      <c r="B212" t="s">
        <v>43</v>
      </c>
      <c r="C212" t="s">
        <v>20</v>
      </c>
      <c r="D212" t="s">
        <v>350</v>
      </c>
      <c r="E212">
        <v>9683</v>
      </c>
    </row>
    <row r="213" spans="1:5">
      <c r="A213" s="1">
        <v>45759</v>
      </c>
      <c r="B213" t="s">
        <v>351</v>
      </c>
      <c r="C213" t="s">
        <v>20</v>
      </c>
      <c r="D213" t="s">
        <v>352</v>
      </c>
      <c r="E213">
        <v>1476</v>
      </c>
    </row>
    <row r="214" spans="1:5">
      <c r="A214" s="1">
        <v>45759</v>
      </c>
      <c r="B214" t="s">
        <v>31</v>
      </c>
      <c r="C214" t="s">
        <v>20</v>
      </c>
      <c r="D214" t="s">
        <v>353</v>
      </c>
      <c r="E214">
        <v>8285</v>
      </c>
    </row>
    <row r="215" spans="1:5">
      <c r="A215" s="1">
        <v>45759</v>
      </c>
      <c r="B215" t="s">
        <v>68</v>
      </c>
      <c r="C215" t="s">
        <v>20</v>
      </c>
      <c r="D215" t="s">
        <v>354</v>
      </c>
      <c r="E215">
        <v>5326</v>
      </c>
    </row>
    <row r="216" spans="1:5">
      <c r="A216" s="1">
        <v>45759</v>
      </c>
      <c r="B216" t="s">
        <v>68</v>
      </c>
      <c r="C216" t="s">
        <v>20</v>
      </c>
      <c r="D216" t="s">
        <v>355</v>
      </c>
      <c r="E216">
        <v>180</v>
      </c>
    </row>
    <row r="217" spans="1:5">
      <c r="A217" s="1">
        <v>45759</v>
      </c>
      <c r="B217" t="s">
        <v>212</v>
      </c>
      <c r="C217" t="s">
        <v>20</v>
      </c>
      <c r="D217" t="s">
        <v>356</v>
      </c>
      <c r="E217">
        <v>220</v>
      </c>
    </row>
    <row r="218" spans="1:5">
      <c r="A218" s="1">
        <v>45759</v>
      </c>
      <c r="B218" t="s">
        <v>45</v>
      </c>
      <c r="C218" t="s">
        <v>20</v>
      </c>
      <c r="D218" t="s">
        <v>357</v>
      </c>
      <c r="E218">
        <v>5130</v>
      </c>
    </row>
    <row r="219" spans="1:5">
      <c r="A219" s="1">
        <v>45759</v>
      </c>
      <c r="B219" t="s">
        <v>358</v>
      </c>
      <c r="C219" t="s">
        <v>20</v>
      </c>
      <c r="D219" t="s">
        <v>359</v>
      </c>
      <c r="E219">
        <v>6310</v>
      </c>
    </row>
    <row r="220" spans="1:5">
      <c r="A220" s="1">
        <v>45759</v>
      </c>
      <c r="B220" t="s">
        <v>360</v>
      </c>
      <c r="C220" t="s">
        <v>20</v>
      </c>
      <c r="D220" t="s">
        <v>361</v>
      </c>
      <c r="E220">
        <v>17912</v>
      </c>
    </row>
    <row r="221" spans="1:5">
      <c r="A221" s="1">
        <v>45759</v>
      </c>
      <c r="B221" t="s">
        <v>50</v>
      </c>
      <c r="C221" t="s">
        <v>20</v>
      </c>
      <c r="D221" t="s">
        <v>362</v>
      </c>
      <c r="E221">
        <v>7850</v>
      </c>
    </row>
    <row r="222" spans="1:5">
      <c r="A222" s="1">
        <v>45759</v>
      </c>
      <c r="B222" t="s">
        <v>151</v>
      </c>
      <c r="C222" t="s">
        <v>20</v>
      </c>
      <c r="D222" t="s">
        <v>363</v>
      </c>
      <c r="E222">
        <v>1138</v>
      </c>
    </row>
    <row r="223" spans="1:5">
      <c r="A223" s="1">
        <v>45759</v>
      </c>
      <c r="B223" t="s">
        <v>50</v>
      </c>
      <c r="C223" t="s">
        <v>20</v>
      </c>
      <c r="D223" t="s">
        <v>364</v>
      </c>
      <c r="E223">
        <v>340</v>
      </c>
    </row>
    <row r="224" spans="1:5">
      <c r="A224" s="1">
        <v>45759</v>
      </c>
      <c r="B224" t="s">
        <v>365</v>
      </c>
      <c r="C224" t="s">
        <v>20</v>
      </c>
      <c r="D224" t="s">
        <v>366</v>
      </c>
      <c r="E224">
        <v>1700</v>
      </c>
    </row>
    <row r="225" spans="1:5">
      <c r="A225" s="1">
        <v>45759</v>
      </c>
      <c r="B225" t="s">
        <v>154</v>
      </c>
      <c r="C225" t="s">
        <v>20</v>
      </c>
      <c r="D225" t="s">
        <v>367</v>
      </c>
      <c r="E225">
        <v>940</v>
      </c>
    </row>
    <row r="226" spans="1:5">
      <c r="A226" s="1">
        <v>45759</v>
      </c>
      <c r="B226" t="s">
        <v>68</v>
      </c>
      <c r="C226" t="s">
        <v>20</v>
      </c>
      <c r="D226" t="s">
        <v>368</v>
      </c>
      <c r="E226">
        <v>5440</v>
      </c>
    </row>
    <row r="227" spans="1:5">
      <c r="A227" s="1">
        <v>45759</v>
      </c>
      <c r="B227" t="s">
        <v>83</v>
      </c>
      <c r="C227" t="s">
        <v>20</v>
      </c>
      <c r="D227" t="s">
        <v>369</v>
      </c>
      <c r="E227">
        <v>450</v>
      </c>
    </row>
    <row r="228" spans="1:5">
      <c r="A228" s="1">
        <v>45759</v>
      </c>
      <c r="B228" t="s">
        <v>370</v>
      </c>
      <c r="C228" t="s">
        <v>20</v>
      </c>
      <c r="D228" t="s">
        <v>371</v>
      </c>
      <c r="E228">
        <v>700</v>
      </c>
    </row>
    <row r="229" spans="1:5">
      <c r="A229" s="1">
        <v>45759</v>
      </c>
      <c r="B229" t="s">
        <v>48</v>
      </c>
      <c r="C229" t="s">
        <v>20</v>
      </c>
      <c r="D229" t="s">
        <v>372</v>
      </c>
      <c r="E229">
        <v>12940</v>
      </c>
    </row>
    <row r="230" spans="1:5">
      <c r="A230" s="1">
        <v>45759</v>
      </c>
      <c r="B230" t="s">
        <v>87</v>
      </c>
      <c r="C230" t="s">
        <v>20</v>
      </c>
      <c r="D230" t="s">
        <v>373</v>
      </c>
      <c r="E230">
        <v>2471</v>
      </c>
    </row>
    <row r="231" spans="1:5">
      <c r="A231" s="1">
        <v>45759</v>
      </c>
      <c r="B231" t="s">
        <v>135</v>
      </c>
      <c r="C231" t="s">
        <v>20</v>
      </c>
      <c r="D231" t="s">
        <v>374</v>
      </c>
      <c r="E231">
        <v>3225</v>
      </c>
    </row>
    <row r="232" spans="1:5">
      <c r="A232" s="1">
        <v>45759</v>
      </c>
      <c r="B232" t="s">
        <v>375</v>
      </c>
      <c r="C232" t="s">
        <v>20</v>
      </c>
      <c r="D232" t="s">
        <v>376</v>
      </c>
      <c r="E232">
        <v>2964</v>
      </c>
    </row>
    <row r="233" spans="1:5">
      <c r="A233" s="1">
        <v>45759</v>
      </c>
      <c r="B233" t="s">
        <v>33</v>
      </c>
      <c r="C233" t="s">
        <v>20</v>
      </c>
      <c r="D233" t="s">
        <v>377</v>
      </c>
      <c r="E233">
        <v>680</v>
      </c>
    </row>
    <row r="234" spans="1:5">
      <c r="A234" s="1">
        <v>45759</v>
      </c>
      <c r="B234" t="s">
        <v>378</v>
      </c>
      <c r="C234" t="s">
        <v>20</v>
      </c>
      <c r="D234" t="s">
        <v>379</v>
      </c>
      <c r="E234">
        <v>680</v>
      </c>
    </row>
    <row r="235" spans="1:5">
      <c r="A235" s="1">
        <v>45759</v>
      </c>
      <c r="B235" t="s">
        <v>68</v>
      </c>
      <c r="C235" t="s">
        <v>20</v>
      </c>
      <c r="D235" t="s">
        <v>380</v>
      </c>
      <c r="E235">
        <v>2670</v>
      </c>
    </row>
    <row r="236" spans="1:5">
      <c r="A236" s="1">
        <v>45759</v>
      </c>
      <c r="B236" t="s">
        <v>87</v>
      </c>
      <c r="C236" t="s">
        <v>20</v>
      </c>
      <c r="D236" t="s">
        <v>381</v>
      </c>
      <c r="E236">
        <v>1360</v>
      </c>
    </row>
    <row r="237" spans="1:5">
      <c r="A237" s="1">
        <v>45759</v>
      </c>
      <c r="B237" t="s">
        <v>81</v>
      </c>
      <c r="C237" t="s">
        <v>20</v>
      </c>
      <c r="D237" t="s">
        <v>382</v>
      </c>
      <c r="E237">
        <v>34967</v>
      </c>
    </row>
    <row r="238" spans="1:5">
      <c r="A238" s="1">
        <v>45759</v>
      </c>
      <c r="B238" t="s">
        <v>81</v>
      </c>
      <c r="C238" t="s">
        <v>20</v>
      </c>
      <c r="D238" t="s">
        <v>383</v>
      </c>
      <c r="E238">
        <v>368</v>
      </c>
    </row>
    <row r="239" spans="1:5">
      <c r="A239" s="1">
        <v>45759</v>
      </c>
      <c r="B239" t="s">
        <v>151</v>
      </c>
      <c r="C239" t="s">
        <v>20</v>
      </c>
      <c r="D239" t="s">
        <v>384</v>
      </c>
      <c r="E239">
        <v>503</v>
      </c>
    </row>
    <row r="240" spans="1:5">
      <c r="A240" s="1">
        <v>45759</v>
      </c>
      <c r="B240" t="s">
        <v>385</v>
      </c>
      <c r="C240" t="s">
        <v>20</v>
      </c>
      <c r="D240" t="s">
        <v>386</v>
      </c>
      <c r="E240">
        <v>4875</v>
      </c>
    </row>
    <row r="241" spans="1:5">
      <c r="A241" s="1">
        <v>45759</v>
      </c>
      <c r="B241" t="s">
        <v>385</v>
      </c>
      <c r="C241" t="s">
        <v>20</v>
      </c>
      <c r="D241" t="s">
        <v>387</v>
      </c>
      <c r="E241">
        <v>84</v>
      </c>
    </row>
    <row r="242" spans="1:5">
      <c r="A242" s="1">
        <v>45759</v>
      </c>
      <c r="B242" t="s">
        <v>212</v>
      </c>
      <c r="C242" t="s">
        <v>20</v>
      </c>
      <c r="D242" t="s">
        <v>388</v>
      </c>
      <c r="E242">
        <v>38440</v>
      </c>
    </row>
    <row r="243" spans="1:5">
      <c r="A243" s="1">
        <v>45759</v>
      </c>
      <c r="B243" t="s">
        <v>143</v>
      </c>
      <c r="C243" t="s">
        <v>20</v>
      </c>
      <c r="D243" t="s">
        <v>389</v>
      </c>
      <c r="E243">
        <v>12730</v>
      </c>
    </row>
    <row r="244" spans="1:5">
      <c r="A244" s="1">
        <v>45759</v>
      </c>
      <c r="B244" t="s">
        <v>50</v>
      </c>
      <c r="C244" t="s">
        <v>20</v>
      </c>
      <c r="D244" t="s">
        <v>390</v>
      </c>
      <c r="E244">
        <v>3182</v>
      </c>
    </row>
    <row r="245" spans="1:5">
      <c r="A245" s="1">
        <v>45759</v>
      </c>
      <c r="B245" t="s">
        <v>50</v>
      </c>
      <c r="C245" t="s">
        <v>20</v>
      </c>
      <c r="D245" t="s">
        <v>391</v>
      </c>
      <c r="E245">
        <v>346</v>
      </c>
    </row>
    <row r="246" spans="1:5">
      <c r="A246" s="1">
        <v>45761</v>
      </c>
      <c r="B246" t="s">
        <v>87</v>
      </c>
      <c r="C246" t="s">
        <v>20</v>
      </c>
      <c r="D246" t="s">
        <v>392</v>
      </c>
      <c r="E246">
        <v>8160</v>
      </c>
    </row>
    <row r="247" spans="1:5">
      <c r="A247" s="1">
        <v>45761</v>
      </c>
      <c r="B247" t="s">
        <v>50</v>
      </c>
      <c r="C247" t="s">
        <v>20</v>
      </c>
      <c r="D247" t="s">
        <v>393</v>
      </c>
      <c r="E247">
        <v>50</v>
      </c>
    </row>
    <row r="248" spans="1:5">
      <c r="A248" s="1">
        <v>45761</v>
      </c>
      <c r="B248" t="s">
        <v>76</v>
      </c>
      <c r="C248" t="s">
        <v>20</v>
      </c>
      <c r="D248" t="s">
        <v>394</v>
      </c>
      <c r="E248">
        <v>1700</v>
      </c>
    </row>
    <row r="249" spans="1:5">
      <c r="A249" s="1">
        <v>45761</v>
      </c>
      <c r="B249" t="s">
        <v>395</v>
      </c>
      <c r="C249" t="s">
        <v>20</v>
      </c>
      <c r="D249" t="s">
        <v>396</v>
      </c>
      <c r="E249">
        <v>4443</v>
      </c>
    </row>
    <row r="250" spans="1:5">
      <c r="A250" s="1">
        <v>45761</v>
      </c>
      <c r="B250" t="s">
        <v>50</v>
      </c>
      <c r="C250" t="s">
        <v>20</v>
      </c>
      <c r="D250" t="s">
        <v>397</v>
      </c>
      <c r="E250">
        <v>680</v>
      </c>
    </row>
    <row r="251" spans="1:5">
      <c r="A251" s="1">
        <v>45761</v>
      </c>
      <c r="B251" t="s">
        <v>398</v>
      </c>
      <c r="C251" t="s">
        <v>20</v>
      </c>
      <c r="D251" t="s">
        <v>399</v>
      </c>
      <c r="E251">
        <v>2025</v>
      </c>
    </row>
    <row r="252" spans="1:5">
      <c r="A252" s="1">
        <v>45761</v>
      </c>
      <c r="B252" t="s">
        <v>50</v>
      </c>
      <c r="C252" t="s">
        <v>20</v>
      </c>
      <c r="D252" t="s">
        <v>400</v>
      </c>
      <c r="E252">
        <v>12</v>
      </c>
    </row>
    <row r="253" spans="1:5">
      <c r="A253" s="1">
        <v>45761</v>
      </c>
      <c r="B253" t="s">
        <v>87</v>
      </c>
      <c r="C253" t="s">
        <v>20</v>
      </c>
      <c r="D253" t="s">
        <v>401</v>
      </c>
      <c r="E253">
        <v>340</v>
      </c>
    </row>
    <row r="254" spans="1:5">
      <c r="A254" s="1">
        <v>45761</v>
      </c>
      <c r="B254" t="s">
        <v>402</v>
      </c>
      <c r="C254" t="s">
        <v>20</v>
      </c>
      <c r="D254" t="s">
        <v>403</v>
      </c>
      <c r="E254">
        <v>914</v>
      </c>
    </row>
    <row r="255" spans="1:5">
      <c r="A255" s="1">
        <v>45761</v>
      </c>
      <c r="B255" t="s">
        <v>404</v>
      </c>
      <c r="C255" t="s">
        <v>20</v>
      </c>
      <c r="D255" t="s">
        <v>405</v>
      </c>
      <c r="E255">
        <v>50</v>
      </c>
    </row>
    <row r="256" spans="1:5">
      <c r="A256" s="1">
        <v>45761</v>
      </c>
      <c r="B256" t="s">
        <v>406</v>
      </c>
      <c r="C256" t="s">
        <v>20</v>
      </c>
      <c r="D256" t="s">
        <v>407</v>
      </c>
      <c r="E256">
        <v>340</v>
      </c>
    </row>
    <row r="257" spans="1:5">
      <c r="A257" s="1">
        <v>45762</v>
      </c>
      <c r="B257" t="s">
        <v>216</v>
      </c>
      <c r="C257" t="s">
        <v>19</v>
      </c>
      <c r="D257" t="s">
        <v>408</v>
      </c>
      <c r="E257">
        <v>2783</v>
      </c>
    </row>
    <row r="258" spans="1:5">
      <c r="A258" s="1">
        <v>45762</v>
      </c>
      <c r="B258" t="s">
        <v>50</v>
      </c>
      <c r="C258" t="s">
        <v>20</v>
      </c>
      <c r="D258" t="s">
        <v>409</v>
      </c>
      <c r="E258">
        <v>340</v>
      </c>
    </row>
    <row r="259" spans="1:5">
      <c r="A259" s="1">
        <v>45762</v>
      </c>
      <c r="B259" t="s">
        <v>410</v>
      </c>
      <c r="C259" t="s">
        <v>20</v>
      </c>
      <c r="D259" t="s">
        <v>411</v>
      </c>
      <c r="E259">
        <v>375</v>
      </c>
    </row>
    <row r="260" spans="1:5">
      <c r="A260" s="1">
        <v>45762</v>
      </c>
      <c r="B260" t="s">
        <v>412</v>
      </c>
      <c r="C260" t="s">
        <v>20</v>
      </c>
      <c r="D260" t="s">
        <v>413</v>
      </c>
      <c r="E260">
        <v>513</v>
      </c>
    </row>
    <row r="261" spans="1:5">
      <c r="A261" s="1">
        <v>45762</v>
      </c>
      <c r="B261" t="s">
        <v>81</v>
      </c>
      <c r="C261" t="s">
        <v>20</v>
      </c>
      <c r="D261" t="s">
        <v>414</v>
      </c>
      <c r="E261">
        <v>105</v>
      </c>
    </row>
    <row r="262" spans="1:5">
      <c r="A262" s="1">
        <v>45762</v>
      </c>
      <c r="B262" t="s">
        <v>81</v>
      </c>
      <c r="C262" t="s">
        <v>20</v>
      </c>
      <c r="D262" t="s">
        <v>415</v>
      </c>
      <c r="E262">
        <v>283</v>
      </c>
    </row>
    <row r="263" spans="1:5">
      <c r="A263" s="1">
        <v>45762</v>
      </c>
      <c r="B263" t="s">
        <v>76</v>
      </c>
      <c r="C263" t="s">
        <v>20</v>
      </c>
      <c r="D263" t="s">
        <v>416</v>
      </c>
      <c r="E263">
        <v>175</v>
      </c>
    </row>
    <row r="264" spans="1:5">
      <c r="A264" s="1">
        <v>45762</v>
      </c>
      <c r="B264" t="s">
        <v>417</v>
      </c>
      <c r="C264" t="s">
        <v>20</v>
      </c>
      <c r="D264" t="s">
        <v>418</v>
      </c>
      <c r="E264">
        <v>3537</v>
      </c>
    </row>
    <row r="265" spans="1:5">
      <c r="A265" s="1">
        <v>45762</v>
      </c>
      <c r="B265" t="s">
        <v>419</v>
      </c>
      <c r="C265" t="s">
        <v>20</v>
      </c>
      <c r="D265" t="s">
        <v>420</v>
      </c>
      <c r="E265">
        <v>3400</v>
      </c>
    </row>
    <row r="266" spans="1:5">
      <c r="A266" s="1">
        <v>45762</v>
      </c>
      <c r="B266" t="s">
        <v>421</v>
      </c>
      <c r="C266" t="s">
        <v>20</v>
      </c>
      <c r="D266" t="s">
        <v>422</v>
      </c>
      <c r="E266">
        <v>340</v>
      </c>
    </row>
    <row r="267" spans="1:5">
      <c r="A267" s="1">
        <v>45762</v>
      </c>
      <c r="B267" t="s">
        <v>50</v>
      </c>
      <c r="C267" t="s">
        <v>20</v>
      </c>
      <c r="D267" t="s">
        <v>423</v>
      </c>
      <c r="E267">
        <v>12</v>
      </c>
    </row>
    <row r="268" spans="1:5">
      <c r="A268" s="1">
        <v>45762</v>
      </c>
      <c r="B268" t="s">
        <v>131</v>
      </c>
      <c r="C268" t="s">
        <v>20</v>
      </c>
      <c r="D268" t="s">
        <v>424</v>
      </c>
      <c r="E268">
        <v>9235</v>
      </c>
    </row>
    <row r="269" spans="1:5">
      <c r="A269" s="1">
        <v>45762</v>
      </c>
      <c r="B269" t="s">
        <v>254</v>
      </c>
      <c r="C269" t="s">
        <v>20</v>
      </c>
      <c r="D269" t="s">
        <v>425</v>
      </c>
      <c r="E269">
        <v>340</v>
      </c>
    </row>
    <row r="270" spans="1:5">
      <c r="A270" s="1">
        <v>45762</v>
      </c>
      <c r="B270" t="s">
        <v>426</v>
      </c>
      <c r="C270" t="s">
        <v>20</v>
      </c>
      <c r="D270" t="s">
        <v>427</v>
      </c>
      <c r="E270">
        <v>1400</v>
      </c>
    </row>
    <row r="271" spans="1:5">
      <c r="A271" s="1">
        <v>45762</v>
      </c>
      <c r="B271" t="s">
        <v>35</v>
      </c>
      <c r="C271" t="s">
        <v>20</v>
      </c>
      <c r="D271" t="s">
        <v>428</v>
      </c>
      <c r="E271">
        <v>8367</v>
      </c>
    </row>
    <row r="272" spans="1:5">
      <c r="A272" s="1">
        <v>45762</v>
      </c>
      <c r="B272" t="s">
        <v>327</v>
      </c>
      <c r="C272" t="s">
        <v>20</v>
      </c>
      <c r="D272" t="s">
        <v>429</v>
      </c>
      <c r="E272">
        <v>3862</v>
      </c>
    </row>
    <row r="273" spans="1:5">
      <c r="A273" s="1">
        <v>45762</v>
      </c>
      <c r="B273" t="s">
        <v>430</v>
      </c>
      <c r="C273" t="s">
        <v>20</v>
      </c>
      <c r="D273" t="s">
        <v>431</v>
      </c>
      <c r="E273">
        <v>25590</v>
      </c>
    </row>
    <row r="274" spans="1:5">
      <c r="A274" s="1">
        <v>45762</v>
      </c>
      <c r="B274" t="s">
        <v>64</v>
      </c>
      <c r="C274" t="s">
        <v>20</v>
      </c>
      <c r="D274" t="s">
        <v>432</v>
      </c>
      <c r="E274">
        <v>88780</v>
      </c>
    </row>
    <row r="275" spans="1:5">
      <c r="A275" s="1">
        <v>45762</v>
      </c>
      <c r="B275" t="s">
        <v>50</v>
      </c>
      <c r="C275" t="s">
        <v>20</v>
      </c>
      <c r="D275" t="s">
        <v>433</v>
      </c>
      <c r="E275">
        <v>12</v>
      </c>
    </row>
    <row r="276" spans="1:5">
      <c r="A276" s="1">
        <v>45762</v>
      </c>
      <c r="B276" t="s">
        <v>327</v>
      </c>
      <c r="C276" t="s">
        <v>20</v>
      </c>
      <c r="D276" t="s">
        <v>434</v>
      </c>
      <c r="E276">
        <v>33147</v>
      </c>
    </row>
    <row r="277" spans="1:5">
      <c r="A277" s="1">
        <v>45762</v>
      </c>
      <c r="B277" t="s">
        <v>76</v>
      </c>
      <c r="C277" t="s">
        <v>20</v>
      </c>
      <c r="D277" t="s">
        <v>435</v>
      </c>
      <c r="E277">
        <v>450</v>
      </c>
    </row>
    <row r="278" spans="1:5">
      <c r="A278" s="1">
        <v>45762</v>
      </c>
      <c r="B278" t="s">
        <v>436</v>
      </c>
      <c r="C278" t="s">
        <v>20</v>
      </c>
      <c r="D278" t="s">
        <v>437</v>
      </c>
      <c r="E278">
        <v>11690</v>
      </c>
    </row>
    <row r="279" spans="1:5">
      <c r="A279" s="1">
        <v>45762</v>
      </c>
      <c r="B279" t="s">
        <v>438</v>
      </c>
      <c r="C279" t="s">
        <v>20</v>
      </c>
      <c r="D279" t="s">
        <v>439</v>
      </c>
      <c r="E279">
        <v>733</v>
      </c>
    </row>
    <row r="280" spans="1:5">
      <c r="A280" s="1">
        <v>45762</v>
      </c>
      <c r="B280" t="s">
        <v>440</v>
      </c>
      <c r="C280" t="s">
        <v>20</v>
      </c>
      <c r="D280" t="s">
        <v>441</v>
      </c>
      <c r="E280">
        <v>4696</v>
      </c>
    </row>
    <row r="281" spans="1:5">
      <c r="A281" s="1">
        <v>45763</v>
      </c>
      <c r="B281" t="s">
        <v>180</v>
      </c>
      <c r="C281" t="s">
        <v>19</v>
      </c>
      <c r="D281" t="s">
        <v>442</v>
      </c>
      <c r="E281">
        <v>13920</v>
      </c>
    </row>
    <row r="282" spans="1:5">
      <c r="A282" s="1">
        <v>45763</v>
      </c>
      <c r="B282" t="s">
        <v>443</v>
      </c>
      <c r="C282" t="s">
        <v>19</v>
      </c>
      <c r="D282" t="s">
        <v>444</v>
      </c>
      <c r="E282">
        <v>112257</v>
      </c>
    </row>
    <row r="283" spans="1:5">
      <c r="A283" s="1">
        <v>45763</v>
      </c>
      <c r="B283" t="s">
        <v>445</v>
      </c>
      <c r="C283" t="s">
        <v>19</v>
      </c>
      <c r="D283" t="s">
        <v>446</v>
      </c>
      <c r="E283">
        <v>1293</v>
      </c>
    </row>
    <row r="284" spans="1:5">
      <c r="A284" s="1">
        <v>45763</v>
      </c>
      <c r="B284" t="s">
        <v>58</v>
      </c>
      <c r="C284" t="s">
        <v>19</v>
      </c>
      <c r="D284" t="s">
        <v>447</v>
      </c>
      <c r="E284">
        <v>10374</v>
      </c>
    </row>
    <row r="285" spans="1:5">
      <c r="A285" s="1">
        <v>45763</v>
      </c>
      <c r="B285" t="s">
        <v>448</v>
      </c>
      <c r="C285" t="s">
        <v>19</v>
      </c>
      <c r="D285" t="s">
        <v>449</v>
      </c>
    </row>
    <row r="286" spans="1:5">
      <c r="A286" s="1">
        <v>45763</v>
      </c>
      <c r="B286" t="s">
        <v>254</v>
      </c>
      <c r="C286" t="s">
        <v>20</v>
      </c>
      <c r="D286" t="s">
        <v>450</v>
      </c>
      <c r="E286">
        <v>1050</v>
      </c>
    </row>
    <row r="287" spans="1:5">
      <c r="A287" s="1">
        <v>45763</v>
      </c>
      <c r="B287" t="s">
        <v>163</v>
      </c>
      <c r="C287" t="s">
        <v>20</v>
      </c>
      <c r="D287" t="s">
        <v>451</v>
      </c>
      <c r="E287">
        <v>12637</v>
      </c>
    </row>
    <row r="288" spans="1:5">
      <c r="A288" s="1">
        <v>45763</v>
      </c>
      <c r="B288" t="s">
        <v>360</v>
      </c>
      <c r="C288" t="s">
        <v>20</v>
      </c>
      <c r="D288" t="s">
        <v>452</v>
      </c>
      <c r="E288">
        <v>20165</v>
      </c>
    </row>
    <row r="289" spans="1:5">
      <c r="A289" s="1">
        <v>45763</v>
      </c>
      <c r="B289" t="s">
        <v>453</v>
      </c>
      <c r="C289" t="s">
        <v>20</v>
      </c>
      <c r="D289" t="s">
        <v>454</v>
      </c>
      <c r="E289">
        <v>7573</v>
      </c>
    </row>
    <row r="290" spans="1:5">
      <c r="A290" s="1">
        <v>45763</v>
      </c>
      <c r="B290" t="s">
        <v>455</v>
      </c>
      <c r="C290" t="s">
        <v>20</v>
      </c>
      <c r="D290" t="s">
        <v>456</v>
      </c>
      <c r="E290">
        <v>316</v>
      </c>
    </row>
    <row r="291" spans="1:5">
      <c r="A291" s="1">
        <v>45763</v>
      </c>
      <c r="B291" t="s">
        <v>457</v>
      </c>
      <c r="C291" t="s">
        <v>20</v>
      </c>
      <c r="D291" t="s">
        <v>458</v>
      </c>
      <c r="E291">
        <v>764</v>
      </c>
    </row>
    <row r="292" spans="1:5">
      <c r="A292" s="1">
        <v>45763</v>
      </c>
      <c r="B292" t="s">
        <v>50</v>
      </c>
      <c r="C292" t="s">
        <v>20</v>
      </c>
      <c r="D292" t="s">
        <v>459</v>
      </c>
      <c r="E292">
        <v>12</v>
      </c>
    </row>
    <row r="293" spans="1:5">
      <c r="A293" s="1">
        <v>45763</v>
      </c>
      <c r="B293" t="s">
        <v>460</v>
      </c>
      <c r="C293" t="s">
        <v>20</v>
      </c>
      <c r="D293" t="s">
        <v>461</v>
      </c>
      <c r="E293">
        <v>350</v>
      </c>
    </row>
    <row r="294" spans="1:5">
      <c r="A294" s="1">
        <v>45763</v>
      </c>
      <c r="B294" t="s">
        <v>43</v>
      </c>
      <c r="C294" t="s">
        <v>20</v>
      </c>
      <c r="D294" t="s">
        <v>462</v>
      </c>
      <c r="E294">
        <v>734</v>
      </c>
    </row>
    <row r="295" spans="1:5">
      <c r="A295" s="1">
        <v>45763</v>
      </c>
      <c r="B295" t="s">
        <v>463</v>
      </c>
      <c r="C295" t="s">
        <v>20</v>
      </c>
      <c r="D295" t="s">
        <v>464</v>
      </c>
      <c r="E295">
        <v>100</v>
      </c>
    </row>
    <row r="296" spans="1:5">
      <c r="A296" s="1">
        <v>45763</v>
      </c>
      <c r="B296" t="s">
        <v>465</v>
      </c>
      <c r="C296" t="s">
        <v>20</v>
      </c>
      <c r="D296" t="s">
        <v>466</v>
      </c>
      <c r="E296">
        <v>495</v>
      </c>
    </row>
    <row r="297" spans="1:5">
      <c r="A297" s="1">
        <v>45763</v>
      </c>
      <c r="B297" t="s">
        <v>467</v>
      </c>
      <c r="C297" t="s">
        <v>20</v>
      </c>
      <c r="D297" t="s">
        <v>468</v>
      </c>
      <c r="E297">
        <v>7737</v>
      </c>
    </row>
    <row r="298" spans="1:5">
      <c r="A298" s="1">
        <v>45763</v>
      </c>
      <c r="B298" t="s">
        <v>463</v>
      </c>
      <c r="C298" t="s">
        <v>20</v>
      </c>
      <c r="D298" t="s">
        <v>469</v>
      </c>
      <c r="E298">
        <v>100</v>
      </c>
    </row>
    <row r="299" spans="1:5">
      <c r="A299" s="1">
        <v>45763</v>
      </c>
      <c r="B299" t="s">
        <v>470</v>
      </c>
      <c r="C299" t="s">
        <v>20</v>
      </c>
      <c r="D299" t="s">
        <v>471</v>
      </c>
      <c r="E299">
        <v>3710</v>
      </c>
    </row>
    <row r="300" spans="1:5">
      <c r="A300" s="1">
        <v>45764</v>
      </c>
      <c r="B300" t="s">
        <v>180</v>
      </c>
      <c r="C300" t="s">
        <v>19</v>
      </c>
      <c r="D300" t="s">
        <v>472</v>
      </c>
      <c r="E300">
        <v>1840</v>
      </c>
    </row>
    <row r="301" spans="1:5">
      <c r="A301" s="1">
        <v>45764</v>
      </c>
      <c r="B301" t="s">
        <v>76</v>
      </c>
      <c r="C301" t="s">
        <v>20</v>
      </c>
      <c r="D301" t="s">
        <v>473</v>
      </c>
      <c r="E301">
        <v>1750</v>
      </c>
    </row>
    <row r="302" spans="1:5">
      <c r="A302" s="1">
        <v>45764</v>
      </c>
      <c r="B302" t="s">
        <v>474</v>
      </c>
      <c r="C302" t="s">
        <v>20</v>
      </c>
      <c r="D302" t="s">
        <v>475</v>
      </c>
      <c r="E302">
        <v>3500</v>
      </c>
    </row>
    <row r="303" spans="1:5">
      <c r="A303" s="1">
        <v>45764</v>
      </c>
      <c r="B303" t="s">
        <v>360</v>
      </c>
      <c r="C303" t="s">
        <v>20</v>
      </c>
      <c r="D303" t="s">
        <v>476</v>
      </c>
      <c r="E303">
        <v>27090</v>
      </c>
    </row>
    <row r="304" spans="1:5">
      <c r="A304" s="1">
        <v>45764</v>
      </c>
      <c r="B304" t="s">
        <v>470</v>
      </c>
      <c r="C304" t="s">
        <v>20</v>
      </c>
      <c r="D304" t="s">
        <v>477</v>
      </c>
      <c r="E304">
        <v>866</v>
      </c>
    </row>
    <row r="305" spans="1:5">
      <c r="A305" s="1">
        <v>45764</v>
      </c>
      <c r="B305" t="s">
        <v>50</v>
      </c>
      <c r="C305" t="s">
        <v>20</v>
      </c>
      <c r="D305" t="s">
        <v>478</v>
      </c>
      <c r="E305">
        <v>350</v>
      </c>
    </row>
    <row r="306" spans="1:5">
      <c r="A306" s="1">
        <v>45764</v>
      </c>
      <c r="B306" t="s">
        <v>479</v>
      </c>
      <c r="C306" t="s">
        <v>20</v>
      </c>
      <c r="D306" t="s">
        <v>480</v>
      </c>
      <c r="E306">
        <v>25357</v>
      </c>
    </row>
    <row r="307" spans="1:5">
      <c r="A307" s="1">
        <v>45764</v>
      </c>
      <c r="B307" t="s">
        <v>481</v>
      </c>
      <c r="C307" t="s">
        <v>20</v>
      </c>
      <c r="D307" t="s">
        <v>482</v>
      </c>
      <c r="E307">
        <v>4235</v>
      </c>
    </row>
    <row r="308" spans="1:5">
      <c r="A308" s="1">
        <v>45764</v>
      </c>
      <c r="B308" t="s">
        <v>483</v>
      </c>
      <c r="C308" t="s">
        <v>20</v>
      </c>
      <c r="D308" t="s">
        <v>484</v>
      </c>
      <c r="E308">
        <v>12870</v>
      </c>
    </row>
    <row r="309" spans="1:5">
      <c r="A309" s="1">
        <v>45764</v>
      </c>
      <c r="B309" t="s">
        <v>485</v>
      </c>
      <c r="C309" t="s">
        <v>20</v>
      </c>
      <c r="D309" t="s">
        <v>486</v>
      </c>
      <c r="E309">
        <v>50</v>
      </c>
    </row>
    <row r="310" spans="1:5">
      <c r="A310" s="1">
        <v>45764</v>
      </c>
      <c r="B310" t="s">
        <v>124</v>
      </c>
      <c r="C310" t="s">
        <v>20</v>
      </c>
      <c r="D310" t="s">
        <v>487</v>
      </c>
      <c r="E310">
        <v>3500</v>
      </c>
    </row>
    <row r="311" spans="1:5">
      <c r="A311" s="1">
        <v>45764</v>
      </c>
      <c r="B311" t="s">
        <v>488</v>
      </c>
      <c r="C311" t="s">
        <v>20</v>
      </c>
      <c r="D311" t="s">
        <v>489</v>
      </c>
      <c r="E311">
        <v>350</v>
      </c>
    </row>
    <row r="312" spans="1:5">
      <c r="A312" s="1">
        <v>45764</v>
      </c>
      <c r="B312" t="s">
        <v>76</v>
      </c>
      <c r="C312" t="s">
        <v>20</v>
      </c>
      <c r="D312" t="s">
        <v>490</v>
      </c>
      <c r="E312">
        <v>8603</v>
      </c>
    </row>
    <row r="313" spans="1:5">
      <c r="A313" s="1">
        <v>45764</v>
      </c>
      <c r="B313" t="s">
        <v>64</v>
      </c>
      <c r="C313" t="s">
        <v>20</v>
      </c>
      <c r="D313" t="s">
        <v>491</v>
      </c>
      <c r="E313">
        <v>60</v>
      </c>
    </row>
    <row r="314" spans="1:5">
      <c r="A314" s="1">
        <v>45764</v>
      </c>
      <c r="B314" t="s">
        <v>50</v>
      </c>
      <c r="C314" t="s">
        <v>20</v>
      </c>
      <c r="D314" t="s">
        <v>492</v>
      </c>
      <c r="E314">
        <v>1954</v>
      </c>
    </row>
    <row r="315" spans="1:5">
      <c r="A315" s="1">
        <v>45764</v>
      </c>
      <c r="B315" t="s">
        <v>493</v>
      </c>
      <c r="C315" t="s">
        <v>20</v>
      </c>
      <c r="D315" t="s">
        <v>494</v>
      </c>
      <c r="E315">
        <v>8040</v>
      </c>
    </row>
    <row r="316" spans="1:5">
      <c r="A316" s="1">
        <v>45764</v>
      </c>
      <c r="B316" t="s">
        <v>92</v>
      </c>
      <c r="C316" t="s">
        <v>20</v>
      </c>
      <c r="D316" t="s">
        <v>495</v>
      </c>
      <c r="E316">
        <v>1000</v>
      </c>
    </row>
    <row r="317" spans="1:5">
      <c r="A317" s="1">
        <v>45764</v>
      </c>
      <c r="B317" t="s">
        <v>496</v>
      </c>
      <c r="C317" t="s">
        <v>20</v>
      </c>
      <c r="D317" t="s">
        <v>497</v>
      </c>
      <c r="E317">
        <v>3150</v>
      </c>
    </row>
    <row r="318" spans="1:5">
      <c r="A318" s="1">
        <v>45764</v>
      </c>
      <c r="B318" t="s">
        <v>50</v>
      </c>
      <c r="C318" t="s">
        <v>20</v>
      </c>
      <c r="D318" t="s">
        <v>498</v>
      </c>
      <c r="E318">
        <v>12</v>
      </c>
    </row>
    <row r="319" spans="1:5">
      <c r="A319" s="1">
        <v>45764</v>
      </c>
      <c r="B319" t="s">
        <v>35</v>
      </c>
      <c r="C319" t="s">
        <v>20</v>
      </c>
      <c r="D319" t="s">
        <v>499</v>
      </c>
      <c r="E319">
        <v>4782</v>
      </c>
    </row>
    <row r="320" spans="1:5">
      <c r="A320" s="1">
        <v>45764</v>
      </c>
      <c r="B320" t="s">
        <v>360</v>
      </c>
      <c r="C320" t="s">
        <v>20</v>
      </c>
      <c r="D320" t="s">
        <v>500</v>
      </c>
      <c r="E320">
        <v>9939</v>
      </c>
    </row>
    <row r="321" spans="1:5">
      <c r="A321" s="1">
        <v>45764</v>
      </c>
      <c r="B321" t="s">
        <v>501</v>
      </c>
      <c r="C321" t="s">
        <v>20</v>
      </c>
      <c r="D321" t="s">
        <v>502</v>
      </c>
      <c r="E321">
        <v>20390</v>
      </c>
    </row>
    <row r="322" spans="1:5">
      <c r="A322" s="1">
        <v>45764</v>
      </c>
      <c r="B322" t="s">
        <v>203</v>
      </c>
      <c r="C322" t="s">
        <v>20</v>
      </c>
      <c r="D322" t="s">
        <v>503</v>
      </c>
      <c r="E322">
        <v>700</v>
      </c>
    </row>
    <row r="323" spans="1:5">
      <c r="A323" s="1">
        <v>45764</v>
      </c>
      <c r="B323" t="s">
        <v>504</v>
      </c>
      <c r="C323" t="s">
        <v>20</v>
      </c>
      <c r="D323" t="s">
        <v>505</v>
      </c>
      <c r="E323">
        <v>25700</v>
      </c>
    </row>
    <row r="324" spans="1:5">
      <c r="A324" s="1">
        <v>45764</v>
      </c>
      <c r="B324" t="s">
        <v>506</v>
      </c>
      <c r="C324" t="s">
        <v>20</v>
      </c>
      <c r="D324" t="s">
        <v>507</v>
      </c>
      <c r="E324">
        <v>1072</v>
      </c>
    </row>
    <row r="325" spans="1:5">
      <c r="A325" s="1">
        <v>45764</v>
      </c>
      <c r="B325" t="s">
        <v>504</v>
      </c>
      <c r="C325" t="s">
        <v>20</v>
      </c>
      <c r="D325" t="s">
        <v>508</v>
      </c>
      <c r="E325">
        <v>350</v>
      </c>
    </row>
    <row r="326" spans="1:5">
      <c r="A326" s="1">
        <v>45766</v>
      </c>
      <c r="B326" t="s">
        <v>509</v>
      </c>
      <c r="C326" t="s">
        <v>19</v>
      </c>
      <c r="D326" t="s">
        <v>510</v>
      </c>
      <c r="E326">
        <v>14552</v>
      </c>
    </row>
    <row r="327" spans="1:5">
      <c r="A327" s="1">
        <v>45766</v>
      </c>
      <c r="B327" t="s">
        <v>246</v>
      </c>
      <c r="C327" t="s">
        <v>19</v>
      </c>
      <c r="D327" t="s">
        <v>511</v>
      </c>
      <c r="E327">
        <v>1077</v>
      </c>
    </row>
    <row r="328" spans="1:5">
      <c r="A328" s="1">
        <v>45766</v>
      </c>
      <c r="B328" t="s">
        <v>512</v>
      </c>
      <c r="C328" t="s">
        <v>20</v>
      </c>
      <c r="D328" t="s">
        <v>513</v>
      </c>
      <c r="E328">
        <v>14471</v>
      </c>
    </row>
    <row r="329" spans="1:5">
      <c r="A329" s="1">
        <v>45766</v>
      </c>
      <c r="B329" t="s">
        <v>514</v>
      </c>
      <c r="C329" t="s">
        <v>20</v>
      </c>
      <c r="D329" t="s">
        <v>515</v>
      </c>
      <c r="E329">
        <v>10940</v>
      </c>
    </row>
    <row r="330" spans="1:5">
      <c r="A330" s="1">
        <v>45766</v>
      </c>
      <c r="B330" t="s">
        <v>474</v>
      </c>
      <c r="C330" t="s">
        <v>20</v>
      </c>
      <c r="D330" t="s">
        <v>516</v>
      </c>
      <c r="E330">
        <v>3600</v>
      </c>
    </row>
    <row r="331" spans="1:5">
      <c r="A331" s="1">
        <v>45766</v>
      </c>
      <c r="B331" t="s">
        <v>33</v>
      </c>
      <c r="C331" t="s">
        <v>20</v>
      </c>
      <c r="D331" t="s">
        <v>517</v>
      </c>
      <c r="E331">
        <v>360</v>
      </c>
    </row>
    <row r="332" spans="1:5">
      <c r="A332" s="1">
        <v>45766</v>
      </c>
      <c r="B332" t="s">
        <v>518</v>
      </c>
      <c r="C332" t="s">
        <v>20</v>
      </c>
      <c r="D332" t="s">
        <v>519</v>
      </c>
      <c r="E332">
        <v>670</v>
      </c>
    </row>
    <row r="333" spans="1:5">
      <c r="A333" s="1">
        <v>45766</v>
      </c>
      <c r="B333" t="s">
        <v>43</v>
      </c>
      <c r="C333" t="s">
        <v>20</v>
      </c>
      <c r="D333" t="s">
        <v>520</v>
      </c>
      <c r="E333">
        <v>2096</v>
      </c>
    </row>
    <row r="334" spans="1:5">
      <c r="A334" s="1">
        <v>45766</v>
      </c>
      <c r="B334" t="s">
        <v>521</v>
      </c>
      <c r="C334" t="s">
        <v>20</v>
      </c>
      <c r="D334" t="s">
        <v>522</v>
      </c>
      <c r="E334">
        <v>9027</v>
      </c>
    </row>
    <row r="335" spans="1:5">
      <c r="A335" s="1">
        <v>45766</v>
      </c>
      <c r="B335" t="s">
        <v>512</v>
      </c>
      <c r="C335" t="s">
        <v>20</v>
      </c>
      <c r="D335" t="s">
        <v>523</v>
      </c>
      <c r="E335">
        <v>2025</v>
      </c>
    </row>
    <row r="336" spans="1:5">
      <c r="A336" s="1">
        <v>45766</v>
      </c>
      <c r="B336" t="s">
        <v>50</v>
      </c>
      <c r="C336" t="s">
        <v>20</v>
      </c>
      <c r="D336" t="s">
        <v>524</v>
      </c>
      <c r="E336">
        <v>507</v>
      </c>
    </row>
    <row r="337" spans="1:5">
      <c r="A337" s="1">
        <v>45766</v>
      </c>
      <c r="B337" t="s">
        <v>50</v>
      </c>
      <c r="C337" t="s">
        <v>20</v>
      </c>
      <c r="D337" t="s">
        <v>525</v>
      </c>
      <c r="E337">
        <v>12</v>
      </c>
    </row>
    <row r="338" spans="1:5">
      <c r="A338" s="1">
        <v>45766</v>
      </c>
      <c r="B338" t="s">
        <v>526</v>
      </c>
      <c r="C338" t="s">
        <v>20</v>
      </c>
      <c r="D338" t="s">
        <v>527</v>
      </c>
      <c r="E338">
        <v>8293</v>
      </c>
    </row>
    <row r="339" spans="1:5">
      <c r="A339" s="1">
        <v>45766</v>
      </c>
      <c r="B339" t="s">
        <v>528</v>
      </c>
      <c r="C339" t="s">
        <v>20</v>
      </c>
      <c r="D339" t="s">
        <v>529</v>
      </c>
      <c r="E339">
        <v>932</v>
      </c>
    </row>
    <row r="340" spans="1:5">
      <c r="A340" s="1">
        <v>45766</v>
      </c>
      <c r="B340" t="s">
        <v>530</v>
      </c>
      <c r="C340" t="s">
        <v>20</v>
      </c>
      <c r="D340" t="s">
        <v>531</v>
      </c>
      <c r="E340">
        <v>10120</v>
      </c>
    </row>
    <row r="341" spans="1:5">
      <c r="A341" s="1">
        <v>45766</v>
      </c>
      <c r="B341" t="s">
        <v>521</v>
      </c>
      <c r="C341" t="s">
        <v>20</v>
      </c>
      <c r="D341" t="s">
        <v>532</v>
      </c>
      <c r="E341">
        <v>1900</v>
      </c>
    </row>
    <row r="342" spans="1:5">
      <c r="A342" s="1">
        <v>45766</v>
      </c>
      <c r="B342" t="s">
        <v>62</v>
      </c>
      <c r="C342" t="s">
        <v>20</v>
      </c>
      <c r="D342" t="s">
        <v>533</v>
      </c>
      <c r="E342">
        <v>350</v>
      </c>
    </row>
    <row r="343" spans="1:5">
      <c r="A343" s="1">
        <v>45766</v>
      </c>
      <c r="B343" t="s">
        <v>48</v>
      </c>
      <c r="C343" t="s">
        <v>20</v>
      </c>
      <c r="D343" t="s">
        <v>534</v>
      </c>
      <c r="E343">
        <v>1381</v>
      </c>
    </row>
    <row r="344" spans="1:5">
      <c r="A344" s="1">
        <v>45766</v>
      </c>
      <c r="B344" t="s">
        <v>76</v>
      </c>
      <c r="C344" t="s">
        <v>20</v>
      </c>
      <c r="D344" t="s">
        <v>535</v>
      </c>
      <c r="E344">
        <v>404</v>
      </c>
    </row>
    <row r="345" spans="1:5">
      <c r="A345" s="1">
        <v>45766</v>
      </c>
      <c r="B345" t="s">
        <v>536</v>
      </c>
      <c r="C345" t="s">
        <v>20</v>
      </c>
      <c r="D345" t="s">
        <v>537</v>
      </c>
      <c r="E345">
        <v>7606</v>
      </c>
    </row>
    <row r="346" spans="1:5">
      <c r="A346" s="1">
        <v>45766</v>
      </c>
      <c r="B346" t="s">
        <v>518</v>
      </c>
      <c r="C346" t="s">
        <v>20</v>
      </c>
      <c r="D346" t="s">
        <v>538</v>
      </c>
      <c r="E346">
        <v>411</v>
      </c>
    </row>
    <row r="347" spans="1:5">
      <c r="A347" s="1">
        <v>45766</v>
      </c>
      <c r="B347" t="s">
        <v>514</v>
      </c>
      <c r="C347" t="s">
        <v>20</v>
      </c>
      <c r="D347" t="s">
        <v>539</v>
      </c>
      <c r="E347">
        <v>10522</v>
      </c>
    </row>
    <row r="348" spans="1:5">
      <c r="A348" s="1">
        <v>45766</v>
      </c>
      <c r="B348" t="s">
        <v>438</v>
      </c>
      <c r="C348" t="s">
        <v>20</v>
      </c>
      <c r="D348" t="s">
        <v>540</v>
      </c>
      <c r="E348">
        <v>4337</v>
      </c>
    </row>
    <row r="349" spans="1:5">
      <c r="A349" s="1">
        <v>45766</v>
      </c>
      <c r="B349" t="s">
        <v>541</v>
      </c>
      <c r="C349" t="s">
        <v>20</v>
      </c>
      <c r="D349" t="s">
        <v>542</v>
      </c>
      <c r="E349">
        <v>3500</v>
      </c>
    </row>
    <row r="350" spans="1:5">
      <c r="A350" s="1">
        <v>45768</v>
      </c>
      <c r="B350" t="s">
        <v>543</v>
      </c>
      <c r="C350" t="s">
        <v>19</v>
      </c>
      <c r="D350" t="s">
        <v>544</v>
      </c>
      <c r="E350">
        <v>96700</v>
      </c>
    </row>
    <row r="351" spans="1:5">
      <c r="A351" s="1">
        <v>45768</v>
      </c>
      <c r="B351" t="s">
        <v>543</v>
      </c>
      <c r="C351" t="s">
        <v>19</v>
      </c>
      <c r="D351" t="s">
        <v>545</v>
      </c>
      <c r="E351">
        <v>95022</v>
      </c>
    </row>
    <row r="352" spans="1:5">
      <c r="A352" s="1">
        <v>45768</v>
      </c>
      <c r="B352" t="s">
        <v>546</v>
      </c>
      <c r="C352" t="s">
        <v>20</v>
      </c>
      <c r="D352" t="s">
        <v>547</v>
      </c>
      <c r="E352">
        <v>3000</v>
      </c>
    </row>
    <row r="353" spans="1:5">
      <c r="A353" s="1">
        <v>45768</v>
      </c>
      <c r="B353" t="s">
        <v>512</v>
      </c>
      <c r="C353" t="s">
        <v>20</v>
      </c>
      <c r="D353" t="s">
        <v>548</v>
      </c>
      <c r="E353">
        <v>1800</v>
      </c>
    </row>
    <row r="354" spans="1:5">
      <c r="A354" s="1">
        <v>45768</v>
      </c>
      <c r="B354" t="s">
        <v>43</v>
      </c>
      <c r="C354" t="s">
        <v>20</v>
      </c>
      <c r="D354" t="s">
        <v>549</v>
      </c>
      <c r="E354">
        <v>6685</v>
      </c>
    </row>
    <row r="355" spans="1:5">
      <c r="A355" s="1">
        <v>45768</v>
      </c>
      <c r="B355" t="s">
        <v>174</v>
      </c>
      <c r="C355" t="s">
        <v>20</v>
      </c>
      <c r="D355" t="s">
        <v>550</v>
      </c>
      <c r="E355">
        <v>100</v>
      </c>
    </row>
    <row r="356" spans="1:5">
      <c r="A356" s="1">
        <v>45768</v>
      </c>
      <c r="B356" t="s">
        <v>360</v>
      </c>
      <c r="C356" t="s">
        <v>20</v>
      </c>
      <c r="D356" t="s">
        <v>551</v>
      </c>
      <c r="E356">
        <v>21716</v>
      </c>
    </row>
    <row r="357" spans="1:5">
      <c r="A357" s="1">
        <v>45768</v>
      </c>
      <c r="B357" t="s">
        <v>50</v>
      </c>
      <c r="C357" t="s">
        <v>20</v>
      </c>
      <c r="D357" t="s">
        <v>552</v>
      </c>
      <c r="E357">
        <v>12</v>
      </c>
    </row>
    <row r="358" spans="1:5">
      <c r="A358" s="1">
        <v>45768</v>
      </c>
      <c r="B358" t="s">
        <v>50</v>
      </c>
      <c r="C358" t="s">
        <v>20</v>
      </c>
      <c r="D358" t="s">
        <v>553</v>
      </c>
      <c r="E358">
        <v>12</v>
      </c>
    </row>
    <row r="359" spans="1:5">
      <c r="A359" s="1">
        <v>45768</v>
      </c>
      <c r="B359" t="s">
        <v>89</v>
      </c>
      <c r="C359" t="s">
        <v>20</v>
      </c>
      <c r="D359" t="s">
        <v>554</v>
      </c>
      <c r="E359">
        <v>1087</v>
      </c>
    </row>
    <row r="360" spans="1:5">
      <c r="A360" s="1">
        <v>45768</v>
      </c>
      <c r="B360" t="s">
        <v>512</v>
      </c>
      <c r="C360" t="s">
        <v>20</v>
      </c>
      <c r="D360" t="s">
        <v>555</v>
      </c>
      <c r="E360">
        <v>302</v>
      </c>
    </row>
    <row r="361" spans="1:5">
      <c r="A361" s="1">
        <v>45768</v>
      </c>
      <c r="B361" t="s">
        <v>43</v>
      </c>
      <c r="C361" t="s">
        <v>20</v>
      </c>
      <c r="D361" t="s">
        <v>556</v>
      </c>
      <c r="E361">
        <v>1430</v>
      </c>
    </row>
    <row r="362" spans="1:5">
      <c r="A362" s="1">
        <v>45768</v>
      </c>
      <c r="B362" t="s">
        <v>557</v>
      </c>
      <c r="C362" t="s">
        <v>20</v>
      </c>
      <c r="D362" t="s">
        <v>558</v>
      </c>
      <c r="E362">
        <v>4967</v>
      </c>
    </row>
    <row r="363" spans="1:5">
      <c r="A363" s="1">
        <v>45768</v>
      </c>
      <c r="B363" t="s">
        <v>559</v>
      </c>
      <c r="C363" t="s">
        <v>20</v>
      </c>
      <c r="D363" t="s">
        <v>560</v>
      </c>
      <c r="E363">
        <v>131383</v>
      </c>
    </row>
    <row r="364" spans="1:5">
      <c r="A364" s="1">
        <v>45768</v>
      </c>
      <c r="B364" t="s">
        <v>512</v>
      </c>
      <c r="C364" t="s">
        <v>20</v>
      </c>
      <c r="D364" t="s">
        <v>561</v>
      </c>
      <c r="E364">
        <v>3600</v>
      </c>
    </row>
    <row r="365" spans="1:5">
      <c r="A365" s="1">
        <v>45768</v>
      </c>
      <c r="B365" t="s">
        <v>50</v>
      </c>
      <c r="C365" t="s">
        <v>20</v>
      </c>
      <c r="D365" t="s">
        <v>562</v>
      </c>
      <c r="E365">
        <v>10000</v>
      </c>
    </row>
    <row r="366" spans="1:5">
      <c r="A366" s="1">
        <v>45768</v>
      </c>
      <c r="B366" t="s">
        <v>563</v>
      </c>
      <c r="C366" t="s">
        <v>20</v>
      </c>
      <c r="D366" t="s">
        <v>564</v>
      </c>
      <c r="E366">
        <v>6725</v>
      </c>
    </row>
    <row r="367" spans="1:5">
      <c r="A367" s="1">
        <v>45768</v>
      </c>
      <c r="B367" t="s">
        <v>43</v>
      </c>
      <c r="C367" t="s">
        <v>20</v>
      </c>
      <c r="D367" t="s">
        <v>565</v>
      </c>
      <c r="E367">
        <v>935</v>
      </c>
    </row>
    <row r="368" spans="1:5">
      <c r="A368" s="1">
        <v>45768</v>
      </c>
      <c r="B368" t="s">
        <v>566</v>
      </c>
      <c r="C368" t="s">
        <v>20</v>
      </c>
      <c r="D368" t="s">
        <v>567</v>
      </c>
      <c r="E368">
        <v>1066</v>
      </c>
    </row>
    <row r="369" spans="1:5">
      <c r="A369" s="1">
        <v>45768</v>
      </c>
      <c r="B369" t="s">
        <v>557</v>
      </c>
      <c r="C369" t="s">
        <v>20</v>
      </c>
      <c r="D369" t="s">
        <v>568</v>
      </c>
      <c r="E369">
        <v>357</v>
      </c>
    </row>
    <row r="370" spans="1:5">
      <c r="A370" s="1">
        <v>45768</v>
      </c>
      <c r="B370" t="s">
        <v>526</v>
      </c>
      <c r="C370" t="s">
        <v>20</v>
      </c>
      <c r="D370" t="s">
        <v>569</v>
      </c>
      <c r="E370">
        <v>189</v>
      </c>
    </row>
    <row r="371" spans="1:5">
      <c r="A371" s="1">
        <v>45768</v>
      </c>
      <c r="B371" t="s">
        <v>570</v>
      </c>
      <c r="C371" t="s">
        <v>20</v>
      </c>
      <c r="D371" t="s">
        <v>571</v>
      </c>
      <c r="E371">
        <v>50</v>
      </c>
    </row>
    <row r="372" spans="1:5">
      <c r="A372" s="1">
        <v>45768</v>
      </c>
      <c r="B372" t="s">
        <v>557</v>
      </c>
      <c r="C372" t="s">
        <v>20</v>
      </c>
      <c r="D372" t="s">
        <v>572</v>
      </c>
      <c r="E372">
        <v>2714</v>
      </c>
    </row>
    <row r="373" spans="1:5">
      <c r="A373" s="1">
        <v>45768</v>
      </c>
      <c r="B373" t="s">
        <v>50</v>
      </c>
      <c r="C373" t="s">
        <v>20</v>
      </c>
      <c r="D373" t="s">
        <v>573</v>
      </c>
      <c r="E373">
        <v>12</v>
      </c>
    </row>
    <row r="374" spans="1:5">
      <c r="A374" s="1">
        <v>45768</v>
      </c>
      <c r="B374" t="s">
        <v>474</v>
      </c>
      <c r="C374" t="s">
        <v>20</v>
      </c>
      <c r="D374" t="s">
        <v>574</v>
      </c>
      <c r="E374">
        <v>360</v>
      </c>
    </row>
    <row r="375" spans="1:5">
      <c r="A375" s="1">
        <v>45768</v>
      </c>
      <c r="B375" t="s">
        <v>575</v>
      </c>
      <c r="C375" t="s">
        <v>20</v>
      </c>
      <c r="D375" t="s">
        <v>576</v>
      </c>
      <c r="E375">
        <v>608</v>
      </c>
    </row>
    <row r="376" spans="1:5">
      <c r="A376" s="1">
        <v>45768</v>
      </c>
      <c r="B376" t="s">
        <v>514</v>
      </c>
      <c r="C376" t="s">
        <v>20</v>
      </c>
      <c r="D376" t="s">
        <v>577</v>
      </c>
      <c r="E376">
        <v>3600</v>
      </c>
    </row>
    <row r="377" spans="1:5">
      <c r="A377" s="1">
        <v>45768</v>
      </c>
      <c r="B377" t="s">
        <v>578</v>
      </c>
      <c r="C377" t="s">
        <v>20</v>
      </c>
      <c r="D377" t="s">
        <v>579</v>
      </c>
      <c r="E377">
        <v>80</v>
      </c>
    </row>
    <row r="378" spans="1:5">
      <c r="A378" s="1">
        <v>45768</v>
      </c>
      <c r="B378" t="s">
        <v>580</v>
      </c>
      <c r="C378" t="s">
        <v>20</v>
      </c>
      <c r="D378" t="s">
        <v>581</v>
      </c>
      <c r="E378">
        <v>200</v>
      </c>
    </row>
    <row r="379" spans="1:5">
      <c r="A379" s="1">
        <v>45768</v>
      </c>
      <c r="B379" t="s">
        <v>582</v>
      </c>
      <c r="C379" t="s">
        <v>20</v>
      </c>
      <c r="D379" t="s">
        <v>583</v>
      </c>
      <c r="E379">
        <v>44183</v>
      </c>
    </row>
    <row r="380" spans="1:5">
      <c r="A380" s="1">
        <v>45769</v>
      </c>
      <c r="B380" t="s">
        <v>216</v>
      </c>
      <c r="C380" t="s">
        <v>19</v>
      </c>
      <c r="D380" t="s">
        <v>584</v>
      </c>
      <c r="E380">
        <v>3338</v>
      </c>
    </row>
    <row r="381" spans="1:5">
      <c r="A381" s="1">
        <v>45769</v>
      </c>
      <c r="B381" t="s">
        <v>58</v>
      </c>
      <c r="C381" t="s">
        <v>19</v>
      </c>
      <c r="D381" t="s">
        <v>585</v>
      </c>
      <c r="E381">
        <v>1231</v>
      </c>
    </row>
    <row r="382" spans="1:5">
      <c r="A382" s="1">
        <v>45769</v>
      </c>
      <c r="B382" t="s">
        <v>586</v>
      </c>
      <c r="C382" t="s">
        <v>19</v>
      </c>
      <c r="D382" t="s">
        <v>587</v>
      </c>
      <c r="E382">
        <v>3600</v>
      </c>
    </row>
    <row r="383" spans="1:5">
      <c r="A383" s="1">
        <v>45769</v>
      </c>
      <c r="B383" t="s">
        <v>588</v>
      </c>
      <c r="C383" t="s">
        <v>19</v>
      </c>
      <c r="D383" t="s">
        <v>589</v>
      </c>
      <c r="E383">
        <v>46064</v>
      </c>
    </row>
    <row r="384" spans="1:5">
      <c r="A384" s="1">
        <v>45769</v>
      </c>
      <c r="B384" t="s">
        <v>197</v>
      </c>
      <c r="C384" t="s">
        <v>20</v>
      </c>
      <c r="D384" t="s">
        <v>590</v>
      </c>
      <c r="E384">
        <v>245</v>
      </c>
    </row>
    <row r="385" spans="1:5">
      <c r="A385" s="1">
        <v>45769</v>
      </c>
      <c r="B385" t="s">
        <v>591</v>
      </c>
      <c r="C385" t="s">
        <v>20</v>
      </c>
      <c r="D385" t="s">
        <v>592</v>
      </c>
      <c r="E385">
        <v>2534</v>
      </c>
    </row>
    <row r="386" spans="1:5">
      <c r="A386" s="1">
        <v>45769</v>
      </c>
      <c r="B386" t="s">
        <v>35</v>
      </c>
      <c r="C386" t="s">
        <v>20</v>
      </c>
      <c r="D386" t="s">
        <v>593</v>
      </c>
      <c r="E386">
        <v>22868</v>
      </c>
    </row>
    <row r="387" spans="1:5">
      <c r="A387" s="1">
        <v>45769</v>
      </c>
      <c r="B387" t="s">
        <v>360</v>
      </c>
      <c r="C387" t="s">
        <v>20</v>
      </c>
      <c r="D387" t="s">
        <v>594</v>
      </c>
      <c r="E387">
        <v>5940</v>
      </c>
    </row>
    <row r="388" spans="1:5">
      <c r="A388" s="1">
        <v>45769</v>
      </c>
      <c r="B388" t="s">
        <v>595</v>
      </c>
      <c r="C388" t="s">
        <v>20</v>
      </c>
      <c r="D388" t="s">
        <v>596</v>
      </c>
      <c r="E388">
        <v>12984</v>
      </c>
    </row>
    <row r="389" spans="1:5">
      <c r="A389" s="1">
        <v>45769</v>
      </c>
      <c r="B389" t="s">
        <v>597</v>
      </c>
      <c r="C389" t="s">
        <v>20</v>
      </c>
      <c r="D389" t="s">
        <v>598</v>
      </c>
      <c r="E389">
        <v>8062</v>
      </c>
    </row>
    <row r="390" spans="1:5">
      <c r="A390" s="1">
        <v>45769</v>
      </c>
      <c r="B390" t="s">
        <v>184</v>
      </c>
      <c r="C390" t="s">
        <v>20</v>
      </c>
      <c r="D390" t="s">
        <v>599</v>
      </c>
      <c r="E390">
        <v>1800</v>
      </c>
    </row>
    <row r="391" spans="1:5">
      <c r="A391" s="1">
        <v>45769</v>
      </c>
      <c r="B391" t="s">
        <v>45</v>
      </c>
      <c r="C391" t="s">
        <v>20</v>
      </c>
      <c r="D391" t="s">
        <v>600</v>
      </c>
      <c r="E391">
        <v>893</v>
      </c>
    </row>
    <row r="392" spans="1:5">
      <c r="A392" s="1">
        <v>45769</v>
      </c>
      <c r="B392" t="s">
        <v>601</v>
      </c>
      <c r="C392" t="s">
        <v>20</v>
      </c>
      <c r="D392" t="s">
        <v>602</v>
      </c>
      <c r="E392">
        <v>997</v>
      </c>
    </row>
    <row r="393" spans="1:5">
      <c r="A393" s="1">
        <v>45769</v>
      </c>
      <c r="B393" t="s">
        <v>603</v>
      </c>
      <c r="C393" t="s">
        <v>20</v>
      </c>
      <c r="D393" t="s">
        <v>604</v>
      </c>
      <c r="E393">
        <v>4602</v>
      </c>
    </row>
    <row r="394" spans="1:5">
      <c r="A394" s="1">
        <v>45769</v>
      </c>
      <c r="B394" t="s">
        <v>605</v>
      </c>
      <c r="C394" t="s">
        <v>20</v>
      </c>
      <c r="D394" t="s">
        <v>606</v>
      </c>
      <c r="E394">
        <v>800</v>
      </c>
    </row>
    <row r="395" spans="1:5">
      <c r="A395" s="1">
        <v>45769</v>
      </c>
      <c r="B395" t="s">
        <v>607</v>
      </c>
      <c r="C395" t="s">
        <v>20</v>
      </c>
      <c r="D395" t="s">
        <v>608</v>
      </c>
      <c r="E395">
        <v>1050</v>
      </c>
    </row>
    <row r="396" spans="1:5">
      <c r="A396" s="1">
        <v>45769</v>
      </c>
      <c r="B396" t="s">
        <v>609</v>
      </c>
      <c r="C396" t="s">
        <v>20</v>
      </c>
      <c r="D396" t="s">
        <v>610</v>
      </c>
      <c r="E396">
        <v>10800</v>
      </c>
    </row>
    <row r="397" spans="1:5">
      <c r="A397" s="1">
        <v>45769</v>
      </c>
      <c r="B397" t="s">
        <v>360</v>
      </c>
      <c r="C397" t="s">
        <v>20</v>
      </c>
      <c r="D397" t="s">
        <v>611</v>
      </c>
      <c r="E397">
        <v>50</v>
      </c>
    </row>
    <row r="398" spans="1:5">
      <c r="A398" s="1">
        <v>45769</v>
      </c>
      <c r="B398" t="s">
        <v>597</v>
      </c>
      <c r="C398" t="s">
        <v>20</v>
      </c>
      <c r="D398" t="s">
        <v>612</v>
      </c>
      <c r="E398">
        <v>3131</v>
      </c>
    </row>
    <row r="399" spans="1:5">
      <c r="A399" s="1">
        <v>45769</v>
      </c>
      <c r="B399" t="s">
        <v>50</v>
      </c>
      <c r="C399" t="s">
        <v>20</v>
      </c>
      <c r="D399" t="s">
        <v>613</v>
      </c>
      <c r="E399">
        <v>12</v>
      </c>
    </row>
    <row r="400" spans="1:5">
      <c r="A400" s="1">
        <v>45769</v>
      </c>
      <c r="B400" t="s">
        <v>50</v>
      </c>
      <c r="C400" t="s">
        <v>20</v>
      </c>
      <c r="D400" t="s">
        <v>614</v>
      </c>
      <c r="E400">
        <v>1326</v>
      </c>
    </row>
    <row r="401" spans="1:5">
      <c r="A401" s="1">
        <v>45769</v>
      </c>
      <c r="B401" t="s">
        <v>50</v>
      </c>
      <c r="C401" t="s">
        <v>20</v>
      </c>
      <c r="D401" t="s">
        <v>615</v>
      </c>
      <c r="E401">
        <v>11</v>
      </c>
    </row>
    <row r="402" spans="1:5">
      <c r="A402" s="1">
        <v>45770</v>
      </c>
      <c r="B402" t="s">
        <v>591</v>
      </c>
      <c r="C402" t="s">
        <v>20</v>
      </c>
      <c r="D402" t="s">
        <v>616</v>
      </c>
      <c r="E402">
        <v>3234</v>
      </c>
    </row>
    <row r="403" spans="1:5">
      <c r="A403" s="1">
        <v>45770</v>
      </c>
      <c r="B403" t="s">
        <v>617</v>
      </c>
      <c r="C403" t="s">
        <v>20</v>
      </c>
      <c r="D403" t="s">
        <v>618</v>
      </c>
      <c r="E403">
        <v>71335</v>
      </c>
    </row>
    <row r="404" spans="1:5">
      <c r="A404" s="1">
        <v>45770</v>
      </c>
      <c r="B404" t="s">
        <v>619</v>
      </c>
      <c r="C404" t="s">
        <v>20</v>
      </c>
      <c r="D404" t="s">
        <v>620</v>
      </c>
      <c r="E404">
        <v>1080</v>
      </c>
    </row>
    <row r="405" spans="1:5">
      <c r="A405" s="1">
        <v>45770</v>
      </c>
      <c r="B405" t="s">
        <v>563</v>
      </c>
      <c r="C405" t="s">
        <v>20</v>
      </c>
      <c r="D405" t="s">
        <v>621</v>
      </c>
      <c r="E405">
        <v>1409</v>
      </c>
    </row>
    <row r="406" spans="1:5">
      <c r="A406" s="1">
        <v>45770</v>
      </c>
      <c r="B406" t="s">
        <v>298</v>
      </c>
      <c r="C406" t="s">
        <v>20</v>
      </c>
      <c r="D406" t="s">
        <v>622</v>
      </c>
      <c r="E406">
        <v>1525</v>
      </c>
    </row>
    <row r="407" spans="1:5">
      <c r="A407" s="1">
        <v>45770</v>
      </c>
      <c r="B407" t="s">
        <v>64</v>
      </c>
      <c r="C407" t="s">
        <v>20</v>
      </c>
      <c r="D407" t="s">
        <v>623</v>
      </c>
      <c r="E407">
        <v>2158</v>
      </c>
    </row>
    <row r="408" spans="1:5">
      <c r="A408" s="1">
        <v>45770</v>
      </c>
      <c r="B408" t="s">
        <v>624</v>
      </c>
      <c r="C408" t="s">
        <v>20</v>
      </c>
      <c r="D408" t="s">
        <v>625</v>
      </c>
      <c r="E408">
        <v>1702</v>
      </c>
    </row>
    <row r="409" spans="1:5">
      <c r="A409" s="1">
        <v>45770</v>
      </c>
      <c r="B409" t="s">
        <v>626</v>
      </c>
      <c r="C409" t="s">
        <v>20</v>
      </c>
      <c r="D409" t="s">
        <v>627</v>
      </c>
      <c r="E409">
        <v>215</v>
      </c>
    </row>
    <row r="410" spans="1:5">
      <c r="A410" s="1">
        <v>45770</v>
      </c>
      <c r="B410" t="s">
        <v>628</v>
      </c>
      <c r="C410" t="s">
        <v>20</v>
      </c>
      <c r="D410" t="s">
        <v>629</v>
      </c>
      <c r="E410">
        <v>1551</v>
      </c>
    </row>
    <row r="411" spans="1:5">
      <c r="A411" s="1">
        <v>45770</v>
      </c>
      <c r="B411" t="s">
        <v>50</v>
      </c>
      <c r="C411" t="s">
        <v>20</v>
      </c>
      <c r="D411" t="s">
        <v>630</v>
      </c>
      <c r="E411">
        <v>12</v>
      </c>
    </row>
    <row r="412" spans="1:5">
      <c r="A412" s="1">
        <v>45770</v>
      </c>
      <c r="B412" t="s">
        <v>205</v>
      </c>
      <c r="C412" t="s">
        <v>20</v>
      </c>
      <c r="D412" t="s">
        <v>631</v>
      </c>
      <c r="E412">
        <v>1330</v>
      </c>
    </row>
    <row r="413" spans="1:5">
      <c r="A413" s="1">
        <v>45770</v>
      </c>
      <c r="B413" t="s">
        <v>370</v>
      </c>
      <c r="C413" t="s">
        <v>20</v>
      </c>
      <c r="D413" t="s">
        <v>632</v>
      </c>
      <c r="E413">
        <v>85</v>
      </c>
    </row>
    <row r="414" spans="1:5">
      <c r="A414" s="1">
        <v>45770</v>
      </c>
      <c r="B414" t="s">
        <v>563</v>
      </c>
      <c r="C414" t="s">
        <v>20</v>
      </c>
      <c r="D414" t="s">
        <v>633</v>
      </c>
      <c r="E414">
        <v>360</v>
      </c>
    </row>
    <row r="415" spans="1:5">
      <c r="A415" s="1">
        <v>45770</v>
      </c>
      <c r="B415" t="s">
        <v>68</v>
      </c>
      <c r="C415" t="s">
        <v>20</v>
      </c>
      <c r="D415" t="s">
        <v>634</v>
      </c>
      <c r="E415">
        <v>9083</v>
      </c>
    </row>
    <row r="416" spans="1:5">
      <c r="A416" s="1">
        <v>45770</v>
      </c>
      <c r="B416" t="s">
        <v>512</v>
      </c>
      <c r="C416" t="s">
        <v>20</v>
      </c>
      <c r="D416" t="s">
        <v>635</v>
      </c>
      <c r="E416">
        <v>1260</v>
      </c>
    </row>
    <row r="417" spans="1:5">
      <c r="A417" s="1">
        <v>45771</v>
      </c>
      <c r="B417" t="s">
        <v>58</v>
      </c>
      <c r="C417" t="s">
        <v>19</v>
      </c>
      <c r="D417" t="s">
        <v>636</v>
      </c>
      <c r="E417">
        <v>4914</v>
      </c>
    </row>
    <row r="418" spans="1:5">
      <c r="A418" s="1">
        <v>45771</v>
      </c>
      <c r="B418" t="s">
        <v>282</v>
      </c>
      <c r="C418" t="s">
        <v>19</v>
      </c>
      <c r="D418" t="s">
        <v>637</v>
      </c>
      <c r="E418">
        <v>3600</v>
      </c>
    </row>
    <row r="419" spans="1:5">
      <c r="A419" s="1">
        <v>45771</v>
      </c>
      <c r="B419" t="s">
        <v>48</v>
      </c>
      <c r="C419" t="s">
        <v>20</v>
      </c>
      <c r="D419" t="s">
        <v>638</v>
      </c>
      <c r="E419">
        <v>17362</v>
      </c>
    </row>
    <row r="420" spans="1:5">
      <c r="A420" s="1">
        <v>45771</v>
      </c>
      <c r="B420" t="s">
        <v>184</v>
      </c>
      <c r="C420" t="s">
        <v>20</v>
      </c>
      <c r="D420" t="s">
        <v>639</v>
      </c>
      <c r="E420">
        <v>1783</v>
      </c>
    </row>
    <row r="421" spans="1:5">
      <c r="A421" s="1">
        <v>45771</v>
      </c>
      <c r="B421" t="s">
        <v>640</v>
      </c>
      <c r="C421" t="s">
        <v>20</v>
      </c>
      <c r="D421" t="s">
        <v>641</v>
      </c>
      <c r="E421">
        <v>644</v>
      </c>
    </row>
    <row r="422" spans="1:5">
      <c r="A422" s="1">
        <v>45771</v>
      </c>
      <c r="B422" t="s">
        <v>642</v>
      </c>
      <c r="C422" t="s">
        <v>20</v>
      </c>
      <c r="D422" t="s">
        <v>643</v>
      </c>
      <c r="E422">
        <v>256</v>
      </c>
    </row>
    <row r="423" spans="1:5">
      <c r="A423" s="1">
        <v>45771</v>
      </c>
      <c r="B423" t="s">
        <v>644</v>
      </c>
      <c r="C423" t="s">
        <v>20</v>
      </c>
      <c r="D423" t="s">
        <v>645</v>
      </c>
      <c r="E423">
        <v>9257</v>
      </c>
    </row>
    <row r="424" spans="1:5">
      <c r="A424" s="1">
        <v>45771</v>
      </c>
      <c r="B424" t="s">
        <v>45</v>
      </c>
      <c r="C424" t="s">
        <v>20</v>
      </c>
      <c r="D424" t="s">
        <v>646</v>
      </c>
      <c r="E424">
        <v>2052</v>
      </c>
    </row>
    <row r="425" spans="1:5">
      <c r="A425" s="1">
        <v>45771</v>
      </c>
      <c r="B425" t="s">
        <v>647</v>
      </c>
      <c r="C425" t="s">
        <v>20</v>
      </c>
      <c r="D425" t="s">
        <v>648</v>
      </c>
      <c r="E425">
        <v>1638</v>
      </c>
    </row>
    <row r="426" spans="1:5">
      <c r="A426" s="1">
        <v>45771</v>
      </c>
      <c r="B426" t="s">
        <v>50</v>
      </c>
      <c r="C426" t="s">
        <v>20</v>
      </c>
      <c r="D426" t="s">
        <v>649</v>
      </c>
      <c r="E426">
        <v>55</v>
      </c>
    </row>
    <row r="427" spans="1:5">
      <c r="A427" s="1">
        <v>45771</v>
      </c>
      <c r="B427" t="s">
        <v>222</v>
      </c>
      <c r="C427" t="s">
        <v>20</v>
      </c>
      <c r="D427" t="s">
        <v>650</v>
      </c>
      <c r="E427">
        <v>1080</v>
      </c>
    </row>
    <row r="428" spans="1:5">
      <c r="A428" s="1">
        <v>45771</v>
      </c>
      <c r="B428" t="s">
        <v>50</v>
      </c>
      <c r="C428" t="s">
        <v>20</v>
      </c>
      <c r="D428" t="s">
        <v>651</v>
      </c>
      <c r="E428">
        <v>360</v>
      </c>
    </row>
    <row r="429" spans="1:5">
      <c r="A429" s="1">
        <v>45771</v>
      </c>
      <c r="B429" t="s">
        <v>50</v>
      </c>
      <c r="C429" t="s">
        <v>20</v>
      </c>
      <c r="D429" t="s">
        <v>652</v>
      </c>
      <c r="E429">
        <v>23597</v>
      </c>
    </row>
    <row r="430" spans="1:5">
      <c r="A430" s="1">
        <v>45771</v>
      </c>
      <c r="B430" t="s">
        <v>653</v>
      </c>
      <c r="C430" t="s">
        <v>20</v>
      </c>
      <c r="D430" t="s">
        <v>654</v>
      </c>
      <c r="E430">
        <v>7344</v>
      </c>
    </row>
    <row r="431" spans="1:5">
      <c r="A431" s="1">
        <v>45771</v>
      </c>
      <c r="B431" t="s">
        <v>50</v>
      </c>
      <c r="C431" t="s">
        <v>20</v>
      </c>
      <c r="D431" t="s">
        <v>655</v>
      </c>
      <c r="E431">
        <v>12</v>
      </c>
    </row>
    <row r="432" spans="1:5">
      <c r="A432" s="1">
        <v>45771</v>
      </c>
      <c r="B432" t="s">
        <v>656</v>
      </c>
      <c r="C432" t="s">
        <v>20</v>
      </c>
      <c r="D432" t="s">
        <v>657</v>
      </c>
      <c r="E432">
        <v>4011</v>
      </c>
    </row>
    <row r="433" spans="1:5">
      <c r="A433" s="1">
        <v>45771</v>
      </c>
      <c r="B433" t="s">
        <v>658</v>
      </c>
      <c r="C433" t="s">
        <v>20</v>
      </c>
      <c r="D433" t="s">
        <v>659</v>
      </c>
      <c r="E433">
        <v>797</v>
      </c>
    </row>
    <row r="434" spans="1:5">
      <c r="A434" s="1">
        <v>45771</v>
      </c>
      <c r="B434" t="s">
        <v>81</v>
      </c>
      <c r="C434" t="s">
        <v>20</v>
      </c>
      <c r="D434" t="s">
        <v>660</v>
      </c>
      <c r="E434">
        <v>3790</v>
      </c>
    </row>
    <row r="435" spans="1:5">
      <c r="A435" s="1">
        <v>45771</v>
      </c>
      <c r="B435" t="s">
        <v>512</v>
      </c>
      <c r="C435" t="s">
        <v>20</v>
      </c>
      <c r="D435" t="s">
        <v>661</v>
      </c>
      <c r="E435">
        <v>1800</v>
      </c>
    </row>
    <row r="436" spans="1:5">
      <c r="A436" s="1">
        <v>45771</v>
      </c>
      <c r="B436" t="s">
        <v>662</v>
      </c>
      <c r="C436" t="s">
        <v>20</v>
      </c>
      <c r="D436" t="s">
        <v>663</v>
      </c>
      <c r="E436">
        <v>24830</v>
      </c>
    </row>
    <row r="437" spans="1:5">
      <c r="A437" s="1">
        <v>45771</v>
      </c>
      <c r="B437" t="s">
        <v>64</v>
      </c>
      <c r="C437" t="s">
        <v>20</v>
      </c>
      <c r="D437" t="s">
        <v>664</v>
      </c>
      <c r="E437">
        <v>1503</v>
      </c>
    </row>
    <row r="438" spans="1:5">
      <c r="A438" s="1">
        <v>45771</v>
      </c>
      <c r="B438" t="s">
        <v>601</v>
      </c>
      <c r="C438" t="s">
        <v>20</v>
      </c>
      <c r="D438" t="s">
        <v>665</v>
      </c>
      <c r="E438">
        <v>5030</v>
      </c>
    </row>
    <row r="439" spans="1:5">
      <c r="A439" s="1">
        <v>45771</v>
      </c>
      <c r="B439" t="s">
        <v>666</v>
      </c>
      <c r="C439" t="s">
        <v>20</v>
      </c>
      <c r="D439" t="s">
        <v>667</v>
      </c>
      <c r="E439">
        <v>1540</v>
      </c>
    </row>
    <row r="440" spans="1:5">
      <c r="A440" s="1">
        <v>45771</v>
      </c>
      <c r="B440" t="s">
        <v>582</v>
      </c>
      <c r="C440" t="s">
        <v>20</v>
      </c>
      <c r="D440" t="s">
        <v>668</v>
      </c>
      <c r="E440">
        <v>1925</v>
      </c>
    </row>
    <row r="441" spans="1:5">
      <c r="A441" s="1">
        <v>45771</v>
      </c>
      <c r="B441" t="s">
        <v>624</v>
      </c>
      <c r="C441" t="s">
        <v>20</v>
      </c>
      <c r="D441" t="s">
        <v>669</v>
      </c>
      <c r="E441">
        <v>140</v>
      </c>
    </row>
    <row r="442" spans="1:5">
      <c r="A442" s="1">
        <v>45771</v>
      </c>
      <c r="B442" t="s">
        <v>670</v>
      </c>
      <c r="C442" t="s">
        <v>20</v>
      </c>
      <c r="D442" t="s">
        <v>671</v>
      </c>
      <c r="E442">
        <v>1782</v>
      </c>
    </row>
    <row r="443" spans="1:5">
      <c r="A443" s="1">
        <v>45772</v>
      </c>
      <c r="B443" t="s">
        <v>586</v>
      </c>
      <c r="C443" t="s">
        <v>19</v>
      </c>
      <c r="D443" t="s">
        <v>672</v>
      </c>
      <c r="E443">
        <v>2160</v>
      </c>
    </row>
    <row r="444" spans="1:5">
      <c r="A444" s="1">
        <v>45772</v>
      </c>
      <c r="B444" t="s">
        <v>56</v>
      </c>
      <c r="C444" t="s">
        <v>19</v>
      </c>
      <c r="D444" t="s">
        <v>673</v>
      </c>
      <c r="E444">
        <v>54918</v>
      </c>
    </row>
    <row r="445" spans="1:5">
      <c r="A445" s="1">
        <v>45772</v>
      </c>
      <c r="B445" t="s">
        <v>674</v>
      </c>
      <c r="C445" t="s">
        <v>19</v>
      </c>
      <c r="D445" t="s">
        <v>675</v>
      </c>
      <c r="E445">
        <v>3700</v>
      </c>
    </row>
    <row r="446" spans="1:5">
      <c r="A446" s="1">
        <v>45772</v>
      </c>
      <c r="B446" t="s">
        <v>557</v>
      </c>
      <c r="C446" t="s">
        <v>20</v>
      </c>
      <c r="D446" t="s">
        <v>676</v>
      </c>
      <c r="E446">
        <v>22864</v>
      </c>
    </row>
    <row r="447" spans="1:5">
      <c r="A447" s="1">
        <v>45772</v>
      </c>
      <c r="B447" t="s">
        <v>557</v>
      </c>
      <c r="C447" t="s">
        <v>20</v>
      </c>
      <c r="D447" t="s">
        <v>677</v>
      </c>
      <c r="E447">
        <v>3857</v>
      </c>
    </row>
    <row r="448" spans="1:5">
      <c r="A448" s="1">
        <v>45772</v>
      </c>
      <c r="B448" t="s">
        <v>474</v>
      </c>
      <c r="C448" t="s">
        <v>20</v>
      </c>
      <c r="D448" t="s">
        <v>678</v>
      </c>
      <c r="E448">
        <v>8792</v>
      </c>
    </row>
    <row r="449" spans="1:5">
      <c r="A449" s="1">
        <v>45772</v>
      </c>
      <c r="B449" t="s">
        <v>68</v>
      </c>
      <c r="C449" t="s">
        <v>20</v>
      </c>
      <c r="D449" t="s">
        <v>679</v>
      </c>
      <c r="E449">
        <v>684</v>
      </c>
    </row>
    <row r="450" spans="1:5">
      <c r="A450" s="1">
        <v>45772</v>
      </c>
      <c r="B450" t="s">
        <v>68</v>
      </c>
      <c r="C450" t="s">
        <v>20</v>
      </c>
      <c r="D450" t="s">
        <v>680</v>
      </c>
      <c r="E450">
        <v>1200</v>
      </c>
    </row>
    <row r="451" spans="1:5">
      <c r="A451" s="1">
        <v>45772</v>
      </c>
      <c r="B451" t="s">
        <v>681</v>
      </c>
      <c r="C451" t="s">
        <v>20</v>
      </c>
      <c r="D451" t="s">
        <v>682</v>
      </c>
      <c r="E451">
        <v>932</v>
      </c>
    </row>
    <row r="452" spans="1:5">
      <c r="A452" s="1">
        <v>45772</v>
      </c>
      <c r="B452" t="s">
        <v>474</v>
      </c>
      <c r="C452" t="s">
        <v>20</v>
      </c>
      <c r="D452" t="s">
        <v>683</v>
      </c>
      <c r="E452">
        <v>3600</v>
      </c>
    </row>
    <row r="453" spans="1:5">
      <c r="A453" s="1">
        <v>45772</v>
      </c>
      <c r="B453" t="s">
        <v>684</v>
      </c>
      <c r="C453" t="s">
        <v>20</v>
      </c>
      <c r="D453" t="s">
        <v>685</v>
      </c>
      <c r="E453">
        <v>14308</v>
      </c>
    </row>
    <row r="454" spans="1:5">
      <c r="A454" s="1">
        <v>45772</v>
      </c>
      <c r="B454" t="s">
        <v>43</v>
      </c>
      <c r="C454" t="s">
        <v>20</v>
      </c>
      <c r="D454" t="s">
        <v>686</v>
      </c>
      <c r="E454">
        <v>3186</v>
      </c>
    </row>
    <row r="455" spans="1:5">
      <c r="A455" s="1">
        <v>45772</v>
      </c>
      <c r="B455" t="s">
        <v>687</v>
      </c>
      <c r="C455" t="s">
        <v>20</v>
      </c>
      <c r="D455" t="s">
        <v>688</v>
      </c>
      <c r="E455">
        <v>1784</v>
      </c>
    </row>
    <row r="456" spans="1:5">
      <c r="A456" s="1">
        <v>45772</v>
      </c>
      <c r="B456" t="s">
        <v>681</v>
      </c>
      <c r="C456" t="s">
        <v>20</v>
      </c>
      <c r="D456" t="s">
        <v>689</v>
      </c>
      <c r="E456">
        <v>978</v>
      </c>
    </row>
    <row r="457" spans="1:5">
      <c r="A457" s="1">
        <v>45772</v>
      </c>
      <c r="B457" t="s">
        <v>48</v>
      </c>
      <c r="C457" t="s">
        <v>20</v>
      </c>
      <c r="D457" t="s">
        <v>690</v>
      </c>
      <c r="E457">
        <v>15918</v>
      </c>
    </row>
    <row r="458" spans="1:5">
      <c r="A458" s="1">
        <v>45772</v>
      </c>
      <c r="B458" t="s">
        <v>52</v>
      </c>
      <c r="C458" t="s">
        <v>20</v>
      </c>
      <c r="D458" t="s">
        <v>691</v>
      </c>
      <c r="E458">
        <v>7960</v>
      </c>
    </row>
    <row r="459" spans="1:5">
      <c r="A459" s="1">
        <v>45772</v>
      </c>
      <c r="B459" t="s">
        <v>50</v>
      </c>
      <c r="C459" t="s">
        <v>20</v>
      </c>
      <c r="D459" t="s">
        <v>692</v>
      </c>
      <c r="E459">
        <v>12</v>
      </c>
    </row>
    <row r="460" spans="1:5">
      <c r="A460" s="1">
        <v>45772</v>
      </c>
      <c r="B460" t="s">
        <v>43</v>
      </c>
      <c r="C460" t="s">
        <v>20</v>
      </c>
      <c r="D460" t="s">
        <v>693</v>
      </c>
      <c r="E460">
        <v>35064</v>
      </c>
    </row>
    <row r="461" spans="1:5">
      <c r="A461" s="1">
        <v>45772</v>
      </c>
      <c r="B461" t="s">
        <v>684</v>
      </c>
      <c r="C461" t="s">
        <v>20</v>
      </c>
      <c r="D461" t="s">
        <v>694</v>
      </c>
      <c r="E461">
        <v>802</v>
      </c>
    </row>
    <row r="462" spans="1:5">
      <c r="A462" s="1">
        <v>45772</v>
      </c>
      <c r="B462" t="s">
        <v>50</v>
      </c>
      <c r="C462" t="s">
        <v>20</v>
      </c>
      <c r="D462" t="s">
        <v>695</v>
      </c>
      <c r="E462">
        <v>3033</v>
      </c>
    </row>
    <row r="463" spans="1:5">
      <c r="A463" s="1">
        <v>45772</v>
      </c>
      <c r="B463" t="s">
        <v>684</v>
      </c>
      <c r="C463" t="s">
        <v>20</v>
      </c>
      <c r="D463" t="s">
        <v>696</v>
      </c>
      <c r="E463">
        <v>305</v>
      </c>
    </row>
    <row r="464" spans="1:5">
      <c r="A464" s="1">
        <v>45772</v>
      </c>
      <c r="B464" t="s">
        <v>50</v>
      </c>
      <c r="C464" t="s">
        <v>20</v>
      </c>
      <c r="D464" t="s">
        <v>697</v>
      </c>
      <c r="E464">
        <v>12</v>
      </c>
    </row>
    <row r="465" spans="1:5">
      <c r="A465" s="1">
        <v>45773</v>
      </c>
      <c r="B465" t="s">
        <v>698</v>
      </c>
      <c r="C465" t="s">
        <v>19</v>
      </c>
      <c r="D465" t="s">
        <v>699</v>
      </c>
      <c r="E465">
        <v>873</v>
      </c>
    </row>
    <row r="466" spans="1:5">
      <c r="A466" s="1">
        <v>45773</v>
      </c>
      <c r="B466" t="s">
        <v>56</v>
      </c>
      <c r="C466" t="s">
        <v>19</v>
      </c>
      <c r="D466" t="s">
        <v>700</v>
      </c>
      <c r="E466">
        <v>2975</v>
      </c>
    </row>
    <row r="467" spans="1:5">
      <c r="A467" s="1">
        <v>45773</v>
      </c>
      <c r="B467" t="s">
        <v>586</v>
      </c>
      <c r="C467" t="s">
        <v>19</v>
      </c>
      <c r="D467" t="s">
        <v>701</v>
      </c>
      <c r="E467">
        <v>2160</v>
      </c>
    </row>
    <row r="468" spans="1:5">
      <c r="A468" s="1">
        <v>45773</v>
      </c>
      <c r="B468" t="s">
        <v>543</v>
      </c>
      <c r="C468" t="s">
        <v>19</v>
      </c>
      <c r="D468" t="s">
        <v>702</v>
      </c>
      <c r="E468">
        <v>12497</v>
      </c>
    </row>
    <row r="469" spans="1:5">
      <c r="A469" s="1">
        <v>45773</v>
      </c>
      <c r="B469" t="s">
        <v>703</v>
      </c>
      <c r="C469" t="s">
        <v>19</v>
      </c>
      <c r="D469" t="s">
        <v>704</v>
      </c>
      <c r="E469">
        <v>9673</v>
      </c>
    </row>
    <row r="470" spans="1:5">
      <c r="A470" s="1">
        <v>45773</v>
      </c>
      <c r="B470" t="s">
        <v>50</v>
      </c>
      <c r="C470" t="s">
        <v>20</v>
      </c>
      <c r="D470" t="s">
        <v>705</v>
      </c>
      <c r="E470">
        <v>360</v>
      </c>
    </row>
    <row r="471" spans="1:5">
      <c r="A471" s="1">
        <v>45773</v>
      </c>
      <c r="B471" t="s">
        <v>706</v>
      </c>
      <c r="C471" t="s">
        <v>20</v>
      </c>
      <c r="D471" t="s">
        <v>707</v>
      </c>
      <c r="E471">
        <v>720</v>
      </c>
    </row>
    <row r="472" spans="1:5">
      <c r="A472" s="1">
        <v>45773</v>
      </c>
      <c r="B472" t="s">
        <v>327</v>
      </c>
      <c r="C472" t="s">
        <v>20</v>
      </c>
      <c r="D472" t="s">
        <v>708</v>
      </c>
      <c r="E472">
        <v>3562</v>
      </c>
    </row>
    <row r="473" spans="1:5">
      <c r="A473" s="1">
        <v>45773</v>
      </c>
      <c r="B473" t="s">
        <v>709</v>
      </c>
      <c r="C473" t="s">
        <v>20</v>
      </c>
      <c r="D473" t="s">
        <v>710</v>
      </c>
      <c r="E473">
        <v>26392</v>
      </c>
    </row>
    <row r="474" spans="1:5">
      <c r="A474" s="1">
        <v>45773</v>
      </c>
      <c r="B474" t="s">
        <v>50</v>
      </c>
      <c r="C474" t="s">
        <v>20</v>
      </c>
      <c r="D474" t="s">
        <v>711</v>
      </c>
      <c r="E474">
        <v>24</v>
      </c>
    </row>
    <row r="475" spans="1:5">
      <c r="A475" s="1">
        <v>45773</v>
      </c>
      <c r="B475" t="s">
        <v>712</v>
      </c>
      <c r="C475" t="s">
        <v>20</v>
      </c>
      <c r="D475" t="s">
        <v>713</v>
      </c>
      <c r="E475">
        <v>2154</v>
      </c>
    </row>
    <row r="476" spans="1:5">
      <c r="A476" s="1">
        <v>45773</v>
      </c>
      <c r="B476" t="s">
        <v>714</v>
      </c>
      <c r="C476" t="s">
        <v>20</v>
      </c>
      <c r="D476" t="s">
        <v>715</v>
      </c>
      <c r="E476">
        <v>13090</v>
      </c>
    </row>
    <row r="477" spans="1:5">
      <c r="A477" s="1">
        <v>45773</v>
      </c>
      <c r="B477" t="s">
        <v>512</v>
      </c>
      <c r="C477" t="s">
        <v>20</v>
      </c>
      <c r="D477" t="s">
        <v>716</v>
      </c>
      <c r="E477">
        <v>3687</v>
      </c>
    </row>
    <row r="478" spans="1:5">
      <c r="A478" s="1">
        <v>45773</v>
      </c>
      <c r="B478" t="s">
        <v>512</v>
      </c>
      <c r="C478" t="s">
        <v>20</v>
      </c>
      <c r="D478" t="s">
        <v>717</v>
      </c>
      <c r="E478">
        <v>11900</v>
      </c>
    </row>
    <row r="479" spans="1:5">
      <c r="A479" s="1">
        <v>45773</v>
      </c>
      <c r="B479" t="s">
        <v>512</v>
      </c>
      <c r="C479" t="s">
        <v>20</v>
      </c>
      <c r="D479" t="s">
        <v>718</v>
      </c>
      <c r="E479">
        <v>6196</v>
      </c>
    </row>
    <row r="480" spans="1:5">
      <c r="A480" s="1">
        <v>45773</v>
      </c>
      <c r="B480" t="s">
        <v>512</v>
      </c>
      <c r="C480" t="s">
        <v>20</v>
      </c>
      <c r="D480" t="s">
        <v>719</v>
      </c>
      <c r="E480">
        <v>23344</v>
      </c>
    </row>
    <row r="481" spans="1:5">
      <c r="A481" s="1">
        <v>45773</v>
      </c>
      <c r="B481" t="s">
        <v>50</v>
      </c>
      <c r="C481" t="s">
        <v>20</v>
      </c>
      <c r="D481" t="s">
        <v>720</v>
      </c>
      <c r="E481">
        <v>16921</v>
      </c>
    </row>
    <row r="482" spans="1:5">
      <c r="A482" s="1">
        <v>45773</v>
      </c>
      <c r="B482" t="s">
        <v>721</v>
      </c>
      <c r="C482" t="s">
        <v>20</v>
      </c>
      <c r="D482" t="s">
        <v>722</v>
      </c>
      <c r="E482">
        <v>720</v>
      </c>
    </row>
    <row r="483" spans="1:5">
      <c r="A483" s="1">
        <v>45773</v>
      </c>
      <c r="B483" t="s">
        <v>723</v>
      </c>
      <c r="C483" t="s">
        <v>20</v>
      </c>
      <c r="D483" t="s">
        <v>724</v>
      </c>
      <c r="E483">
        <v>38000</v>
      </c>
    </row>
    <row r="484" spans="1:5">
      <c r="A484" s="1">
        <v>45773</v>
      </c>
      <c r="B484" t="s">
        <v>723</v>
      </c>
      <c r="C484" t="s">
        <v>20</v>
      </c>
      <c r="D484" t="s">
        <v>725</v>
      </c>
      <c r="E484">
        <v>7000</v>
      </c>
    </row>
    <row r="485" spans="1:5">
      <c r="A485" s="1">
        <v>45773</v>
      </c>
      <c r="B485" t="s">
        <v>131</v>
      </c>
      <c r="C485" t="s">
        <v>20</v>
      </c>
      <c r="D485" t="s">
        <v>726</v>
      </c>
      <c r="E485">
        <v>6900</v>
      </c>
    </row>
    <row r="486" spans="1:5">
      <c r="A486" s="1">
        <v>45773</v>
      </c>
      <c r="B486" t="s">
        <v>727</v>
      </c>
      <c r="C486" t="s">
        <v>20</v>
      </c>
      <c r="D486" t="s">
        <v>728</v>
      </c>
      <c r="E486">
        <v>14000</v>
      </c>
    </row>
    <row r="487" spans="1:5">
      <c r="A487" s="1">
        <v>45773</v>
      </c>
      <c r="B487" t="s">
        <v>360</v>
      </c>
      <c r="C487" t="s">
        <v>20</v>
      </c>
      <c r="D487" t="s">
        <v>729</v>
      </c>
      <c r="E487">
        <v>3752</v>
      </c>
    </row>
    <row r="488" spans="1:5">
      <c r="A488" s="1">
        <v>45773</v>
      </c>
      <c r="B488" t="s">
        <v>360</v>
      </c>
      <c r="C488" t="s">
        <v>20</v>
      </c>
      <c r="D488" t="s">
        <v>730</v>
      </c>
      <c r="E488">
        <v>11503</v>
      </c>
    </row>
    <row r="489" spans="1:5">
      <c r="A489" s="1">
        <v>45773</v>
      </c>
      <c r="B489" t="s">
        <v>514</v>
      </c>
      <c r="C489" t="s">
        <v>20</v>
      </c>
      <c r="D489" t="s">
        <v>731</v>
      </c>
      <c r="E489">
        <v>2160</v>
      </c>
    </row>
    <row r="490" spans="1:5">
      <c r="A490" s="1">
        <v>45775</v>
      </c>
      <c r="B490" t="s">
        <v>703</v>
      </c>
      <c r="C490" t="s">
        <v>19</v>
      </c>
      <c r="D490" t="s">
        <v>732</v>
      </c>
      <c r="E490">
        <v>428</v>
      </c>
    </row>
    <row r="491" spans="1:5">
      <c r="A491" s="1">
        <v>45775</v>
      </c>
      <c r="B491" t="s">
        <v>733</v>
      </c>
      <c r="C491" t="s">
        <v>19</v>
      </c>
      <c r="D491" t="s">
        <v>734</v>
      </c>
      <c r="E491">
        <v>9500</v>
      </c>
    </row>
    <row r="492" spans="1:5">
      <c r="A492" s="1">
        <v>45775</v>
      </c>
      <c r="B492" t="s">
        <v>195</v>
      </c>
      <c r="C492" t="s">
        <v>20</v>
      </c>
      <c r="D492" t="s">
        <v>735</v>
      </c>
      <c r="E492">
        <v>18880</v>
      </c>
    </row>
    <row r="493" spans="1:5">
      <c r="A493" s="1">
        <v>45775</v>
      </c>
      <c r="B493" t="s">
        <v>736</v>
      </c>
      <c r="C493" t="s">
        <v>20</v>
      </c>
      <c r="D493" t="s">
        <v>737</v>
      </c>
      <c r="E493">
        <v>5400</v>
      </c>
    </row>
    <row r="494" spans="1:5">
      <c r="A494" s="1">
        <v>45775</v>
      </c>
      <c r="B494" t="s">
        <v>50</v>
      </c>
      <c r="C494" t="s">
        <v>20</v>
      </c>
      <c r="D494" t="s">
        <v>738</v>
      </c>
      <c r="E494">
        <v>12</v>
      </c>
    </row>
    <row r="495" spans="1:5">
      <c r="A495" s="1">
        <v>45775</v>
      </c>
      <c r="B495" t="s">
        <v>739</v>
      </c>
      <c r="C495" t="s">
        <v>20</v>
      </c>
      <c r="D495" t="s">
        <v>740</v>
      </c>
      <c r="E495">
        <v>3137</v>
      </c>
    </row>
    <row r="496" spans="1:5">
      <c r="A496" s="1">
        <v>45775</v>
      </c>
      <c r="B496" t="s">
        <v>741</v>
      </c>
      <c r="C496" t="s">
        <v>20</v>
      </c>
      <c r="D496" t="s">
        <v>742</v>
      </c>
      <c r="E496">
        <v>36855</v>
      </c>
    </row>
    <row r="497" spans="1:5">
      <c r="A497" s="1">
        <v>45775</v>
      </c>
      <c r="B497" t="s">
        <v>557</v>
      </c>
      <c r="C497" t="s">
        <v>20</v>
      </c>
      <c r="D497" t="s">
        <v>743</v>
      </c>
      <c r="E497">
        <v>275</v>
      </c>
    </row>
    <row r="498" spans="1:5">
      <c r="A498" s="1">
        <v>45775</v>
      </c>
      <c r="B498" t="s">
        <v>744</v>
      </c>
      <c r="C498" t="s">
        <v>20</v>
      </c>
      <c r="D498" t="s">
        <v>745</v>
      </c>
      <c r="E498">
        <v>4131</v>
      </c>
    </row>
    <row r="499" spans="1:5">
      <c r="A499" s="1">
        <v>45775</v>
      </c>
      <c r="B499" t="s">
        <v>744</v>
      </c>
      <c r="C499" t="s">
        <v>20</v>
      </c>
      <c r="D499" t="s">
        <v>746</v>
      </c>
      <c r="E499">
        <v>360</v>
      </c>
    </row>
    <row r="500" spans="1:5">
      <c r="A500" s="1">
        <v>45775</v>
      </c>
      <c r="B500" t="s">
        <v>747</v>
      </c>
      <c r="C500" t="s">
        <v>20</v>
      </c>
      <c r="D500" t="s">
        <v>748</v>
      </c>
      <c r="E500">
        <v>2780</v>
      </c>
    </row>
    <row r="501" spans="1:5">
      <c r="A501" s="1">
        <v>45775</v>
      </c>
      <c r="B501" t="s">
        <v>62</v>
      </c>
      <c r="C501" t="s">
        <v>20</v>
      </c>
      <c r="D501" t="s">
        <v>749</v>
      </c>
      <c r="E501">
        <v>425</v>
      </c>
    </row>
    <row r="502" spans="1:5">
      <c r="A502" s="1">
        <v>45775</v>
      </c>
      <c r="B502" t="s">
        <v>750</v>
      </c>
      <c r="C502" t="s">
        <v>20</v>
      </c>
      <c r="D502" t="s">
        <v>751</v>
      </c>
      <c r="E502">
        <v>306</v>
      </c>
    </row>
    <row r="503" spans="1:5">
      <c r="A503" s="1">
        <v>45775</v>
      </c>
      <c r="B503" t="s">
        <v>512</v>
      </c>
      <c r="C503" t="s">
        <v>20</v>
      </c>
      <c r="D503" t="s">
        <v>752</v>
      </c>
      <c r="E503">
        <v>1800</v>
      </c>
    </row>
    <row r="504" spans="1:5">
      <c r="A504" s="1">
        <v>45775</v>
      </c>
      <c r="B504" t="s">
        <v>83</v>
      </c>
      <c r="C504" t="s">
        <v>20</v>
      </c>
      <c r="D504" t="s">
        <v>753</v>
      </c>
      <c r="E504">
        <v>9793</v>
      </c>
    </row>
    <row r="505" spans="1:5">
      <c r="A505" s="1">
        <v>45775</v>
      </c>
      <c r="B505" t="s">
        <v>754</v>
      </c>
      <c r="C505" t="s">
        <v>20</v>
      </c>
      <c r="D505" t="s">
        <v>755</v>
      </c>
      <c r="E505">
        <v>7005</v>
      </c>
    </row>
    <row r="506" spans="1:5">
      <c r="A506" s="1">
        <v>45775</v>
      </c>
      <c r="B506" t="s">
        <v>756</v>
      </c>
      <c r="C506" t="s">
        <v>20</v>
      </c>
      <c r="D506" t="s">
        <v>757</v>
      </c>
      <c r="E506">
        <v>70</v>
      </c>
    </row>
    <row r="507" spans="1:5">
      <c r="A507" s="1">
        <v>45776</v>
      </c>
      <c r="B507" t="s">
        <v>56</v>
      </c>
      <c r="C507" t="s">
        <v>19</v>
      </c>
      <c r="D507" t="s">
        <v>758</v>
      </c>
      <c r="E507">
        <v>890</v>
      </c>
    </row>
    <row r="508" spans="1:5">
      <c r="A508" s="1">
        <v>45776</v>
      </c>
      <c r="B508" t="s">
        <v>58</v>
      </c>
      <c r="C508" t="s">
        <v>19</v>
      </c>
      <c r="D508" t="s">
        <v>759</v>
      </c>
      <c r="E508">
        <v>4535</v>
      </c>
    </row>
    <row r="509" spans="1:5">
      <c r="A509" s="1">
        <v>45776</v>
      </c>
      <c r="B509" t="s">
        <v>703</v>
      </c>
      <c r="C509" t="s">
        <v>19</v>
      </c>
      <c r="D509" t="s">
        <v>760</v>
      </c>
      <c r="E509">
        <v>590</v>
      </c>
    </row>
    <row r="510" spans="1:5">
      <c r="A510" s="1">
        <v>45776</v>
      </c>
      <c r="B510" t="s">
        <v>761</v>
      </c>
      <c r="C510" t="s">
        <v>20</v>
      </c>
      <c r="D510" t="s">
        <v>762</v>
      </c>
      <c r="E510">
        <v>4440</v>
      </c>
    </row>
    <row r="511" spans="1:5">
      <c r="A511" s="1">
        <v>45776</v>
      </c>
      <c r="B511" t="s">
        <v>763</v>
      </c>
      <c r="C511" t="s">
        <v>20</v>
      </c>
      <c r="D511" t="s">
        <v>764</v>
      </c>
      <c r="E511">
        <v>5420</v>
      </c>
    </row>
    <row r="512" spans="1:5">
      <c r="A512" s="1">
        <v>45776</v>
      </c>
      <c r="B512" t="s">
        <v>100</v>
      </c>
      <c r="C512" t="s">
        <v>20</v>
      </c>
      <c r="D512" t="s">
        <v>765</v>
      </c>
      <c r="E512">
        <v>22052</v>
      </c>
    </row>
    <row r="513" spans="1:5">
      <c r="A513" s="1">
        <v>45776</v>
      </c>
      <c r="B513" t="s">
        <v>559</v>
      </c>
      <c r="C513" t="s">
        <v>20</v>
      </c>
      <c r="D513" t="s">
        <v>766</v>
      </c>
      <c r="E513">
        <v>2040</v>
      </c>
    </row>
    <row r="514" spans="1:5">
      <c r="A514" s="1">
        <v>45776</v>
      </c>
      <c r="B514" t="s">
        <v>50</v>
      </c>
      <c r="C514" t="s">
        <v>20</v>
      </c>
      <c r="D514" t="s">
        <v>767</v>
      </c>
      <c r="E514">
        <v>12</v>
      </c>
    </row>
    <row r="515" spans="1:5">
      <c r="A515" s="1">
        <v>45776</v>
      </c>
      <c r="B515" t="s">
        <v>35</v>
      </c>
      <c r="C515" t="s">
        <v>20</v>
      </c>
      <c r="D515" t="s">
        <v>768</v>
      </c>
      <c r="E515">
        <v>18127</v>
      </c>
    </row>
    <row r="516" spans="1:5">
      <c r="A516" s="1">
        <v>45776</v>
      </c>
      <c r="B516" t="s">
        <v>521</v>
      </c>
      <c r="C516" t="s">
        <v>20</v>
      </c>
      <c r="D516" t="s">
        <v>769</v>
      </c>
      <c r="E516">
        <v>2456</v>
      </c>
    </row>
    <row r="517" spans="1:5">
      <c r="A517" s="1">
        <v>45776</v>
      </c>
      <c r="B517" t="s">
        <v>50</v>
      </c>
      <c r="C517" t="s">
        <v>20</v>
      </c>
      <c r="D517" t="s">
        <v>770</v>
      </c>
      <c r="E517">
        <v>12</v>
      </c>
    </row>
    <row r="518" spans="1:5">
      <c r="A518" s="1">
        <v>45776</v>
      </c>
      <c r="B518" t="s">
        <v>771</v>
      </c>
      <c r="C518" t="s">
        <v>20</v>
      </c>
      <c r="D518" t="s">
        <v>772</v>
      </c>
      <c r="E518">
        <v>450</v>
      </c>
    </row>
    <row r="519" spans="1:5">
      <c r="A519" s="1">
        <v>45776</v>
      </c>
      <c r="B519" t="s">
        <v>195</v>
      </c>
      <c r="C519" t="s">
        <v>20</v>
      </c>
      <c r="D519" t="s">
        <v>773</v>
      </c>
      <c r="E519">
        <v>4870</v>
      </c>
    </row>
    <row r="520" spans="1:5">
      <c r="A520" s="1">
        <v>45776</v>
      </c>
      <c r="B520" t="s">
        <v>774</v>
      </c>
      <c r="C520" t="s">
        <v>20</v>
      </c>
      <c r="D520" t="s">
        <v>775</v>
      </c>
      <c r="E520">
        <v>3390</v>
      </c>
    </row>
    <row r="521" spans="1:5">
      <c r="A521" s="1">
        <v>45776</v>
      </c>
      <c r="B521" t="s">
        <v>50</v>
      </c>
      <c r="C521" t="s">
        <v>20</v>
      </c>
      <c r="D521" t="s">
        <v>776</v>
      </c>
      <c r="E521">
        <v>12</v>
      </c>
    </row>
    <row r="522" spans="1:5">
      <c r="A522" s="1">
        <v>45776</v>
      </c>
      <c r="B522" t="s">
        <v>100</v>
      </c>
      <c r="C522" t="s">
        <v>20</v>
      </c>
      <c r="D522" t="s">
        <v>777</v>
      </c>
      <c r="E522">
        <v>20888</v>
      </c>
    </row>
    <row r="523" spans="1:5">
      <c r="A523" s="1">
        <v>45776</v>
      </c>
      <c r="B523" t="s">
        <v>778</v>
      </c>
      <c r="C523" t="s">
        <v>20</v>
      </c>
      <c r="D523" t="s">
        <v>779</v>
      </c>
      <c r="E523">
        <v>360</v>
      </c>
    </row>
    <row r="524" spans="1:5">
      <c r="A524" s="1">
        <v>45776</v>
      </c>
      <c r="B524" t="s">
        <v>62</v>
      </c>
      <c r="C524" t="s">
        <v>20</v>
      </c>
      <c r="D524" t="s">
        <v>780</v>
      </c>
      <c r="E524">
        <v>260</v>
      </c>
    </row>
    <row r="525" spans="1:5">
      <c r="A525" s="1">
        <v>45776</v>
      </c>
      <c r="B525" t="s">
        <v>781</v>
      </c>
      <c r="C525" t="s">
        <v>20</v>
      </c>
      <c r="D525" t="s">
        <v>782</v>
      </c>
      <c r="E525">
        <v>35168</v>
      </c>
    </row>
    <row r="526" spans="1:5">
      <c r="A526" s="1">
        <v>45777</v>
      </c>
      <c r="B526" t="s">
        <v>783</v>
      </c>
      <c r="C526" t="s">
        <v>19</v>
      </c>
      <c r="D526" t="s">
        <v>784</v>
      </c>
      <c r="E526">
        <v>18000</v>
      </c>
    </row>
    <row r="527" spans="1:5">
      <c r="A527" s="1">
        <v>45777</v>
      </c>
      <c r="B527" t="s">
        <v>345</v>
      </c>
      <c r="C527" t="s">
        <v>19</v>
      </c>
      <c r="D527" t="s">
        <v>785</v>
      </c>
      <c r="E527">
        <v>17110</v>
      </c>
    </row>
    <row r="528" spans="1:5">
      <c r="A528" s="1">
        <v>45777</v>
      </c>
      <c r="B528" t="s">
        <v>786</v>
      </c>
      <c r="C528" t="s">
        <v>19</v>
      </c>
      <c r="D528" t="s">
        <v>787</v>
      </c>
      <c r="E528">
        <v>9725</v>
      </c>
    </row>
    <row r="529" spans="1:5">
      <c r="A529" s="1">
        <v>45777</v>
      </c>
      <c r="B529" t="s">
        <v>58</v>
      </c>
      <c r="C529" t="s">
        <v>19</v>
      </c>
      <c r="D529" t="s">
        <v>788</v>
      </c>
      <c r="E529">
        <v>771</v>
      </c>
    </row>
    <row r="530" spans="1:5">
      <c r="A530" s="1">
        <v>45777</v>
      </c>
      <c r="B530" t="s">
        <v>200</v>
      </c>
      <c r="C530" t="s">
        <v>20</v>
      </c>
      <c r="D530" t="s">
        <v>789</v>
      </c>
      <c r="E530">
        <v>1440</v>
      </c>
    </row>
    <row r="531" spans="1:5">
      <c r="A531" s="1">
        <v>45777</v>
      </c>
      <c r="B531" t="s">
        <v>790</v>
      </c>
      <c r="C531" t="s">
        <v>20</v>
      </c>
      <c r="D531" t="s">
        <v>791</v>
      </c>
      <c r="E531">
        <v>14356</v>
      </c>
    </row>
    <row r="532" spans="1:5">
      <c r="A532" s="1">
        <v>45777</v>
      </c>
      <c r="B532" t="s">
        <v>50</v>
      </c>
      <c r="C532" t="s">
        <v>20</v>
      </c>
      <c r="D532" t="s">
        <v>792</v>
      </c>
      <c r="E532">
        <v>12</v>
      </c>
    </row>
    <row r="533" spans="1:5">
      <c r="A533" s="1">
        <v>45777</v>
      </c>
      <c r="B533" t="s">
        <v>793</v>
      </c>
      <c r="C533" t="s">
        <v>20</v>
      </c>
      <c r="D533" t="s">
        <v>794</v>
      </c>
      <c r="E533">
        <v>100</v>
      </c>
    </row>
    <row r="534" spans="1:5">
      <c r="A534" s="1">
        <v>45777</v>
      </c>
      <c r="B534" t="s">
        <v>50</v>
      </c>
      <c r="C534" t="s">
        <v>20</v>
      </c>
      <c r="D534" t="s">
        <v>795</v>
      </c>
      <c r="E534">
        <v>12</v>
      </c>
    </row>
    <row r="535" spans="1:5">
      <c r="A535" s="1">
        <v>45777</v>
      </c>
      <c r="B535" t="s">
        <v>50</v>
      </c>
      <c r="C535" t="s">
        <v>20</v>
      </c>
      <c r="D535" t="s">
        <v>796</v>
      </c>
      <c r="E535">
        <v>12</v>
      </c>
    </row>
    <row r="536" spans="1:5">
      <c r="A536" s="1">
        <v>45777</v>
      </c>
      <c r="B536" t="s">
        <v>781</v>
      </c>
      <c r="C536" t="s">
        <v>20</v>
      </c>
      <c r="D536" t="s">
        <v>797</v>
      </c>
      <c r="E536">
        <v>360</v>
      </c>
    </row>
    <row r="537" spans="1:5">
      <c r="A537" s="1">
        <v>45777</v>
      </c>
      <c r="B537" t="s">
        <v>336</v>
      </c>
      <c r="C537" t="s">
        <v>20</v>
      </c>
      <c r="D537" t="s">
        <v>798</v>
      </c>
      <c r="E537">
        <v>750</v>
      </c>
    </row>
    <row r="538" spans="1:5">
      <c r="A538" s="1">
        <v>45777</v>
      </c>
      <c r="B538" t="s">
        <v>799</v>
      </c>
      <c r="C538" t="s">
        <v>20</v>
      </c>
      <c r="D538" t="s">
        <v>800</v>
      </c>
      <c r="E538">
        <v>3354</v>
      </c>
    </row>
    <row r="539" spans="1:5">
      <c r="A539" s="1">
        <v>45777</v>
      </c>
      <c r="B539" t="s">
        <v>460</v>
      </c>
      <c r="C539" t="s">
        <v>20</v>
      </c>
      <c r="D539" t="s">
        <v>801</v>
      </c>
      <c r="E539">
        <v>720</v>
      </c>
    </row>
    <row r="540" spans="1:5">
      <c r="A540" s="1">
        <v>45777</v>
      </c>
      <c r="B540" t="s">
        <v>802</v>
      </c>
      <c r="C540" t="s">
        <v>20</v>
      </c>
      <c r="D540" t="s">
        <v>803</v>
      </c>
      <c r="E540">
        <v>17735</v>
      </c>
    </row>
    <row r="541" spans="1:5">
      <c r="A541" s="1">
        <v>45777</v>
      </c>
      <c r="B541" t="s">
        <v>609</v>
      </c>
      <c r="C541" t="s">
        <v>20</v>
      </c>
      <c r="D541" t="s">
        <v>804</v>
      </c>
      <c r="E541">
        <v>1800</v>
      </c>
    </row>
    <row r="542" spans="1:5">
      <c r="A542" s="1">
        <v>45777</v>
      </c>
      <c r="B542" t="s">
        <v>687</v>
      </c>
      <c r="C542" t="s">
        <v>20</v>
      </c>
      <c r="D542" t="s">
        <v>805</v>
      </c>
      <c r="E542">
        <v>2657</v>
      </c>
    </row>
    <row r="543" spans="1:5">
      <c r="A543" s="1">
        <v>45777</v>
      </c>
      <c r="B543" t="s">
        <v>50</v>
      </c>
      <c r="C543" t="s">
        <v>20</v>
      </c>
      <c r="D543" t="s">
        <v>806</v>
      </c>
      <c r="E543">
        <v>12</v>
      </c>
    </row>
    <row r="544" spans="1:5">
      <c r="A544" s="1">
        <v>45777</v>
      </c>
      <c r="B544" t="s">
        <v>81</v>
      </c>
      <c r="C544" t="s">
        <v>20</v>
      </c>
      <c r="D544" t="s">
        <v>807</v>
      </c>
      <c r="E544">
        <v>670</v>
      </c>
    </row>
    <row r="545" spans="1:5">
      <c r="A545" s="1">
        <v>45777</v>
      </c>
      <c r="B545" t="s">
        <v>808</v>
      </c>
      <c r="C545" t="s">
        <v>20</v>
      </c>
      <c r="D545" t="s">
        <v>809</v>
      </c>
      <c r="E545">
        <v>456</v>
      </c>
    </row>
    <row r="546" spans="1:5">
      <c r="A546" s="1">
        <v>45777</v>
      </c>
      <c r="B546" t="s">
        <v>781</v>
      </c>
      <c r="C546" t="s">
        <v>20</v>
      </c>
      <c r="D546" t="s">
        <v>810</v>
      </c>
      <c r="E546">
        <v>14896</v>
      </c>
    </row>
    <row r="547" spans="1:5">
      <c r="A547" s="1">
        <v>45777</v>
      </c>
      <c r="B547" t="s">
        <v>601</v>
      </c>
      <c r="C547" t="s">
        <v>20</v>
      </c>
      <c r="D547" t="s">
        <v>811</v>
      </c>
      <c r="E547">
        <v>823</v>
      </c>
    </row>
    <row r="548" spans="1:5">
      <c r="A548" s="1">
        <v>45778</v>
      </c>
      <c r="B548" t="s">
        <v>812</v>
      </c>
      <c r="C548" t="s">
        <v>19</v>
      </c>
      <c r="D548" t="s">
        <v>813</v>
      </c>
      <c r="E548">
        <v>4312</v>
      </c>
    </row>
    <row r="549" spans="1:5">
      <c r="A549" s="1">
        <v>45778</v>
      </c>
      <c r="B549" t="s">
        <v>814</v>
      </c>
      <c r="C549" t="s">
        <v>19</v>
      </c>
      <c r="D549" t="s">
        <v>815</v>
      </c>
      <c r="E549">
        <v>9482</v>
      </c>
    </row>
    <row r="550" spans="1:5">
      <c r="A550" s="1">
        <v>45778</v>
      </c>
      <c r="B550" t="s">
        <v>58</v>
      </c>
      <c r="C550" t="s">
        <v>19</v>
      </c>
      <c r="D550" t="s">
        <v>816</v>
      </c>
      <c r="E550">
        <v>9150</v>
      </c>
    </row>
    <row r="551" spans="1:5">
      <c r="A551" s="1">
        <v>45778</v>
      </c>
      <c r="B551" t="s">
        <v>817</v>
      </c>
      <c r="C551" t="s">
        <v>20</v>
      </c>
      <c r="D551" t="s">
        <v>818</v>
      </c>
      <c r="E551">
        <v>7400</v>
      </c>
    </row>
    <row r="552" spans="1:5">
      <c r="A552" s="1">
        <v>45778</v>
      </c>
      <c r="B552" t="s">
        <v>62</v>
      </c>
      <c r="C552" t="s">
        <v>20</v>
      </c>
      <c r="D552" t="s">
        <v>819</v>
      </c>
      <c r="E552">
        <v>39434</v>
      </c>
    </row>
    <row r="553" spans="1:5">
      <c r="A553" s="1">
        <v>45778</v>
      </c>
      <c r="B553" t="s">
        <v>50</v>
      </c>
      <c r="C553" t="s">
        <v>20</v>
      </c>
      <c r="D553" t="s">
        <v>820</v>
      </c>
      <c r="E553">
        <v>65</v>
      </c>
    </row>
    <row r="554" spans="1:5">
      <c r="A554" s="1">
        <v>45778</v>
      </c>
      <c r="B554" t="s">
        <v>526</v>
      </c>
      <c r="C554" t="s">
        <v>20</v>
      </c>
      <c r="D554" t="s">
        <v>821</v>
      </c>
      <c r="E554">
        <v>260</v>
      </c>
    </row>
    <row r="555" spans="1:5">
      <c r="A555" s="1">
        <v>45778</v>
      </c>
      <c r="B555" t="s">
        <v>512</v>
      </c>
      <c r="C555" t="s">
        <v>20</v>
      </c>
      <c r="D555" t="s">
        <v>822</v>
      </c>
      <c r="E555">
        <v>6247</v>
      </c>
    </row>
    <row r="556" spans="1:5">
      <c r="A556" s="1">
        <v>45778</v>
      </c>
      <c r="B556" t="s">
        <v>512</v>
      </c>
      <c r="C556" t="s">
        <v>20</v>
      </c>
      <c r="D556" t="s">
        <v>823</v>
      </c>
      <c r="E556">
        <v>1338</v>
      </c>
    </row>
    <row r="557" spans="1:5">
      <c r="A557" s="1">
        <v>45778</v>
      </c>
      <c r="B557" t="s">
        <v>360</v>
      </c>
      <c r="C557" t="s">
        <v>20</v>
      </c>
      <c r="D557" t="s">
        <v>824</v>
      </c>
      <c r="E557">
        <v>4852</v>
      </c>
    </row>
    <row r="558" spans="1:5">
      <c r="A558" s="1">
        <v>45778</v>
      </c>
      <c r="B558" t="s">
        <v>825</v>
      </c>
      <c r="C558" t="s">
        <v>20</v>
      </c>
      <c r="D558" t="s">
        <v>826</v>
      </c>
      <c r="E558">
        <v>3600</v>
      </c>
    </row>
    <row r="559" spans="1:5">
      <c r="A559" s="1">
        <v>45778</v>
      </c>
      <c r="B559" t="s">
        <v>474</v>
      </c>
      <c r="C559" t="s">
        <v>20</v>
      </c>
      <c r="D559" t="s">
        <v>827</v>
      </c>
      <c r="E559">
        <v>14167</v>
      </c>
    </row>
    <row r="560" spans="1:5">
      <c r="A560" s="1">
        <v>45778</v>
      </c>
      <c r="B560" t="s">
        <v>43</v>
      </c>
      <c r="C560" t="s">
        <v>20</v>
      </c>
      <c r="D560" t="s">
        <v>828</v>
      </c>
      <c r="E560">
        <v>3668</v>
      </c>
    </row>
    <row r="561" spans="1:5">
      <c r="A561" s="1">
        <v>45778</v>
      </c>
      <c r="B561" t="s">
        <v>50</v>
      </c>
      <c r="C561" t="s">
        <v>20</v>
      </c>
      <c r="D561" t="s">
        <v>829</v>
      </c>
      <c r="E561">
        <v>153</v>
      </c>
    </row>
    <row r="562" spans="1:5">
      <c r="A562" s="1">
        <v>45778</v>
      </c>
      <c r="B562" t="s">
        <v>68</v>
      </c>
      <c r="C562" t="s">
        <v>20</v>
      </c>
      <c r="D562" t="s">
        <v>830</v>
      </c>
      <c r="E562">
        <v>26070</v>
      </c>
    </row>
    <row r="563" spans="1:5">
      <c r="A563" s="1">
        <v>45778</v>
      </c>
      <c r="B563" t="s">
        <v>50</v>
      </c>
      <c r="C563" t="s">
        <v>20</v>
      </c>
      <c r="D563" t="s">
        <v>831</v>
      </c>
      <c r="E563">
        <v>12</v>
      </c>
    </row>
    <row r="564" spans="1:5">
      <c r="A564" s="1">
        <v>45778</v>
      </c>
      <c r="B564" t="s">
        <v>68</v>
      </c>
      <c r="C564" t="s">
        <v>20</v>
      </c>
      <c r="D564" t="s">
        <v>832</v>
      </c>
      <c r="E564">
        <v>5859</v>
      </c>
    </row>
    <row r="565" spans="1:5">
      <c r="A565" s="1">
        <v>45778</v>
      </c>
      <c r="B565" t="s">
        <v>50</v>
      </c>
      <c r="C565" t="s">
        <v>20</v>
      </c>
      <c r="D565" t="s">
        <v>833</v>
      </c>
      <c r="E565">
        <v>3202</v>
      </c>
    </row>
    <row r="566" spans="1:5">
      <c r="A566" s="1">
        <v>45778</v>
      </c>
      <c r="B566" t="s">
        <v>50</v>
      </c>
      <c r="C566" t="s">
        <v>20</v>
      </c>
      <c r="D566" t="s">
        <v>834</v>
      </c>
      <c r="E566">
        <v>1575</v>
      </c>
    </row>
    <row r="567" spans="1:5">
      <c r="A567" s="1">
        <v>45778</v>
      </c>
      <c r="B567" t="s">
        <v>835</v>
      </c>
      <c r="C567" t="s">
        <v>20</v>
      </c>
      <c r="D567" t="s">
        <v>836</v>
      </c>
      <c r="E567">
        <v>1150</v>
      </c>
    </row>
    <row r="568" spans="1:5">
      <c r="A568" s="1">
        <v>45779</v>
      </c>
      <c r="B568" t="s">
        <v>783</v>
      </c>
      <c r="C568" t="s">
        <v>19</v>
      </c>
      <c r="D568" t="s">
        <v>837</v>
      </c>
      <c r="E568">
        <v>18000</v>
      </c>
    </row>
    <row r="569" spans="1:5">
      <c r="A569" s="1">
        <v>45779</v>
      </c>
      <c r="B569" t="s">
        <v>783</v>
      </c>
      <c r="C569" t="s">
        <v>19</v>
      </c>
      <c r="D569" t="s">
        <v>838</v>
      </c>
      <c r="E569">
        <v>18000</v>
      </c>
    </row>
    <row r="570" spans="1:5">
      <c r="A570" s="1">
        <v>45779</v>
      </c>
      <c r="B570" t="s">
        <v>733</v>
      </c>
      <c r="C570" t="s">
        <v>19</v>
      </c>
      <c r="D570" t="s">
        <v>839</v>
      </c>
      <c r="E570">
        <v>6630</v>
      </c>
    </row>
    <row r="571" spans="1:5">
      <c r="A571" s="1">
        <v>45779</v>
      </c>
      <c r="B571" t="s">
        <v>840</v>
      </c>
      <c r="C571" t="s">
        <v>19</v>
      </c>
      <c r="D571" t="s">
        <v>841</v>
      </c>
      <c r="E571">
        <v>19800</v>
      </c>
    </row>
    <row r="572" spans="1:5">
      <c r="A572" s="1">
        <v>45779</v>
      </c>
      <c r="B572" t="s">
        <v>62</v>
      </c>
      <c r="C572" t="s">
        <v>20</v>
      </c>
      <c r="D572" t="s">
        <v>842</v>
      </c>
      <c r="E572">
        <v>360</v>
      </c>
    </row>
    <row r="573" spans="1:5">
      <c r="A573" s="1">
        <v>45779</v>
      </c>
      <c r="B573" t="s">
        <v>135</v>
      </c>
      <c r="C573" t="s">
        <v>20</v>
      </c>
      <c r="D573" t="s">
        <v>843</v>
      </c>
      <c r="E573">
        <v>2744</v>
      </c>
    </row>
    <row r="574" spans="1:5">
      <c r="A574" s="1">
        <v>45779</v>
      </c>
      <c r="B574" t="s">
        <v>844</v>
      </c>
      <c r="C574" t="s">
        <v>20</v>
      </c>
      <c r="D574" t="s">
        <v>845</v>
      </c>
      <c r="E574">
        <v>1080</v>
      </c>
    </row>
    <row r="575" spans="1:5">
      <c r="A575" s="1">
        <v>45779</v>
      </c>
      <c r="B575" t="s">
        <v>50</v>
      </c>
      <c r="C575" t="s">
        <v>20</v>
      </c>
      <c r="D575" t="s">
        <v>846</v>
      </c>
      <c r="E575">
        <v>12</v>
      </c>
    </row>
    <row r="576" spans="1:5">
      <c r="A576" s="1">
        <v>45779</v>
      </c>
      <c r="B576" t="s">
        <v>222</v>
      </c>
      <c r="C576" t="s">
        <v>20</v>
      </c>
      <c r="D576" t="s">
        <v>847</v>
      </c>
      <c r="E576">
        <v>1800</v>
      </c>
    </row>
    <row r="577" spans="1:5">
      <c r="A577" s="1">
        <v>45779</v>
      </c>
      <c r="B577" t="s">
        <v>848</v>
      </c>
      <c r="C577" t="s">
        <v>20</v>
      </c>
      <c r="D577" t="s">
        <v>849</v>
      </c>
      <c r="E577">
        <v>2760</v>
      </c>
    </row>
    <row r="578" spans="1:5">
      <c r="A578" s="1">
        <v>45779</v>
      </c>
      <c r="B578" t="s">
        <v>43</v>
      </c>
      <c r="C578" t="s">
        <v>20</v>
      </c>
      <c r="D578" t="s">
        <v>850</v>
      </c>
      <c r="E578">
        <v>1332</v>
      </c>
    </row>
    <row r="579" spans="1:5">
      <c r="A579" s="1">
        <v>45779</v>
      </c>
      <c r="B579" t="s">
        <v>50</v>
      </c>
      <c r="C579" t="s">
        <v>20</v>
      </c>
      <c r="D579" t="s">
        <v>851</v>
      </c>
      <c r="E579">
        <v>12</v>
      </c>
    </row>
    <row r="580" spans="1:5">
      <c r="A580" s="1">
        <v>45779</v>
      </c>
      <c r="B580" t="s">
        <v>50</v>
      </c>
      <c r="C580" t="s">
        <v>20</v>
      </c>
      <c r="D580" t="s">
        <v>852</v>
      </c>
      <c r="E580">
        <v>585</v>
      </c>
    </row>
    <row r="581" spans="1:5">
      <c r="A581" s="1">
        <v>45779</v>
      </c>
      <c r="B581" t="s">
        <v>412</v>
      </c>
      <c r="C581" t="s">
        <v>20</v>
      </c>
      <c r="D581" t="s">
        <v>853</v>
      </c>
      <c r="E581">
        <v>460</v>
      </c>
    </row>
    <row r="582" spans="1:5">
      <c r="A582" s="1">
        <v>45779</v>
      </c>
      <c r="B582" t="s">
        <v>854</v>
      </c>
      <c r="C582" t="s">
        <v>20</v>
      </c>
      <c r="D582" t="s">
        <v>855</v>
      </c>
      <c r="E582">
        <v>1060</v>
      </c>
    </row>
    <row r="583" spans="1:5">
      <c r="A583" s="1">
        <v>45779</v>
      </c>
      <c r="B583" t="s">
        <v>856</v>
      </c>
      <c r="C583" t="s">
        <v>20</v>
      </c>
      <c r="D583" t="s">
        <v>857</v>
      </c>
      <c r="E583">
        <v>1566</v>
      </c>
    </row>
    <row r="584" spans="1:5">
      <c r="A584" s="1">
        <v>45779</v>
      </c>
      <c r="B584" t="s">
        <v>591</v>
      </c>
      <c r="C584" t="s">
        <v>20</v>
      </c>
      <c r="D584" t="s">
        <v>858</v>
      </c>
      <c r="E584">
        <v>12704</v>
      </c>
    </row>
    <row r="585" spans="1:5">
      <c r="A585" s="1">
        <v>45779</v>
      </c>
      <c r="B585" t="s">
        <v>859</v>
      </c>
      <c r="C585" t="s">
        <v>20</v>
      </c>
      <c r="D585" t="s">
        <v>860</v>
      </c>
      <c r="E585">
        <v>1120</v>
      </c>
    </row>
    <row r="586" spans="1:5">
      <c r="A586" s="1">
        <v>45779</v>
      </c>
      <c r="B586" t="s">
        <v>83</v>
      </c>
      <c r="C586" t="s">
        <v>20</v>
      </c>
      <c r="D586" t="s">
        <v>861</v>
      </c>
      <c r="E586">
        <v>705</v>
      </c>
    </row>
    <row r="587" spans="1:5">
      <c r="A587" s="1">
        <v>45779</v>
      </c>
      <c r="B587" t="s">
        <v>862</v>
      </c>
      <c r="C587" t="s">
        <v>20</v>
      </c>
      <c r="D587" t="s">
        <v>863</v>
      </c>
      <c r="E587">
        <v>6720</v>
      </c>
    </row>
    <row r="588" spans="1:5">
      <c r="A588" s="1">
        <v>45779</v>
      </c>
      <c r="B588" t="s">
        <v>50</v>
      </c>
      <c r="C588" t="s">
        <v>20</v>
      </c>
      <c r="D588" t="s">
        <v>864</v>
      </c>
      <c r="E588">
        <v>12</v>
      </c>
    </row>
    <row r="589" spans="1:5">
      <c r="A589" s="1">
        <v>45779</v>
      </c>
      <c r="B589" t="s">
        <v>50</v>
      </c>
      <c r="C589" t="s">
        <v>20</v>
      </c>
      <c r="D589" t="s">
        <v>865</v>
      </c>
      <c r="E589">
        <v>82</v>
      </c>
    </row>
    <row r="590" spans="1:5">
      <c r="A590" s="1">
        <v>45779</v>
      </c>
      <c r="B590" t="s">
        <v>866</v>
      </c>
      <c r="C590" t="s">
        <v>20</v>
      </c>
      <c r="D590" t="s">
        <v>867</v>
      </c>
      <c r="E590">
        <v>9597</v>
      </c>
    </row>
    <row r="591" spans="1:5">
      <c r="A591" s="1">
        <v>45779</v>
      </c>
      <c r="B591" t="s">
        <v>868</v>
      </c>
      <c r="C591" t="s">
        <v>20</v>
      </c>
      <c r="D591" t="s">
        <v>869</v>
      </c>
      <c r="E591">
        <v>1699</v>
      </c>
    </row>
    <row r="592" spans="1:5">
      <c r="A592" s="1">
        <v>45779</v>
      </c>
      <c r="B592" t="s">
        <v>870</v>
      </c>
      <c r="C592" t="s">
        <v>20</v>
      </c>
      <c r="D592" t="s">
        <v>871</v>
      </c>
      <c r="E592">
        <v>8312</v>
      </c>
    </row>
    <row r="593" spans="1:5">
      <c r="A593" s="1">
        <v>45779</v>
      </c>
      <c r="B593" t="s">
        <v>817</v>
      </c>
      <c r="C593" t="s">
        <v>20</v>
      </c>
      <c r="D593" t="s">
        <v>872</v>
      </c>
      <c r="E593">
        <v>1125</v>
      </c>
    </row>
    <row r="594" spans="1:5">
      <c r="A594" s="1">
        <v>45779</v>
      </c>
      <c r="B594" t="s">
        <v>873</v>
      </c>
      <c r="C594" t="s">
        <v>20</v>
      </c>
      <c r="D594" t="s">
        <v>874</v>
      </c>
      <c r="E594">
        <v>1800</v>
      </c>
    </row>
    <row r="595" spans="1:5">
      <c r="A595" s="1">
        <v>45779</v>
      </c>
      <c r="B595" t="s">
        <v>875</v>
      </c>
      <c r="C595" t="s">
        <v>20</v>
      </c>
      <c r="D595" t="s">
        <v>876</v>
      </c>
      <c r="E595">
        <v>1087</v>
      </c>
    </row>
    <row r="596" spans="1:5">
      <c r="A596" s="1">
        <v>45779</v>
      </c>
      <c r="B596" t="s">
        <v>35</v>
      </c>
      <c r="C596" t="s">
        <v>20</v>
      </c>
      <c r="D596" t="s">
        <v>877</v>
      </c>
      <c r="E596">
        <v>3525</v>
      </c>
    </row>
    <row r="597" spans="1:5">
      <c r="A597" s="1">
        <v>45779</v>
      </c>
      <c r="B597" t="s">
        <v>566</v>
      </c>
      <c r="C597" t="s">
        <v>20</v>
      </c>
      <c r="D597" t="s">
        <v>878</v>
      </c>
      <c r="E597">
        <v>1717</v>
      </c>
    </row>
    <row r="598" spans="1:5">
      <c r="A598" s="1">
        <v>45779</v>
      </c>
      <c r="B598" t="s">
        <v>43</v>
      </c>
      <c r="C598" t="s">
        <v>20</v>
      </c>
      <c r="D598" t="s">
        <v>879</v>
      </c>
      <c r="E598">
        <v>5060</v>
      </c>
    </row>
    <row r="599" spans="1:5">
      <c r="A599" s="1">
        <v>45779</v>
      </c>
      <c r="B599" t="s">
        <v>254</v>
      </c>
      <c r="C599" t="s">
        <v>20</v>
      </c>
      <c r="D599" t="s">
        <v>880</v>
      </c>
      <c r="E599">
        <v>7100</v>
      </c>
    </row>
    <row r="600" spans="1:5">
      <c r="A600" s="1">
        <v>45779</v>
      </c>
      <c r="B600" t="s">
        <v>514</v>
      </c>
      <c r="C600" t="s">
        <v>20</v>
      </c>
      <c r="D600" t="s">
        <v>881</v>
      </c>
      <c r="E600">
        <v>9150</v>
      </c>
    </row>
    <row r="601" spans="1:5">
      <c r="A601" s="1">
        <v>45779</v>
      </c>
      <c r="B601" t="s">
        <v>514</v>
      </c>
      <c r="C601" t="s">
        <v>20</v>
      </c>
      <c r="D601" t="s">
        <v>882</v>
      </c>
      <c r="E601">
        <v>725</v>
      </c>
    </row>
    <row r="602" spans="1:5">
      <c r="A602" s="1">
        <v>45779</v>
      </c>
      <c r="B602" t="s">
        <v>76</v>
      </c>
      <c r="C602" t="s">
        <v>20</v>
      </c>
      <c r="D602" t="s">
        <v>883</v>
      </c>
      <c r="E602">
        <v>295776</v>
      </c>
    </row>
    <row r="603" spans="1:5">
      <c r="A603" s="1">
        <v>45780</v>
      </c>
      <c r="B603" t="s">
        <v>448</v>
      </c>
      <c r="C603" t="s">
        <v>19</v>
      </c>
      <c r="D603" t="s">
        <v>884</v>
      </c>
    </row>
    <row r="604" spans="1:5">
      <c r="A604" s="1">
        <v>45780</v>
      </c>
      <c r="B604" t="s">
        <v>60</v>
      </c>
      <c r="C604" t="s">
        <v>19</v>
      </c>
      <c r="D604" t="s">
        <v>885</v>
      </c>
      <c r="E604">
        <v>13557</v>
      </c>
    </row>
    <row r="605" spans="1:5">
      <c r="A605" s="1">
        <v>45780</v>
      </c>
      <c r="B605" t="s">
        <v>56</v>
      </c>
      <c r="C605" t="s">
        <v>19</v>
      </c>
      <c r="D605" t="s">
        <v>886</v>
      </c>
      <c r="E605">
        <v>6270</v>
      </c>
    </row>
    <row r="606" spans="1:5">
      <c r="A606" s="1">
        <v>45780</v>
      </c>
      <c r="B606" t="s">
        <v>887</v>
      </c>
      <c r="C606" t="s">
        <v>20</v>
      </c>
      <c r="D606" t="s">
        <v>888</v>
      </c>
      <c r="E606">
        <v>5400</v>
      </c>
    </row>
    <row r="607" spans="1:5">
      <c r="A607" s="1">
        <v>45780</v>
      </c>
      <c r="B607" t="s">
        <v>83</v>
      </c>
      <c r="C607" t="s">
        <v>20</v>
      </c>
      <c r="D607" t="s">
        <v>889</v>
      </c>
      <c r="E607">
        <v>1490</v>
      </c>
    </row>
    <row r="608" spans="1:5">
      <c r="A608" s="1">
        <v>45780</v>
      </c>
      <c r="B608" t="s">
        <v>591</v>
      </c>
      <c r="C608" t="s">
        <v>20</v>
      </c>
      <c r="D608" t="s">
        <v>890</v>
      </c>
      <c r="E608">
        <v>16598</v>
      </c>
    </row>
    <row r="609" spans="1:5">
      <c r="A609" s="1">
        <v>45780</v>
      </c>
      <c r="B609" t="s">
        <v>844</v>
      </c>
      <c r="C609" t="s">
        <v>20</v>
      </c>
      <c r="D609" t="s">
        <v>891</v>
      </c>
      <c r="E609">
        <v>720</v>
      </c>
    </row>
    <row r="610" spans="1:5">
      <c r="A610" s="1">
        <v>45780</v>
      </c>
      <c r="B610" t="s">
        <v>892</v>
      </c>
      <c r="C610" t="s">
        <v>20</v>
      </c>
      <c r="D610" t="s">
        <v>893</v>
      </c>
      <c r="E610">
        <v>6440</v>
      </c>
    </row>
    <row r="611" spans="1:5">
      <c r="A611" s="1">
        <v>45780</v>
      </c>
      <c r="B611" t="s">
        <v>50</v>
      </c>
      <c r="C611" t="s">
        <v>20</v>
      </c>
      <c r="D611" t="s">
        <v>894</v>
      </c>
      <c r="E611">
        <v>12</v>
      </c>
    </row>
    <row r="612" spans="1:5">
      <c r="A612" s="1">
        <v>45780</v>
      </c>
      <c r="B612" t="s">
        <v>68</v>
      </c>
      <c r="C612" t="s">
        <v>20</v>
      </c>
      <c r="D612" t="s">
        <v>895</v>
      </c>
      <c r="E612">
        <v>2220</v>
      </c>
    </row>
    <row r="613" spans="1:5">
      <c r="A613" s="1">
        <v>45780</v>
      </c>
      <c r="B613" t="s">
        <v>566</v>
      </c>
      <c r="C613" t="s">
        <v>20</v>
      </c>
      <c r="D613" t="s">
        <v>896</v>
      </c>
      <c r="E613">
        <v>20890</v>
      </c>
    </row>
    <row r="614" spans="1:5">
      <c r="A614" s="1">
        <v>45780</v>
      </c>
      <c r="B614" t="s">
        <v>856</v>
      </c>
      <c r="C614" t="s">
        <v>20</v>
      </c>
      <c r="D614" t="s">
        <v>897</v>
      </c>
      <c r="E614">
        <v>9734</v>
      </c>
    </row>
    <row r="615" spans="1:5">
      <c r="A615" s="1">
        <v>45780</v>
      </c>
      <c r="B615" t="s">
        <v>518</v>
      </c>
      <c r="C615" t="s">
        <v>20</v>
      </c>
      <c r="D615" t="s">
        <v>898</v>
      </c>
      <c r="E615">
        <v>55390</v>
      </c>
    </row>
    <row r="616" spans="1:5">
      <c r="A616" s="1">
        <v>45780</v>
      </c>
      <c r="B616" t="s">
        <v>460</v>
      </c>
      <c r="C616" t="s">
        <v>20</v>
      </c>
      <c r="D616" t="s">
        <v>899</v>
      </c>
      <c r="E616">
        <v>720</v>
      </c>
    </row>
    <row r="617" spans="1:5">
      <c r="A617" s="1">
        <v>45780</v>
      </c>
      <c r="B617" t="s">
        <v>900</v>
      </c>
      <c r="C617" t="s">
        <v>20</v>
      </c>
      <c r="D617" t="s">
        <v>901</v>
      </c>
      <c r="E617">
        <v>48310</v>
      </c>
    </row>
    <row r="618" spans="1:5">
      <c r="A618" s="1">
        <v>45780</v>
      </c>
      <c r="B618" t="s">
        <v>62</v>
      </c>
      <c r="C618" t="s">
        <v>20</v>
      </c>
      <c r="D618" t="s">
        <v>902</v>
      </c>
      <c r="E618">
        <v>3050</v>
      </c>
    </row>
    <row r="619" spans="1:5">
      <c r="A619" s="1">
        <v>45780</v>
      </c>
      <c r="B619" t="s">
        <v>62</v>
      </c>
      <c r="C619" t="s">
        <v>20</v>
      </c>
      <c r="D619" t="s">
        <v>903</v>
      </c>
      <c r="E619">
        <v>25200</v>
      </c>
    </row>
    <row r="620" spans="1:5">
      <c r="A620" s="1">
        <v>45780</v>
      </c>
      <c r="B620" t="s">
        <v>50</v>
      </c>
      <c r="C620" t="s">
        <v>20</v>
      </c>
      <c r="D620" t="s">
        <v>904</v>
      </c>
      <c r="E620">
        <v>360</v>
      </c>
    </row>
    <row r="621" spans="1:5">
      <c r="A621" s="1">
        <v>45780</v>
      </c>
      <c r="B621" t="s">
        <v>68</v>
      </c>
      <c r="C621" t="s">
        <v>20</v>
      </c>
      <c r="D621" t="s">
        <v>905</v>
      </c>
      <c r="E621">
        <v>560</v>
      </c>
    </row>
    <row r="622" spans="1:5">
      <c r="A622" s="1">
        <v>45780</v>
      </c>
      <c r="B622" t="s">
        <v>52</v>
      </c>
      <c r="C622" t="s">
        <v>20</v>
      </c>
      <c r="D622" t="s">
        <v>906</v>
      </c>
      <c r="E622">
        <v>3600</v>
      </c>
    </row>
    <row r="623" spans="1:5">
      <c r="A623" s="1">
        <v>45780</v>
      </c>
      <c r="B623" t="s">
        <v>907</v>
      </c>
      <c r="C623" t="s">
        <v>20</v>
      </c>
      <c r="D623" t="s">
        <v>908</v>
      </c>
      <c r="E623">
        <v>320</v>
      </c>
    </row>
    <row r="624" spans="1:5">
      <c r="A624" s="1">
        <v>45780</v>
      </c>
      <c r="B624" t="s">
        <v>844</v>
      </c>
      <c r="C624" t="s">
        <v>20</v>
      </c>
      <c r="D624" t="s">
        <v>909</v>
      </c>
      <c r="E624">
        <v>720</v>
      </c>
    </row>
    <row r="625" spans="1:5">
      <c r="A625" s="1">
        <v>45780</v>
      </c>
      <c r="B625" t="s">
        <v>910</v>
      </c>
      <c r="C625" t="s">
        <v>20</v>
      </c>
      <c r="D625" t="s">
        <v>911</v>
      </c>
      <c r="E625">
        <v>4890</v>
      </c>
    </row>
    <row r="626" spans="1:5">
      <c r="A626" s="1">
        <v>45780</v>
      </c>
      <c r="B626" t="s">
        <v>887</v>
      </c>
      <c r="C626" t="s">
        <v>20</v>
      </c>
      <c r="D626" t="s">
        <v>912</v>
      </c>
      <c r="E626">
        <v>7200</v>
      </c>
    </row>
    <row r="627" spans="1:5">
      <c r="A627" s="1">
        <v>45780</v>
      </c>
      <c r="B627" t="s">
        <v>163</v>
      </c>
      <c r="C627" t="s">
        <v>20</v>
      </c>
      <c r="D627" t="s">
        <v>913</v>
      </c>
      <c r="E627">
        <v>14475</v>
      </c>
    </row>
    <row r="628" spans="1:5">
      <c r="A628" s="1">
        <v>45780</v>
      </c>
      <c r="B628" t="s">
        <v>81</v>
      </c>
      <c r="C628" t="s">
        <v>20</v>
      </c>
      <c r="D628" t="s">
        <v>914</v>
      </c>
      <c r="E628">
        <v>20513</v>
      </c>
    </row>
    <row r="629" spans="1:5">
      <c r="A629" s="1">
        <v>45780</v>
      </c>
      <c r="B629" t="s">
        <v>915</v>
      </c>
      <c r="C629" t="s">
        <v>20</v>
      </c>
      <c r="D629" t="s">
        <v>916</v>
      </c>
      <c r="E629">
        <v>23686</v>
      </c>
    </row>
    <row r="630" spans="1:5">
      <c r="A630" s="1">
        <v>45780</v>
      </c>
      <c r="B630" t="s">
        <v>50</v>
      </c>
      <c r="C630" t="s">
        <v>20</v>
      </c>
      <c r="D630" t="s">
        <v>917</v>
      </c>
      <c r="E630">
        <v>12</v>
      </c>
    </row>
    <row r="631" spans="1:5">
      <c r="A631" s="1">
        <v>45780</v>
      </c>
      <c r="B631" t="s">
        <v>35</v>
      </c>
      <c r="C631" t="s">
        <v>20</v>
      </c>
      <c r="D631" t="s">
        <v>918</v>
      </c>
      <c r="E631">
        <v>28236</v>
      </c>
    </row>
    <row r="632" spans="1:5">
      <c r="A632" s="1">
        <v>45780</v>
      </c>
      <c r="B632" t="s">
        <v>919</v>
      </c>
      <c r="C632" t="s">
        <v>20</v>
      </c>
      <c r="D632" t="s">
        <v>920</v>
      </c>
      <c r="E632">
        <v>360</v>
      </c>
    </row>
    <row r="633" spans="1:5">
      <c r="A633" s="1">
        <v>45780</v>
      </c>
      <c r="B633" t="s">
        <v>921</v>
      </c>
      <c r="C633" t="s">
        <v>20</v>
      </c>
      <c r="D633" t="s">
        <v>922</v>
      </c>
      <c r="E633">
        <v>720</v>
      </c>
    </row>
    <row r="634" spans="1:5">
      <c r="A634" s="1">
        <v>45782</v>
      </c>
      <c r="B634" t="s">
        <v>923</v>
      </c>
      <c r="C634" t="s">
        <v>19</v>
      </c>
      <c r="D634" t="s">
        <v>924</v>
      </c>
      <c r="E634">
        <v>40359</v>
      </c>
    </row>
    <row r="635" spans="1:5">
      <c r="A635" s="1">
        <v>45782</v>
      </c>
      <c r="B635" t="s">
        <v>54</v>
      </c>
      <c r="C635" t="s">
        <v>19</v>
      </c>
      <c r="D635" t="s">
        <v>925</v>
      </c>
      <c r="E635">
        <v>47467</v>
      </c>
    </row>
    <row r="636" spans="1:5">
      <c r="A636" s="1">
        <v>45782</v>
      </c>
      <c r="B636" t="s">
        <v>54</v>
      </c>
      <c r="C636" t="s">
        <v>19</v>
      </c>
      <c r="D636" t="s">
        <v>926</v>
      </c>
      <c r="E636">
        <v>22147</v>
      </c>
    </row>
    <row r="637" spans="1:5">
      <c r="A637" s="1">
        <v>45782</v>
      </c>
      <c r="B637" t="s">
        <v>927</v>
      </c>
      <c r="C637" t="s">
        <v>19</v>
      </c>
      <c r="D637" t="s">
        <v>928</v>
      </c>
      <c r="E637">
        <v>40263</v>
      </c>
    </row>
    <row r="638" spans="1:5">
      <c r="A638" s="1">
        <v>45782</v>
      </c>
      <c r="B638" t="s">
        <v>58</v>
      </c>
      <c r="C638" t="s">
        <v>19</v>
      </c>
      <c r="D638" t="s">
        <v>929</v>
      </c>
      <c r="E638">
        <v>1965</v>
      </c>
    </row>
    <row r="639" spans="1:5">
      <c r="A639" s="1">
        <v>45782</v>
      </c>
      <c r="B639" t="s">
        <v>224</v>
      </c>
      <c r="C639" t="s">
        <v>20</v>
      </c>
      <c r="D639" t="s">
        <v>930</v>
      </c>
      <c r="E639">
        <v>360</v>
      </c>
    </row>
    <row r="640" spans="1:5">
      <c r="A640" s="1">
        <v>45782</v>
      </c>
      <c r="B640" t="s">
        <v>512</v>
      </c>
      <c r="C640" t="s">
        <v>20</v>
      </c>
      <c r="D640" t="s">
        <v>931</v>
      </c>
      <c r="E640">
        <v>1080</v>
      </c>
    </row>
    <row r="641" spans="1:5">
      <c r="A641" s="1">
        <v>45782</v>
      </c>
      <c r="B641" t="s">
        <v>932</v>
      </c>
      <c r="C641" t="s">
        <v>20</v>
      </c>
      <c r="D641" t="s">
        <v>933</v>
      </c>
      <c r="E641">
        <v>806</v>
      </c>
    </row>
    <row r="642" spans="1:5">
      <c r="A642" s="1">
        <v>45782</v>
      </c>
      <c r="B642" t="s">
        <v>43</v>
      </c>
      <c r="C642" t="s">
        <v>20</v>
      </c>
      <c r="D642" t="s">
        <v>934</v>
      </c>
      <c r="E642">
        <v>9203</v>
      </c>
    </row>
    <row r="643" spans="1:5">
      <c r="A643" s="1">
        <v>45782</v>
      </c>
      <c r="B643" t="s">
        <v>817</v>
      </c>
      <c r="C643" t="s">
        <v>20</v>
      </c>
      <c r="D643" t="s">
        <v>935</v>
      </c>
      <c r="E643">
        <v>39923</v>
      </c>
    </row>
    <row r="644" spans="1:5">
      <c r="A644" s="1">
        <v>45782</v>
      </c>
      <c r="B644" t="s">
        <v>224</v>
      </c>
      <c r="C644" t="s">
        <v>20</v>
      </c>
      <c r="D644" t="s">
        <v>936</v>
      </c>
      <c r="E644">
        <v>360</v>
      </c>
    </row>
    <row r="645" spans="1:5">
      <c r="A645" s="1">
        <v>45782</v>
      </c>
      <c r="B645" t="s">
        <v>68</v>
      </c>
      <c r="C645" t="s">
        <v>20</v>
      </c>
      <c r="D645" t="s">
        <v>937</v>
      </c>
      <c r="E645">
        <v>668</v>
      </c>
    </row>
    <row r="646" spans="1:5">
      <c r="A646" s="1">
        <v>45782</v>
      </c>
      <c r="B646" t="s">
        <v>360</v>
      </c>
      <c r="C646" t="s">
        <v>20</v>
      </c>
      <c r="D646" t="s">
        <v>938</v>
      </c>
      <c r="E646">
        <v>4886</v>
      </c>
    </row>
    <row r="647" spans="1:5">
      <c r="A647" s="1">
        <v>45782</v>
      </c>
      <c r="B647" t="s">
        <v>939</v>
      </c>
      <c r="C647" t="s">
        <v>20</v>
      </c>
      <c r="D647" t="s">
        <v>940</v>
      </c>
      <c r="E647">
        <v>1176</v>
      </c>
    </row>
    <row r="648" spans="1:5">
      <c r="A648" s="1">
        <v>45782</v>
      </c>
      <c r="B648" t="s">
        <v>81</v>
      </c>
      <c r="C648" t="s">
        <v>20</v>
      </c>
      <c r="D648" t="s">
        <v>941</v>
      </c>
      <c r="E648">
        <v>1222</v>
      </c>
    </row>
    <row r="649" spans="1:5">
      <c r="A649" s="1">
        <v>45782</v>
      </c>
      <c r="B649" t="s">
        <v>942</v>
      </c>
      <c r="C649" t="s">
        <v>20</v>
      </c>
      <c r="D649" t="s">
        <v>943</v>
      </c>
      <c r="E649">
        <v>3445</v>
      </c>
    </row>
    <row r="650" spans="1:5">
      <c r="A650" s="1">
        <v>45782</v>
      </c>
      <c r="B650" t="s">
        <v>68</v>
      </c>
      <c r="C650" t="s">
        <v>20</v>
      </c>
      <c r="D650" t="s">
        <v>944</v>
      </c>
      <c r="E650">
        <v>21865</v>
      </c>
    </row>
    <row r="651" spans="1:5">
      <c r="A651" s="1">
        <v>45782</v>
      </c>
      <c r="B651" t="s">
        <v>360</v>
      </c>
      <c r="C651" t="s">
        <v>20</v>
      </c>
      <c r="D651" t="s">
        <v>945</v>
      </c>
      <c r="E651">
        <v>1110</v>
      </c>
    </row>
    <row r="652" spans="1:5">
      <c r="A652" s="1">
        <v>45782</v>
      </c>
      <c r="B652" t="s">
        <v>470</v>
      </c>
      <c r="C652" t="s">
        <v>20</v>
      </c>
      <c r="D652" t="s">
        <v>946</v>
      </c>
      <c r="E652">
        <v>12200</v>
      </c>
    </row>
    <row r="653" spans="1:5">
      <c r="A653" s="1">
        <v>45782</v>
      </c>
      <c r="B653" t="s">
        <v>35</v>
      </c>
      <c r="C653" t="s">
        <v>20</v>
      </c>
      <c r="D653" t="s">
        <v>947</v>
      </c>
      <c r="E653">
        <v>12653</v>
      </c>
    </row>
    <row r="654" spans="1:5">
      <c r="A654" s="1">
        <v>45782</v>
      </c>
      <c r="B654" t="s">
        <v>35</v>
      </c>
      <c r="C654" t="s">
        <v>20</v>
      </c>
      <c r="D654" t="s">
        <v>948</v>
      </c>
      <c r="E654">
        <v>15645</v>
      </c>
    </row>
    <row r="655" spans="1:5">
      <c r="A655" s="1">
        <v>45782</v>
      </c>
      <c r="B655" t="s">
        <v>949</v>
      </c>
      <c r="C655" t="s">
        <v>20</v>
      </c>
      <c r="D655" t="s">
        <v>950</v>
      </c>
      <c r="E655">
        <v>11486</v>
      </c>
    </row>
    <row r="656" spans="1:5">
      <c r="A656" s="1">
        <v>45782</v>
      </c>
      <c r="B656" t="s">
        <v>474</v>
      </c>
      <c r="C656" t="s">
        <v>20</v>
      </c>
      <c r="D656" t="s">
        <v>951</v>
      </c>
      <c r="E656">
        <v>21357</v>
      </c>
    </row>
    <row r="657" spans="1:5">
      <c r="A657" s="1">
        <v>45782</v>
      </c>
      <c r="B657" t="s">
        <v>952</v>
      </c>
      <c r="C657" t="s">
        <v>20</v>
      </c>
      <c r="D657" t="s">
        <v>953</v>
      </c>
      <c r="E657">
        <v>1123</v>
      </c>
    </row>
    <row r="658" spans="1:5">
      <c r="A658" s="1">
        <v>45783</v>
      </c>
      <c r="B658" t="s">
        <v>58</v>
      </c>
      <c r="C658" t="s">
        <v>19</v>
      </c>
      <c r="D658" t="s">
        <v>954</v>
      </c>
      <c r="E658">
        <v>12186</v>
      </c>
    </row>
    <row r="659" spans="1:5">
      <c r="A659" s="1">
        <v>45783</v>
      </c>
      <c r="B659" t="s">
        <v>955</v>
      </c>
      <c r="C659" t="s">
        <v>19</v>
      </c>
      <c r="D659" t="s">
        <v>956</v>
      </c>
      <c r="E659">
        <v>4431</v>
      </c>
    </row>
    <row r="660" spans="1:5">
      <c r="A660" s="1">
        <v>45783</v>
      </c>
      <c r="B660" t="s">
        <v>588</v>
      </c>
      <c r="C660" t="s">
        <v>19</v>
      </c>
      <c r="D660" t="s">
        <v>957</v>
      </c>
      <c r="E660">
        <v>30271</v>
      </c>
    </row>
    <row r="661" spans="1:5">
      <c r="A661" s="1">
        <v>45783</v>
      </c>
      <c r="B661" t="s">
        <v>588</v>
      </c>
      <c r="C661" t="s">
        <v>19</v>
      </c>
      <c r="D661" t="s">
        <v>958</v>
      </c>
      <c r="E661">
        <v>20950</v>
      </c>
    </row>
    <row r="662" spans="1:5">
      <c r="A662" s="1">
        <v>45783</v>
      </c>
      <c r="B662" t="s">
        <v>56</v>
      </c>
      <c r="C662" t="s">
        <v>19</v>
      </c>
      <c r="D662" t="s">
        <v>959</v>
      </c>
      <c r="E662">
        <v>5518</v>
      </c>
    </row>
    <row r="663" spans="1:5">
      <c r="A663" s="1">
        <v>45783</v>
      </c>
      <c r="B663" t="s">
        <v>586</v>
      </c>
      <c r="C663" t="s">
        <v>19</v>
      </c>
      <c r="D663" t="s">
        <v>960</v>
      </c>
      <c r="E663">
        <v>11257</v>
      </c>
    </row>
    <row r="664" spans="1:5">
      <c r="A664" s="1">
        <v>45783</v>
      </c>
      <c r="B664" t="s">
        <v>961</v>
      </c>
      <c r="C664" t="s">
        <v>20</v>
      </c>
      <c r="D664" t="s">
        <v>962</v>
      </c>
      <c r="E664">
        <v>130</v>
      </c>
    </row>
    <row r="665" spans="1:5">
      <c r="A665" s="1">
        <v>45783</v>
      </c>
      <c r="B665" t="s">
        <v>131</v>
      </c>
      <c r="C665" t="s">
        <v>20</v>
      </c>
      <c r="D665" t="s">
        <v>963</v>
      </c>
      <c r="E665">
        <v>2855</v>
      </c>
    </row>
    <row r="666" spans="1:5">
      <c r="A666" s="1">
        <v>45783</v>
      </c>
      <c r="B666" t="s">
        <v>135</v>
      </c>
      <c r="C666" t="s">
        <v>20</v>
      </c>
      <c r="D666" t="s">
        <v>964</v>
      </c>
      <c r="E666">
        <v>668</v>
      </c>
    </row>
    <row r="667" spans="1:5">
      <c r="A667" s="1">
        <v>45783</v>
      </c>
      <c r="B667" t="s">
        <v>254</v>
      </c>
      <c r="C667" t="s">
        <v>20</v>
      </c>
      <c r="D667" t="s">
        <v>965</v>
      </c>
      <c r="E667">
        <v>2520</v>
      </c>
    </row>
    <row r="668" spans="1:5">
      <c r="A668" s="1">
        <v>45783</v>
      </c>
      <c r="B668" t="s">
        <v>559</v>
      </c>
      <c r="C668" t="s">
        <v>20</v>
      </c>
      <c r="D668" t="s">
        <v>966</v>
      </c>
      <c r="E668">
        <v>3140</v>
      </c>
    </row>
    <row r="669" spans="1:5">
      <c r="A669" s="1">
        <v>45783</v>
      </c>
      <c r="B669" t="s">
        <v>50</v>
      </c>
      <c r="C669" t="s">
        <v>20</v>
      </c>
      <c r="D669" t="s">
        <v>967</v>
      </c>
      <c r="E669">
        <v>12</v>
      </c>
    </row>
    <row r="670" spans="1:5">
      <c r="A670" s="1">
        <v>45783</v>
      </c>
      <c r="B670" t="s">
        <v>968</v>
      </c>
      <c r="C670" t="s">
        <v>20</v>
      </c>
      <c r="D670" t="s">
        <v>969</v>
      </c>
      <c r="E670">
        <v>17805</v>
      </c>
    </row>
    <row r="671" spans="1:5">
      <c r="A671" s="1">
        <v>45783</v>
      </c>
      <c r="B671" t="s">
        <v>970</v>
      </c>
      <c r="C671" t="s">
        <v>20</v>
      </c>
      <c r="D671" t="s">
        <v>971</v>
      </c>
      <c r="E671">
        <v>2200</v>
      </c>
    </row>
    <row r="672" spans="1:5">
      <c r="A672" s="1">
        <v>45783</v>
      </c>
      <c r="B672" t="s">
        <v>131</v>
      </c>
      <c r="C672" t="s">
        <v>20</v>
      </c>
      <c r="D672" t="s">
        <v>972</v>
      </c>
      <c r="E672">
        <v>410</v>
      </c>
    </row>
    <row r="673" spans="1:5">
      <c r="A673" s="1">
        <v>45783</v>
      </c>
      <c r="B673" t="s">
        <v>83</v>
      </c>
      <c r="C673" t="s">
        <v>20</v>
      </c>
      <c r="D673" t="s">
        <v>973</v>
      </c>
      <c r="E673">
        <v>1562</v>
      </c>
    </row>
    <row r="674" spans="1:5">
      <c r="A674" s="1">
        <v>45783</v>
      </c>
      <c r="B674" t="s">
        <v>41</v>
      </c>
      <c r="C674" t="s">
        <v>20</v>
      </c>
      <c r="D674" t="s">
        <v>974</v>
      </c>
      <c r="E674">
        <v>30020</v>
      </c>
    </row>
    <row r="675" spans="1:5">
      <c r="A675" s="1">
        <v>45783</v>
      </c>
      <c r="B675" t="s">
        <v>900</v>
      </c>
      <c r="C675" t="s">
        <v>20</v>
      </c>
      <c r="D675" t="s">
        <v>975</v>
      </c>
      <c r="E675">
        <v>1774</v>
      </c>
    </row>
    <row r="676" spans="1:5">
      <c r="A676" s="1">
        <v>45783</v>
      </c>
      <c r="B676" t="s">
        <v>135</v>
      </c>
      <c r="C676" t="s">
        <v>20</v>
      </c>
      <c r="D676" t="s">
        <v>976</v>
      </c>
      <c r="E676">
        <v>1800</v>
      </c>
    </row>
    <row r="677" spans="1:5">
      <c r="A677" s="1">
        <v>45783</v>
      </c>
      <c r="B677" t="s">
        <v>977</v>
      </c>
      <c r="C677" t="s">
        <v>20</v>
      </c>
      <c r="D677" t="s">
        <v>978</v>
      </c>
      <c r="E677">
        <v>1920</v>
      </c>
    </row>
    <row r="678" spans="1:5">
      <c r="A678" s="1">
        <v>45783</v>
      </c>
      <c r="B678" t="s">
        <v>457</v>
      </c>
      <c r="C678" t="s">
        <v>20</v>
      </c>
      <c r="D678" t="s">
        <v>979</v>
      </c>
      <c r="E678">
        <v>38191</v>
      </c>
    </row>
    <row r="679" spans="1:5">
      <c r="A679" s="1">
        <v>45783</v>
      </c>
      <c r="B679" t="s">
        <v>892</v>
      </c>
      <c r="C679" t="s">
        <v>20</v>
      </c>
      <c r="D679" t="s">
        <v>980</v>
      </c>
      <c r="E679">
        <v>28354</v>
      </c>
    </row>
    <row r="680" spans="1:5">
      <c r="A680" s="1">
        <v>45783</v>
      </c>
      <c r="B680" t="s">
        <v>981</v>
      </c>
      <c r="C680" t="s">
        <v>20</v>
      </c>
      <c r="D680" t="s">
        <v>982</v>
      </c>
      <c r="E680">
        <v>720</v>
      </c>
    </row>
    <row r="681" spans="1:5">
      <c r="A681" s="1">
        <v>45783</v>
      </c>
      <c r="B681" t="s">
        <v>50</v>
      </c>
      <c r="C681" t="s">
        <v>20</v>
      </c>
      <c r="D681" t="s">
        <v>983</v>
      </c>
      <c r="E681">
        <v>222</v>
      </c>
    </row>
    <row r="682" spans="1:5">
      <c r="A682" s="1">
        <v>45783</v>
      </c>
      <c r="B682" t="s">
        <v>984</v>
      </c>
      <c r="C682" t="s">
        <v>20</v>
      </c>
      <c r="D682" t="s">
        <v>985</v>
      </c>
      <c r="E682">
        <v>32</v>
      </c>
    </row>
    <row r="683" spans="1:5">
      <c r="A683" s="1">
        <v>45783</v>
      </c>
      <c r="B683" t="s">
        <v>212</v>
      </c>
      <c r="C683" t="s">
        <v>20</v>
      </c>
      <c r="D683" t="s">
        <v>986</v>
      </c>
      <c r="E683">
        <v>5563</v>
      </c>
    </row>
    <row r="684" spans="1:5">
      <c r="A684" s="1">
        <v>45783</v>
      </c>
      <c r="B684" t="s">
        <v>35</v>
      </c>
      <c r="C684" t="s">
        <v>20</v>
      </c>
      <c r="D684" t="s">
        <v>987</v>
      </c>
      <c r="E684">
        <v>2950</v>
      </c>
    </row>
    <row r="685" spans="1:5">
      <c r="A685" s="1">
        <v>45783</v>
      </c>
      <c r="B685" t="s">
        <v>135</v>
      </c>
      <c r="C685" t="s">
        <v>20</v>
      </c>
      <c r="D685" t="s">
        <v>988</v>
      </c>
      <c r="E685">
        <v>6265</v>
      </c>
    </row>
    <row r="686" spans="1:5">
      <c r="A686" s="1">
        <v>45783</v>
      </c>
      <c r="B686" t="s">
        <v>81</v>
      </c>
      <c r="C686" t="s">
        <v>20</v>
      </c>
      <c r="D686" t="s">
        <v>989</v>
      </c>
      <c r="E686">
        <v>13324</v>
      </c>
    </row>
    <row r="687" spans="1:5">
      <c r="A687" s="1">
        <v>45783</v>
      </c>
      <c r="B687" t="s">
        <v>43</v>
      </c>
      <c r="C687" t="s">
        <v>20</v>
      </c>
      <c r="D687" t="s">
        <v>990</v>
      </c>
      <c r="E687">
        <v>760</v>
      </c>
    </row>
    <row r="688" spans="1:5">
      <c r="A688" s="1">
        <v>45783</v>
      </c>
      <c r="B688" t="s">
        <v>50</v>
      </c>
      <c r="C688" t="s">
        <v>20</v>
      </c>
      <c r="D688" t="s">
        <v>991</v>
      </c>
      <c r="E688">
        <v>1100</v>
      </c>
    </row>
    <row r="689" spans="1:5">
      <c r="A689" s="1">
        <v>45783</v>
      </c>
      <c r="B689" t="s">
        <v>50</v>
      </c>
      <c r="C689" t="s">
        <v>20</v>
      </c>
      <c r="D689" t="s">
        <v>992</v>
      </c>
      <c r="E689">
        <v>541</v>
      </c>
    </row>
    <row r="690" spans="1:5">
      <c r="A690" s="1">
        <v>45784</v>
      </c>
      <c r="B690" t="s">
        <v>56</v>
      </c>
      <c r="C690" t="s">
        <v>19</v>
      </c>
      <c r="D690" t="s">
        <v>993</v>
      </c>
      <c r="E690">
        <v>12064</v>
      </c>
    </row>
    <row r="691" spans="1:5">
      <c r="A691" s="1">
        <v>45784</v>
      </c>
      <c r="B691" t="s">
        <v>216</v>
      </c>
      <c r="C691" t="s">
        <v>19</v>
      </c>
      <c r="D691" t="s">
        <v>994</v>
      </c>
      <c r="E691">
        <v>12350</v>
      </c>
    </row>
    <row r="692" spans="1:5">
      <c r="A692" s="1">
        <v>45784</v>
      </c>
      <c r="B692" t="s">
        <v>586</v>
      </c>
      <c r="C692" t="s">
        <v>19</v>
      </c>
      <c r="D692" t="s">
        <v>995</v>
      </c>
      <c r="E692">
        <v>9903</v>
      </c>
    </row>
    <row r="693" spans="1:5">
      <c r="A693" s="1">
        <v>45784</v>
      </c>
      <c r="B693" t="s">
        <v>60</v>
      </c>
      <c r="C693" t="s">
        <v>19</v>
      </c>
      <c r="D693" t="s">
        <v>996</v>
      </c>
      <c r="E693">
        <v>2556</v>
      </c>
    </row>
    <row r="694" spans="1:5">
      <c r="A694" s="1">
        <v>45784</v>
      </c>
      <c r="B694" t="s">
        <v>783</v>
      </c>
      <c r="C694" t="s">
        <v>19</v>
      </c>
      <c r="D694" t="s">
        <v>997</v>
      </c>
      <c r="E694">
        <v>360</v>
      </c>
    </row>
    <row r="695" spans="1:5">
      <c r="A695" s="1">
        <v>45784</v>
      </c>
      <c r="B695" t="s">
        <v>559</v>
      </c>
      <c r="C695" t="s">
        <v>20</v>
      </c>
      <c r="D695" t="s">
        <v>998</v>
      </c>
      <c r="E695">
        <v>174591</v>
      </c>
    </row>
    <row r="696" spans="1:5">
      <c r="A696" s="1">
        <v>45784</v>
      </c>
      <c r="B696" t="s">
        <v>514</v>
      </c>
      <c r="C696" t="s">
        <v>20</v>
      </c>
      <c r="D696" t="s">
        <v>999</v>
      </c>
      <c r="E696">
        <v>7141</v>
      </c>
    </row>
    <row r="697" spans="1:5">
      <c r="A697" s="1">
        <v>45784</v>
      </c>
      <c r="B697" t="s">
        <v>1000</v>
      </c>
      <c r="C697" t="s">
        <v>20</v>
      </c>
      <c r="D697" t="s">
        <v>1001</v>
      </c>
      <c r="E697">
        <v>2010</v>
      </c>
    </row>
    <row r="698" spans="1:5">
      <c r="A698" s="1">
        <v>45784</v>
      </c>
      <c r="B698" t="s">
        <v>50</v>
      </c>
      <c r="C698" t="s">
        <v>20</v>
      </c>
      <c r="D698" t="s">
        <v>1002</v>
      </c>
      <c r="E698">
        <v>3281</v>
      </c>
    </row>
    <row r="699" spans="1:5">
      <c r="A699" s="1">
        <v>45784</v>
      </c>
      <c r="B699" t="s">
        <v>360</v>
      </c>
      <c r="C699" t="s">
        <v>20</v>
      </c>
      <c r="D699" t="s">
        <v>1003</v>
      </c>
      <c r="E699">
        <v>31629</v>
      </c>
    </row>
    <row r="700" spans="1:5">
      <c r="A700" s="1">
        <v>45784</v>
      </c>
      <c r="B700" t="s">
        <v>1004</v>
      </c>
      <c r="C700" t="s">
        <v>20</v>
      </c>
      <c r="D700" t="s">
        <v>1005</v>
      </c>
      <c r="E700">
        <v>10800</v>
      </c>
    </row>
    <row r="701" spans="1:5">
      <c r="A701" s="1">
        <v>45784</v>
      </c>
      <c r="B701" t="s">
        <v>1006</v>
      </c>
      <c r="C701" t="s">
        <v>20</v>
      </c>
      <c r="D701" t="s">
        <v>1007</v>
      </c>
      <c r="E701">
        <v>360</v>
      </c>
    </row>
    <row r="702" spans="1:5">
      <c r="A702" s="1">
        <v>45784</v>
      </c>
      <c r="B702" t="s">
        <v>1008</v>
      </c>
      <c r="C702" t="s">
        <v>20</v>
      </c>
      <c r="D702" t="s">
        <v>1009</v>
      </c>
      <c r="E702">
        <v>9193</v>
      </c>
    </row>
    <row r="703" spans="1:5">
      <c r="A703" s="1">
        <v>45784</v>
      </c>
      <c r="B703" t="s">
        <v>887</v>
      </c>
      <c r="C703" t="s">
        <v>20</v>
      </c>
      <c r="D703" t="s">
        <v>1010</v>
      </c>
      <c r="E703">
        <v>3600</v>
      </c>
    </row>
    <row r="704" spans="1:5">
      <c r="A704" s="1">
        <v>45784</v>
      </c>
      <c r="B704" t="s">
        <v>817</v>
      </c>
      <c r="C704" t="s">
        <v>20</v>
      </c>
      <c r="D704" t="s">
        <v>1011</v>
      </c>
      <c r="E704">
        <v>1556</v>
      </c>
    </row>
    <row r="705" spans="1:5">
      <c r="A705" s="1">
        <v>45784</v>
      </c>
      <c r="B705" t="s">
        <v>35</v>
      </c>
      <c r="C705" t="s">
        <v>20</v>
      </c>
      <c r="D705" t="s">
        <v>1012</v>
      </c>
      <c r="E705">
        <v>2136</v>
      </c>
    </row>
    <row r="706" spans="1:5">
      <c r="A706" s="1">
        <v>45784</v>
      </c>
      <c r="B706" t="s">
        <v>1013</v>
      </c>
      <c r="C706" t="s">
        <v>20</v>
      </c>
      <c r="D706" t="s">
        <v>1014</v>
      </c>
      <c r="E706">
        <v>18750</v>
      </c>
    </row>
    <row r="707" spans="1:5">
      <c r="A707" s="1">
        <v>45784</v>
      </c>
      <c r="B707" t="s">
        <v>1015</v>
      </c>
      <c r="C707" t="s">
        <v>20</v>
      </c>
      <c r="D707" t="s">
        <v>1016</v>
      </c>
      <c r="E707">
        <v>7495</v>
      </c>
    </row>
    <row r="708" spans="1:5">
      <c r="A708" s="1">
        <v>45784</v>
      </c>
      <c r="B708" t="s">
        <v>900</v>
      </c>
      <c r="C708" t="s">
        <v>20</v>
      </c>
      <c r="D708" t="s">
        <v>1017</v>
      </c>
      <c r="E708">
        <v>2900</v>
      </c>
    </row>
    <row r="709" spans="1:5">
      <c r="A709" s="1">
        <v>45784</v>
      </c>
      <c r="B709" t="s">
        <v>265</v>
      </c>
      <c r="C709" t="s">
        <v>20</v>
      </c>
      <c r="D709" t="s">
        <v>1018</v>
      </c>
      <c r="E709">
        <v>1600</v>
      </c>
    </row>
    <row r="710" spans="1:5">
      <c r="A710" s="1">
        <v>45784</v>
      </c>
      <c r="B710" t="s">
        <v>35</v>
      </c>
      <c r="C710" t="s">
        <v>20</v>
      </c>
      <c r="D710" t="s">
        <v>1019</v>
      </c>
      <c r="E710">
        <v>3664</v>
      </c>
    </row>
    <row r="711" spans="1:5">
      <c r="A711" s="1">
        <v>45785</v>
      </c>
      <c r="B711" t="s">
        <v>58</v>
      </c>
      <c r="C711" t="s">
        <v>19</v>
      </c>
      <c r="D711" t="s">
        <v>1020</v>
      </c>
      <c r="E711">
        <v>17852</v>
      </c>
    </row>
    <row r="712" spans="1:5">
      <c r="A712" s="1">
        <v>45785</v>
      </c>
      <c r="B712" t="s">
        <v>1021</v>
      </c>
      <c r="C712" t="s">
        <v>19</v>
      </c>
      <c r="D712" t="s">
        <v>1022</v>
      </c>
      <c r="E712">
        <v>3640</v>
      </c>
    </row>
    <row r="713" spans="1:5">
      <c r="A713" s="1">
        <v>45785</v>
      </c>
      <c r="B713" t="s">
        <v>586</v>
      </c>
      <c r="C713" t="s">
        <v>19</v>
      </c>
      <c r="D713" t="s">
        <v>1023</v>
      </c>
      <c r="E713">
        <v>1800</v>
      </c>
    </row>
    <row r="714" spans="1:5">
      <c r="A714" s="1">
        <v>45785</v>
      </c>
      <c r="B714" t="s">
        <v>50</v>
      </c>
      <c r="C714" t="s">
        <v>20</v>
      </c>
      <c r="D714" t="s">
        <v>1024</v>
      </c>
      <c r="E714">
        <v>12</v>
      </c>
    </row>
    <row r="715" spans="1:5">
      <c r="A715" s="1">
        <v>45785</v>
      </c>
      <c r="B715" t="s">
        <v>512</v>
      </c>
      <c r="C715" t="s">
        <v>20</v>
      </c>
      <c r="D715" t="s">
        <v>1025</v>
      </c>
      <c r="E715">
        <v>203</v>
      </c>
    </row>
    <row r="716" spans="1:5">
      <c r="A716" s="1">
        <v>45785</v>
      </c>
      <c r="B716" t="s">
        <v>1026</v>
      </c>
      <c r="C716" t="s">
        <v>20</v>
      </c>
      <c r="D716" t="s">
        <v>1027</v>
      </c>
      <c r="E716">
        <v>1800</v>
      </c>
    </row>
    <row r="717" spans="1:5">
      <c r="A717" s="1">
        <v>45785</v>
      </c>
      <c r="B717" t="s">
        <v>122</v>
      </c>
      <c r="C717" t="s">
        <v>20</v>
      </c>
      <c r="D717" t="s">
        <v>1028</v>
      </c>
      <c r="E717">
        <v>3600</v>
      </c>
    </row>
    <row r="718" spans="1:5">
      <c r="A718" s="1">
        <v>45785</v>
      </c>
      <c r="B718" t="s">
        <v>557</v>
      </c>
      <c r="C718" t="s">
        <v>20</v>
      </c>
      <c r="D718" t="s">
        <v>1029</v>
      </c>
      <c r="E718">
        <v>18522</v>
      </c>
    </row>
    <row r="719" spans="1:5">
      <c r="A719" s="1">
        <v>45785</v>
      </c>
      <c r="B719" t="s">
        <v>1030</v>
      </c>
      <c r="C719" t="s">
        <v>20</v>
      </c>
      <c r="D719" t="s">
        <v>1031</v>
      </c>
      <c r="E719">
        <v>3860</v>
      </c>
    </row>
    <row r="720" spans="1:5">
      <c r="A720" s="1">
        <v>45785</v>
      </c>
      <c r="B720" t="s">
        <v>135</v>
      </c>
      <c r="C720" t="s">
        <v>20</v>
      </c>
      <c r="D720" t="s">
        <v>1032</v>
      </c>
      <c r="E720">
        <v>1423</v>
      </c>
    </row>
    <row r="721" spans="1:5">
      <c r="A721" s="1">
        <v>45785</v>
      </c>
      <c r="B721" t="s">
        <v>470</v>
      </c>
      <c r="C721" t="s">
        <v>20</v>
      </c>
      <c r="D721" t="s">
        <v>1033</v>
      </c>
      <c r="E721">
        <v>7860</v>
      </c>
    </row>
    <row r="722" spans="1:5">
      <c r="A722" s="1">
        <v>45785</v>
      </c>
      <c r="B722" t="s">
        <v>222</v>
      </c>
      <c r="C722" t="s">
        <v>20</v>
      </c>
      <c r="D722" t="s">
        <v>1034</v>
      </c>
      <c r="E722">
        <v>3081</v>
      </c>
    </row>
    <row r="723" spans="1:5">
      <c r="A723" s="1">
        <v>45785</v>
      </c>
      <c r="B723" t="s">
        <v>870</v>
      </c>
      <c r="C723" t="s">
        <v>20</v>
      </c>
      <c r="D723" t="s">
        <v>1035</v>
      </c>
      <c r="E723">
        <v>1956</v>
      </c>
    </row>
    <row r="724" spans="1:5">
      <c r="A724" s="1">
        <v>45785</v>
      </c>
      <c r="B724" t="s">
        <v>687</v>
      </c>
      <c r="C724" t="s">
        <v>20</v>
      </c>
      <c r="D724" t="s">
        <v>1036</v>
      </c>
      <c r="E724">
        <v>3380</v>
      </c>
    </row>
    <row r="725" spans="1:5">
      <c r="A725" s="1">
        <v>45785</v>
      </c>
      <c r="B725" t="s">
        <v>135</v>
      </c>
      <c r="C725" t="s">
        <v>20</v>
      </c>
      <c r="D725" t="s">
        <v>1037</v>
      </c>
      <c r="E725">
        <v>630</v>
      </c>
    </row>
    <row r="726" spans="1:5">
      <c r="A726" s="1">
        <v>45785</v>
      </c>
      <c r="B726" t="s">
        <v>512</v>
      </c>
      <c r="C726" t="s">
        <v>20</v>
      </c>
      <c r="D726" t="s">
        <v>1038</v>
      </c>
      <c r="E726">
        <v>6938</v>
      </c>
    </row>
    <row r="727" spans="1:5">
      <c r="A727" s="1">
        <v>45785</v>
      </c>
      <c r="B727" t="s">
        <v>1039</v>
      </c>
      <c r="C727" t="s">
        <v>20</v>
      </c>
      <c r="D727" t="s">
        <v>1040</v>
      </c>
      <c r="E727">
        <v>342</v>
      </c>
    </row>
    <row r="728" spans="1:5">
      <c r="A728" s="1">
        <v>45785</v>
      </c>
      <c r="B728" t="s">
        <v>642</v>
      </c>
      <c r="C728" t="s">
        <v>20</v>
      </c>
      <c r="D728" t="s">
        <v>1041</v>
      </c>
      <c r="E728">
        <v>6488</v>
      </c>
    </row>
    <row r="729" spans="1:5">
      <c r="A729" s="1">
        <v>45786</v>
      </c>
      <c r="B729" t="s">
        <v>1042</v>
      </c>
      <c r="C729" t="s">
        <v>19</v>
      </c>
      <c r="D729" t="s">
        <v>1043</v>
      </c>
      <c r="E729">
        <v>6317</v>
      </c>
    </row>
    <row r="730" spans="1:5">
      <c r="A730" s="1">
        <v>45786</v>
      </c>
      <c r="B730" t="s">
        <v>586</v>
      </c>
      <c r="C730" t="s">
        <v>19</v>
      </c>
      <c r="D730" t="s">
        <v>1044</v>
      </c>
      <c r="E730">
        <v>26645</v>
      </c>
    </row>
    <row r="731" spans="1:5">
      <c r="A731" s="1">
        <v>45786</v>
      </c>
      <c r="B731" t="s">
        <v>1045</v>
      </c>
      <c r="C731" t="s">
        <v>19</v>
      </c>
      <c r="D731" t="s">
        <v>1046</v>
      </c>
      <c r="E731">
        <v>4514</v>
      </c>
    </row>
    <row r="732" spans="1:5">
      <c r="A732" s="1">
        <v>45786</v>
      </c>
      <c r="B732" t="s">
        <v>56</v>
      </c>
      <c r="C732" t="s">
        <v>19</v>
      </c>
      <c r="D732" t="s">
        <v>1047</v>
      </c>
      <c r="E732">
        <v>103578</v>
      </c>
    </row>
    <row r="733" spans="1:5">
      <c r="A733" s="1">
        <v>45786</v>
      </c>
      <c r="B733" t="s">
        <v>443</v>
      </c>
      <c r="C733" t="s">
        <v>19</v>
      </c>
      <c r="D733" t="s">
        <v>1048</v>
      </c>
      <c r="E733">
        <v>3379</v>
      </c>
    </row>
    <row r="734" spans="1:5">
      <c r="A734" s="1">
        <v>45786</v>
      </c>
      <c r="B734" t="s">
        <v>1049</v>
      </c>
      <c r="C734" t="s">
        <v>19</v>
      </c>
      <c r="D734" t="s">
        <v>1050</v>
      </c>
      <c r="E734">
        <v>42893</v>
      </c>
    </row>
    <row r="735" spans="1:5">
      <c r="A735" s="1">
        <v>45786</v>
      </c>
      <c r="B735" t="s">
        <v>1051</v>
      </c>
      <c r="C735" t="s">
        <v>20</v>
      </c>
      <c r="D735" t="s">
        <v>1052</v>
      </c>
      <c r="E735">
        <v>5754</v>
      </c>
    </row>
    <row r="736" spans="1:5">
      <c r="A736" s="1">
        <v>45786</v>
      </c>
      <c r="B736" t="s">
        <v>817</v>
      </c>
      <c r="C736" t="s">
        <v>20</v>
      </c>
      <c r="D736" t="s">
        <v>1053</v>
      </c>
      <c r="E736">
        <v>3810</v>
      </c>
    </row>
    <row r="737" spans="1:5">
      <c r="A737" s="1">
        <v>45786</v>
      </c>
      <c r="B737" t="s">
        <v>76</v>
      </c>
      <c r="C737" t="s">
        <v>20</v>
      </c>
      <c r="D737" t="s">
        <v>1054</v>
      </c>
      <c r="E737">
        <v>1800</v>
      </c>
    </row>
    <row r="738" spans="1:5">
      <c r="A738" s="1">
        <v>45786</v>
      </c>
      <c r="B738" t="s">
        <v>887</v>
      </c>
      <c r="C738" t="s">
        <v>20</v>
      </c>
      <c r="D738" t="s">
        <v>1055</v>
      </c>
      <c r="E738">
        <v>1080</v>
      </c>
    </row>
    <row r="739" spans="1:5">
      <c r="A739" s="1">
        <v>45786</v>
      </c>
      <c r="B739" t="s">
        <v>887</v>
      </c>
      <c r="C739" t="s">
        <v>20</v>
      </c>
      <c r="D739" t="s">
        <v>1056</v>
      </c>
      <c r="E739">
        <v>22315</v>
      </c>
    </row>
    <row r="740" spans="1:5">
      <c r="A740" s="1">
        <v>45786</v>
      </c>
      <c r="B740" t="s">
        <v>1008</v>
      </c>
      <c r="C740" t="s">
        <v>20</v>
      </c>
      <c r="D740" t="s">
        <v>1057</v>
      </c>
      <c r="E740">
        <v>531</v>
      </c>
    </row>
    <row r="741" spans="1:5">
      <c r="A741" s="1">
        <v>45786</v>
      </c>
      <c r="B741" t="s">
        <v>1058</v>
      </c>
      <c r="C741" t="s">
        <v>20</v>
      </c>
      <c r="D741" t="s">
        <v>1059</v>
      </c>
      <c r="E741">
        <v>2333</v>
      </c>
    </row>
    <row r="742" spans="1:5">
      <c r="A742" s="1">
        <v>45786</v>
      </c>
      <c r="B742" t="s">
        <v>360</v>
      </c>
      <c r="C742" t="s">
        <v>20</v>
      </c>
      <c r="D742" t="s">
        <v>1060</v>
      </c>
      <c r="E742">
        <v>40300</v>
      </c>
    </row>
    <row r="743" spans="1:5">
      <c r="A743" s="1">
        <v>45786</v>
      </c>
      <c r="B743" t="s">
        <v>1061</v>
      </c>
      <c r="C743" t="s">
        <v>20</v>
      </c>
      <c r="D743" t="s">
        <v>1062</v>
      </c>
      <c r="E743">
        <v>8617</v>
      </c>
    </row>
    <row r="744" spans="1:5">
      <c r="A744" s="1">
        <v>45786</v>
      </c>
      <c r="B744" t="s">
        <v>1063</v>
      </c>
      <c r="C744" t="s">
        <v>20</v>
      </c>
      <c r="D744" t="s">
        <v>1064</v>
      </c>
      <c r="E744">
        <v>370</v>
      </c>
    </row>
    <row r="745" spans="1:5">
      <c r="A745" s="1">
        <v>45786</v>
      </c>
      <c r="B745" t="s">
        <v>112</v>
      </c>
      <c r="C745" t="s">
        <v>20</v>
      </c>
      <c r="D745" t="s">
        <v>1065</v>
      </c>
      <c r="E745">
        <v>7613</v>
      </c>
    </row>
    <row r="746" spans="1:5">
      <c r="A746" s="1">
        <v>45786</v>
      </c>
      <c r="B746" t="s">
        <v>1066</v>
      </c>
      <c r="C746" t="s">
        <v>20</v>
      </c>
      <c r="D746" t="s">
        <v>1067</v>
      </c>
      <c r="E746">
        <v>2036</v>
      </c>
    </row>
    <row r="747" spans="1:5">
      <c r="A747" s="1">
        <v>45786</v>
      </c>
      <c r="B747" t="s">
        <v>1000</v>
      </c>
      <c r="C747" t="s">
        <v>20</v>
      </c>
      <c r="D747" t="s">
        <v>1068</v>
      </c>
      <c r="E747">
        <v>8482</v>
      </c>
    </row>
    <row r="748" spans="1:5">
      <c r="A748" s="1">
        <v>45786</v>
      </c>
      <c r="B748" t="s">
        <v>1000</v>
      </c>
      <c r="C748" t="s">
        <v>20</v>
      </c>
      <c r="D748" t="s">
        <v>1069</v>
      </c>
      <c r="E748">
        <v>1960</v>
      </c>
    </row>
    <row r="749" spans="1:5">
      <c r="A749" s="1">
        <v>45786</v>
      </c>
      <c r="B749" t="s">
        <v>360</v>
      </c>
      <c r="C749" t="s">
        <v>20</v>
      </c>
      <c r="D749" t="s">
        <v>1070</v>
      </c>
      <c r="E749">
        <v>75</v>
      </c>
    </row>
    <row r="750" spans="1:5">
      <c r="A750" s="1">
        <v>45786</v>
      </c>
      <c r="B750" t="s">
        <v>887</v>
      </c>
      <c r="C750" t="s">
        <v>20</v>
      </c>
      <c r="D750" t="s">
        <v>1071</v>
      </c>
      <c r="E750">
        <v>230</v>
      </c>
    </row>
    <row r="751" spans="1:5">
      <c r="A751" s="1">
        <v>45786</v>
      </c>
      <c r="B751" t="s">
        <v>135</v>
      </c>
      <c r="C751" t="s">
        <v>20</v>
      </c>
      <c r="D751" t="s">
        <v>1072</v>
      </c>
      <c r="E751">
        <v>720</v>
      </c>
    </row>
    <row r="752" spans="1:5">
      <c r="A752" s="1">
        <v>45786</v>
      </c>
      <c r="B752" t="s">
        <v>1073</v>
      </c>
      <c r="C752" t="s">
        <v>20</v>
      </c>
      <c r="D752" t="s">
        <v>1074</v>
      </c>
      <c r="E752">
        <v>1224</v>
      </c>
    </row>
    <row r="753" spans="1:5">
      <c r="A753" s="1">
        <v>45786</v>
      </c>
      <c r="B753" t="s">
        <v>1075</v>
      </c>
      <c r="C753" t="s">
        <v>20</v>
      </c>
      <c r="D753" t="s">
        <v>1076</v>
      </c>
      <c r="E753">
        <v>8232</v>
      </c>
    </row>
    <row r="754" spans="1:5">
      <c r="A754" s="1">
        <v>45787</v>
      </c>
      <c r="B754" t="s">
        <v>586</v>
      </c>
      <c r="C754" t="s">
        <v>19</v>
      </c>
      <c r="D754" t="s">
        <v>1077</v>
      </c>
      <c r="E754">
        <v>5400</v>
      </c>
    </row>
    <row r="755" spans="1:5">
      <c r="A755" s="1">
        <v>45787</v>
      </c>
      <c r="B755" t="s">
        <v>892</v>
      </c>
      <c r="C755" t="s">
        <v>20</v>
      </c>
      <c r="D755" t="s">
        <v>1078</v>
      </c>
      <c r="E755">
        <v>4396</v>
      </c>
    </row>
    <row r="756" spans="1:5">
      <c r="A756" s="1">
        <v>45787</v>
      </c>
      <c r="B756" t="s">
        <v>557</v>
      </c>
      <c r="C756" t="s">
        <v>20</v>
      </c>
      <c r="D756" t="s">
        <v>1079</v>
      </c>
      <c r="E756">
        <v>7467</v>
      </c>
    </row>
    <row r="757" spans="1:5">
      <c r="A757" s="1">
        <v>45787</v>
      </c>
      <c r="B757" t="s">
        <v>512</v>
      </c>
      <c r="C757" t="s">
        <v>20</v>
      </c>
      <c r="D757" t="s">
        <v>1080</v>
      </c>
      <c r="E757">
        <v>307</v>
      </c>
    </row>
    <row r="758" spans="1:5">
      <c r="A758" s="1">
        <v>45787</v>
      </c>
      <c r="B758" t="s">
        <v>50</v>
      </c>
      <c r="C758" t="s">
        <v>20</v>
      </c>
      <c r="D758" t="s">
        <v>1081</v>
      </c>
      <c r="E758">
        <v>134</v>
      </c>
    </row>
    <row r="759" spans="1:5">
      <c r="A759" s="1">
        <v>45787</v>
      </c>
      <c r="B759" t="s">
        <v>76</v>
      </c>
      <c r="C759" t="s">
        <v>20</v>
      </c>
      <c r="D759" t="s">
        <v>1082</v>
      </c>
      <c r="E759">
        <v>5620</v>
      </c>
    </row>
    <row r="760" spans="1:5">
      <c r="A760" s="1">
        <v>45787</v>
      </c>
      <c r="B760" t="s">
        <v>1083</v>
      </c>
      <c r="C760" t="s">
        <v>20</v>
      </c>
      <c r="D760" t="s">
        <v>1084</v>
      </c>
      <c r="E760">
        <v>553</v>
      </c>
    </row>
    <row r="761" spans="1:5">
      <c r="A761" s="1">
        <v>45787</v>
      </c>
      <c r="B761" t="s">
        <v>1085</v>
      </c>
      <c r="C761" t="s">
        <v>20</v>
      </c>
      <c r="D761" t="s">
        <v>1086</v>
      </c>
      <c r="E761">
        <v>1062</v>
      </c>
    </row>
    <row r="762" spans="1:5">
      <c r="A762" s="1">
        <v>45787</v>
      </c>
      <c r="B762" t="s">
        <v>1087</v>
      </c>
      <c r="C762" t="s">
        <v>20</v>
      </c>
      <c r="D762" t="s">
        <v>1088</v>
      </c>
      <c r="E762">
        <v>20</v>
      </c>
    </row>
    <row r="763" spans="1:5">
      <c r="A763" s="1">
        <v>45787</v>
      </c>
      <c r="B763" t="s">
        <v>1089</v>
      </c>
      <c r="C763" t="s">
        <v>20</v>
      </c>
      <c r="D763" t="s">
        <v>1090</v>
      </c>
      <c r="E763">
        <v>1800</v>
      </c>
    </row>
    <row r="764" spans="1:5">
      <c r="A764" s="1">
        <v>45787</v>
      </c>
      <c r="B764" t="s">
        <v>559</v>
      </c>
      <c r="C764" t="s">
        <v>20</v>
      </c>
      <c r="D764" t="s">
        <v>1091</v>
      </c>
      <c r="E764">
        <v>1350</v>
      </c>
    </row>
    <row r="765" spans="1:5">
      <c r="A765" s="1">
        <v>45787</v>
      </c>
      <c r="B765" t="s">
        <v>512</v>
      </c>
      <c r="C765" t="s">
        <v>20</v>
      </c>
      <c r="D765" t="s">
        <v>1092</v>
      </c>
      <c r="E765">
        <v>26668</v>
      </c>
    </row>
    <row r="766" spans="1:5">
      <c r="A766" s="1">
        <v>45787</v>
      </c>
      <c r="B766" t="s">
        <v>1093</v>
      </c>
      <c r="C766" t="s">
        <v>20</v>
      </c>
      <c r="D766" t="s">
        <v>1094</v>
      </c>
      <c r="E766">
        <v>1850</v>
      </c>
    </row>
    <row r="767" spans="1:5">
      <c r="A767" s="1">
        <v>45787</v>
      </c>
      <c r="B767" t="s">
        <v>43</v>
      </c>
      <c r="C767" t="s">
        <v>20</v>
      </c>
      <c r="D767" t="s">
        <v>1095</v>
      </c>
      <c r="E767">
        <v>32452</v>
      </c>
    </row>
    <row r="768" spans="1:5">
      <c r="A768" s="1">
        <v>45787</v>
      </c>
      <c r="B768" t="s">
        <v>1096</v>
      </c>
      <c r="C768" t="s">
        <v>20</v>
      </c>
      <c r="D768" t="s">
        <v>1097</v>
      </c>
      <c r="E768">
        <v>20167</v>
      </c>
    </row>
    <row r="769" spans="1:5">
      <c r="A769" s="1">
        <v>45787</v>
      </c>
      <c r="B769" t="s">
        <v>559</v>
      </c>
      <c r="C769" t="s">
        <v>20</v>
      </c>
      <c r="D769" t="s">
        <v>1098</v>
      </c>
      <c r="E769">
        <v>810</v>
      </c>
    </row>
    <row r="770" spans="1:5">
      <c r="A770" s="1">
        <v>45787</v>
      </c>
      <c r="B770" t="s">
        <v>1099</v>
      </c>
      <c r="C770" t="s">
        <v>20</v>
      </c>
      <c r="D770" t="s">
        <v>1100</v>
      </c>
      <c r="E770">
        <v>2597</v>
      </c>
    </row>
    <row r="771" spans="1:5">
      <c r="A771" s="1">
        <v>45787</v>
      </c>
      <c r="B771" t="s">
        <v>799</v>
      </c>
      <c r="C771" t="s">
        <v>20</v>
      </c>
      <c r="D771" t="s">
        <v>1101</v>
      </c>
      <c r="E771">
        <v>360</v>
      </c>
    </row>
    <row r="772" spans="1:5">
      <c r="A772" s="1">
        <v>45787</v>
      </c>
      <c r="B772" t="s">
        <v>817</v>
      </c>
      <c r="C772" t="s">
        <v>20</v>
      </c>
      <c r="D772" t="s">
        <v>1102</v>
      </c>
      <c r="E772">
        <v>720</v>
      </c>
    </row>
    <row r="773" spans="1:5">
      <c r="A773" s="1">
        <v>45787</v>
      </c>
      <c r="B773" t="s">
        <v>360</v>
      </c>
      <c r="C773" t="s">
        <v>20</v>
      </c>
      <c r="D773" t="s">
        <v>1103</v>
      </c>
      <c r="E773">
        <v>460</v>
      </c>
    </row>
    <row r="774" spans="1:5">
      <c r="A774" s="1">
        <v>45789</v>
      </c>
      <c r="B774" t="s">
        <v>1104</v>
      </c>
      <c r="C774" t="s">
        <v>19</v>
      </c>
      <c r="D774" t="s">
        <v>1105</v>
      </c>
      <c r="E774">
        <v>720</v>
      </c>
    </row>
    <row r="775" spans="1:5">
      <c r="A775" s="1">
        <v>45789</v>
      </c>
      <c r="B775" t="s">
        <v>1106</v>
      </c>
      <c r="C775" t="s">
        <v>19</v>
      </c>
      <c r="D775" t="s">
        <v>1107</v>
      </c>
      <c r="E775">
        <v>10182</v>
      </c>
    </row>
    <row r="776" spans="1:5">
      <c r="A776" s="1">
        <v>45789</v>
      </c>
      <c r="B776" t="s">
        <v>94</v>
      </c>
      <c r="C776" t="s">
        <v>19</v>
      </c>
      <c r="D776" t="s">
        <v>1108</v>
      </c>
      <c r="E776">
        <v>39900</v>
      </c>
    </row>
    <row r="777" spans="1:5">
      <c r="A777" s="1">
        <v>45789</v>
      </c>
      <c r="B777" t="s">
        <v>94</v>
      </c>
      <c r="C777" t="s">
        <v>19</v>
      </c>
      <c r="D777" t="s">
        <v>1109</v>
      </c>
      <c r="E777">
        <v>3160</v>
      </c>
    </row>
    <row r="778" spans="1:5">
      <c r="A778" s="1">
        <v>45789</v>
      </c>
      <c r="B778" t="s">
        <v>1110</v>
      </c>
      <c r="C778" t="s">
        <v>19</v>
      </c>
      <c r="D778" t="s">
        <v>1111</v>
      </c>
      <c r="E778">
        <v>7600</v>
      </c>
    </row>
    <row r="779" spans="1:5">
      <c r="A779" s="1">
        <v>45789</v>
      </c>
      <c r="B779" t="s">
        <v>512</v>
      </c>
      <c r="C779" t="s">
        <v>20</v>
      </c>
      <c r="D779" t="s">
        <v>1112</v>
      </c>
      <c r="E779">
        <v>1200</v>
      </c>
    </row>
    <row r="780" spans="1:5">
      <c r="A780" s="1">
        <v>45789</v>
      </c>
      <c r="B780" t="s">
        <v>68</v>
      </c>
      <c r="C780" t="s">
        <v>20</v>
      </c>
      <c r="D780" t="s">
        <v>1113</v>
      </c>
      <c r="E780">
        <v>3440</v>
      </c>
    </row>
    <row r="781" spans="1:5">
      <c r="A781" s="1">
        <v>45789</v>
      </c>
      <c r="B781" t="s">
        <v>455</v>
      </c>
      <c r="C781" t="s">
        <v>20</v>
      </c>
      <c r="D781" t="s">
        <v>1114</v>
      </c>
      <c r="E781">
        <v>48183</v>
      </c>
    </row>
    <row r="782" spans="1:5">
      <c r="A782" s="1">
        <v>45789</v>
      </c>
      <c r="B782" t="s">
        <v>50</v>
      </c>
      <c r="C782" t="s">
        <v>20</v>
      </c>
      <c r="D782" t="s">
        <v>1115</v>
      </c>
      <c r="E782">
        <v>370</v>
      </c>
    </row>
    <row r="783" spans="1:5">
      <c r="A783" s="1">
        <v>45789</v>
      </c>
      <c r="B783" t="s">
        <v>254</v>
      </c>
      <c r="C783" t="s">
        <v>20</v>
      </c>
      <c r="D783" t="s">
        <v>1116</v>
      </c>
      <c r="E783">
        <v>170</v>
      </c>
    </row>
    <row r="784" spans="1:5">
      <c r="A784" s="1">
        <v>45789</v>
      </c>
      <c r="B784" t="s">
        <v>1117</v>
      </c>
      <c r="C784" t="s">
        <v>20</v>
      </c>
      <c r="D784" t="s">
        <v>1118</v>
      </c>
      <c r="E784">
        <v>4450</v>
      </c>
    </row>
    <row r="785" spans="1:5">
      <c r="A785" s="1">
        <v>45789</v>
      </c>
      <c r="B785" t="s">
        <v>50</v>
      </c>
      <c r="C785" t="s">
        <v>20</v>
      </c>
      <c r="D785" t="s">
        <v>1119</v>
      </c>
      <c r="E785">
        <v>12</v>
      </c>
    </row>
    <row r="786" spans="1:5">
      <c r="A786" s="1">
        <v>45789</v>
      </c>
      <c r="B786" t="s">
        <v>50</v>
      </c>
      <c r="C786" t="s">
        <v>20</v>
      </c>
      <c r="D786" t="s">
        <v>1120</v>
      </c>
      <c r="E786">
        <v>370</v>
      </c>
    </row>
    <row r="787" spans="1:5">
      <c r="A787" s="1">
        <v>45789</v>
      </c>
      <c r="B787" t="s">
        <v>50</v>
      </c>
      <c r="C787" t="s">
        <v>20</v>
      </c>
      <c r="D787" t="s">
        <v>1121</v>
      </c>
      <c r="E787">
        <v>380</v>
      </c>
    </row>
    <row r="788" spans="1:5">
      <c r="A788" s="1">
        <v>45789</v>
      </c>
      <c r="B788" t="s">
        <v>1122</v>
      </c>
      <c r="C788" t="s">
        <v>20</v>
      </c>
      <c r="D788" t="s">
        <v>1123</v>
      </c>
      <c r="E788">
        <v>39500</v>
      </c>
    </row>
    <row r="789" spans="1:5">
      <c r="A789" s="1">
        <v>45789</v>
      </c>
      <c r="B789" t="s">
        <v>35</v>
      </c>
      <c r="C789" t="s">
        <v>20</v>
      </c>
      <c r="D789" t="s">
        <v>1124</v>
      </c>
      <c r="E789">
        <v>23570</v>
      </c>
    </row>
    <row r="790" spans="1:5">
      <c r="A790" s="1">
        <v>45789</v>
      </c>
      <c r="B790" t="s">
        <v>203</v>
      </c>
      <c r="C790" t="s">
        <v>20</v>
      </c>
      <c r="D790" t="s">
        <v>1125</v>
      </c>
      <c r="E790">
        <v>370</v>
      </c>
    </row>
    <row r="791" spans="1:5">
      <c r="A791" s="1">
        <v>45789</v>
      </c>
      <c r="B791" t="s">
        <v>254</v>
      </c>
      <c r="C791" t="s">
        <v>20</v>
      </c>
      <c r="D791" t="s">
        <v>1126</v>
      </c>
      <c r="E791">
        <v>2800</v>
      </c>
    </row>
    <row r="792" spans="1:5">
      <c r="A792" s="1">
        <v>45789</v>
      </c>
      <c r="B792" t="s">
        <v>1127</v>
      </c>
      <c r="C792" t="s">
        <v>20</v>
      </c>
      <c r="D792" t="s">
        <v>1128</v>
      </c>
      <c r="E792">
        <v>33786</v>
      </c>
    </row>
    <row r="793" spans="1:5">
      <c r="A793" s="1">
        <v>45789</v>
      </c>
      <c r="B793" t="s">
        <v>915</v>
      </c>
      <c r="C793" t="s">
        <v>20</v>
      </c>
      <c r="D793" t="s">
        <v>1129</v>
      </c>
      <c r="E793">
        <v>622</v>
      </c>
    </row>
    <row r="794" spans="1:5">
      <c r="A794" s="1">
        <v>45789</v>
      </c>
      <c r="B794" t="s">
        <v>687</v>
      </c>
      <c r="C794" t="s">
        <v>20</v>
      </c>
      <c r="D794" t="s">
        <v>1130</v>
      </c>
      <c r="E794">
        <v>1262</v>
      </c>
    </row>
    <row r="795" spans="1:5">
      <c r="A795" s="1">
        <v>45789</v>
      </c>
      <c r="B795" t="s">
        <v>1131</v>
      </c>
      <c r="C795" t="s">
        <v>20</v>
      </c>
      <c r="D795" t="s">
        <v>1132</v>
      </c>
      <c r="E795">
        <v>700</v>
      </c>
    </row>
    <row r="796" spans="1:5">
      <c r="A796" s="1">
        <v>45789</v>
      </c>
      <c r="B796" t="s">
        <v>1133</v>
      </c>
      <c r="C796" t="s">
        <v>20</v>
      </c>
      <c r="D796" t="s">
        <v>1134</v>
      </c>
      <c r="E796">
        <v>50</v>
      </c>
    </row>
    <row r="797" spans="1:5">
      <c r="A797" s="1">
        <v>45789</v>
      </c>
      <c r="B797" t="s">
        <v>1135</v>
      </c>
      <c r="C797" t="s">
        <v>20</v>
      </c>
      <c r="D797" t="s">
        <v>1136</v>
      </c>
      <c r="E797">
        <v>4900</v>
      </c>
    </row>
    <row r="798" spans="1:5">
      <c r="A798" s="1">
        <v>45789</v>
      </c>
      <c r="B798" t="s">
        <v>1137</v>
      </c>
      <c r="C798" t="s">
        <v>20</v>
      </c>
      <c r="D798" t="s">
        <v>1138</v>
      </c>
      <c r="E798">
        <v>850</v>
      </c>
    </row>
    <row r="799" spans="1:5">
      <c r="A799" s="1">
        <v>45790</v>
      </c>
      <c r="B799" t="s">
        <v>586</v>
      </c>
      <c r="C799" t="s">
        <v>19</v>
      </c>
      <c r="D799" t="s">
        <v>1139</v>
      </c>
      <c r="E799">
        <v>39077</v>
      </c>
    </row>
    <row r="800" spans="1:5">
      <c r="A800" s="1">
        <v>45790</v>
      </c>
      <c r="B800" t="s">
        <v>345</v>
      </c>
      <c r="C800" t="s">
        <v>19</v>
      </c>
      <c r="D800" t="s">
        <v>1140</v>
      </c>
      <c r="E800">
        <v>6016</v>
      </c>
    </row>
    <row r="801" spans="1:5">
      <c r="A801" s="1">
        <v>45790</v>
      </c>
      <c r="B801" t="s">
        <v>1104</v>
      </c>
      <c r="C801" t="s">
        <v>19</v>
      </c>
      <c r="D801" t="s">
        <v>1141</v>
      </c>
      <c r="E801">
        <v>1110</v>
      </c>
    </row>
    <row r="802" spans="1:5">
      <c r="A802" s="1">
        <v>45790</v>
      </c>
      <c r="B802" t="s">
        <v>58</v>
      </c>
      <c r="C802" t="s">
        <v>19</v>
      </c>
      <c r="D802" t="s">
        <v>1142</v>
      </c>
      <c r="E802">
        <v>3530</v>
      </c>
    </row>
    <row r="803" spans="1:5">
      <c r="A803" s="1">
        <v>45790</v>
      </c>
      <c r="B803" t="s">
        <v>932</v>
      </c>
      <c r="C803" t="s">
        <v>20</v>
      </c>
      <c r="D803" t="s">
        <v>1143</v>
      </c>
      <c r="E803">
        <v>5625</v>
      </c>
    </row>
    <row r="804" spans="1:5">
      <c r="A804" s="1">
        <v>45790</v>
      </c>
      <c r="B804" t="s">
        <v>239</v>
      </c>
      <c r="C804" t="s">
        <v>20</v>
      </c>
      <c r="D804" t="s">
        <v>1144</v>
      </c>
      <c r="E804">
        <v>10079</v>
      </c>
    </row>
    <row r="805" spans="1:5">
      <c r="A805" s="1">
        <v>45790</v>
      </c>
      <c r="B805" t="s">
        <v>1000</v>
      </c>
      <c r="C805" t="s">
        <v>20</v>
      </c>
      <c r="D805" t="s">
        <v>1145</v>
      </c>
      <c r="E805">
        <v>641</v>
      </c>
    </row>
    <row r="806" spans="1:5">
      <c r="A806" s="1">
        <v>45790</v>
      </c>
      <c r="B806" t="s">
        <v>915</v>
      </c>
      <c r="C806" t="s">
        <v>20</v>
      </c>
      <c r="D806" t="s">
        <v>1146</v>
      </c>
      <c r="E806">
        <v>44112</v>
      </c>
    </row>
    <row r="807" spans="1:5">
      <c r="A807" s="1">
        <v>45790</v>
      </c>
      <c r="B807" t="s">
        <v>1147</v>
      </c>
      <c r="C807" t="s">
        <v>20</v>
      </c>
      <c r="D807" t="s">
        <v>1148</v>
      </c>
      <c r="E807">
        <v>50190</v>
      </c>
    </row>
    <row r="808" spans="1:5">
      <c r="A808" s="1">
        <v>45790</v>
      </c>
      <c r="B808" t="s">
        <v>687</v>
      </c>
      <c r="C808" t="s">
        <v>20</v>
      </c>
      <c r="D808" t="s">
        <v>1149</v>
      </c>
      <c r="E808">
        <v>2015</v>
      </c>
    </row>
    <row r="809" spans="1:5">
      <c r="A809" s="1">
        <v>45790</v>
      </c>
      <c r="B809" t="s">
        <v>1083</v>
      </c>
      <c r="C809" t="s">
        <v>20</v>
      </c>
      <c r="D809" t="s">
        <v>1150</v>
      </c>
      <c r="E809">
        <v>9118</v>
      </c>
    </row>
    <row r="810" spans="1:5">
      <c r="A810" s="1">
        <v>45790</v>
      </c>
      <c r="B810" t="s">
        <v>156</v>
      </c>
      <c r="C810" t="s">
        <v>20</v>
      </c>
      <c r="D810" t="s">
        <v>1151</v>
      </c>
      <c r="E810">
        <v>2751</v>
      </c>
    </row>
    <row r="811" spans="1:5">
      <c r="A811" s="1">
        <v>45790</v>
      </c>
      <c r="B811" t="s">
        <v>892</v>
      </c>
      <c r="C811" t="s">
        <v>20</v>
      </c>
      <c r="D811" t="s">
        <v>1152</v>
      </c>
      <c r="E811">
        <v>6465</v>
      </c>
    </row>
    <row r="812" spans="1:5">
      <c r="A812" s="1">
        <v>45790</v>
      </c>
      <c r="B812" t="s">
        <v>856</v>
      </c>
      <c r="C812" t="s">
        <v>20</v>
      </c>
      <c r="D812" t="s">
        <v>1153</v>
      </c>
      <c r="E812">
        <v>15201</v>
      </c>
    </row>
    <row r="813" spans="1:5">
      <c r="A813" s="1">
        <v>45790</v>
      </c>
      <c r="B813" t="s">
        <v>254</v>
      </c>
      <c r="C813" t="s">
        <v>20</v>
      </c>
      <c r="D813" t="s">
        <v>1154</v>
      </c>
      <c r="E813">
        <v>370</v>
      </c>
    </row>
    <row r="814" spans="1:5">
      <c r="A814" s="1">
        <v>45790</v>
      </c>
      <c r="B814" t="s">
        <v>1155</v>
      </c>
      <c r="C814" t="s">
        <v>20</v>
      </c>
      <c r="D814" t="s">
        <v>1156</v>
      </c>
      <c r="E814">
        <v>2960</v>
      </c>
    </row>
    <row r="815" spans="1:5">
      <c r="A815" s="1">
        <v>45790</v>
      </c>
      <c r="B815" t="s">
        <v>1157</v>
      </c>
      <c r="C815" t="s">
        <v>20</v>
      </c>
      <c r="D815" t="s">
        <v>1158</v>
      </c>
      <c r="E815">
        <v>5140</v>
      </c>
    </row>
    <row r="816" spans="1:5">
      <c r="A816" s="1">
        <v>45790</v>
      </c>
      <c r="B816" t="s">
        <v>1159</v>
      </c>
      <c r="C816" t="s">
        <v>20</v>
      </c>
      <c r="D816" t="s">
        <v>1160</v>
      </c>
      <c r="E816">
        <v>30840</v>
      </c>
    </row>
    <row r="817" spans="1:5">
      <c r="A817" s="1">
        <v>45790</v>
      </c>
      <c r="B817" t="s">
        <v>1159</v>
      </c>
      <c r="C817" t="s">
        <v>20</v>
      </c>
      <c r="D817" t="s">
        <v>1161</v>
      </c>
      <c r="E817">
        <v>760</v>
      </c>
    </row>
    <row r="818" spans="1:5">
      <c r="A818" s="1">
        <v>45790</v>
      </c>
      <c r="B818" t="s">
        <v>1162</v>
      </c>
      <c r="C818" t="s">
        <v>20</v>
      </c>
      <c r="D818" t="s">
        <v>1163</v>
      </c>
      <c r="E818">
        <v>34920</v>
      </c>
    </row>
    <row r="819" spans="1:5">
      <c r="A819" s="1">
        <v>45790</v>
      </c>
      <c r="B819" t="s">
        <v>1083</v>
      </c>
      <c r="C819" t="s">
        <v>20</v>
      </c>
      <c r="D819" t="s">
        <v>1164</v>
      </c>
      <c r="E819">
        <v>300</v>
      </c>
    </row>
    <row r="820" spans="1:5">
      <c r="A820" s="1">
        <v>45790</v>
      </c>
      <c r="B820" t="s">
        <v>1083</v>
      </c>
      <c r="C820" t="s">
        <v>20</v>
      </c>
      <c r="D820" t="s">
        <v>1165</v>
      </c>
      <c r="E820">
        <v>1035</v>
      </c>
    </row>
    <row r="821" spans="1:5">
      <c r="A821" s="1">
        <v>45791</v>
      </c>
      <c r="B821" t="s">
        <v>58</v>
      </c>
      <c r="C821" t="s">
        <v>19</v>
      </c>
      <c r="D821" t="s">
        <v>1166</v>
      </c>
      <c r="E821">
        <v>3531</v>
      </c>
    </row>
    <row r="822" spans="1:5">
      <c r="A822" s="1">
        <v>45791</v>
      </c>
      <c r="B822" t="s">
        <v>1167</v>
      </c>
      <c r="C822" t="s">
        <v>19</v>
      </c>
      <c r="D822" t="s">
        <v>1168</v>
      </c>
      <c r="E822">
        <v>28057</v>
      </c>
    </row>
    <row r="823" spans="1:5">
      <c r="A823" s="1">
        <v>45791</v>
      </c>
      <c r="B823" t="s">
        <v>1169</v>
      </c>
      <c r="C823" t="s">
        <v>19</v>
      </c>
      <c r="D823" t="s">
        <v>1170</v>
      </c>
      <c r="E823">
        <v>3450</v>
      </c>
    </row>
    <row r="824" spans="1:5">
      <c r="A824" s="1">
        <v>45791</v>
      </c>
      <c r="B824" t="s">
        <v>817</v>
      </c>
      <c r="C824" t="s">
        <v>20</v>
      </c>
      <c r="D824" t="s">
        <v>1171</v>
      </c>
      <c r="E824">
        <v>19750</v>
      </c>
    </row>
    <row r="825" spans="1:5">
      <c r="A825" s="1">
        <v>45791</v>
      </c>
      <c r="B825" t="s">
        <v>50</v>
      </c>
      <c r="C825" t="s">
        <v>20</v>
      </c>
      <c r="D825" t="s">
        <v>1172</v>
      </c>
      <c r="E825">
        <v>370</v>
      </c>
    </row>
    <row r="826" spans="1:5">
      <c r="A826" s="1">
        <v>45791</v>
      </c>
      <c r="B826" t="s">
        <v>1173</v>
      </c>
      <c r="C826" t="s">
        <v>20</v>
      </c>
      <c r="D826" t="s">
        <v>1174</v>
      </c>
      <c r="E826">
        <v>370</v>
      </c>
    </row>
    <row r="827" spans="1:5">
      <c r="A827" s="1">
        <v>45791</v>
      </c>
      <c r="B827" t="s">
        <v>1175</v>
      </c>
      <c r="C827" t="s">
        <v>20</v>
      </c>
      <c r="D827" t="s">
        <v>1176</v>
      </c>
      <c r="E827">
        <v>1480</v>
      </c>
    </row>
    <row r="828" spans="1:5">
      <c r="A828" s="1">
        <v>45791</v>
      </c>
      <c r="B828" t="s">
        <v>50</v>
      </c>
      <c r="C828" t="s">
        <v>20</v>
      </c>
      <c r="D828" t="s">
        <v>1177</v>
      </c>
      <c r="E828">
        <v>12</v>
      </c>
    </row>
    <row r="829" spans="1:5">
      <c r="A829" s="1">
        <v>45791</v>
      </c>
      <c r="B829" t="s">
        <v>1127</v>
      </c>
      <c r="C829" t="s">
        <v>20</v>
      </c>
      <c r="D829" t="s">
        <v>1178</v>
      </c>
      <c r="E829">
        <v>28800</v>
      </c>
    </row>
    <row r="830" spans="1:5">
      <c r="A830" s="1">
        <v>45791</v>
      </c>
      <c r="B830" t="s">
        <v>1179</v>
      </c>
      <c r="C830" t="s">
        <v>20</v>
      </c>
      <c r="D830" t="s">
        <v>1180</v>
      </c>
      <c r="E830">
        <v>20112</v>
      </c>
    </row>
    <row r="831" spans="1:5">
      <c r="A831" s="1">
        <v>45791</v>
      </c>
      <c r="B831" t="s">
        <v>35</v>
      </c>
      <c r="C831" t="s">
        <v>20</v>
      </c>
      <c r="D831" t="s">
        <v>1181</v>
      </c>
      <c r="E831">
        <v>17316</v>
      </c>
    </row>
    <row r="832" spans="1:5">
      <c r="A832" s="1">
        <v>45791</v>
      </c>
      <c r="B832" t="s">
        <v>1182</v>
      </c>
      <c r="C832" t="s">
        <v>20</v>
      </c>
      <c r="D832" t="s">
        <v>1183</v>
      </c>
      <c r="E832">
        <v>26407</v>
      </c>
    </row>
    <row r="833" spans="1:5">
      <c r="A833" s="1">
        <v>45791</v>
      </c>
      <c r="B833" t="s">
        <v>1184</v>
      </c>
      <c r="C833" t="s">
        <v>20</v>
      </c>
      <c r="D833" t="s">
        <v>1185</v>
      </c>
      <c r="E833">
        <v>26156</v>
      </c>
    </row>
    <row r="834" spans="1:5">
      <c r="A834" s="1">
        <v>45791</v>
      </c>
      <c r="B834" t="s">
        <v>1186</v>
      </c>
      <c r="C834" t="s">
        <v>20</v>
      </c>
      <c r="D834" t="s">
        <v>1187</v>
      </c>
      <c r="E834">
        <v>8056</v>
      </c>
    </row>
    <row r="835" spans="1:5">
      <c r="A835" s="1">
        <v>45791</v>
      </c>
      <c r="B835" t="s">
        <v>1188</v>
      </c>
      <c r="C835" t="s">
        <v>20</v>
      </c>
      <c r="D835" t="s">
        <v>1189</v>
      </c>
      <c r="E835">
        <v>2454</v>
      </c>
    </row>
    <row r="836" spans="1:5">
      <c r="A836" s="1">
        <v>45791</v>
      </c>
      <c r="B836" t="s">
        <v>1000</v>
      </c>
      <c r="C836" t="s">
        <v>20</v>
      </c>
      <c r="D836" t="s">
        <v>1190</v>
      </c>
      <c r="E836">
        <v>1892</v>
      </c>
    </row>
    <row r="837" spans="1:5">
      <c r="A837" s="1">
        <v>45791</v>
      </c>
      <c r="B837" t="s">
        <v>526</v>
      </c>
      <c r="C837" t="s">
        <v>20</v>
      </c>
      <c r="D837" t="s">
        <v>1191</v>
      </c>
      <c r="E837">
        <v>400</v>
      </c>
    </row>
    <row r="838" spans="1:5">
      <c r="A838" s="1">
        <v>45791</v>
      </c>
      <c r="B838" t="s">
        <v>892</v>
      </c>
      <c r="C838" t="s">
        <v>20</v>
      </c>
      <c r="D838" t="s">
        <v>1192</v>
      </c>
      <c r="E838">
        <v>806</v>
      </c>
    </row>
    <row r="839" spans="1:5">
      <c r="A839" s="1">
        <v>45791</v>
      </c>
      <c r="B839" t="s">
        <v>566</v>
      </c>
      <c r="C839" t="s">
        <v>20</v>
      </c>
      <c r="D839" t="s">
        <v>1193</v>
      </c>
      <c r="E839">
        <v>20305</v>
      </c>
    </row>
    <row r="840" spans="1:5">
      <c r="A840" s="1">
        <v>45791</v>
      </c>
      <c r="B840" t="s">
        <v>1194</v>
      </c>
      <c r="C840" t="s">
        <v>20</v>
      </c>
      <c r="D840" t="s">
        <v>1195</v>
      </c>
      <c r="E840">
        <v>26004</v>
      </c>
    </row>
    <row r="841" spans="1:5">
      <c r="A841" s="1">
        <v>45791</v>
      </c>
      <c r="B841" t="s">
        <v>1196</v>
      </c>
      <c r="C841" t="s">
        <v>20</v>
      </c>
      <c r="D841" t="s">
        <v>1197</v>
      </c>
      <c r="E841">
        <v>370</v>
      </c>
    </row>
    <row r="842" spans="1:5">
      <c r="A842" s="1">
        <v>45791</v>
      </c>
      <c r="B842" t="s">
        <v>50</v>
      </c>
      <c r="C842" t="s">
        <v>20</v>
      </c>
      <c r="D842" t="s">
        <v>1198</v>
      </c>
      <c r="E842">
        <v>19343</v>
      </c>
    </row>
    <row r="843" spans="1:5">
      <c r="A843" s="1">
        <v>45791</v>
      </c>
      <c r="B843" t="s">
        <v>817</v>
      </c>
      <c r="C843" t="s">
        <v>20</v>
      </c>
      <c r="D843" t="s">
        <v>1199</v>
      </c>
      <c r="E843">
        <v>477</v>
      </c>
    </row>
    <row r="844" spans="1:5">
      <c r="A844" s="1">
        <v>45791</v>
      </c>
      <c r="B844" t="s">
        <v>739</v>
      </c>
      <c r="C844" t="s">
        <v>20</v>
      </c>
      <c r="D844" t="s">
        <v>1200</v>
      </c>
      <c r="E844">
        <v>13091</v>
      </c>
    </row>
    <row r="845" spans="1:5">
      <c r="A845" s="1">
        <v>45792</v>
      </c>
      <c r="B845" t="s">
        <v>1104</v>
      </c>
      <c r="C845" t="s">
        <v>19</v>
      </c>
      <c r="D845" t="s">
        <v>1201</v>
      </c>
      <c r="E845">
        <v>370</v>
      </c>
    </row>
    <row r="846" spans="1:5">
      <c r="A846" s="1">
        <v>45792</v>
      </c>
      <c r="B846" t="s">
        <v>1202</v>
      </c>
      <c r="C846" t="s">
        <v>19</v>
      </c>
      <c r="D846" t="s">
        <v>1203</v>
      </c>
      <c r="E846">
        <v>12005</v>
      </c>
    </row>
    <row r="847" spans="1:5">
      <c r="A847" s="1">
        <v>45792</v>
      </c>
      <c r="B847" t="s">
        <v>1021</v>
      </c>
      <c r="C847" t="s">
        <v>19</v>
      </c>
      <c r="D847" t="s">
        <v>1204</v>
      </c>
      <c r="E847">
        <v>4654</v>
      </c>
    </row>
    <row r="848" spans="1:5">
      <c r="A848" s="1">
        <v>45792</v>
      </c>
      <c r="B848" t="s">
        <v>68</v>
      </c>
      <c r="C848" t="s">
        <v>20</v>
      </c>
      <c r="D848" t="s">
        <v>1205</v>
      </c>
      <c r="E848">
        <v>100</v>
      </c>
    </row>
    <row r="849" spans="1:5">
      <c r="A849" s="1">
        <v>45792</v>
      </c>
      <c r="B849" t="s">
        <v>1206</v>
      </c>
      <c r="C849" t="s">
        <v>20</v>
      </c>
      <c r="D849" t="s">
        <v>1207</v>
      </c>
      <c r="E849">
        <v>7092</v>
      </c>
    </row>
    <row r="850" spans="1:5">
      <c r="A850" s="1">
        <v>45792</v>
      </c>
      <c r="B850" t="s">
        <v>981</v>
      </c>
      <c r="C850" t="s">
        <v>20</v>
      </c>
      <c r="D850" t="s">
        <v>1208</v>
      </c>
      <c r="E850">
        <v>740</v>
      </c>
    </row>
    <row r="851" spans="1:5">
      <c r="A851" s="1">
        <v>45792</v>
      </c>
      <c r="B851" t="s">
        <v>50</v>
      </c>
      <c r="C851" t="s">
        <v>20</v>
      </c>
      <c r="D851" t="s">
        <v>1209</v>
      </c>
      <c r="E851">
        <v>8</v>
      </c>
    </row>
    <row r="852" spans="1:5">
      <c r="A852" s="1">
        <v>45792</v>
      </c>
      <c r="B852" t="s">
        <v>628</v>
      </c>
      <c r="C852" t="s">
        <v>20</v>
      </c>
      <c r="D852" t="s">
        <v>1210</v>
      </c>
      <c r="E852">
        <v>1933</v>
      </c>
    </row>
    <row r="853" spans="1:5">
      <c r="A853" s="1">
        <v>45792</v>
      </c>
      <c r="B853" t="s">
        <v>1188</v>
      </c>
      <c r="C853" t="s">
        <v>20</v>
      </c>
      <c r="D853" t="s">
        <v>1211</v>
      </c>
      <c r="E853">
        <v>827</v>
      </c>
    </row>
    <row r="854" spans="1:5">
      <c r="A854" s="1">
        <v>45792</v>
      </c>
      <c r="B854" t="s">
        <v>892</v>
      </c>
      <c r="C854" t="s">
        <v>20</v>
      </c>
      <c r="D854" t="s">
        <v>1212</v>
      </c>
      <c r="E854">
        <v>4181</v>
      </c>
    </row>
    <row r="855" spans="1:5">
      <c r="A855" s="1">
        <v>45792</v>
      </c>
      <c r="B855" t="s">
        <v>1000</v>
      </c>
      <c r="C855" t="s">
        <v>20</v>
      </c>
      <c r="D855" t="s">
        <v>1213</v>
      </c>
      <c r="E855">
        <v>212</v>
      </c>
    </row>
    <row r="856" spans="1:5">
      <c r="A856" s="1">
        <v>45792</v>
      </c>
      <c r="B856" t="s">
        <v>915</v>
      </c>
      <c r="C856" t="s">
        <v>20</v>
      </c>
      <c r="D856" t="s">
        <v>1214</v>
      </c>
      <c r="E856">
        <v>1405</v>
      </c>
    </row>
    <row r="857" spans="1:5">
      <c r="A857" s="1">
        <v>45792</v>
      </c>
      <c r="B857" t="s">
        <v>1083</v>
      </c>
      <c r="C857" t="s">
        <v>20</v>
      </c>
      <c r="D857" t="s">
        <v>1215</v>
      </c>
      <c r="E857">
        <v>1265</v>
      </c>
    </row>
    <row r="858" spans="1:5">
      <c r="A858" s="1">
        <v>45792</v>
      </c>
      <c r="B858" t="s">
        <v>1216</v>
      </c>
      <c r="C858" t="s">
        <v>20</v>
      </c>
      <c r="D858" t="s">
        <v>1217</v>
      </c>
      <c r="E858">
        <v>5325</v>
      </c>
    </row>
    <row r="859" spans="1:5">
      <c r="A859" s="1">
        <v>45792</v>
      </c>
      <c r="B859" t="s">
        <v>76</v>
      </c>
      <c r="C859" t="s">
        <v>20</v>
      </c>
      <c r="D859" t="s">
        <v>1218</v>
      </c>
      <c r="E859">
        <v>33370</v>
      </c>
    </row>
    <row r="860" spans="1:5">
      <c r="A860" s="1">
        <v>45792</v>
      </c>
      <c r="B860" t="s">
        <v>526</v>
      </c>
      <c r="C860" t="s">
        <v>20</v>
      </c>
      <c r="D860" t="s">
        <v>1219</v>
      </c>
      <c r="E860">
        <v>8740</v>
      </c>
    </row>
    <row r="861" spans="1:5">
      <c r="A861" s="1">
        <v>45792</v>
      </c>
      <c r="B861" t="s">
        <v>1220</v>
      </c>
      <c r="C861" t="s">
        <v>20</v>
      </c>
      <c r="D861" t="s">
        <v>1221</v>
      </c>
      <c r="E861">
        <v>3192</v>
      </c>
    </row>
    <row r="862" spans="1:5">
      <c r="A862" s="1">
        <v>45792</v>
      </c>
      <c r="B862" t="s">
        <v>1222</v>
      </c>
      <c r="C862" t="s">
        <v>20</v>
      </c>
      <c r="D862" t="s">
        <v>1223</v>
      </c>
      <c r="E862">
        <v>5937</v>
      </c>
    </row>
    <row r="863" spans="1:5">
      <c r="A863" s="1">
        <v>45792</v>
      </c>
      <c r="B863" t="s">
        <v>68</v>
      </c>
      <c r="C863" t="s">
        <v>20</v>
      </c>
      <c r="D863" t="s">
        <v>1224</v>
      </c>
      <c r="E863">
        <v>26942</v>
      </c>
    </row>
    <row r="864" spans="1:5">
      <c r="A864" s="1">
        <v>45793</v>
      </c>
      <c r="B864" t="s">
        <v>586</v>
      </c>
      <c r="C864" t="s">
        <v>19</v>
      </c>
      <c r="D864" t="s">
        <v>1225</v>
      </c>
      <c r="E864">
        <v>9436</v>
      </c>
    </row>
    <row r="865" spans="1:5">
      <c r="A865" s="1">
        <v>45793</v>
      </c>
      <c r="B865" t="s">
        <v>246</v>
      </c>
      <c r="C865" t="s">
        <v>19</v>
      </c>
      <c r="D865" t="s">
        <v>1226</v>
      </c>
      <c r="E865">
        <v>8094</v>
      </c>
    </row>
    <row r="866" spans="1:5">
      <c r="A866" s="1">
        <v>45793</v>
      </c>
      <c r="B866" t="s">
        <v>246</v>
      </c>
      <c r="C866" t="s">
        <v>19</v>
      </c>
      <c r="D866" t="s">
        <v>1227</v>
      </c>
      <c r="E866">
        <v>375</v>
      </c>
    </row>
    <row r="867" spans="1:5">
      <c r="A867" s="1">
        <v>45793</v>
      </c>
      <c r="B867" t="s">
        <v>58</v>
      </c>
      <c r="C867" t="s">
        <v>19</v>
      </c>
      <c r="D867" t="s">
        <v>1228</v>
      </c>
      <c r="E867">
        <v>200</v>
      </c>
    </row>
    <row r="868" spans="1:5">
      <c r="A868" s="1">
        <v>45793</v>
      </c>
      <c r="B868" t="s">
        <v>1229</v>
      </c>
      <c r="C868" t="s">
        <v>19</v>
      </c>
      <c r="D868" t="s">
        <v>1230</v>
      </c>
      <c r="E868">
        <v>3960</v>
      </c>
    </row>
    <row r="869" spans="1:5">
      <c r="A869" s="1">
        <v>45793</v>
      </c>
      <c r="B869" t="s">
        <v>591</v>
      </c>
      <c r="C869" t="s">
        <v>20</v>
      </c>
      <c r="D869" t="s">
        <v>1231</v>
      </c>
      <c r="E869">
        <v>11154</v>
      </c>
    </row>
    <row r="870" spans="1:5">
      <c r="A870" s="1">
        <v>45793</v>
      </c>
      <c r="B870" t="s">
        <v>546</v>
      </c>
      <c r="C870" t="s">
        <v>20</v>
      </c>
      <c r="D870" t="s">
        <v>1232</v>
      </c>
      <c r="E870">
        <v>2500</v>
      </c>
    </row>
    <row r="871" spans="1:5">
      <c r="A871" s="1">
        <v>45793</v>
      </c>
      <c r="B871" t="s">
        <v>750</v>
      </c>
      <c r="C871" t="s">
        <v>20</v>
      </c>
      <c r="D871" t="s">
        <v>1233</v>
      </c>
      <c r="E871">
        <v>3700</v>
      </c>
    </row>
    <row r="872" spans="1:5">
      <c r="A872" s="1">
        <v>45793</v>
      </c>
      <c r="B872" t="s">
        <v>154</v>
      </c>
      <c r="C872" t="s">
        <v>20</v>
      </c>
      <c r="D872" t="s">
        <v>1234</v>
      </c>
      <c r="E872">
        <v>1030</v>
      </c>
    </row>
    <row r="873" spans="1:5">
      <c r="A873" s="1">
        <v>45793</v>
      </c>
      <c r="B873" t="s">
        <v>239</v>
      </c>
      <c r="C873" t="s">
        <v>20</v>
      </c>
      <c r="D873" t="s">
        <v>1235</v>
      </c>
      <c r="E873">
        <v>3980</v>
      </c>
    </row>
    <row r="874" spans="1:5">
      <c r="A874" s="1">
        <v>45793</v>
      </c>
      <c r="B874" t="s">
        <v>514</v>
      </c>
      <c r="C874" t="s">
        <v>20</v>
      </c>
      <c r="D874" t="s">
        <v>1236</v>
      </c>
      <c r="E874">
        <v>1645</v>
      </c>
    </row>
    <row r="875" spans="1:5">
      <c r="A875" s="1">
        <v>45793</v>
      </c>
      <c r="B875" t="s">
        <v>1237</v>
      </c>
      <c r="C875" t="s">
        <v>20</v>
      </c>
      <c r="D875" t="s">
        <v>1238</v>
      </c>
      <c r="E875">
        <v>1578</v>
      </c>
    </row>
    <row r="876" spans="1:5">
      <c r="A876" s="1">
        <v>45793</v>
      </c>
      <c r="B876" t="s">
        <v>1162</v>
      </c>
      <c r="C876" t="s">
        <v>20</v>
      </c>
      <c r="D876" t="s">
        <v>1239</v>
      </c>
      <c r="E876">
        <v>1564</v>
      </c>
    </row>
    <row r="877" spans="1:5">
      <c r="A877" s="1">
        <v>45793</v>
      </c>
      <c r="B877" t="s">
        <v>1222</v>
      </c>
      <c r="C877" t="s">
        <v>20</v>
      </c>
      <c r="D877" t="s">
        <v>1240</v>
      </c>
      <c r="E877">
        <v>23844</v>
      </c>
    </row>
    <row r="878" spans="1:5">
      <c r="A878" s="1">
        <v>45793</v>
      </c>
      <c r="B878" t="s">
        <v>360</v>
      </c>
      <c r="C878" t="s">
        <v>20</v>
      </c>
      <c r="D878" t="s">
        <v>1241</v>
      </c>
      <c r="E878">
        <v>3350</v>
      </c>
    </row>
    <row r="879" spans="1:5">
      <c r="A879" s="1">
        <v>45793</v>
      </c>
      <c r="B879" t="s">
        <v>1127</v>
      </c>
      <c r="C879" t="s">
        <v>20</v>
      </c>
      <c r="D879" t="s">
        <v>1242</v>
      </c>
      <c r="E879">
        <v>425</v>
      </c>
    </row>
    <row r="880" spans="1:5">
      <c r="A880" s="1">
        <v>45793</v>
      </c>
      <c r="B880" t="s">
        <v>1243</v>
      </c>
      <c r="C880" t="s">
        <v>20</v>
      </c>
      <c r="D880" t="s">
        <v>1244</v>
      </c>
      <c r="E880">
        <v>14670</v>
      </c>
    </row>
    <row r="881" spans="1:5">
      <c r="A881" s="1">
        <v>45793</v>
      </c>
      <c r="B881" t="s">
        <v>856</v>
      </c>
      <c r="C881" t="s">
        <v>20</v>
      </c>
      <c r="D881" t="s">
        <v>1245</v>
      </c>
      <c r="E881">
        <v>513</v>
      </c>
    </row>
    <row r="882" spans="1:5">
      <c r="A882" s="1">
        <v>45793</v>
      </c>
      <c r="B882" t="s">
        <v>1246</v>
      </c>
      <c r="C882" t="s">
        <v>20</v>
      </c>
      <c r="D882" t="s">
        <v>1247</v>
      </c>
      <c r="E882">
        <v>1830</v>
      </c>
    </row>
    <row r="883" spans="1:5">
      <c r="A883" s="1">
        <v>45793</v>
      </c>
      <c r="B883" t="s">
        <v>1248</v>
      </c>
      <c r="C883" t="s">
        <v>20</v>
      </c>
      <c r="D883" t="s">
        <v>1249</v>
      </c>
      <c r="E883">
        <v>40507</v>
      </c>
    </row>
    <row r="884" spans="1:5">
      <c r="A884" s="1">
        <v>45793</v>
      </c>
      <c r="B884" t="s">
        <v>1250</v>
      </c>
      <c r="C884" t="s">
        <v>20</v>
      </c>
      <c r="D884" t="s">
        <v>1251</v>
      </c>
      <c r="E884">
        <v>18631</v>
      </c>
    </row>
    <row r="885" spans="1:5">
      <c r="A885" s="1">
        <v>45794</v>
      </c>
      <c r="B885" t="s">
        <v>586</v>
      </c>
      <c r="C885" t="s">
        <v>19</v>
      </c>
      <c r="D885" t="s">
        <v>1252</v>
      </c>
      <c r="E885">
        <v>13634</v>
      </c>
    </row>
    <row r="886" spans="1:5">
      <c r="A886" s="1">
        <v>45794</v>
      </c>
      <c r="B886" t="s">
        <v>56</v>
      </c>
      <c r="C886" t="s">
        <v>19</v>
      </c>
      <c r="D886" t="s">
        <v>1253</v>
      </c>
      <c r="E886">
        <v>2307</v>
      </c>
    </row>
    <row r="887" spans="1:5">
      <c r="A887" s="1">
        <v>45794</v>
      </c>
      <c r="B887" t="s">
        <v>1254</v>
      </c>
      <c r="C887" t="s">
        <v>19</v>
      </c>
      <c r="D887" t="s">
        <v>1255</v>
      </c>
      <c r="E887">
        <v>1932</v>
      </c>
    </row>
    <row r="888" spans="1:5">
      <c r="A888" s="1">
        <v>45794</v>
      </c>
      <c r="B888" t="s">
        <v>1256</v>
      </c>
      <c r="C888" t="s">
        <v>19</v>
      </c>
      <c r="D888" t="s">
        <v>1257</v>
      </c>
      <c r="E888">
        <v>2576</v>
      </c>
    </row>
    <row r="889" spans="1:5">
      <c r="A889" s="1">
        <v>45794</v>
      </c>
      <c r="B889" t="s">
        <v>1258</v>
      </c>
      <c r="C889" t="s">
        <v>19</v>
      </c>
      <c r="D889" t="s">
        <v>1259</v>
      </c>
      <c r="E889">
        <v>198500</v>
      </c>
    </row>
    <row r="890" spans="1:5">
      <c r="A890" s="1">
        <v>45794</v>
      </c>
      <c r="B890" t="s">
        <v>131</v>
      </c>
      <c r="C890" t="s">
        <v>20</v>
      </c>
      <c r="D890" t="s">
        <v>1260</v>
      </c>
      <c r="E890">
        <v>19750</v>
      </c>
    </row>
    <row r="891" spans="1:5">
      <c r="A891" s="1">
        <v>45794</v>
      </c>
      <c r="B891" t="s">
        <v>817</v>
      </c>
      <c r="C891" t="s">
        <v>20</v>
      </c>
      <c r="D891" t="s">
        <v>1261</v>
      </c>
      <c r="E891">
        <v>9312</v>
      </c>
    </row>
    <row r="892" spans="1:5">
      <c r="A892" s="1">
        <v>45794</v>
      </c>
      <c r="B892" t="s">
        <v>222</v>
      </c>
      <c r="C892" t="s">
        <v>20</v>
      </c>
      <c r="D892" t="s">
        <v>1262</v>
      </c>
      <c r="E892">
        <v>3700</v>
      </c>
    </row>
    <row r="893" spans="1:5">
      <c r="A893" s="1">
        <v>45794</v>
      </c>
      <c r="B893" t="s">
        <v>50</v>
      </c>
      <c r="C893" t="s">
        <v>20</v>
      </c>
      <c r="D893" t="s">
        <v>1263</v>
      </c>
      <c r="E893">
        <v>581</v>
      </c>
    </row>
    <row r="894" spans="1:5">
      <c r="A894" s="1">
        <v>45794</v>
      </c>
      <c r="B894" t="s">
        <v>1264</v>
      </c>
      <c r="C894" t="s">
        <v>20</v>
      </c>
      <c r="D894" t="s">
        <v>1265</v>
      </c>
      <c r="E894">
        <v>7631</v>
      </c>
    </row>
    <row r="895" spans="1:5">
      <c r="A895" s="1">
        <v>45794</v>
      </c>
      <c r="B895" t="s">
        <v>474</v>
      </c>
      <c r="C895" t="s">
        <v>20</v>
      </c>
      <c r="D895" t="s">
        <v>1266</v>
      </c>
      <c r="E895">
        <v>370</v>
      </c>
    </row>
    <row r="896" spans="1:5">
      <c r="A896" s="1">
        <v>45794</v>
      </c>
      <c r="B896" t="s">
        <v>739</v>
      </c>
      <c r="C896" t="s">
        <v>20</v>
      </c>
      <c r="D896" t="s">
        <v>1267</v>
      </c>
      <c r="E896">
        <v>1117</v>
      </c>
    </row>
    <row r="897" spans="1:5">
      <c r="A897" s="1">
        <v>45794</v>
      </c>
      <c r="B897" t="s">
        <v>559</v>
      </c>
      <c r="C897" t="s">
        <v>20</v>
      </c>
      <c r="D897" t="s">
        <v>1268</v>
      </c>
      <c r="E897">
        <v>13678</v>
      </c>
    </row>
    <row r="898" spans="1:5">
      <c r="A898" s="1">
        <v>45794</v>
      </c>
      <c r="B898" t="s">
        <v>188</v>
      </c>
      <c r="C898" t="s">
        <v>20</v>
      </c>
      <c r="D898" t="s">
        <v>1269</v>
      </c>
      <c r="E898">
        <v>2220</v>
      </c>
    </row>
    <row r="899" spans="1:5">
      <c r="A899" s="1">
        <v>45794</v>
      </c>
      <c r="B899" t="s">
        <v>1270</v>
      </c>
      <c r="C899" t="s">
        <v>20</v>
      </c>
      <c r="D899" t="s">
        <v>1271</v>
      </c>
      <c r="E899">
        <v>6337</v>
      </c>
    </row>
    <row r="900" spans="1:5">
      <c r="A900" s="1">
        <v>45794</v>
      </c>
      <c r="B900" t="s">
        <v>1272</v>
      </c>
      <c r="C900" t="s">
        <v>20</v>
      </c>
      <c r="D900" t="s">
        <v>1273</v>
      </c>
      <c r="E900">
        <v>50</v>
      </c>
    </row>
    <row r="901" spans="1:5">
      <c r="A901" s="1">
        <v>45794</v>
      </c>
      <c r="B901" t="s">
        <v>521</v>
      </c>
      <c r="C901" t="s">
        <v>20</v>
      </c>
      <c r="D901" t="s">
        <v>1274</v>
      </c>
      <c r="E901">
        <v>21762</v>
      </c>
    </row>
    <row r="902" spans="1:5">
      <c r="A902" s="1">
        <v>45794</v>
      </c>
      <c r="B902" t="s">
        <v>1275</v>
      </c>
      <c r="C902" t="s">
        <v>20</v>
      </c>
      <c r="D902" t="s">
        <v>1276</v>
      </c>
      <c r="E902">
        <v>2390</v>
      </c>
    </row>
    <row r="903" spans="1:5">
      <c r="A903" s="1">
        <v>45794</v>
      </c>
      <c r="B903" t="s">
        <v>50</v>
      </c>
      <c r="C903" t="s">
        <v>20</v>
      </c>
      <c r="D903" t="s">
        <v>1277</v>
      </c>
      <c r="E903">
        <v>20</v>
      </c>
    </row>
    <row r="904" spans="1:5">
      <c r="A904" s="1">
        <v>45794</v>
      </c>
      <c r="B904" t="s">
        <v>1278</v>
      </c>
      <c r="C904" t="s">
        <v>20</v>
      </c>
      <c r="D904" t="s">
        <v>1279</v>
      </c>
      <c r="E904">
        <v>6711</v>
      </c>
    </row>
    <row r="905" spans="1:5">
      <c r="A905" s="1">
        <v>45794</v>
      </c>
      <c r="B905" t="s">
        <v>1280</v>
      </c>
      <c r="C905" t="s">
        <v>20</v>
      </c>
      <c r="D905" t="s">
        <v>1281</v>
      </c>
      <c r="E905">
        <v>370</v>
      </c>
    </row>
    <row r="906" spans="1:5">
      <c r="A906" s="1">
        <v>45794</v>
      </c>
      <c r="B906" t="s">
        <v>68</v>
      </c>
      <c r="C906" t="s">
        <v>20</v>
      </c>
      <c r="D906" t="s">
        <v>1282</v>
      </c>
      <c r="E906">
        <v>5285</v>
      </c>
    </row>
    <row r="907" spans="1:5">
      <c r="A907" s="1">
        <v>45794</v>
      </c>
      <c r="B907" t="s">
        <v>609</v>
      </c>
      <c r="C907" t="s">
        <v>20</v>
      </c>
      <c r="D907" t="s">
        <v>1283</v>
      </c>
      <c r="E907">
        <v>1720</v>
      </c>
    </row>
    <row r="908" spans="1:5">
      <c r="A908" s="1">
        <v>45794</v>
      </c>
      <c r="B908" t="s">
        <v>50</v>
      </c>
      <c r="C908" t="s">
        <v>20</v>
      </c>
      <c r="D908" t="s">
        <v>1284</v>
      </c>
      <c r="E908">
        <v>12</v>
      </c>
    </row>
    <row r="909" spans="1:5">
      <c r="A909" s="1">
        <v>45794</v>
      </c>
      <c r="B909" t="s">
        <v>438</v>
      </c>
      <c r="C909" t="s">
        <v>20</v>
      </c>
      <c r="D909" t="s">
        <v>1285</v>
      </c>
      <c r="E909">
        <v>3852</v>
      </c>
    </row>
    <row r="910" spans="1:5">
      <c r="A910" s="1">
        <v>45794</v>
      </c>
      <c r="B910" t="s">
        <v>1286</v>
      </c>
      <c r="C910" t="s">
        <v>20</v>
      </c>
      <c r="D910" t="s">
        <v>1287</v>
      </c>
      <c r="E910">
        <v>3044</v>
      </c>
    </row>
    <row r="911" spans="1:5">
      <c r="A911" s="1">
        <v>45796</v>
      </c>
      <c r="B911" t="s">
        <v>586</v>
      </c>
      <c r="C911" t="s">
        <v>19</v>
      </c>
      <c r="D911" t="s">
        <v>1288</v>
      </c>
      <c r="E911">
        <v>3700</v>
      </c>
    </row>
    <row r="912" spans="1:5">
      <c r="A912" s="1">
        <v>45796</v>
      </c>
      <c r="B912" t="s">
        <v>345</v>
      </c>
      <c r="C912" t="s">
        <v>19</v>
      </c>
      <c r="D912" t="s">
        <v>1289</v>
      </c>
      <c r="E912">
        <v>3825</v>
      </c>
    </row>
    <row r="913" spans="1:5">
      <c r="A913" s="1">
        <v>45796</v>
      </c>
      <c r="B913" t="s">
        <v>60</v>
      </c>
      <c r="C913" t="s">
        <v>19</v>
      </c>
      <c r="D913" t="s">
        <v>1290</v>
      </c>
      <c r="E913">
        <v>40841</v>
      </c>
    </row>
    <row r="914" spans="1:5">
      <c r="A914" s="1">
        <v>45796</v>
      </c>
      <c r="B914" t="s">
        <v>1291</v>
      </c>
      <c r="C914" t="s">
        <v>20</v>
      </c>
      <c r="D914" t="s">
        <v>1292</v>
      </c>
      <c r="E914">
        <v>7485</v>
      </c>
    </row>
    <row r="915" spans="1:5">
      <c r="A915" s="1">
        <v>45796</v>
      </c>
      <c r="B915" t="s">
        <v>856</v>
      </c>
      <c r="C915" t="s">
        <v>20</v>
      </c>
      <c r="D915" t="s">
        <v>1293</v>
      </c>
      <c r="E915">
        <v>12843</v>
      </c>
    </row>
    <row r="916" spans="1:5">
      <c r="A916" s="1">
        <v>45796</v>
      </c>
      <c r="B916" t="s">
        <v>1294</v>
      </c>
      <c r="C916" t="s">
        <v>20</v>
      </c>
      <c r="D916" t="s">
        <v>1295</v>
      </c>
      <c r="E916">
        <v>43776</v>
      </c>
    </row>
    <row r="917" spans="1:5">
      <c r="A917" s="1">
        <v>45796</v>
      </c>
      <c r="B917" t="s">
        <v>1296</v>
      </c>
      <c r="C917" t="s">
        <v>20</v>
      </c>
      <c r="D917" t="s">
        <v>1297</v>
      </c>
      <c r="E917">
        <v>16974</v>
      </c>
    </row>
    <row r="918" spans="1:5">
      <c r="A918" s="1">
        <v>45796</v>
      </c>
      <c r="B918" t="s">
        <v>817</v>
      </c>
      <c r="C918" t="s">
        <v>20</v>
      </c>
      <c r="D918" t="s">
        <v>1298</v>
      </c>
      <c r="E918">
        <v>1260</v>
      </c>
    </row>
    <row r="919" spans="1:5">
      <c r="A919" s="1">
        <v>45796</v>
      </c>
      <c r="B919" t="s">
        <v>1299</v>
      </c>
      <c r="C919" t="s">
        <v>20</v>
      </c>
      <c r="D919" t="s">
        <v>1300</v>
      </c>
      <c r="E919">
        <v>330</v>
      </c>
    </row>
    <row r="920" spans="1:5">
      <c r="A920" s="1">
        <v>45796</v>
      </c>
      <c r="B920" t="s">
        <v>50</v>
      </c>
      <c r="C920" t="s">
        <v>20</v>
      </c>
      <c r="D920" t="s">
        <v>1301</v>
      </c>
      <c r="E920">
        <v>11</v>
      </c>
    </row>
    <row r="921" spans="1:5">
      <c r="A921" s="1">
        <v>45796</v>
      </c>
      <c r="B921" t="s">
        <v>1302</v>
      </c>
      <c r="C921" t="s">
        <v>20</v>
      </c>
      <c r="D921" t="s">
        <v>1303</v>
      </c>
      <c r="E921">
        <v>5664</v>
      </c>
    </row>
    <row r="922" spans="1:5">
      <c r="A922" s="1">
        <v>45796</v>
      </c>
      <c r="B922" t="s">
        <v>1278</v>
      </c>
      <c r="C922" t="s">
        <v>20</v>
      </c>
      <c r="D922" t="s">
        <v>1304</v>
      </c>
      <c r="E922">
        <v>5287</v>
      </c>
    </row>
    <row r="923" spans="1:5">
      <c r="A923" s="1">
        <v>45796</v>
      </c>
      <c r="B923" t="s">
        <v>1278</v>
      </c>
      <c r="C923" t="s">
        <v>20</v>
      </c>
      <c r="D923" t="s">
        <v>1305</v>
      </c>
      <c r="E923">
        <v>285</v>
      </c>
    </row>
    <row r="924" spans="1:5">
      <c r="A924" s="1">
        <v>45796</v>
      </c>
      <c r="B924" t="s">
        <v>135</v>
      </c>
      <c r="C924" t="s">
        <v>20</v>
      </c>
      <c r="D924" t="s">
        <v>1306</v>
      </c>
      <c r="E924">
        <v>1810</v>
      </c>
    </row>
    <row r="925" spans="1:5">
      <c r="A925" s="1">
        <v>45796</v>
      </c>
      <c r="B925" t="s">
        <v>1307</v>
      </c>
      <c r="C925" t="s">
        <v>20</v>
      </c>
      <c r="D925" t="s">
        <v>1308</v>
      </c>
      <c r="E925">
        <v>3091</v>
      </c>
    </row>
    <row r="926" spans="1:5">
      <c r="A926" s="1">
        <v>45796</v>
      </c>
      <c r="B926" t="s">
        <v>135</v>
      </c>
      <c r="C926" t="s">
        <v>20</v>
      </c>
      <c r="D926" t="s">
        <v>1309</v>
      </c>
      <c r="E926">
        <v>15394</v>
      </c>
    </row>
    <row r="927" spans="1:5">
      <c r="A927" s="1">
        <v>45796</v>
      </c>
      <c r="B927" t="s">
        <v>514</v>
      </c>
      <c r="C927" t="s">
        <v>20</v>
      </c>
      <c r="D927" t="s">
        <v>1310</v>
      </c>
      <c r="E927">
        <v>740</v>
      </c>
    </row>
    <row r="928" spans="1:5">
      <c r="A928" s="1">
        <v>45796</v>
      </c>
      <c r="B928" t="s">
        <v>1311</v>
      </c>
      <c r="C928" t="s">
        <v>20</v>
      </c>
      <c r="D928" t="s">
        <v>1312</v>
      </c>
      <c r="E928">
        <v>380</v>
      </c>
    </row>
    <row r="929" spans="1:5">
      <c r="A929" s="1">
        <v>45796</v>
      </c>
      <c r="B929" t="s">
        <v>1313</v>
      </c>
      <c r="C929" t="s">
        <v>20</v>
      </c>
      <c r="D929" t="s">
        <v>1314</v>
      </c>
      <c r="E929">
        <v>15296</v>
      </c>
    </row>
    <row r="930" spans="1:5">
      <c r="A930" s="1">
        <v>45796</v>
      </c>
      <c r="B930" t="s">
        <v>1315</v>
      </c>
      <c r="C930" t="s">
        <v>20</v>
      </c>
      <c r="D930" t="s">
        <v>1316</v>
      </c>
      <c r="E930">
        <v>1050</v>
      </c>
    </row>
    <row r="931" spans="1:5">
      <c r="A931" s="1">
        <v>45797</v>
      </c>
      <c r="B931" t="s">
        <v>1106</v>
      </c>
      <c r="C931" t="s">
        <v>19</v>
      </c>
      <c r="D931" t="s">
        <v>1317</v>
      </c>
      <c r="E931">
        <v>73995</v>
      </c>
    </row>
    <row r="932" spans="1:5">
      <c r="A932" s="1">
        <v>45797</v>
      </c>
      <c r="B932" t="s">
        <v>1049</v>
      </c>
      <c r="C932" t="s">
        <v>19</v>
      </c>
      <c r="D932" t="s">
        <v>1318</v>
      </c>
      <c r="E932">
        <v>11100</v>
      </c>
    </row>
    <row r="933" spans="1:5">
      <c r="A933" s="1">
        <v>45797</v>
      </c>
      <c r="B933" t="s">
        <v>246</v>
      </c>
      <c r="C933" t="s">
        <v>19</v>
      </c>
      <c r="D933" t="s">
        <v>1319</v>
      </c>
      <c r="E933">
        <v>608</v>
      </c>
    </row>
    <row r="934" spans="1:5">
      <c r="A934" s="1">
        <v>45797</v>
      </c>
      <c r="B934" t="s">
        <v>246</v>
      </c>
      <c r="C934" t="s">
        <v>19</v>
      </c>
      <c r="D934" t="s">
        <v>1320</v>
      </c>
      <c r="E934">
        <v>426</v>
      </c>
    </row>
    <row r="935" spans="1:5">
      <c r="A935" s="1">
        <v>45797</v>
      </c>
      <c r="B935" t="s">
        <v>1021</v>
      </c>
      <c r="C935" t="s">
        <v>19</v>
      </c>
      <c r="D935" t="s">
        <v>1321</v>
      </c>
      <c r="E935">
        <v>19346</v>
      </c>
    </row>
    <row r="936" spans="1:5">
      <c r="A936" s="1">
        <v>45797</v>
      </c>
      <c r="B936" t="s">
        <v>739</v>
      </c>
      <c r="C936" t="s">
        <v>20</v>
      </c>
      <c r="D936" t="s">
        <v>1322</v>
      </c>
      <c r="E936">
        <v>1110</v>
      </c>
    </row>
    <row r="937" spans="1:5">
      <c r="A937" s="1">
        <v>45797</v>
      </c>
      <c r="B937" t="s">
        <v>1323</v>
      </c>
      <c r="C937" t="s">
        <v>20</v>
      </c>
      <c r="D937" t="s">
        <v>1324</v>
      </c>
      <c r="E937">
        <v>370</v>
      </c>
    </row>
    <row r="938" spans="1:5">
      <c r="A938" s="1">
        <v>45797</v>
      </c>
      <c r="B938" t="s">
        <v>68</v>
      </c>
      <c r="C938" t="s">
        <v>20</v>
      </c>
      <c r="D938" t="s">
        <v>1325</v>
      </c>
      <c r="E938">
        <v>6985</v>
      </c>
    </row>
    <row r="939" spans="1:5">
      <c r="A939" s="1">
        <v>45797</v>
      </c>
      <c r="B939" t="s">
        <v>1326</v>
      </c>
      <c r="C939" t="s">
        <v>20</v>
      </c>
      <c r="D939" t="s">
        <v>1327</v>
      </c>
      <c r="E939">
        <v>666</v>
      </c>
    </row>
    <row r="940" spans="1:5">
      <c r="A940" s="1">
        <v>45797</v>
      </c>
      <c r="B940" t="s">
        <v>723</v>
      </c>
      <c r="C940" t="s">
        <v>20</v>
      </c>
      <c r="D940" t="s">
        <v>1328</v>
      </c>
      <c r="E940">
        <v>5633</v>
      </c>
    </row>
    <row r="941" spans="1:5">
      <c r="A941" s="1">
        <v>45797</v>
      </c>
      <c r="B941" t="s">
        <v>521</v>
      </c>
      <c r="C941" t="s">
        <v>20</v>
      </c>
      <c r="D941" t="s">
        <v>1329</v>
      </c>
      <c r="E941">
        <v>15540</v>
      </c>
    </row>
    <row r="942" spans="1:5">
      <c r="A942" s="1">
        <v>45797</v>
      </c>
      <c r="B942" t="s">
        <v>687</v>
      </c>
      <c r="C942" t="s">
        <v>20</v>
      </c>
      <c r="D942" t="s">
        <v>1330</v>
      </c>
      <c r="E942">
        <v>5810</v>
      </c>
    </row>
    <row r="943" spans="1:5">
      <c r="A943" s="1">
        <v>45797</v>
      </c>
      <c r="B943" t="s">
        <v>1331</v>
      </c>
      <c r="C943" t="s">
        <v>20</v>
      </c>
      <c r="D943" t="s">
        <v>1332</v>
      </c>
      <c r="E943">
        <v>8400</v>
      </c>
    </row>
    <row r="944" spans="1:5">
      <c r="A944" s="1">
        <v>45797</v>
      </c>
      <c r="B944" t="s">
        <v>81</v>
      </c>
      <c r="C944" t="s">
        <v>20</v>
      </c>
      <c r="D944" t="s">
        <v>1333</v>
      </c>
      <c r="E944">
        <v>100</v>
      </c>
    </row>
    <row r="945" spans="1:5">
      <c r="A945" s="1">
        <v>45797</v>
      </c>
      <c r="B945" t="s">
        <v>135</v>
      </c>
      <c r="C945" t="s">
        <v>20</v>
      </c>
      <c r="D945" t="s">
        <v>1334</v>
      </c>
      <c r="E945">
        <v>7530</v>
      </c>
    </row>
    <row r="946" spans="1:5">
      <c r="A946" s="1">
        <v>45797</v>
      </c>
      <c r="B946" t="s">
        <v>1335</v>
      </c>
      <c r="C946" t="s">
        <v>20</v>
      </c>
      <c r="D946" t="s">
        <v>1336</v>
      </c>
      <c r="E946">
        <v>297</v>
      </c>
    </row>
    <row r="947" spans="1:5">
      <c r="A947" s="1">
        <v>45797</v>
      </c>
      <c r="B947" t="s">
        <v>1337</v>
      </c>
      <c r="C947" t="s">
        <v>20</v>
      </c>
      <c r="D947" t="s">
        <v>1338</v>
      </c>
      <c r="E947">
        <v>3530</v>
      </c>
    </row>
    <row r="948" spans="1:5">
      <c r="A948" s="1">
        <v>45797</v>
      </c>
      <c r="B948" t="s">
        <v>521</v>
      </c>
      <c r="C948" t="s">
        <v>20</v>
      </c>
      <c r="D948" t="s">
        <v>1339</v>
      </c>
      <c r="E948">
        <v>1362</v>
      </c>
    </row>
    <row r="949" spans="1:5">
      <c r="A949" s="1">
        <v>45797</v>
      </c>
      <c r="B949" t="s">
        <v>1340</v>
      </c>
      <c r="C949" t="s">
        <v>20</v>
      </c>
      <c r="D949" t="s">
        <v>1341</v>
      </c>
      <c r="E949">
        <v>425</v>
      </c>
    </row>
    <row r="950" spans="1:5">
      <c r="A950" s="1">
        <v>45797</v>
      </c>
      <c r="B950" t="s">
        <v>1342</v>
      </c>
      <c r="C950" t="s">
        <v>20</v>
      </c>
      <c r="D950" t="s">
        <v>1343</v>
      </c>
      <c r="E950">
        <v>1600</v>
      </c>
    </row>
    <row r="951" spans="1:5">
      <c r="A951" s="1">
        <v>45797</v>
      </c>
      <c r="B951" t="s">
        <v>1344</v>
      </c>
      <c r="C951" t="s">
        <v>20</v>
      </c>
      <c r="D951" t="s">
        <v>1345</v>
      </c>
      <c r="E951">
        <v>2160</v>
      </c>
    </row>
    <row r="952" spans="1:5">
      <c r="A952" s="1">
        <v>45797</v>
      </c>
      <c r="B952" t="s">
        <v>50</v>
      </c>
      <c r="C952" t="s">
        <v>20</v>
      </c>
      <c r="D952" t="s">
        <v>1346</v>
      </c>
      <c r="E952">
        <v>395</v>
      </c>
    </row>
    <row r="953" spans="1:5">
      <c r="A953" s="1">
        <v>45798</v>
      </c>
      <c r="B953" t="s">
        <v>345</v>
      </c>
      <c r="C953" t="s">
        <v>19</v>
      </c>
      <c r="D953" t="s">
        <v>1347</v>
      </c>
      <c r="E953">
        <v>3441</v>
      </c>
    </row>
    <row r="954" spans="1:5">
      <c r="A954" s="1">
        <v>45798</v>
      </c>
      <c r="B954" t="s">
        <v>1348</v>
      </c>
      <c r="C954" t="s">
        <v>20</v>
      </c>
      <c r="D954" t="s">
        <v>1349</v>
      </c>
      <c r="E954">
        <v>11100</v>
      </c>
    </row>
    <row r="955" spans="1:5">
      <c r="A955" s="1">
        <v>45798</v>
      </c>
      <c r="B955" t="s">
        <v>1350</v>
      </c>
      <c r="C955" t="s">
        <v>20</v>
      </c>
      <c r="D955" t="s">
        <v>1351</v>
      </c>
      <c r="E955">
        <v>21690</v>
      </c>
    </row>
    <row r="956" spans="1:5">
      <c r="A956" s="1">
        <v>45798</v>
      </c>
      <c r="B956" t="s">
        <v>1352</v>
      </c>
      <c r="C956" t="s">
        <v>20</v>
      </c>
      <c r="D956" t="s">
        <v>1353</v>
      </c>
      <c r="E956">
        <v>5373</v>
      </c>
    </row>
    <row r="957" spans="1:5">
      <c r="A957" s="1">
        <v>45798</v>
      </c>
      <c r="B957" t="s">
        <v>1066</v>
      </c>
      <c r="C957" t="s">
        <v>20</v>
      </c>
      <c r="D957" t="s">
        <v>1354</v>
      </c>
      <c r="E957">
        <v>5550</v>
      </c>
    </row>
    <row r="958" spans="1:5">
      <c r="A958" s="1">
        <v>45798</v>
      </c>
      <c r="B958" t="s">
        <v>739</v>
      </c>
      <c r="C958" t="s">
        <v>20</v>
      </c>
      <c r="D958" t="s">
        <v>1355</v>
      </c>
      <c r="E958">
        <v>14790</v>
      </c>
    </row>
    <row r="959" spans="1:5">
      <c r="A959" s="1">
        <v>45798</v>
      </c>
      <c r="B959" t="s">
        <v>239</v>
      </c>
      <c r="C959" t="s">
        <v>20</v>
      </c>
      <c r="D959" t="s">
        <v>1356</v>
      </c>
      <c r="E959">
        <v>1868</v>
      </c>
    </row>
    <row r="960" spans="1:5">
      <c r="A960" s="1">
        <v>45798</v>
      </c>
      <c r="B960" t="s">
        <v>254</v>
      </c>
      <c r="C960" t="s">
        <v>20</v>
      </c>
      <c r="D960" t="s">
        <v>1357</v>
      </c>
      <c r="E960">
        <v>1110</v>
      </c>
    </row>
    <row r="961" spans="1:5">
      <c r="A961" s="1">
        <v>45798</v>
      </c>
      <c r="B961" t="s">
        <v>1358</v>
      </c>
      <c r="C961" t="s">
        <v>20</v>
      </c>
      <c r="D961" t="s">
        <v>1359</v>
      </c>
      <c r="E961">
        <v>10760</v>
      </c>
    </row>
    <row r="962" spans="1:5">
      <c r="A962" s="1">
        <v>45798</v>
      </c>
      <c r="B962" t="s">
        <v>1360</v>
      </c>
      <c r="C962" t="s">
        <v>20</v>
      </c>
      <c r="D962" t="s">
        <v>1361</v>
      </c>
      <c r="E962">
        <v>425</v>
      </c>
    </row>
    <row r="963" spans="1:5">
      <c r="A963" s="1">
        <v>45798</v>
      </c>
      <c r="B963" t="s">
        <v>1362</v>
      </c>
      <c r="C963" t="s">
        <v>20</v>
      </c>
      <c r="D963" t="s">
        <v>1363</v>
      </c>
      <c r="E963">
        <v>2726</v>
      </c>
    </row>
    <row r="964" spans="1:5">
      <c r="A964" s="1">
        <v>45798</v>
      </c>
      <c r="B964" t="s">
        <v>932</v>
      </c>
      <c r="C964" t="s">
        <v>20</v>
      </c>
      <c r="D964" t="s">
        <v>1364</v>
      </c>
      <c r="E964">
        <v>3750</v>
      </c>
    </row>
    <row r="965" spans="1:5">
      <c r="A965" s="1">
        <v>45798</v>
      </c>
      <c r="B965" t="s">
        <v>89</v>
      </c>
      <c r="C965" t="s">
        <v>20</v>
      </c>
      <c r="D965" t="s">
        <v>1365</v>
      </c>
      <c r="E965">
        <v>570</v>
      </c>
    </row>
    <row r="966" spans="1:5">
      <c r="A966" s="1">
        <v>45798</v>
      </c>
      <c r="B966" t="s">
        <v>1366</v>
      </c>
      <c r="C966" t="s">
        <v>20</v>
      </c>
      <c r="D966" t="s">
        <v>1367</v>
      </c>
      <c r="E966">
        <v>5093</v>
      </c>
    </row>
    <row r="967" spans="1:5">
      <c r="A967" s="1">
        <v>45798</v>
      </c>
      <c r="B967" t="s">
        <v>254</v>
      </c>
      <c r="C967" t="s">
        <v>20</v>
      </c>
      <c r="D967" t="s">
        <v>1368</v>
      </c>
      <c r="E967">
        <v>740</v>
      </c>
    </row>
    <row r="968" spans="1:5">
      <c r="A968" s="1">
        <v>45798</v>
      </c>
      <c r="B968" t="s">
        <v>1369</v>
      </c>
      <c r="C968" t="s">
        <v>20</v>
      </c>
      <c r="D968" t="s">
        <v>1370</v>
      </c>
      <c r="E968">
        <v>1242</v>
      </c>
    </row>
    <row r="969" spans="1:5">
      <c r="A969" s="1">
        <v>45798</v>
      </c>
      <c r="B969" t="s">
        <v>1371</v>
      </c>
      <c r="C969" t="s">
        <v>20</v>
      </c>
      <c r="D969" t="s">
        <v>1372</v>
      </c>
      <c r="E969">
        <v>286</v>
      </c>
    </row>
    <row r="970" spans="1:5">
      <c r="A970" s="1">
        <v>45798</v>
      </c>
      <c r="B970" t="s">
        <v>1373</v>
      </c>
      <c r="C970" t="s">
        <v>20</v>
      </c>
      <c r="D970" t="s">
        <v>1374</v>
      </c>
      <c r="E970">
        <v>1110</v>
      </c>
    </row>
    <row r="971" spans="1:5">
      <c r="A971" s="1">
        <v>45798</v>
      </c>
      <c r="B971" t="s">
        <v>1375</v>
      </c>
      <c r="C971" t="s">
        <v>20</v>
      </c>
      <c r="D971" t="s">
        <v>1376</v>
      </c>
      <c r="E971">
        <v>1455</v>
      </c>
    </row>
    <row r="972" spans="1:5">
      <c r="A972" s="1">
        <v>45798</v>
      </c>
      <c r="B972" t="s">
        <v>1377</v>
      </c>
      <c r="C972" t="s">
        <v>20</v>
      </c>
      <c r="D972" t="s">
        <v>1378</v>
      </c>
      <c r="E972">
        <v>13911</v>
      </c>
    </row>
    <row r="973" spans="1:5">
      <c r="A973" s="1">
        <v>45799</v>
      </c>
      <c r="B973" t="s">
        <v>56</v>
      </c>
      <c r="C973" t="s">
        <v>19</v>
      </c>
      <c r="D973" t="s">
        <v>1379</v>
      </c>
      <c r="E973">
        <v>5845</v>
      </c>
    </row>
    <row r="974" spans="1:5">
      <c r="A974" s="1">
        <v>45799</v>
      </c>
      <c r="B974" t="s">
        <v>1106</v>
      </c>
      <c r="C974" t="s">
        <v>19</v>
      </c>
      <c r="D974" t="s">
        <v>1380</v>
      </c>
      <c r="E974">
        <v>24770</v>
      </c>
    </row>
    <row r="975" spans="1:5">
      <c r="A975" s="1">
        <v>45799</v>
      </c>
      <c r="B975" t="s">
        <v>1381</v>
      </c>
      <c r="C975" t="s">
        <v>19</v>
      </c>
      <c r="D975" t="s">
        <v>1382</v>
      </c>
      <c r="E975">
        <v>13632</v>
      </c>
    </row>
    <row r="976" spans="1:5">
      <c r="A976" s="1">
        <v>45799</v>
      </c>
      <c r="B976" t="s">
        <v>1383</v>
      </c>
      <c r="C976" t="s">
        <v>19</v>
      </c>
      <c r="D976" t="s">
        <v>1384</v>
      </c>
      <c r="E976">
        <v>1580</v>
      </c>
    </row>
    <row r="977" spans="1:5">
      <c r="A977" s="1">
        <v>45799</v>
      </c>
      <c r="B977" t="s">
        <v>96</v>
      </c>
      <c r="C977" t="s">
        <v>19</v>
      </c>
      <c r="D977" t="s">
        <v>1385</v>
      </c>
      <c r="E977">
        <v>2166</v>
      </c>
    </row>
    <row r="978" spans="1:5">
      <c r="A978" s="1">
        <v>45799</v>
      </c>
      <c r="B978" t="s">
        <v>1386</v>
      </c>
      <c r="C978" t="s">
        <v>20</v>
      </c>
      <c r="D978" t="s">
        <v>1387</v>
      </c>
      <c r="E978">
        <v>395</v>
      </c>
    </row>
    <row r="979" spans="1:5">
      <c r="A979" s="1">
        <v>45799</v>
      </c>
      <c r="B979" t="s">
        <v>1350</v>
      </c>
      <c r="C979" t="s">
        <v>20</v>
      </c>
      <c r="D979" t="s">
        <v>1388</v>
      </c>
      <c r="E979">
        <v>1058</v>
      </c>
    </row>
    <row r="980" spans="1:5">
      <c r="A980" s="1">
        <v>45799</v>
      </c>
      <c r="B980" t="s">
        <v>81</v>
      </c>
      <c r="C980" t="s">
        <v>20</v>
      </c>
      <c r="D980" t="s">
        <v>1389</v>
      </c>
      <c r="E980">
        <v>27472</v>
      </c>
    </row>
    <row r="981" spans="1:5">
      <c r="A981" s="1">
        <v>45799</v>
      </c>
      <c r="B981" t="s">
        <v>1096</v>
      </c>
      <c r="C981" t="s">
        <v>20</v>
      </c>
      <c r="D981" t="s">
        <v>1390</v>
      </c>
      <c r="E981">
        <v>10662</v>
      </c>
    </row>
    <row r="982" spans="1:5">
      <c r="A982" s="1">
        <v>45799</v>
      </c>
      <c r="B982" t="s">
        <v>1296</v>
      </c>
      <c r="C982" t="s">
        <v>20</v>
      </c>
      <c r="D982" t="s">
        <v>1391</v>
      </c>
      <c r="E982">
        <v>14190</v>
      </c>
    </row>
    <row r="983" spans="1:5">
      <c r="A983" s="1">
        <v>45799</v>
      </c>
      <c r="B983" t="s">
        <v>739</v>
      </c>
      <c r="C983" t="s">
        <v>20</v>
      </c>
      <c r="D983" t="s">
        <v>1392</v>
      </c>
      <c r="E983">
        <v>135</v>
      </c>
    </row>
    <row r="984" spans="1:5">
      <c r="A984" s="1">
        <v>45799</v>
      </c>
      <c r="B984" t="s">
        <v>1275</v>
      </c>
      <c r="C984" t="s">
        <v>20</v>
      </c>
      <c r="D984" t="s">
        <v>1393</v>
      </c>
      <c r="E984">
        <v>4166</v>
      </c>
    </row>
    <row r="985" spans="1:5">
      <c r="A985" s="1">
        <v>45799</v>
      </c>
      <c r="B985" t="s">
        <v>1394</v>
      </c>
      <c r="C985" t="s">
        <v>20</v>
      </c>
      <c r="D985" t="s">
        <v>1395</v>
      </c>
      <c r="E985">
        <v>1135</v>
      </c>
    </row>
    <row r="986" spans="1:5">
      <c r="A986" s="1">
        <v>45799</v>
      </c>
      <c r="B986" t="s">
        <v>1173</v>
      </c>
      <c r="C986" t="s">
        <v>20</v>
      </c>
      <c r="D986" t="s">
        <v>1396</v>
      </c>
      <c r="E986">
        <v>1395</v>
      </c>
    </row>
    <row r="987" spans="1:5">
      <c r="A987" s="1">
        <v>45799</v>
      </c>
      <c r="B987" t="s">
        <v>1397</v>
      </c>
      <c r="C987" t="s">
        <v>20</v>
      </c>
      <c r="D987" t="s">
        <v>1398</v>
      </c>
      <c r="E987">
        <v>2674</v>
      </c>
    </row>
    <row r="988" spans="1:5">
      <c r="A988" s="1">
        <v>45799</v>
      </c>
      <c r="B988" t="s">
        <v>76</v>
      </c>
      <c r="C988" t="s">
        <v>20</v>
      </c>
      <c r="D988" t="s">
        <v>1399</v>
      </c>
      <c r="E988">
        <v>93647</v>
      </c>
    </row>
    <row r="989" spans="1:5">
      <c r="A989" s="1">
        <v>45799</v>
      </c>
      <c r="B989" t="s">
        <v>1400</v>
      </c>
      <c r="C989" t="s">
        <v>20</v>
      </c>
      <c r="D989" t="s">
        <v>1401</v>
      </c>
      <c r="E989">
        <v>100</v>
      </c>
    </row>
    <row r="990" spans="1:5">
      <c r="A990" s="1">
        <v>45799</v>
      </c>
      <c r="B990" t="s">
        <v>1096</v>
      </c>
      <c r="C990" t="s">
        <v>20</v>
      </c>
      <c r="D990" t="s">
        <v>1402</v>
      </c>
      <c r="E990">
        <v>510</v>
      </c>
    </row>
    <row r="991" spans="1:5">
      <c r="A991" s="1">
        <v>45799</v>
      </c>
      <c r="B991" t="s">
        <v>1302</v>
      </c>
      <c r="C991" t="s">
        <v>20</v>
      </c>
      <c r="D991" t="s">
        <v>1403</v>
      </c>
      <c r="E991">
        <v>550</v>
      </c>
    </row>
    <row r="992" spans="1:5">
      <c r="A992" s="1">
        <v>45800</v>
      </c>
      <c r="B992" t="s">
        <v>981</v>
      </c>
      <c r="C992" t="s">
        <v>20</v>
      </c>
      <c r="D992" t="s">
        <v>1404</v>
      </c>
      <c r="E992">
        <v>740</v>
      </c>
    </row>
    <row r="993" spans="1:5">
      <c r="A993" s="1">
        <v>45800</v>
      </c>
      <c r="B993" t="s">
        <v>1360</v>
      </c>
      <c r="C993" t="s">
        <v>20</v>
      </c>
      <c r="D993" t="s">
        <v>1405</v>
      </c>
      <c r="E993">
        <v>5612</v>
      </c>
    </row>
    <row r="994" spans="1:5">
      <c r="A994" s="1">
        <v>45800</v>
      </c>
      <c r="B994" t="s">
        <v>76</v>
      </c>
      <c r="C994" t="s">
        <v>20</v>
      </c>
      <c r="D994" t="s">
        <v>1406</v>
      </c>
      <c r="E994">
        <v>1240</v>
      </c>
    </row>
    <row r="995" spans="1:5">
      <c r="A995" s="1">
        <v>45800</v>
      </c>
      <c r="B995" t="s">
        <v>1407</v>
      </c>
      <c r="C995" t="s">
        <v>20</v>
      </c>
      <c r="D995" t="s">
        <v>1408</v>
      </c>
      <c r="E995">
        <v>5507</v>
      </c>
    </row>
    <row r="996" spans="1:5">
      <c r="A996" s="1">
        <v>45800</v>
      </c>
      <c r="B996" t="s">
        <v>321</v>
      </c>
      <c r="C996" t="s">
        <v>20</v>
      </c>
      <c r="D996" t="s">
        <v>1409</v>
      </c>
      <c r="E996">
        <v>25</v>
      </c>
    </row>
    <row r="997" spans="1:5">
      <c r="A997" s="1">
        <v>45800</v>
      </c>
      <c r="B997" t="s">
        <v>1410</v>
      </c>
      <c r="C997" t="s">
        <v>20</v>
      </c>
      <c r="D997" t="s">
        <v>1411</v>
      </c>
      <c r="E997">
        <v>15</v>
      </c>
    </row>
    <row r="998" spans="1:5">
      <c r="A998" s="1">
        <v>45800</v>
      </c>
      <c r="B998" t="s">
        <v>526</v>
      </c>
      <c r="C998" t="s">
        <v>20</v>
      </c>
      <c r="D998" t="s">
        <v>1412</v>
      </c>
      <c r="E998">
        <v>275</v>
      </c>
    </row>
    <row r="999" spans="1:5">
      <c r="A999" s="1">
        <v>45800</v>
      </c>
      <c r="B999" t="s">
        <v>514</v>
      </c>
      <c r="C999" t="s">
        <v>20</v>
      </c>
      <c r="D999" t="s">
        <v>1413</v>
      </c>
      <c r="E999">
        <v>1480</v>
      </c>
    </row>
    <row r="1000" spans="1:5">
      <c r="A1000" s="1">
        <v>45800</v>
      </c>
      <c r="B1000" t="s">
        <v>1414</v>
      </c>
      <c r="C1000" t="s">
        <v>20</v>
      </c>
      <c r="D1000" t="s">
        <v>1415</v>
      </c>
      <c r="E1000">
        <v>5277</v>
      </c>
    </row>
    <row r="1001" spans="1:5">
      <c r="A1001" s="1">
        <v>45800</v>
      </c>
      <c r="B1001" t="s">
        <v>1416</v>
      </c>
      <c r="C1001" t="s">
        <v>20</v>
      </c>
      <c r="D1001" t="s">
        <v>1417</v>
      </c>
      <c r="E1001">
        <v>3790</v>
      </c>
    </row>
    <row r="1002" spans="1:5">
      <c r="A1002" s="1">
        <v>45800</v>
      </c>
      <c r="B1002" t="s">
        <v>50</v>
      </c>
      <c r="C1002" t="s">
        <v>20</v>
      </c>
      <c r="D1002" t="s">
        <v>1418</v>
      </c>
      <c r="E1002">
        <v>7186</v>
      </c>
    </row>
    <row r="1003" spans="1:5">
      <c r="A1003" s="1">
        <v>45801</v>
      </c>
      <c r="B1003" t="s">
        <v>56</v>
      </c>
      <c r="C1003" t="s">
        <v>19</v>
      </c>
      <c r="D1003" t="s">
        <v>1419</v>
      </c>
      <c r="E1003">
        <v>3255</v>
      </c>
    </row>
    <row r="1004" spans="1:5">
      <c r="A1004" s="1">
        <v>45801</v>
      </c>
      <c r="B1004" t="s">
        <v>345</v>
      </c>
      <c r="C1004" t="s">
        <v>19</v>
      </c>
      <c r="D1004" t="s">
        <v>1420</v>
      </c>
      <c r="E1004">
        <v>19335</v>
      </c>
    </row>
    <row r="1005" spans="1:5">
      <c r="A1005" s="1">
        <v>45801</v>
      </c>
      <c r="B1005" t="s">
        <v>246</v>
      </c>
      <c r="C1005" t="s">
        <v>19</v>
      </c>
      <c r="D1005" t="s">
        <v>1421</v>
      </c>
      <c r="E1005">
        <v>688</v>
      </c>
    </row>
    <row r="1006" spans="1:5">
      <c r="A1006" s="1">
        <v>45801</v>
      </c>
      <c r="B1006" t="s">
        <v>1422</v>
      </c>
      <c r="C1006" t="s">
        <v>19</v>
      </c>
      <c r="D1006" t="s">
        <v>1423</v>
      </c>
      <c r="E1006">
        <v>1560</v>
      </c>
    </row>
    <row r="1007" spans="1:5">
      <c r="A1007" s="1">
        <v>45801</v>
      </c>
      <c r="B1007" t="s">
        <v>1424</v>
      </c>
      <c r="C1007" t="s">
        <v>19</v>
      </c>
      <c r="D1007" t="s">
        <v>1425</v>
      </c>
      <c r="E1007">
        <v>53008</v>
      </c>
    </row>
    <row r="1008" spans="1:5">
      <c r="A1008" s="1">
        <v>45801</v>
      </c>
      <c r="B1008" t="s">
        <v>1426</v>
      </c>
      <c r="C1008" t="s">
        <v>20</v>
      </c>
      <c r="D1008" t="s">
        <v>1427</v>
      </c>
      <c r="E1008">
        <v>140</v>
      </c>
    </row>
    <row r="1009" spans="1:5">
      <c r="A1009" s="1">
        <v>45801</v>
      </c>
      <c r="B1009" t="s">
        <v>1428</v>
      </c>
      <c r="C1009" t="s">
        <v>20</v>
      </c>
      <c r="D1009" t="s">
        <v>1429</v>
      </c>
      <c r="E1009">
        <v>1110</v>
      </c>
    </row>
    <row r="1010" spans="1:5">
      <c r="A1010" s="1">
        <v>45801</v>
      </c>
      <c r="B1010" t="s">
        <v>1182</v>
      </c>
      <c r="C1010" t="s">
        <v>20</v>
      </c>
      <c r="D1010" t="s">
        <v>1430</v>
      </c>
      <c r="E1010">
        <v>11850</v>
      </c>
    </row>
    <row r="1011" spans="1:5">
      <c r="A1011" s="1">
        <v>45801</v>
      </c>
      <c r="B1011" t="s">
        <v>76</v>
      </c>
      <c r="C1011" t="s">
        <v>20</v>
      </c>
      <c r="D1011" t="s">
        <v>1431</v>
      </c>
      <c r="E1011">
        <v>11121</v>
      </c>
    </row>
    <row r="1012" spans="1:5">
      <c r="A1012" s="1">
        <v>45801</v>
      </c>
      <c r="B1012" t="s">
        <v>1004</v>
      </c>
      <c r="C1012" t="s">
        <v>20</v>
      </c>
      <c r="D1012" t="s">
        <v>1432</v>
      </c>
      <c r="E1012">
        <v>9250</v>
      </c>
    </row>
    <row r="1013" spans="1:5">
      <c r="A1013" s="1">
        <v>45801</v>
      </c>
      <c r="B1013" t="s">
        <v>739</v>
      </c>
      <c r="C1013" t="s">
        <v>20</v>
      </c>
      <c r="D1013" t="s">
        <v>1433</v>
      </c>
      <c r="E1013">
        <v>1355</v>
      </c>
    </row>
    <row r="1014" spans="1:5">
      <c r="A1014" s="1">
        <v>45801</v>
      </c>
      <c r="B1014" t="s">
        <v>68</v>
      </c>
      <c r="C1014" t="s">
        <v>20</v>
      </c>
      <c r="D1014" t="s">
        <v>1434</v>
      </c>
      <c r="E1014">
        <v>2470</v>
      </c>
    </row>
    <row r="1015" spans="1:5">
      <c r="A1015" s="1">
        <v>45801</v>
      </c>
      <c r="B1015" t="s">
        <v>1366</v>
      </c>
      <c r="C1015" t="s">
        <v>20</v>
      </c>
      <c r="D1015" t="s">
        <v>1435</v>
      </c>
      <c r="E1015">
        <v>624</v>
      </c>
    </row>
    <row r="1016" spans="1:5">
      <c r="A1016" s="1">
        <v>45801</v>
      </c>
      <c r="B1016" t="s">
        <v>68</v>
      </c>
      <c r="C1016" t="s">
        <v>20</v>
      </c>
      <c r="D1016" t="s">
        <v>1436</v>
      </c>
      <c r="E1016">
        <v>618</v>
      </c>
    </row>
    <row r="1017" spans="1:5">
      <c r="A1017" s="1">
        <v>45801</v>
      </c>
      <c r="B1017" t="s">
        <v>50</v>
      </c>
      <c r="C1017" t="s">
        <v>20</v>
      </c>
      <c r="D1017" t="s">
        <v>1437</v>
      </c>
      <c r="E1017">
        <v>10</v>
      </c>
    </row>
    <row r="1018" spans="1:5">
      <c r="A1018" s="1">
        <v>45801</v>
      </c>
      <c r="B1018" t="s">
        <v>557</v>
      </c>
      <c r="C1018" t="s">
        <v>20</v>
      </c>
      <c r="D1018" t="s">
        <v>1438</v>
      </c>
      <c r="E1018">
        <v>7595</v>
      </c>
    </row>
    <row r="1019" spans="1:5">
      <c r="A1019" s="1">
        <v>45801</v>
      </c>
      <c r="B1019" t="s">
        <v>1350</v>
      </c>
      <c r="C1019" t="s">
        <v>20</v>
      </c>
      <c r="D1019" t="s">
        <v>1439</v>
      </c>
      <c r="E1019">
        <v>360</v>
      </c>
    </row>
    <row r="1020" spans="1:5">
      <c r="A1020" s="1">
        <v>45801</v>
      </c>
      <c r="B1020" t="s">
        <v>50</v>
      </c>
      <c r="C1020" t="s">
        <v>20</v>
      </c>
      <c r="D1020" t="s">
        <v>1440</v>
      </c>
      <c r="E1020">
        <v>55758</v>
      </c>
    </row>
    <row r="1021" spans="1:5">
      <c r="A1021" s="1">
        <v>45801</v>
      </c>
      <c r="B1021" t="s">
        <v>1441</v>
      </c>
      <c r="C1021" t="s">
        <v>20</v>
      </c>
      <c r="D1021" t="s">
        <v>1442</v>
      </c>
      <c r="E1021">
        <v>9577</v>
      </c>
    </row>
    <row r="1022" spans="1:5">
      <c r="A1022" s="1">
        <v>45801</v>
      </c>
      <c r="B1022" t="s">
        <v>750</v>
      </c>
      <c r="C1022" t="s">
        <v>20</v>
      </c>
      <c r="D1022" t="s">
        <v>1443</v>
      </c>
      <c r="E1022">
        <v>370</v>
      </c>
    </row>
    <row r="1023" spans="1:5">
      <c r="A1023" s="1">
        <v>45801</v>
      </c>
      <c r="B1023" t="s">
        <v>750</v>
      </c>
      <c r="C1023" t="s">
        <v>20</v>
      </c>
      <c r="D1023" t="s">
        <v>1444</v>
      </c>
      <c r="E1023">
        <v>56050</v>
      </c>
    </row>
    <row r="1024" spans="1:5">
      <c r="A1024" s="1">
        <v>45801</v>
      </c>
      <c r="B1024" t="s">
        <v>1445</v>
      </c>
      <c r="C1024" t="s">
        <v>20</v>
      </c>
      <c r="D1024" t="s">
        <v>1446</v>
      </c>
      <c r="E1024">
        <v>20677</v>
      </c>
    </row>
    <row r="1025" spans="1:5">
      <c r="A1025" s="1">
        <v>45801</v>
      </c>
      <c r="B1025" t="s">
        <v>81</v>
      </c>
      <c r="C1025" t="s">
        <v>20</v>
      </c>
      <c r="D1025" t="s">
        <v>1447</v>
      </c>
      <c r="E1025">
        <v>1220</v>
      </c>
    </row>
    <row r="1026" spans="1:5">
      <c r="A1026" s="1">
        <v>45801</v>
      </c>
      <c r="B1026" t="s">
        <v>438</v>
      </c>
      <c r="C1026" t="s">
        <v>20</v>
      </c>
      <c r="D1026" t="s">
        <v>1448</v>
      </c>
      <c r="E1026">
        <v>4363</v>
      </c>
    </row>
    <row r="1027" spans="1:5">
      <c r="A1027" s="1">
        <v>45803</v>
      </c>
      <c r="B1027" t="s">
        <v>345</v>
      </c>
      <c r="C1027" t="s">
        <v>19</v>
      </c>
      <c r="D1027" t="s">
        <v>1449</v>
      </c>
      <c r="E1027">
        <v>1975</v>
      </c>
    </row>
    <row r="1028" spans="1:5">
      <c r="A1028" s="1">
        <v>45803</v>
      </c>
      <c r="B1028" t="s">
        <v>448</v>
      </c>
      <c r="C1028" t="s">
        <v>19</v>
      </c>
      <c r="D1028" t="s">
        <v>1450</v>
      </c>
    </row>
    <row r="1029" spans="1:5">
      <c r="A1029" s="1">
        <v>45803</v>
      </c>
      <c r="B1029" t="s">
        <v>246</v>
      </c>
      <c r="C1029" t="s">
        <v>19</v>
      </c>
      <c r="D1029" t="s">
        <v>1451</v>
      </c>
      <c r="E1029">
        <v>3413</v>
      </c>
    </row>
    <row r="1030" spans="1:5">
      <c r="A1030" s="1">
        <v>45803</v>
      </c>
      <c r="B1030" t="s">
        <v>222</v>
      </c>
      <c r="C1030" t="s">
        <v>20</v>
      </c>
      <c r="D1030" t="s">
        <v>1452</v>
      </c>
      <c r="E1030">
        <v>3700</v>
      </c>
    </row>
    <row r="1031" spans="1:5">
      <c r="A1031" s="1">
        <v>45803</v>
      </c>
      <c r="B1031" t="s">
        <v>1397</v>
      </c>
      <c r="C1031" t="s">
        <v>20</v>
      </c>
      <c r="D1031" t="s">
        <v>1453</v>
      </c>
      <c r="E1031">
        <v>406</v>
      </c>
    </row>
    <row r="1032" spans="1:5">
      <c r="A1032" s="1">
        <v>45803</v>
      </c>
      <c r="B1032" t="s">
        <v>1454</v>
      </c>
      <c r="C1032" t="s">
        <v>20</v>
      </c>
      <c r="D1032" t="s">
        <v>1455</v>
      </c>
      <c r="E1032">
        <v>3962</v>
      </c>
    </row>
    <row r="1033" spans="1:5">
      <c r="A1033" s="1">
        <v>45803</v>
      </c>
      <c r="B1033" t="s">
        <v>50</v>
      </c>
      <c r="C1033" t="s">
        <v>20</v>
      </c>
      <c r="D1033" t="s">
        <v>1456</v>
      </c>
      <c r="E1033">
        <v>8460</v>
      </c>
    </row>
    <row r="1034" spans="1:5">
      <c r="A1034" s="1">
        <v>45803</v>
      </c>
      <c r="B1034" t="s">
        <v>1457</v>
      </c>
      <c r="C1034" t="s">
        <v>20</v>
      </c>
      <c r="D1034" t="s">
        <v>1458</v>
      </c>
      <c r="E1034">
        <v>596</v>
      </c>
    </row>
    <row r="1035" spans="1:5">
      <c r="A1035" s="1">
        <v>45803</v>
      </c>
      <c r="B1035" t="s">
        <v>50</v>
      </c>
      <c r="C1035" t="s">
        <v>20</v>
      </c>
      <c r="D1035" t="s">
        <v>1459</v>
      </c>
      <c r="E1035">
        <v>12</v>
      </c>
    </row>
    <row r="1036" spans="1:5">
      <c r="A1036" s="1">
        <v>45803</v>
      </c>
      <c r="B1036" t="s">
        <v>1460</v>
      </c>
      <c r="C1036" t="s">
        <v>20</v>
      </c>
      <c r="D1036" t="s">
        <v>1461</v>
      </c>
      <c r="E1036">
        <v>8130</v>
      </c>
    </row>
    <row r="1037" spans="1:5">
      <c r="A1037" s="1">
        <v>45803</v>
      </c>
      <c r="B1037" t="s">
        <v>1454</v>
      </c>
      <c r="C1037" t="s">
        <v>20</v>
      </c>
      <c r="D1037" t="s">
        <v>1462</v>
      </c>
      <c r="E1037">
        <v>470</v>
      </c>
    </row>
    <row r="1038" spans="1:5">
      <c r="A1038" s="1">
        <v>45803</v>
      </c>
      <c r="B1038" t="s">
        <v>681</v>
      </c>
      <c r="C1038" t="s">
        <v>20</v>
      </c>
      <c r="D1038" t="s">
        <v>1463</v>
      </c>
      <c r="E1038">
        <v>1887</v>
      </c>
    </row>
    <row r="1039" spans="1:5">
      <c r="A1039" s="1">
        <v>45803</v>
      </c>
      <c r="B1039" t="s">
        <v>1397</v>
      </c>
      <c r="C1039" t="s">
        <v>20</v>
      </c>
      <c r="D1039" t="s">
        <v>1464</v>
      </c>
      <c r="E1039">
        <v>3700</v>
      </c>
    </row>
    <row r="1040" spans="1:5">
      <c r="A1040" s="1">
        <v>45803</v>
      </c>
      <c r="B1040" t="s">
        <v>1465</v>
      </c>
      <c r="C1040" t="s">
        <v>20</v>
      </c>
      <c r="D1040" t="s">
        <v>1466</v>
      </c>
      <c r="E1040">
        <v>916</v>
      </c>
    </row>
    <row r="1041" spans="1:5">
      <c r="A1041" s="1">
        <v>45803</v>
      </c>
      <c r="B1041" t="s">
        <v>92</v>
      </c>
      <c r="C1041" t="s">
        <v>20</v>
      </c>
      <c r="D1041" t="s">
        <v>1467</v>
      </c>
      <c r="E1041">
        <v>395</v>
      </c>
    </row>
    <row r="1042" spans="1:5">
      <c r="A1042" s="1">
        <v>45804</v>
      </c>
      <c r="B1042" t="s">
        <v>246</v>
      </c>
      <c r="C1042" t="s">
        <v>19</v>
      </c>
      <c r="D1042" t="s">
        <v>1468</v>
      </c>
      <c r="E1042">
        <v>2107</v>
      </c>
    </row>
    <row r="1043" spans="1:5">
      <c r="A1043" s="1">
        <v>45804</v>
      </c>
      <c r="B1043" t="s">
        <v>60</v>
      </c>
      <c r="C1043" t="s">
        <v>19</v>
      </c>
      <c r="D1043" t="s">
        <v>1469</v>
      </c>
      <c r="E1043">
        <v>18000</v>
      </c>
    </row>
    <row r="1044" spans="1:5">
      <c r="A1044" s="1">
        <v>45804</v>
      </c>
      <c r="B1044" t="s">
        <v>58</v>
      </c>
      <c r="C1044" t="s">
        <v>19</v>
      </c>
      <c r="D1044" t="s">
        <v>1470</v>
      </c>
      <c r="E1044">
        <v>1160</v>
      </c>
    </row>
    <row r="1045" spans="1:5">
      <c r="A1045" s="1">
        <v>45804</v>
      </c>
      <c r="B1045" t="s">
        <v>191</v>
      </c>
      <c r="C1045" t="s">
        <v>20</v>
      </c>
      <c r="D1045" t="s">
        <v>1471</v>
      </c>
      <c r="E1045">
        <v>370</v>
      </c>
    </row>
    <row r="1046" spans="1:5">
      <c r="A1046" s="1">
        <v>45804</v>
      </c>
      <c r="B1046" t="s">
        <v>87</v>
      </c>
      <c r="C1046" t="s">
        <v>20</v>
      </c>
      <c r="D1046" t="s">
        <v>1472</v>
      </c>
      <c r="E1046">
        <v>13964</v>
      </c>
    </row>
    <row r="1047" spans="1:5">
      <c r="A1047" s="1">
        <v>45804</v>
      </c>
      <c r="B1047" t="s">
        <v>50</v>
      </c>
      <c r="C1047" t="s">
        <v>20</v>
      </c>
      <c r="D1047" t="s">
        <v>1473</v>
      </c>
      <c r="E1047">
        <v>2790</v>
      </c>
    </row>
    <row r="1048" spans="1:5">
      <c r="A1048" s="1">
        <v>45804</v>
      </c>
      <c r="B1048" t="s">
        <v>526</v>
      </c>
      <c r="C1048" t="s">
        <v>20</v>
      </c>
      <c r="D1048" t="s">
        <v>1474</v>
      </c>
      <c r="E1048">
        <v>375</v>
      </c>
    </row>
    <row r="1049" spans="1:5">
      <c r="A1049" s="1">
        <v>45804</v>
      </c>
      <c r="B1049" t="s">
        <v>1475</v>
      </c>
      <c r="C1049" t="s">
        <v>20</v>
      </c>
      <c r="D1049" t="s">
        <v>1476</v>
      </c>
      <c r="E1049">
        <v>390</v>
      </c>
    </row>
    <row r="1050" spans="1:5">
      <c r="A1050" s="1">
        <v>45804</v>
      </c>
      <c r="B1050" t="s">
        <v>1477</v>
      </c>
      <c r="C1050" t="s">
        <v>20</v>
      </c>
      <c r="D1050" t="s">
        <v>1478</v>
      </c>
      <c r="E1050">
        <v>1546</v>
      </c>
    </row>
    <row r="1051" spans="1:5">
      <c r="A1051" s="1">
        <v>45804</v>
      </c>
      <c r="B1051" t="s">
        <v>195</v>
      </c>
      <c r="C1051" t="s">
        <v>20</v>
      </c>
      <c r="D1051" t="s">
        <v>1479</v>
      </c>
      <c r="E1051">
        <v>32814</v>
      </c>
    </row>
    <row r="1052" spans="1:5">
      <c r="A1052" s="1">
        <v>45804</v>
      </c>
      <c r="B1052" t="s">
        <v>1480</v>
      </c>
      <c r="C1052" t="s">
        <v>20</v>
      </c>
      <c r="D1052" t="s">
        <v>1481</v>
      </c>
      <c r="E1052">
        <v>210</v>
      </c>
    </row>
    <row r="1053" spans="1:5">
      <c r="A1053" s="1">
        <v>45804</v>
      </c>
      <c r="B1053" t="s">
        <v>220</v>
      </c>
      <c r="C1053" t="s">
        <v>20</v>
      </c>
      <c r="D1053" t="s">
        <v>1482</v>
      </c>
      <c r="E1053">
        <v>36135</v>
      </c>
    </row>
    <row r="1054" spans="1:5">
      <c r="A1054" s="1">
        <v>45804</v>
      </c>
      <c r="B1054" t="s">
        <v>1441</v>
      </c>
      <c r="C1054" t="s">
        <v>20</v>
      </c>
      <c r="D1054" t="s">
        <v>1483</v>
      </c>
      <c r="E1054">
        <v>600</v>
      </c>
    </row>
    <row r="1055" spans="1:5">
      <c r="A1055" s="1">
        <v>45804</v>
      </c>
      <c r="B1055" t="s">
        <v>50</v>
      </c>
      <c r="C1055" t="s">
        <v>20</v>
      </c>
      <c r="D1055" t="s">
        <v>1484</v>
      </c>
      <c r="E1055">
        <v>12</v>
      </c>
    </row>
    <row r="1056" spans="1:5">
      <c r="A1056" s="1">
        <v>45804</v>
      </c>
      <c r="B1056" t="s">
        <v>1377</v>
      </c>
      <c r="C1056" t="s">
        <v>20</v>
      </c>
      <c r="D1056" t="s">
        <v>1485</v>
      </c>
      <c r="E1056">
        <v>3950</v>
      </c>
    </row>
    <row r="1057" spans="1:5">
      <c r="A1057" s="1">
        <v>45804</v>
      </c>
      <c r="B1057" t="s">
        <v>597</v>
      </c>
      <c r="C1057" t="s">
        <v>20</v>
      </c>
      <c r="D1057" t="s">
        <v>1486</v>
      </c>
      <c r="E1057">
        <v>2936</v>
      </c>
    </row>
    <row r="1058" spans="1:5">
      <c r="A1058" s="1">
        <v>45804</v>
      </c>
      <c r="B1058" t="s">
        <v>474</v>
      </c>
      <c r="C1058" t="s">
        <v>20</v>
      </c>
      <c r="D1058" t="s">
        <v>1487</v>
      </c>
      <c r="E1058">
        <v>31440</v>
      </c>
    </row>
    <row r="1059" spans="1:5">
      <c r="A1059" s="1">
        <v>45805</v>
      </c>
      <c r="B1059" t="s">
        <v>586</v>
      </c>
      <c r="C1059" t="s">
        <v>19</v>
      </c>
      <c r="D1059" t="s">
        <v>1488</v>
      </c>
      <c r="E1059">
        <v>385</v>
      </c>
    </row>
    <row r="1060" spans="1:5">
      <c r="A1060" s="1">
        <v>45805</v>
      </c>
      <c r="B1060" t="s">
        <v>87</v>
      </c>
      <c r="C1060" t="s">
        <v>20</v>
      </c>
      <c r="D1060" t="s">
        <v>1489</v>
      </c>
      <c r="E1060">
        <v>5920</v>
      </c>
    </row>
    <row r="1061" spans="1:5">
      <c r="A1061" s="1">
        <v>45805</v>
      </c>
      <c r="B1061" t="s">
        <v>68</v>
      </c>
      <c r="C1061" t="s">
        <v>20</v>
      </c>
      <c r="D1061" t="s">
        <v>1490</v>
      </c>
      <c r="E1061">
        <v>120</v>
      </c>
    </row>
    <row r="1062" spans="1:5">
      <c r="A1062" s="1">
        <v>45805</v>
      </c>
      <c r="B1062" t="s">
        <v>1061</v>
      </c>
      <c r="C1062" t="s">
        <v>20</v>
      </c>
      <c r="D1062" t="s">
        <v>1491</v>
      </c>
      <c r="E1062">
        <v>27880</v>
      </c>
    </row>
    <row r="1063" spans="1:5">
      <c r="A1063" s="1">
        <v>45805</v>
      </c>
      <c r="B1063" t="s">
        <v>1377</v>
      </c>
      <c r="C1063" t="s">
        <v>20</v>
      </c>
      <c r="D1063" t="s">
        <v>1492</v>
      </c>
      <c r="E1063">
        <v>14680</v>
      </c>
    </row>
    <row r="1064" spans="1:5">
      <c r="A1064" s="1">
        <v>45805</v>
      </c>
      <c r="B1064" t="s">
        <v>514</v>
      </c>
      <c r="C1064" t="s">
        <v>20</v>
      </c>
      <c r="D1064" t="s">
        <v>1493</v>
      </c>
      <c r="E1064">
        <v>5933</v>
      </c>
    </row>
    <row r="1065" spans="1:5">
      <c r="A1065" s="1">
        <v>45805</v>
      </c>
      <c r="B1065" t="s">
        <v>1280</v>
      </c>
      <c r="C1065" t="s">
        <v>20</v>
      </c>
      <c r="D1065" t="s">
        <v>1494</v>
      </c>
      <c r="E1065">
        <v>3006</v>
      </c>
    </row>
    <row r="1066" spans="1:5">
      <c r="A1066" s="1">
        <v>45805</v>
      </c>
      <c r="B1066" t="s">
        <v>1495</v>
      </c>
      <c r="C1066" t="s">
        <v>20</v>
      </c>
      <c r="D1066" t="s">
        <v>1496</v>
      </c>
      <c r="E1066">
        <v>7534</v>
      </c>
    </row>
    <row r="1067" spans="1:5">
      <c r="A1067" s="1">
        <v>45805</v>
      </c>
      <c r="B1067" t="s">
        <v>76</v>
      </c>
      <c r="C1067" t="s">
        <v>20</v>
      </c>
      <c r="D1067" t="s">
        <v>1497</v>
      </c>
      <c r="E1067">
        <v>36</v>
      </c>
    </row>
    <row r="1068" spans="1:5">
      <c r="A1068" s="1">
        <v>45805</v>
      </c>
      <c r="B1068" t="s">
        <v>1498</v>
      </c>
      <c r="C1068" t="s">
        <v>20</v>
      </c>
      <c r="D1068" t="s">
        <v>1499</v>
      </c>
      <c r="E1068">
        <v>42180</v>
      </c>
    </row>
    <row r="1069" spans="1:5">
      <c r="A1069" s="1">
        <v>45805</v>
      </c>
      <c r="B1069" t="s">
        <v>968</v>
      </c>
      <c r="C1069" t="s">
        <v>20</v>
      </c>
      <c r="D1069" t="s">
        <v>1500</v>
      </c>
      <c r="E1069">
        <v>65516</v>
      </c>
    </row>
    <row r="1070" spans="1:5">
      <c r="A1070" s="1">
        <v>45805</v>
      </c>
      <c r="B1070" t="s">
        <v>43</v>
      </c>
      <c r="C1070" t="s">
        <v>20</v>
      </c>
      <c r="D1070" t="s">
        <v>1501</v>
      </c>
      <c r="E1070">
        <v>3717</v>
      </c>
    </row>
    <row r="1071" spans="1:5">
      <c r="A1071" s="1">
        <v>45805</v>
      </c>
      <c r="B1071" t="s">
        <v>1457</v>
      </c>
      <c r="C1071" t="s">
        <v>20</v>
      </c>
      <c r="D1071" t="s">
        <v>1502</v>
      </c>
      <c r="E1071">
        <v>50</v>
      </c>
    </row>
    <row r="1072" spans="1:5">
      <c r="A1072" s="1">
        <v>45805</v>
      </c>
      <c r="B1072" t="s">
        <v>1503</v>
      </c>
      <c r="C1072" t="s">
        <v>20</v>
      </c>
      <c r="D1072" t="s">
        <v>1504</v>
      </c>
      <c r="E1072">
        <v>350</v>
      </c>
    </row>
    <row r="1073" spans="1:5">
      <c r="A1073" s="1">
        <v>45805</v>
      </c>
      <c r="B1073" t="s">
        <v>1505</v>
      </c>
      <c r="C1073" t="s">
        <v>20</v>
      </c>
      <c r="D1073" t="s">
        <v>1506</v>
      </c>
      <c r="E1073">
        <v>3685</v>
      </c>
    </row>
    <row r="1074" spans="1:5">
      <c r="A1074" s="1">
        <v>45805</v>
      </c>
      <c r="B1074" t="s">
        <v>1507</v>
      </c>
      <c r="C1074" t="s">
        <v>20</v>
      </c>
      <c r="D1074" t="s">
        <v>1508</v>
      </c>
      <c r="E1074">
        <v>40582</v>
      </c>
    </row>
    <row r="1075" spans="1:5">
      <c r="A1075" s="1">
        <v>45805</v>
      </c>
      <c r="B1075" t="s">
        <v>50</v>
      </c>
      <c r="C1075" t="s">
        <v>20</v>
      </c>
      <c r="D1075" t="s">
        <v>1509</v>
      </c>
      <c r="E1075">
        <v>12</v>
      </c>
    </row>
    <row r="1076" spans="1:5">
      <c r="A1076" s="1">
        <v>45805</v>
      </c>
      <c r="B1076" t="s">
        <v>50</v>
      </c>
      <c r="C1076" t="s">
        <v>20</v>
      </c>
      <c r="D1076" t="s">
        <v>1510</v>
      </c>
      <c r="E1076">
        <v>14041</v>
      </c>
    </row>
    <row r="1077" spans="1:5">
      <c r="A1077" s="1">
        <v>45805</v>
      </c>
      <c r="B1077" t="s">
        <v>1511</v>
      </c>
      <c r="C1077" t="s">
        <v>20</v>
      </c>
      <c r="D1077" t="s">
        <v>1512</v>
      </c>
      <c r="E1077">
        <v>50</v>
      </c>
    </row>
    <row r="1078" spans="1:5">
      <c r="A1078" s="1">
        <v>45805</v>
      </c>
      <c r="B1078" t="s">
        <v>1280</v>
      </c>
      <c r="C1078" t="s">
        <v>20</v>
      </c>
      <c r="D1078" t="s">
        <v>1513</v>
      </c>
      <c r="E1078">
        <v>216</v>
      </c>
    </row>
    <row r="1079" spans="1:5">
      <c r="A1079" s="1">
        <v>45805</v>
      </c>
      <c r="B1079" t="s">
        <v>1498</v>
      </c>
      <c r="C1079" t="s">
        <v>20</v>
      </c>
      <c r="D1079" t="s">
        <v>1514</v>
      </c>
      <c r="E1079">
        <v>670</v>
      </c>
    </row>
    <row r="1080" spans="1:5">
      <c r="A1080" s="1">
        <v>45806</v>
      </c>
      <c r="B1080" t="s">
        <v>586</v>
      </c>
      <c r="C1080" t="s">
        <v>19</v>
      </c>
      <c r="D1080" t="s">
        <v>1515</v>
      </c>
      <c r="E1080">
        <v>1620</v>
      </c>
    </row>
    <row r="1081" spans="1:5">
      <c r="A1081" s="1">
        <v>45806</v>
      </c>
      <c r="B1081" t="s">
        <v>1516</v>
      </c>
      <c r="C1081" t="s">
        <v>19</v>
      </c>
      <c r="D1081" t="s">
        <v>1517</v>
      </c>
      <c r="E1081">
        <v>110893</v>
      </c>
    </row>
    <row r="1082" spans="1:5">
      <c r="A1082" s="1">
        <v>45806</v>
      </c>
      <c r="B1082" t="s">
        <v>191</v>
      </c>
      <c r="C1082" t="s">
        <v>20</v>
      </c>
      <c r="D1082" t="s">
        <v>1518</v>
      </c>
      <c r="E1082">
        <v>370</v>
      </c>
    </row>
    <row r="1083" spans="1:5">
      <c r="A1083" s="1">
        <v>45806</v>
      </c>
      <c r="B1083" t="s">
        <v>1519</v>
      </c>
      <c r="C1083" t="s">
        <v>20</v>
      </c>
      <c r="D1083" t="s">
        <v>1520</v>
      </c>
      <c r="E1083">
        <v>740</v>
      </c>
    </row>
    <row r="1084" spans="1:5">
      <c r="A1084" s="1">
        <v>45806</v>
      </c>
      <c r="B1084" t="s">
        <v>50</v>
      </c>
      <c r="C1084" t="s">
        <v>20</v>
      </c>
      <c r="D1084" t="s">
        <v>1521</v>
      </c>
      <c r="E1084">
        <v>3146</v>
      </c>
    </row>
    <row r="1085" spans="1:5">
      <c r="A1085" s="1">
        <v>45806</v>
      </c>
      <c r="B1085" t="s">
        <v>591</v>
      </c>
      <c r="C1085" t="s">
        <v>20</v>
      </c>
      <c r="D1085" t="s">
        <v>1522</v>
      </c>
      <c r="E1085">
        <v>7754</v>
      </c>
    </row>
    <row r="1086" spans="1:5">
      <c r="A1086" s="1">
        <v>45806</v>
      </c>
      <c r="B1086" t="s">
        <v>1397</v>
      </c>
      <c r="C1086" t="s">
        <v>20</v>
      </c>
      <c r="D1086" t="s">
        <v>1523</v>
      </c>
      <c r="E1086">
        <v>740</v>
      </c>
    </row>
    <row r="1087" spans="1:5">
      <c r="A1087" s="1">
        <v>45806</v>
      </c>
      <c r="B1087" t="s">
        <v>1524</v>
      </c>
      <c r="C1087" t="s">
        <v>20</v>
      </c>
      <c r="D1087" t="s">
        <v>1525</v>
      </c>
      <c r="E1087">
        <v>3870</v>
      </c>
    </row>
    <row r="1088" spans="1:5">
      <c r="A1088" s="1">
        <v>45806</v>
      </c>
      <c r="B1088" t="s">
        <v>370</v>
      </c>
      <c r="C1088" t="s">
        <v>20</v>
      </c>
      <c r="D1088" t="s">
        <v>1526</v>
      </c>
      <c r="E1088">
        <v>365</v>
      </c>
    </row>
    <row r="1089" spans="1:5">
      <c r="A1089" s="1">
        <v>45806</v>
      </c>
      <c r="B1089" t="s">
        <v>1527</v>
      </c>
      <c r="C1089" t="s">
        <v>20</v>
      </c>
      <c r="D1089" t="s">
        <v>1528</v>
      </c>
      <c r="E1089">
        <v>420</v>
      </c>
    </row>
    <row r="1090" spans="1:5">
      <c r="A1090" s="1">
        <v>45806</v>
      </c>
      <c r="B1090" t="s">
        <v>1529</v>
      </c>
      <c r="C1090" t="s">
        <v>20</v>
      </c>
      <c r="D1090" t="s">
        <v>1530</v>
      </c>
      <c r="E1090">
        <v>425</v>
      </c>
    </row>
    <row r="1091" spans="1:5">
      <c r="A1091" s="1">
        <v>45807</v>
      </c>
      <c r="B1091" t="s">
        <v>1422</v>
      </c>
      <c r="C1091" t="s">
        <v>19</v>
      </c>
      <c r="D1091" t="s">
        <v>1531</v>
      </c>
      <c r="E1091">
        <v>24045</v>
      </c>
    </row>
    <row r="1092" spans="1:5">
      <c r="A1092" s="1">
        <v>45807</v>
      </c>
      <c r="B1092" t="s">
        <v>1532</v>
      </c>
      <c r="C1092" t="s">
        <v>20</v>
      </c>
      <c r="D1092" t="s">
        <v>1533</v>
      </c>
      <c r="E1092">
        <v>1357</v>
      </c>
    </row>
    <row r="1093" spans="1:5">
      <c r="A1093" s="1">
        <v>45807</v>
      </c>
      <c r="B1093" t="s">
        <v>1066</v>
      </c>
      <c r="C1093" t="s">
        <v>20</v>
      </c>
      <c r="D1093" t="s">
        <v>1534</v>
      </c>
      <c r="E1093">
        <v>5550</v>
      </c>
    </row>
    <row r="1094" spans="1:5">
      <c r="A1094" s="1">
        <v>45807</v>
      </c>
      <c r="B1094" t="s">
        <v>1350</v>
      </c>
      <c r="C1094" t="s">
        <v>20</v>
      </c>
      <c r="D1094" t="s">
        <v>1535</v>
      </c>
      <c r="E1094">
        <v>5916</v>
      </c>
    </row>
    <row r="1095" spans="1:5">
      <c r="A1095" s="1">
        <v>45807</v>
      </c>
      <c r="B1095" t="s">
        <v>50</v>
      </c>
      <c r="C1095" t="s">
        <v>20</v>
      </c>
      <c r="D1095" t="s">
        <v>1536</v>
      </c>
      <c r="E1095">
        <v>370</v>
      </c>
    </row>
    <row r="1096" spans="1:5">
      <c r="A1096" s="1">
        <v>45807</v>
      </c>
      <c r="B1096" t="s">
        <v>48</v>
      </c>
      <c r="C1096" t="s">
        <v>20</v>
      </c>
      <c r="D1096" t="s">
        <v>1537</v>
      </c>
      <c r="E1096">
        <v>39334</v>
      </c>
    </row>
    <row r="1097" spans="1:5">
      <c r="A1097" s="1">
        <v>45807</v>
      </c>
      <c r="B1097" t="s">
        <v>907</v>
      </c>
      <c r="C1097" t="s">
        <v>20</v>
      </c>
      <c r="D1097" t="s">
        <v>1538</v>
      </c>
      <c r="E1097">
        <v>2918</v>
      </c>
    </row>
    <row r="1098" spans="1:5">
      <c r="A1098" s="1">
        <v>45807</v>
      </c>
      <c r="B1098" t="s">
        <v>619</v>
      </c>
      <c r="C1098" t="s">
        <v>20</v>
      </c>
      <c r="D1098" t="s">
        <v>1539</v>
      </c>
      <c r="E1098">
        <v>180</v>
      </c>
    </row>
    <row r="1099" spans="1:5">
      <c r="A1099" s="1">
        <v>45807</v>
      </c>
      <c r="B1099" t="s">
        <v>1505</v>
      </c>
      <c r="C1099" t="s">
        <v>20</v>
      </c>
      <c r="D1099" t="s">
        <v>1540</v>
      </c>
      <c r="E1099">
        <v>415</v>
      </c>
    </row>
    <row r="1100" spans="1:5">
      <c r="A1100" s="1">
        <v>45808</v>
      </c>
      <c r="B1100" t="s">
        <v>1541</v>
      </c>
      <c r="C1100" t="s">
        <v>20</v>
      </c>
      <c r="D1100" t="s">
        <v>1542</v>
      </c>
      <c r="E1100">
        <v>3446</v>
      </c>
    </row>
    <row r="1101" spans="1:5">
      <c r="A1101" s="1">
        <v>45808</v>
      </c>
      <c r="B1101" t="s">
        <v>1397</v>
      </c>
      <c r="C1101" t="s">
        <v>20</v>
      </c>
      <c r="D1101" t="s">
        <v>1543</v>
      </c>
      <c r="E1101">
        <v>370</v>
      </c>
    </row>
    <row r="1102" spans="1:5">
      <c r="A1102" s="1">
        <v>45808</v>
      </c>
      <c r="B1102" t="s">
        <v>892</v>
      </c>
      <c r="C1102" t="s">
        <v>20</v>
      </c>
      <c r="D1102" t="s">
        <v>1544</v>
      </c>
      <c r="E1102">
        <v>23350</v>
      </c>
    </row>
    <row r="1103" spans="1:5">
      <c r="A1103" s="1">
        <v>45808</v>
      </c>
      <c r="B1103" t="s">
        <v>239</v>
      </c>
      <c r="C1103" t="s">
        <v>20</v>
      </c>
      <c r="D1103" t="s">
        <v>1545</v>
      </c>
      <c r="E1103">
        <v>833</v>
      </c>
    </row>
    <row r="1104" spans="1:5">
      <c r="A1104" s="1">
        <v>45808</v>
      </c>
      <c r="B1104" t="s">
        <v>1546</v>
      </c>
      <c r="C1104" t="s">
        <v>20</v>
      </c>
      <c r="D1104" t="s">
        <v>1547</v>
      </c>
      <c r="E1104">
        <v>75</v>
      </c>
    </row>
    <row r="1105" spans="1:5">
      <c r="A1105" s="1">
        <v>45808</v>
      </c>
      <c r="B1105" t="s">
        <v>1548</v>
      </c>
      <c r="C1105" t="s">
        <v>20</v>
      </c>
      <c r="D1105" t="s">
        <v>1549</v>
      </c>
      <c r="E1105">
        <v>928</v>
      </c>
    </row>
    <row r="1106" spans="1:5">
      <c r="A1106" s="1">
        <v>45808</v>
      </c>
      <c r="B1106" t="s">
        <v>1550</v>
      </c>
      <c r="C1106" t="s">
        <v>20</v>
      </c>
      <c r="D1106" t="s">
        <v>1551</v>
      </c>
      <c r="E1106">
        <v>1448</v>
      </c>
    </row>
    <row r="1107" spans="1:5">
      <c r="A1107" s="1">
        <v>45808</v>
      </c>
      <c r="B1107" t="s">
        <v>1552</v>
      </c>
      <c r="C1107" t="s">
        <v>20</v>
      </c>
      <c r="D1107" t="s">
        <v>1553</v>
      </c>
      <c r="E1107">
        <v>370</v>
      </c>
    </row>
    <row r="1108" spans="1:5">
      <c r="A1108" s="1">
        <v>45808</v>
      </c>
      <c r="B1108" t="s">
        <v>48</v>
      </c>
      <c r="C1108" t="s">
        <v>20</v>
      </c>
      <c r="D1108" t="s">
        <v>1554</v>
      </c>
      <c r="E1108">
        <v>9722</v>
      </c>
    </row>
    <row r="1109" spans="1:5">
      <c r="A1109" s="1">
        <v>45808</v>
      </c>
      <c r="B1109" t="s">
        <v>1555</v>
      </c>
      <c r="C1109" t="s">
        <v>20</v>
      </c>
      <c r="D1109" t="s">
        <v>1556</v>
      </c>
      <c r="E1109">
        <v>4552</v>
      </c>
    </row>
    <row r="1110" spans="1:5">
      <c r="A1110" s="1">
        <v>45808</v>
      </c>
      <c r="B1110" t="s">
        <v>1557</v>
      </c>
      <c r="C1110" t="s">
        <v>20</v>
      </c>
      <c r="D1110" t="s">
        <v>1558</v>
      </c>
      <c r="E1110">
        <v>740</v>
      </c>
    </row>
    <row r="1111" spans="1:5">
      <c r="A1111" s="1">
        <v>45808</v>
      </c>
      <c r="B1111" t="s">
        <v>1559</v>
      </c>
      <c r="C1111" t="s">
        <v>20</v>
      </c>
      <c r="D1111" t="s">
        <v>1560</v>
      </c>
      <c r="E1111">
        <v>405</v>
      </c>
    </row>
    <row r="1112" spans="1:5">
      <c r="A1112" s="1">
        <v>45808</v>
      </c>
      <c r="B1112" t="s">
        <v>135</v>
      </c>
      <c r="C1112" t="s">
        <v>20</v>
      </c>
      <c r="D1112" t="s">
        <v>1561</v>
      </c>
      <c r="E1112">
        <v>70</v>
      </c>
    </row>
    <row r="1113" spans="1:5">
      <c r="A1113" s="1">
        <v>45808</v>
      </c>
      <c r="B1113" t="s">
        <v>50</v>
      </c>
      <c r="C1113" t="s">
        <v>20</v>
      </c>
      <c r="D1113" t="s">
        <v>1562</v>
      </c>
      <c r="E1113">
        <v>1110</v>
      </c>
    </row>
    <row r="1114" spans="1:5">
      <c r="A1114" s="1">
        <v>45808</v>
      </c>
      <c r="B1114" t="s">
        <v>1563</v>
      </c>
      <c r="C1114" t="s">
        <v>20</v>
      </c>
      <c r="D1114" t="s">
        <v>1564</v>
      </c>
      <c r="E1114">
        <v>6151</v>
      </c>
    </row>
    <row r="1115" spans="1:5">
      <c r="A1115" s="1">
        <v>45810</v>
      </c>
      <c r="B1115" t="s">
        <v>586</v>
      </c>
      <c r="C1115" t="s">
        <v>19</v>
      </c>
      <c r="D1115" t="s">
        <v>1565</v>
      </c>
      <c r="E1115">
        <v>4487</v>
      </c>
    </row>
    <row r="1116" spans="1:5">
      <c r="A1116" s="1">
        <v>45810</v>
      </c>
      <c r="B1116" t="s">
        <v>56</v>
      </c>
      <c r="C1116" t="s">
        <v>19</v>
      </c>
      <c r="D1116" t="s">
        <v>1566</v>
      </c>
      <c r="E1116">
        <v>2761</v>
      </c>
    </row>
    <row r="1117" spans="1:5">
      <c r="A1117" s="1">
        <v>45810</v>
      </c>
      <c r="B1117" t="s">
        <v>1567</v>
      </c>
      <c r="C1117" t="s">
        <v>19</v>
      </c>
      <c r="D1117" t="s">
        <v>1568</v>
      </c>
      <c r="E1117">
        <v>2255</v>
      </c>
    </row>
    <row r="1118" spans="1:5">
      <c r="A1118" s="1">
        <v>45810</v>
      </c>
      <c r="B1118" t="s">
        <v>1569</v>
      </c>
      <c r="C1118" t="s">
        <v>19</v>
      </c>
      <c r="D1118" t="s">
        <v>1570</v>
      </c>
      <c r="E1118">
        <v>1890</v>
      </c>
    </row>
    <row r="1119" spans="1:5">
      <c r="A1119" s="1">
        <v>45810</v>
      </c>
      <c r="B1119" t="s">
        <v>56</v>
      </c>
      <c r="C1119" t="s">
        <v>19</v>
      </c>
      <c r="D1119" t="s">
        <v>1571</v>
      </c>
      <c r="E1119">
        <v>1080</v>
      </c>
    </row>
    <row r="1120" spans="1:5">
      <c r="A1120" s="1">
        <v>45810</v>
      </c>
      <c r="B1120" t="s">
        <v>927</v>
      </c>
      <c r="C1120" t="s">
        <v>19</v>
      </c>
      <c r="D1120" t="s">
        <v>1572</v>
      </c>
      <c r="E1120">
        <v>38917</v>
      </c>
    </row>
    <row r="1121" spans="1:5">
      <c r="A1121" s="1">
        <v>45810</v>
      </c>
      <c r="B1121" t="s">
        <v>58</v>
      </c>
      <c r="C1121" t="s">
        <v>19</v>
      </c>
      <c r="D1121" t="s">
        <v>1573</v>
      </c>
      <c r="E1121">
        <v>225</v>
      </c>
    </row>
    <row r="1122" spans="1:5">
      <c r="A1122" s="1">
        <v>45810</v>
      </c>
      <c r="B1122" t="s">
        <v>96</v>
      </c>
      <c r="C1122" t="s">
        <v>19</v>
      </c>
      <c r="D1122" t="s">
        <v>1574</v>
      </c>
      <c r="E1122">
        <v>4640</v>
      </c>
    </row>
    <row r="1123" spans="1:5">
      <c r="A1123" s="1">
        <v>45810</v>
      </c>
      <c r="B1123" t="s">
        <v>1106</v>
      </c>
      <c r="C1123" t="s">
        <v>19</v>
      </c>
      <c r="D1123" t="s">
        <v>1575</v>
      </c>
      <c r="E1123">
        <v>26876</v>
      </c>
    </row>
    <row r="1124" spans="1:5">
      <c r="A1124" s="1">
        <v>45810</v>
      </c>
      <c r="B1124" t="s">
        <v>1576</v>
      </c>
      <c r="C1124" t="s">
        <v>20</v>
      </c>
      <c r="D1124" t="s">
        <v>1577</v>
      </c>
      <c r="E1124">
        <v>740</v>
      </c>
    </row>
    <row r="1125" spans="1:5">
      <c r="A1125" s="1">
        <v>45810</v>
      </c>
      <c r="B1125" t="s">
        <v>1578</v>
      </c>
      <c r="C1125" t="s">
        <v>20</v>
      </c>
      <c r="D1125" t="s">
        <v>1579</v>
      </c>
      <c r="E1125">
        <v>1480</v>
      </c>
    </row>
    <row r="1126" spans="1:5">
      <c r="A1126" s="1">
        <v>45810</v>
      </c>
      <c r="B1126" t="s">
        <v>817</v>
      </c>
      <c r="C1126" t="s">
        <v>20</v>
      </c>
      <c r="D1126" t="s">
        <v>1580</v>
      </c>
      <c r="E1126">
        <v>1097</v>
      </c>
    </row>
    <row r="1127" spans="1:5">
      <c r="A1127" s="1">
        <v>45810</v>
      </c>
      <c r="B1127" t="s">
        <v>52</v>
      </c>
      <c r="C1127" t="s">
        <v>20</v>
      </c>
      <c r="D1127" t="s">
        <v>1581</v>
      </c>
      <c r="E1127">
        <v>370</v>
      </c>
    </row>
    <row r="1128" spans="1:5">
      <c r="A1128" s="1">
        <v>45810</v>
      </c>
      <c r="B1128" t="s">
        <v>557</v>
      </c>
      <c r="C1128" t="s">
        <v>20</v>
      </c>
      <c r="D1128" t="s">
        <v>1582</v>
      </c>
      <c r="E1128">
        <v>7736</v>
      </c>
    </row>
    <row r="1129" spans="1:5">
      <c r="A1129" s="1">
        <v>45810</v>
      </c>
      <c r="B1129" t="s">
        <v>557</v>
      </c>
      <c r="C1129" t="s">
        <v>20</v>
      </c>
      <c r="D1129" t="s">
        <v>1583</v>
      </c>
      <c r="E1129">
        <v>3656</v>
      </c>
    </row>
    <row r="1130" spans="1:5">
      <c r="A1130" s="1">
        <v>45810</v>
      </c>
      <c r="B1130" t="s">
        <v>1495</v>
      </c>
      <c r="C1130" t="s">
        <v>20</v>
      </c>
      <c r="D1130" t="s">
        <v>1584</v>
      </c>
      <c r="E1130">
        <v>17952</v>
      </c>
    </row>
    <row r="1131" spans="1:5">
      <c r="A1131" s="1">
        <v>45810</v>
      </c>
      <c r="B1131" t="s">
        <v>1585</v>
      </c>
      <c r="C1131" t="s">
        <v>20</v>
      </c>
      <c r="D1131" t="s">
        <v>1586</v>
      </c>
      <c r="E1131">
        <v>27000</v>
      </c>
    </row>
    <row r="1132" spans="1:5">
      <c r="A1132" s="1">
        <v>45810</v>
      </c>
      <c r="B1132" t="s">
        <v>1587</v>
      </c>
      <c r="C1132" t="s">
        <v>20</v>
      </c>
      <c r="D1132" t="s">
        <v>1588</v>
      </c>
      <c r="E1132">
        <v>545</v>
      </c>
    </row>
    <row r="1133" spans="1:5">
      <c r="A1133" s="1">
        <v>45810</v>
      </c>
      <c r="B1133" t="s">
        <v>100</v>
      </c>
      <c r="C1133" t="s">
        <v>20</v>
      </c>
      <c r="D1133" t="s">
        <v>1589</v>
      </c>
      <c r="E1133">
        <v>4462</v>
      </c>
    </row>
    <row r="1134" spans="1:5">
      <c r="A1134" s="1">
        <v>45810</v>
      </c>
      <c r="B1134" t="s">
        <v>687</v>
      </c>
      <c r="C1134" t="s">
        <v>20</v>
      </c>
      <c r="D1134" t="s">
        <v>1590</v>
      </c>
      <c r="E1134">
        <v>25931</v>
      </c>
    </row>
    <row r="1135" spans="1:5">
      <c r="A1135" s="1">
        <v>45810</v>
      </c>
      <c r="B1135" t="s">
        <v>526</v>
      </c>
      <c r="C1135" t="s">
        <v>20</v>
      </c>
      <c r="D1135" t="s">
        <v>1591</v>
      </c>
      <c r="E1135">
        <v>1274</v>
      </c>
    </row>
    <row r="1136" spans="1:5">
      <c r="A1136" s="1">
        <v>45810</v>
      </c>
      <c r="B1136" t="s">
        <v>1592</v>
      </c>
      <c r="C1136" t="s">
        <v>20</v>
      </c>
      <c r="D1136" t="s">
        <v>1593</v>
      </c>
      <c r="E1136">
        <v>13516</v>
      </c>
    </row>
    <row r="1137" spans="1:5">
      <c r="A1137" s="1">
        <v>45810</v>
      </c>
      <c r="B1137" t="s">
        <v>48</v>
      </c>
      <c r="C1137" t="s">
        <v>20</v>
      </c>
      <c r="D1137" t="s">
        <v>1594</v>
      </c>
      <c r="E1137">
        <v>3601</v>
      </c>
    </row>
    <row r="1138" spans="1:5">
      <c r="A1138" s="1">
        <v>45810</v>
      </c>
      <c r="B1138" t="s">
        <v>1291</v>
      </c>
      <c r="C1138" t="s">
        <v>20</v>
      </c>
      <c r="D1138" t="s">
        <v>1595</v>
      </c>
      <c r="E1138">
        <v>13300</v>
      </c>
    </row>
    <row r="1139" spans="1:5">
      <c r="A1139" s="1">
        <v>45810</v>
      </c>
      <c r="B1139" t="s">
        <v>1596</v>
      </c>
      <c r="C1139" t="s">
        <v>20</v>
      </c>
      <c r="D1139" t="s">
        <v>1597</v>
      </c>
      <c r="E1139">
        <v>917</v>
      </c>
    </row>
    <row r="1140" spans="1:5">
      <c r="A1140" s="1">
        <v>45811</v>
      </c>
      <c r="B1140" t="s">
        <v>586</v>
      </c>
      <c r="C1140" t="s">
        <v>19</v>
      </c>
      <c r="D1140" t="s">
        <v>1598</v>
      </c>
      <c r="E1140">
        <v>1850</v>
      </c>
    </row>
    <row r="1141" spans="1:5">
      <c r="A1141" s="1">
        <v>45811</v>
      </c>
      <c r="B1141" t="s">
        <v>927</v>
      </c>
      <c r="C1141" t="s">
        <v>19</v>
      </c>
      <c r="D1141" t="s">
        <v>1599</v>
      </c>
      <c r="E1141">
        <v>18500</v>
      </c>
    </row>
    <row r="1142" spans="1:5">
      <c r="A1142" s="1">
        <v>45811</v>
      </c>
      <c r="B1142" t="s">
        <v>927</v>
      </c>
      <c r="C1142" t="s">
        <v>19</v>
      </c>
      <c r="D1142" t="s">
        <v>1600</v>
      </c>
      <c r="E1142">
        <v>1451</v>
      </c>
    </row>
    <row r="1143" spans="1:5">
      <c r="A1143" s="1">
        <v>45811</v>
      </c>
      <c r="B1143" t="s">
        <v>1049</v>
      </c>
      <c r="C1143" t="s">
        <v>19</v>
      </c>
      <c r="D1143" t="s">
        <v>1601</v>
      </c>
      <c r="E1143">
        <v>22881</v>
      </c>
    </row>
    <row r="1144" spans="1:5">
      <c r="A1144" s="1">
        <v>45811</v>
      </c>
      <c r="B1144" t="s">
        <v>1602</v>
      </c>
      <c r="C1144" t="s">
        <v>19</v>
      </c>
      <c r="D1144" t="s">
        <v>1603</v>
      </c>
      <c r="E1144">
        <v>33003</v>
      </c>
    </row>
    <row r="1145" spans="1:5">
      <c r="A1145" s="1">
        <v>45811</v>
      </c>
      <c r="B1145" t="s">
        <v>246</v>
      </c>
      <c r="C1145" t="s">
        <v>19</v>
      </c>
      <c r="D1145" t="s">
        <v>1604</v>
      </c>
      <c r="E1145">
        <v>1050</v>
      </c>
    </row>
    <row r="1146" spans="1:5">
      <c r="A1146" s="1">
        <v>45811</v>
      </c>
      <c r="B1146" t="s">
        <v>892</v>
      </c>
      <c r="C1146" t="s">
        <v>20</v>
      </c>
      <c r="D1146" t="s">
        <v>1605</v>
      </c>
      <c r="E1146">
        <v>1570</v>
      </c>
    </row>
    <row r="1147" spans="1:5">
      <c r="A1147" s="1">
        <v>45811</v>
      </c>
      <c r="B1147" t="s">
        <v>521</v>
      </c>
      <c r="C1147" t="s">
        <v>20</v>
      </c>
      <c r="D1147" t="s">
        <v>1606</v>
      </c>
      <c r="E1147">
        <v>6576</v>
      </c>
    </row>
    <row r="1148" spans="1:5">
      <c r="A1148" s="1">
        <v>45811</v>
      </c>
      <c r="B1148" t="s">
        <v>1607</v>
      </c>
      <c r="C1148" t="s">
        <v>20</v>
      </c>
      <c r="D1148" t="s">
        <v>1608</v>
      </c>
      <c r="E1148">
        <v>600</v>
      </c>
    </row>
    <row r="1149" spans="1:5">
      <c r="A1149" s="1">
        <v>45811</v>
      </c>
      <c r="B1149" t="s">
        <v>1507</v>
      </c>
      <c r="C1149" t="s">
        <v>20</v>
      </c>
      <c r="D1149" t="s">
        <v>1609</v>
      </c>
      <c r="E1149">
        <v>9330</v>
      </c>
    </row>
    <row r="1150" spans="1:5">
      <c r="A1150" s="1">
        <v>45811</v>
      </c>
      <c r="B1150" t="s">
        <v>239</v>
      </c>
      <c r="C1150" t="s">
        <v>20</v>
      </c>
      <c r="D1150" t="s">
        <v>1610</v>
      </c>
      <c r="E1150">
        <v>1125</v>
      </c>
    </row>
    <row r="1151" spans="1:5">
      <c r="A1151" s="1">
        <v>45811</v>
      </c>
      <c r="B1151" t="s">
        <v>68</v>
      </c>
      <c r="C1151" t="s">
        <v>20</v>
      </c>
      <c r="D1151" t="s">
        <v>1611</v>
      </c>
      <c r="E1151">
        <v>21150</v>
      </c>
    </row>
    <row r="1152" spans="1:5">
      <c r="A1152" s="1">
        <v>45811</v>
      </c>
      <c r="B1152" t="s">
        <v>781</v>
      </c>
      <c r="C1152" t="s">
        <v>20</v>
      </c>
      <c r="D1152" t="s">
        <v>1612</v>
      </c>
      <c r="E1152">
        <v>1850</v>
      </c>
    </row>
    <row r="1153" spans="1:5">
      <c r="A1153" s="1">
        <v>45811</v>
      </c>
      <c r="B1153" t="s">
        <v>290</v>
      </c>
      <c r="C1153" t="s">
        <v>20</v>
      </c>
      <c r="D1153" t="s">
        <v>1613</v>
      </c>
      <c r="E1153">
        <v>8895</v>
      </c>
    </row>
    <row r="1154" spans="1:5">
      <c r="A1154" s="1">
        <v>45811</v>
      </c>
      <c r="B1154" t="s">
        <v>1614</v>
      </c>
      <c r="C1154" t="s">
        <v>20</v>
      </c>
      <c r="D1154" t="s">
        <v>1615</v>
      </c>
      <c r="E1154">
        <v>7465</v>
      </c>
    </row>
    <row r="1155" spans="1:5">
      <c r="A1155" s="1">
        <v>45811</v>
      </c>
      <c r="B1155" t="s">
        <v>1505</v>
      </c>
      <c r="C1155" t="s">
        <v>20</v>
      </c>
      <c r="D1155" t="s">
        <v>1616</v>
      </c>
      <c r="E1155">
        <v>867</v>
      </c>
    </row>
    <row r="1156" spans="1:5">
      <c r="A1156" s="1">
        <v>45811</v>
      </c>
      <c r="B1156" t="s">
        <v>1617</v>
      </c>
      <c r="C1156" t="s">
        <v>20</v>
      </c>
      <c r="D1156" t="s">
        <v>1618</v>
      </c>
      <c r="E1156">
        <v>15500</v>
      </c>
    </row>
    <row r="1157" spans="1:5">
      <c r="A1157" s="1">
        <v>45811</v>
      </c>
      <c r="B1157" t="s">
        <v>193</v>
      </c>
      <c r="C1157" t="s">
        <v>20</v>
      </c>
      <c r="D1157" t="s">
        <v>1619</v>
      </c>
      <c r="E1157">
        <v>34834</v>
      </c>
    </row>
    <row r="1158" spans="1:5">
      <c r="A1158" s="1">
        <v>45811</v>
      </c>
      <c r="B1158" t="s">
        <v>358</v>
      </c>
      <c r="C1158" t="s">
        <v>20</v>
      </c>
      <c r="D1158" t="s">
        <v>1620</v>
      </c>
      <c r="E1158">
        <v>12594</v>
      </c>
    </row>
    <row r="1159" spans="1:5">
      <c r="A1159" s="1">
        <v>45811</v>
      </c>
      <c r="B1159" t="s">
        <v>239</v>
      </c>
      <c r="C1159" t="s">
        <v>20</v>
      </c>
      <c r="D1159" t="s">
        <v>1621</v>
      </c>
      <c r="E1159">
        <v>11034</v>
      </c>
    </row>
    <row r="1160" spans="1:5">
      <c r="A1160" s="1">
        <v>45811</v>
      </c>
      <c r="B1160" t="s">
        <v>1617</v>
      </c>
      <c r="C1160" t="s">
        <v>20</v>
      </c>
      <c r="D1160" t="s">
        <v>1622</v>
      </c>
      <c r="E1160">
        <v>340</v>
      </c>
    </row>
    <row r="1161" spans="1:5">
      <c r="A1161" s="1">
        <v>45811</v>
      </c>
      <c r="B1161" t="s">
        <v>1623</v>
      </c>
      <c r="C1161" t="s">
        <v>20</v>
      </c>
      <c r="D1161" t="s">
        <v>1624</v>
      </c>
      <c r="E1161">
        <v>740</v>
      </c>
    </row>
    <row r="1162" spans="1:5">
      <c r="A1162" s="1">
        <v>45811</v>
      </c>
      <c r="B1162" t="s">
        <v>375</v>
      </c>
      <c r="C1162" t="s">
        <v>20</v>
      </c>
      <c r="D1162" t="s">
        <v>1625</v>
      </c>
      <c r="E1162">
        <v>3941</v>
      </c>
    </row>
    <row r="1163" spans="1:5">
      <c r="A1163" s="1">
        <v>45811</v>
      </c>
      <c r="B1163" t="s">
        <v>1626</v>
      </c>
      <c r="C1163" t="s">
        <v>20</v>
      </c>
      <c r="D1163" t="s">
        <v>1627</v>
      </c>
      <c r="E1163">
        <v>588</v>
      </c>
    </row>
    <row r="1164" spans="1:5">
      <c r="A1164" s="1">
        <v>45812</v>
      </c>
      <c r="B1164" t="s">
        <v>1628</v>
      </c>
      <c r="C1164" t="s">
        <v>19</v>
      </c>
      <c r="D1164" t="s">
        <v>1629</v>
      </c>
      <c r="E1164">
        <v>135635</v>
      </c>
    </row>
    <row r="1165" spans="1:5">
      <c r="A1165" s="1">
        <v>45812</v>
      </c>
      <c r="B1165" t="s">
        <v>1495</v>
      </c>
      <c r="C1165" t="s">
        <v>20</v>
      </c>
      <c r="D1165" t="s">
        <v>1630</v>
      </c>
      <c r="E1165">
        <v>14462</v>
      </c>
    </row>
    <row r="1166" spans="1:5">
      <c r="A1166" s="1">
        <v>45812</v>
      </c>
      <c r="B1166" t="s">
        <v>1631</v>
      </c>
      <c r="C1166" t="s">
        <v>20</v>
      </c>
      <c r="D1166" t="s">
        <v>1632</v>
      </c>
      <c r="E1166">
        <v>52</v>
      </c>
    </row>
    <row r="1167" spans="1:5">
      <c r="A1167" s="1">
        <v>45812</v>
      </c>
      <c r="B1167" t="s">
        <v>900</v>
      </c>
      <c r="C1167" t="s">
        <v>20</v>
      </c>
      <c r="D1167" t="s">
        <v>1633</v>
      </c>
      <c r="E1167">
        <v>450</v>
      </c>
    </row>
    <row r="1168" spans="1:5">
      <c r="A1168" s="1">
        <v>45812</v>
      </c>
      <c r="B1168" t="s">
        <v>100</v>
      </c>
      <c r="C1168" t="s">
        <v>20</v>
      </c>
      <c r="D1168" t="s">
        <v>1634</v>
      </c>
      <c r="E1168">
        <v>1808</v>
      </c>
    </row>
    <row r="1169" spans="1:5">
      <c r="A1169" s="1">
        <v>45812</v>
      </c>
      <c r="B1169" t="s">
        <v>76</v>
      </c>
      <c r="C1169" t="s">
        <v>20</v>
      </c>
      <c r="D1169" t="s">
        <v>1635</v>
      </c>
      <c r="E1169">
        <v>6999</v>
      </c>
    </row>
    <row r="1170" spans="1:5">
      <c r="A1170" s="1">
        <v>45812</v>
      </c>
      <c r="B1170" t="s">
        <v>1477</v>
      </c>
      <c r="C1170" t="s">
        <v>20</v>
      </c>
      <c r="D1170" t="s">
        <v>1636</v>
      </c>
      <c r="E1170">
        <v>3094</v>
      </c>
    </row>
    <row r="1171" spans="1:5">
      <c r="A1171" s="1">
        <v>45812</v>
      </c>
      <c r="B1171" t="s">
        <v>50</v>
      </c>
      <c r="C1171" t="s">
        <v>20</v>
      </c>
      <c r="D1171" t="s">
        <v>1637</v>
      </c>
      <c r="E1171">
        <v>1790</v>
      </c>
    </row>
    <row r="1172" spans="1:5">
      <c r="A1172" s="1">
        <v>45812</v>
      </c>
      <c r="B1172" t="s">
        <v>1638</v>
      </c>
      <c r="C1172" t="s">
        <v>20</v>
      </c>
      <c r="D1172" t="s">
        <v>1639</v>
      </c>
      <c r="E1172">
        <v>513</v>
      </c>
    </row>
    <row r="1173" spans="1:5">
      <c r="A1173" s="1">
        <v>45812</v>
      </c>
      <c r="B1173" t="s">
        <v>1587</v>
      </c>
      <c r="C1173" t="s">
        <v>20</v>
      </c>
      <c r="D1173" t="s">
        <v>1640</v>
      </c>
      <c r="E1173">
        <v>520</v>
      </c>
    </row>
    <row r="1174" spans="1:5">
      <c r="A1174" s="1">
        <v>45812</v>
      </c>
      <c r="B1174" t="s">
        <v>50</v>
      </c>
      <c r="C1174" t="s">
        <v>20</v>
      </c>
      <c r="D1174" t="s">
        <v>1641</v>
      </c>
      <c r="E1174">
        <v>10</v>
      </c>
    </row>
    <row r="1175" spans="1:5">
      <c r="A1175" s="1">
        <v>45812</v>
      </c>
      <c r="B1175" t="s">
        <v>566</v>
      </c>
      <c r="C1175" t="s">
        <v>20</v>
      </c>
      <c r="D1175" t="s">
        <v>1642</v>
      </c>
      <c r="E1175">
        <v>29787</v>
      </c>
    </row>
    <row r="1176" spans="1:5">
      <c r="A1176" s="1">
        <v>45812</v>
      </c>
      <c r="B1176" t="s">
        <v>781</v>
      </c>
      <c r="C1176" t="s">
        <v>20</v>
      </c>
      <c r="D1176" t="s">
        <v>1643</v>
      </c>
      <c r="E1176">
        <v>740</v>
      </c>
    </row>
    <row r="1177" spans="1:5">
      <c r="A1177" s="1">
        <v>45812</v>
      </c>
      <c r="B1177" t="s">
        <v>1644</v>
      </c>
      <c r="C1177" t="s">
        <v>20</v>
      </c>
      <c r="D1177" t="s">
        <v>1645</v>
      </c>
      <c r="E1177">
        <v>7590</v>
      </c>
    </row>
    <row r="1178" spans="1:5">
      <c r="A1178" s="1">
        <v>45812</v>
      </c>
      <c r="B1178" t="s">
        <v>1441</v>
      </c>
      <c r="C1178" t="s">
        <v>20</v>
      </c>
      <c r="D1178" t="s">
        <v>1646</v>
      </c>
      <c r="E1178">
        <v>3692</v>
      </c>
    </row>
    <row r="1179" spans="1:5">
      <c r="A1179" s="1">
        <v>45813</v>
      </c>
      <c r="B1179" t="s">
        <v>1049</v>
      </c>
      <c r="C1179" t="s">
        <v>19</v>
      </c>
      <c r="D1179" t="s">
        <v>1647</v>
      </c>
      <c r="E1179">
        <v>18500</v>
      </c>
    </row>
    <row r="1180" spans="1:5">
      <c r="A1180" s="1">
        <v>45813</v>
      </c>
      <c r="B1180" t="s">
        <v>60</v>
      </c>
      <c r="C1180" t="s">
        <v>19</v>
      </c>
      <c r="D1180" t="s">
        <v>1648</v>
      </c>
      <c r="E1180">
        <v>7813</v>
      </c>
    </row>
    <row r="1181" spans="1:5">
      <c r="A1181" s="1">
        <v>45813</v>
      </c>
      <c r="B1181" t="s">
        <v>246</v>
      </c>
      <c r="C1181" t="s">
        <v>19</v>
      </c>
      <c r="D1181" t="s">
        <v>1649</v>
      </c>
      <c r="E1181">
        <v>395</v>
      </c>
    </row>
    <row r="1182" spans="1:5">
      <c r="A1182" s="1">
        <v>45813</v>
      </c>
      <c r="B1182" t="s">
        <v>1650</v>
      </c>
      <c r="C1182" t="s">
        <v>19</v>
      </c>
      <c r="D1182" t="s">
        <v>1651</v>
      </c>
      <c r="E1182">
        <v>4250</v>
      </c>
    </row>
    <row r="1183" spans="1:5">
      <c r="A1183" s="1">
        <v>45813</v>
      </c>
      <c r="B1183" t="s">
        <v>58</v>
      </c>
      <c r="C1183" t="s">
        <v>19</v>
      </c>
      <c r="D1183" t="s">
        <v>1652</v>
      </c>
      <c r="E1183">
        <v>432</v>
      </c>
    </row>
    <row r="1184" spans="1:5">
      <c r="A1184" s="1">
        <v>45813</v>
      </c>
      <c r="B1184" t="s">
        <v>1617</v>
      </c>
      <c r="C1184" t="s">
        <v>20</v>
      </c>
      <c r="D1184" t="s">
        <v>1653</v>
      </c>
      <c r="E1184">
        <v>13284</v>
      </c>
    </row>
    <row r="1185" spans="1:5">
      <c r="A1185" s="1">
        <v>45813</v>
      </c>
      <c r="B1185" t="s">
        <v>557</v>
      </c>
      <c r="C1185" t="s">
        <v>20</v>
      </c>
      <c r="D1185" t="s">
        <v>1654</v>
      </c>
      <c r="E1185">
        <v>21220</v>
      </c>
    </row>
    <row r="1186" spans="1:5">
      <c r="A1186" s="1">
        <v>45813</v>
      </c>
      <c r="B1186" t="s">
        <v>135</v>
      </c>
      <c r="C1186" t="s">
        <v>20</v>
      </c>
      <c r="D1186" t="s">
        <v>1655</v>
      </c>
      <c r="E1186">
        <v>22390</v>
      </c>
    </row>
    <row r="1187" spans="1:5">
      <c r="A1187" s="1">
        <v>45813</v>
      </c>
      <c r="B1187" t="s">
        <v>76</v>
      </c>
      <c r="C1187" t="s">
        <v>20</v>
      </c>
      <c r="D1187" t="s">
        <v>1656</v>
      </c>
      <c r="E1187">
        <v>495</v>
      </c>
    </row>
    <row r="1188" spans="1:5">
      <c r="A1188" s="1">
        <v>45813</v>
      </c>
      <c r="B1188" t="s">
        <v>100</v>
      </c>
      <c r="C1188" t="s">
        <v>20</v>
      </c>
      <c r="D1188" t="s">
        <v>1657</v>
      </c>
      <c r="E1188">
        <v>18590</v>
      </c>
    </row>
    <row r="1189" spans="1:5">
      <c r="A1189" s="1">
        <v>45813</v>
      </c>
      <c r="B1189" t="s">
        <v>1066</v>
      </c>
      <c r="C1189" t="s">
        <v>20</v>
      </c>
      <c r="D1189" t="s">
        <v>1658</v>
      </c>
      <c r="E1189">
        <v>3700</v>
      </c>
    </row>
    <row r="1190" spans="1:5">
      <c r="A1190" s="1">
        <v>45813</v>
      </c>
      <c r="B1190" t="s">
        <v>50</v>
      </c>
      <c r="C1190" t="s">
        <v>20</v>
      </c>
      <c r="D1190" t="s">
        <v>1659</v>
      </c>
      <c r="E1190">
        <v>370</v>
      </c>
    </row>
    <row r="1191" spans="1:5">
      <c r="A1191" s="1">
        <v>45813</v>
      </c>
      <c r="B1191" t="s">
        <v>817</v>
      </c>
      <c r="C1191" t="s">
        <v>20</v>
      </c>
      <c r="D1191" t="s">
        <v>1660</v>
      </c>
      <c r="E1191">
        <v>60638</v>
      </c>
    </row>
    <row r="1192" spans="1:5">
      <c r="A1192" s="1">
        <v>45813</v>
      </c>
      <c r="B1192" t="s">
        <v>900</v>
      </c>
      <c r="C1192" t="s">
        <v>20</v>
      </c>
      <c r="D1192" t="s">
        <v>1661</v>
      </c>
      <c r="E1192">
        <v>30</v>
      </c>
    </row>
    <row r="1193" spans="1:5">
      <c r="A1193" s="1">
        <v>45813</v>
      </c>
      <c r="B1193" t="s">
        <v>321</v>
      </c>
      <c r="C1193" t="s">
        <v>20</v>
      </c>
      <c r="D1193" t="s">
        <v>1662</v>
      </c>
      <c r="E1193">
        <v>6864</v>
      </c>
    </row>
    <row r="1194" spans="1:5">
      <c r="A1194" s="1">
        <v>45813</v>
      </c>
      <c r="B1194" t="s">
        <v>1663</v>
      </c>
      <c r="C1194" t="s">
        <v>20</v>
      </c>
      <c r="D1194" t="s">
        <v>1664</v>
      </c>
      <c r="E1194">
        <v>6630</v>
      </c>
    </row>
    <row r="1195" spans="1:5">
      <c r="A1195" s="1">
        <v>45813</v>
      </c>
      <c r="B1195" t="s">
        <v>1524</v>
      </c>
      <c r="C1195" t="s">
        <v>20</v>
      </c>
      <c r="D1195" t="s">
        <v>1665</v>
      </c>
      <c r="E1195">
        <v>10175</v>
      </c>
    </row>
    <row r="1196" spans="1:5">
      <c r="A1196" s="1">
        <v>45813</v>
      </c>
      <c r="B1196" t="s">
        <v>1666</v>
      </c>
      <c r="C1196" t="s">
        <v>20</v>
      </c>
      <c r="D1196" t="s">
        <v>1667</v>
      </c>
      <c r="E1196">
        <v>1555</v>
      </c>
    </row>
    <row r="1197" spans="1:5">
      <c r="A1197" s="1">
        <v>45813</v>
      </c>
      <c r="B1197" t="s">
        <v>1524</v>
      </c>
      <c r="C1197" t="s">
        <v>20</v>
      </c>
      <c r="D1197" t="s">
        <v>1668</v>
      </c>
      <c r="E1197">
        <v>168</v>
      </c>
    </row>
    <row r="1198" spans="1:5">
      <c r="A1198" s="1">
        <v>45813</v>
      </c>
      <c r="B1198" t="s">
        <v>1617</v>
      </c>
      <c r="C1198" t="s">
        <v>20</v>
      </c>
      <c r="D1198" t="s">
        <v>1669</v>
      </c>
      <c r="E1198">
        <v>3895</v>
      </c>
    </row>
    <row r="1199" spans="1:5">
      <c r="A1199" s="1">
        <v>45813</v>
      </c>
      <c r="B1199" t="s">
        <v>1369</v>
      </c>
      <c r="C1199" t="s">
        <v>20</v>
      </c>
      <c r="D1199" t="s">
        <v>1670</v>
      </c>
      <c r="E1199">
        <v>1935</v>
      </c>
    </row>
    <row r="1200" spans="1:5">
      <c r="A1200" s="1">
        <v>45813</v>
      </c>
      <c r="B1200" t="s">
        <v>1671</v>
      </c>
      <c r="C1200" t="s">
        <v>20</v>
      </c>
      <c r="D1200" t="s">
        <v>1672</v>
      </c>
      <c r="E1200">
        <v>3331</v>
      </c>
    </row>
    <row r="1201" spans="1:5">
      <c r="A1201" s="1">
        <v>45813</v>
      </c>
      <c r="B1201" t="s">
        <v>358</v>
      </c>
      <c r="C1201" t="s">
        <v>20</v>
      </c>
      <c r="D1201" t="s">
        <v>1673</v>
      </c>
      <c r="E1201">
        <v>11202</v>
      </c>
    </row>
    <row r="1202" spans="1:5">
      <c r="A1202" s="1">
        <v>45813</v>
      </c>
      <c r="B1202" t="s">
        <v>900</v>
      </c>
      <c r="C1202" t="s">
        <v>20</v>
      </c>
      <c r="D1202" t="s">
        <v>1674</v>
      </c>
      <c r="E1202">
        <v>4444</v>
      </c>
    </row>
    <row r="1203" spans="1:5">
      <c r="A1203" s="1">
        <v>45813</v>
      </c>
      <c r="B1203" t="s">
        <v>1617</v>
      </c>
      <c r="C1203" t="s">
        <v>20</v>
      </c>
      <c r="D1203" t="s">
        <v>1675</v>
      </c>
      <c r="E1203">
        <v>1850</v>
      </c>
    </row>
    <row r="1204" spans="1:5">
      <c r="A1204" s="1">
        <v>45813</v>
      </c>
      <c r="B1204" t="s">
        <v>321</v>
      </c>
      <c r="C1204" t="s">
        <v>20</v>
      </c>
      <c r="D1204" t="s">
        <v>1676</v>
      </c>
      <c r="E1204">
        <v>628</v>
      </c>
    </row>
    <row r="1205" spans="1:5">
      <c r="A1205" s="1">
        <v>45813</v>
      </c>
      <c r="B1205" t="s">
        <v>1677</v>
      </c>
      <c r="C1205" t="s">
        <v>20</v>
      </c>
      <c r="D1205" t="s">
        <v>1678</v>
      </c>
      <c r="E1205">
        <v>6597</v>
      </c>
    </row>
    <row r="1206" spans="1:5">
      <c r="A1206" s="1">
        <v>45813</v>
      </c>
      <c r="B1206" t="s">
        <v>1679</v>
      </c>
      <c r="C1206" t="s">
        <v>20</v>
      </c>
      <c r="D1206" t="s">
        <v>1680</v>
      </c>
      <c r="E1206">
        <v>4052</v>
      </c>
    </row>
    <row r="1207" spans="1:5">
      <c r="A1207" s="1">
        <v>45814</v>
      </c>
      <c r="B1207" t="s">
        <v>1106</v>
      </c>
      <c r="C1207" t="s">
        <v>19</v>
      </c>
      <c r="D1207" t="s">
        <v>1681</v>
      </c>
      <c r="E1207">
        <v>14062</v>
      </c>
    </row>
    <row r="1208" spans="1:5">
      <c r="A1208" s="1">
        <v>45814</v>
      </c>
      <c r="B1208" t="s">
        <v>56</v>
      </c>
      <c r="C1208" t="s">
        <v>19</v>
      </c>
      <c r="D1208" t="s">
        <v>1682</v>
      </c>
      <c r="E1208">
        <v>21100</v>
      </c>
    </row>
    <row r="1209" spans="1:5">
      <c r="A1209" s="1">
        <v>45814</v>
      </c>
      <c r="B1209" t="s">
        <v>1683</v>
      </c>
      <c r="C1209" t="s">
        <v>19</v>
      </c>
      <c r="D1209" t="s">
        <v>1684</v>
      </c>
      <c r="E1209">
        <v>6160</v>
      </c>
    </row>
    <row r="1210" spans="1:5">
      <c r="A1210" s="1">
        <v>45814</v>
      </c>
      <c r="B1210" t="s">
        <v>1685</v>
      </c>
      <c r="C1210" t="s">
        <v>20</v>
      </c>
      <c r="D1210" t="s">
        <v>1686</v>
      </c>
      <c r="E1210">
        <v>57606</v>
      </c>
    </row>
    <row r="1211" spans="1:5">
      <c r="A1211" s="1">
        <v>45814</v>
      </c>
      <c r="B1211" t="s">
        <v>932</v>
      </c>
      <c r="C1211" t="s">
        <v>20</v>
      </c>
      <c r="D1211" t="s">
        <v>1687</v>
      </c>
      <c r="E1211">
        <v>3750</v>
      </c>
    </row>
    <row r="1212" spans="1:5">
      <c r="A1212" s="1">
        <v>45814</v>
      </c>
      <c r="B1212" t="s">
        <v>1688</v>
      </c>
      <c r="C1212" t="s">
        <v>20</v>
      </c>
      <c r="D1212" t="s">
        <v>1689</v>
      </c>
      <c r="E1212">
        <v>10150</v>
      </c>
    </row>
    <row r="1213" spans="1:5">
      <c r="A1213" s="1">
        <v>45814</v>
      </c>
      <c r="B1213" t="s">
        <v>135</v>
      </c>
      <c r="C1213" t="s">
        <v>20</v>
      </c>
      <c r="D1213" t="s">
        <v>1690</v>
      </c>
      <c r="E1213">
        <v>30</v>
      </c>
    </row>
    <row r="1214" spans="1:5">
      <c r="A1214" s="1">
        <v>45814</v>
      </c>
      <c r="B1214" t="s">
        <v>68</v>
      </c>
      <c r="C1214" t="s">
        <v>20</v>
      </c>
      <c r="D1214" t="s">
        <v>1691</v>
      </c>
      <c r="E1214">
        <v>15845</v>
      </c>
    </row>
    <row r="1215" spans="1:5">
      <c r="A1215" s="1">
        <v>45814</v>
      </c>
      <c r="B1215" t="s">
        <v>50</v>
      </c>
      <c r="C1215" t="s">
        <v>20</v>
      </c>
      <c r="D1215" t="s">
        <v>1692</v>
      </c>
      <c r="E1215">
        <v>12</v>
      </c>
    </row>
    <row r="1216" spans="1:5">
      <c r="A1216" s="1">
        <v>45814</v>
      </c>
      <c r="B1216" t="s">
        <v>48</v>
      </c>
      <c r="C1216" t="s">
        <v>20</v>
      </c>
      <c r="D1216" t="s">
        <v>1693</v>
      </c>
      <c r="E1216">
        <v>17160</v>
      </c>
    </row>
    <row r="1217" spans="1:5">
      <c r="A1217" s="1">
        <v>45814</v>
      </c>
      <c r="B1217" t="s">
        <v>48</v>
      </c>
      <c r="C1217" t="s">
        <v>20</v>
      </c>
      <c r="D1217" t="s">
        <v>1694</v>
      </c>
      <c r="E1217">
        <v>5780</v>
      </c>
    </row>
    <row r="1218" spans="1:5">
      <c r="A1218" s="1">
        <v>45814</v>
      </c>
      <c r="B1218" t="s">
        <v>1377</v>
      </c>
      <c r="C1218" t="s">
        <v>20</v>
      </c>
      <c r="D1218" t="s">
        <v>1695</v>
      </c>
      <c r="E1218">
        <v>14683</v>
      </c>
    </row>
    <row r="1219" spans="1:5">
      <c r="A1219" s="1">
        <v>45814</v>
      </c>
      <c r="B1219" t="s">
        <v>1083</v>
      </c>
      <c r="C1219" t="s">
        <v>20</v>
      </c>
      <c r="D1219" t="s">
        <v>1696</v>
      </c>
      <c r="E1219">
        <v>5106</v>
      </c>
    </row>
    <row r="1220" spans="1:5">
      <c r="A1220" s="1">
        <v>45814</v>
      </c>
      <c r="B1220" t="s">
        <v>981</v>
      </c>
      <c r="C1220" t="s">
        <v>20</v>
      </c>
      <c r="D1220" t="s">
        <v>1697</v>
      </c>
      <c r="E1220">
        <v>1585</v>
      </c>
    </row>
    <row r="1221" spans="1:5">
      <c r="A1221" s="1">
        <v>45814</v>
      </c>
      <c r="B1221" t="s">
        <v>1698</v>
      </c>
      <c r="C1221" t="s">
        <v>20</v>
      </c>
      <c r="D1221" t="s">
        <v>1699</v>
      </c>
      <c r="E1221">
        <v>50</v>
      </c>
    </row>
    <row r="1222" spans="1:5">
      <c r="A1222" s="1">
        <v>45814</v>
      </c>
      <c r="B1222" t="s">
        <v>50</v>
      </c>
      <c r="C1222" t="s">
        <v>20</v>
      </c>
      <c r="D1222" t="s">
        <v>1700</v>
      </c>
      <c r="E1222">
        <v>4734</v>
      </c>
    </row>
    <row r="1223" spans="1:5">
      <c r="A1223" s="1">
        <v>45814</v>
      </c>
      <c r="B1223" t="s">
        <v>521</v>
      </c>
      <c r="C1223" t="s">
        <v>20</v>
      </c>
      <c r="D1223" t="s">
        <v>1701</v>
      </c>
      <c r="E1223">
        <v>600</v>
      </c>
    </row>
    <row r="1224" spans="1:5">
      <c r="A1224" s="1">
        <v>45814</v>
      </c>
      <c r="B1224" t="s">
        <v>557</v>
      </c>
      <c r="C1224" t="s">
        <v>20</v>
      </c>
      <c r="D1224" t="s">
        <v>1702</v>
      </c>
      <c r="E1224">
        <v>25716</v>
      </c>
    </row>
    <row r="1225" spans="1:5">
      <c r="A1225" s="1">
        <v>45814</v>
      </c>
      <c r="B1225" t="s">
        <v>135</v>
      </c>
      <c r="C1225" t="s">
        <v>20</v>
      </c>
      <c r="D1225" t="s">
        <v>1703</v>
      </c>
      <c r="E1225">
        <v>6625</v>
      </c>
    </row>
    <row r="1226" spans="1:5">
      <c r="A1226" s="1">
        <v>45814</v>
      </c>
      <c r="B1226" t="s">
        <v>43</v>
      </c>
      <c r="C1226" t="s">
        <v>20</v>
      </c>
      <c r="D1226" t="s">
        <v>1704</v>
      </c>
      <c r="E1226">
        <v>34790</v>
      </c>
    </row>
    <row r="1227" spans="1:5">
      <c r="A1227" s="1">
        <v>45814</v>
      </c>
      <c r="B1227" t="s">
        <v>1705</v>
      </c>
      <c r="C1227" t="s">
        <v>20</v>
      </c>
      <c r="D1227" t="s">
        <v>1706</v>
      </c>
      <c r="E1227">
        <v>6283</v>
      </c>
    </row>
    <row r="1228" spans="1:5">
      <c r="A1228" s="1">
        <v>45814</v>
      </c>
      <c r="B1228" t="s">
        <v>1707</v>
      </c>
      <c r="C1228" t="s">
        <v>20</v>
      </c>
      <c r="D1228" t="s">
        <v>1708</v>
      </c>
      <c r="E1228">
        <v>14180</v>
      </c>
    </row>
    <row r="1229" spans="1:5">
      <c r="A1229" s="1">
        <v>45814</v>
      </c>
      <c r="B1229" t="s">
        <v>1083</v>
      </c>
      <c r="C1229" t="s">
        <v>20</v>
      </c>
      <c r="D1229" t="s">
        <v>1709</v>
      </c>
      <c r="E1229">
        <v>677</v>
      </c>
    </row>
    <row r="1230" spans="1:5">
      <c r="A1230" s="1">
        <v>45814</v>
      </c>
      <c r="B1230" t="s">
        <v>1666</v>
      </c>
      <c r="C1230" t="s">
        <v>20</v>
      </c>
      <c r="D1230" t="s">
        <v>1710</v>
      </c>
      <c r="E1230">
        <v>12030</v>
      </c>
    </row>
    <row r="1231" spans="1:5">
      <c r="A1231" s="1">
        <v>45814</v>
      </c>
      <c r="B1231" t="s">
        <v>1711</v>
      </c>
      <c r="C1231" t="s">
        <v>20</v>
      </c>
      <c r="D1231" t="s">
        <v>1712</v>
      </c>
      <c r="E1231">
        <v>601</v>
      </c>
    </row>
    <row r="1232" spans="1:5">
      <c r="A1232" s="1">
        <v>45814</v>
      </c>
      <c r="B1232" t="s">
        <v>48</v>
      </c>
      <c r="C1232" t="s">
        <v>20</v>
      </c>
      <c r="D1232" t="s">
        <v>1713</v>
      </c>
      <c r="E1232">
        <v>255</v>
      </c>
    </row>
    <row r="1233" spans="1:5">
      <c r="A1233" s="1">
        <v>45814</v>
      </c>
      <c r="B1233" t="s">
        <v>1075</v>
      </c>
      <c r="C1233" t="s">
        <v>20</v>
      </c>
      <c r="D1233" t="s">
        <v>1714</v>
      </c>
      <c r="E1233">
        <v>1480</v>
      </c>
    </row>
    <row r="1234" spans="1:5">
      <c r="A1234" s="1">
        <v>45814</v>
      </c>
      <c r="B1234" t="s">
        <v>285</v>
      </c>
      <c r="C1234" t="s">
        <v>20</v>
      </c>
      <c r="D1234" t="s">
        <v>1715</v>
      </c>
      <c r="E1234">
        <v>567</v>
      </c>
    </row>
    <row r="1235" spans="1:5">
      <c r="A1235" s="1">
        <v>45815</v>
      </c>
      <c r="B1235" t="s">
        <v>733</v>
      </c>
      <c r="C1235" t="s">
        <v>19</v>
      </c>
      <c r="D1235" t="s">
        <v>1716</v>
      </c>
      <c r="E1235">
        <v>4345</v>
      </c>
    </row>
    <row r="1236" spans="1:5">
      <c r="A1236" s="1">
        <v>45815</v>
      </c>
      <c r="B1236" t="s">
        <v>1717</v>
      </c>
      <c r="C1236" t="s">
        <v>19</v>
      </c>
      <c r="D1236" t="s">
        <v>1718</v>
      </c>
      <c r="E1236">
        <v>1440</v>
      </c>
    </row>
    <row r="1237" spans="1:5">
      <c r="A1237" s="1">
        <v>45815</v>
      </c>
      <c r="B1237" t="s">
        <v>58</v>
      </c>
      <c r="C1237" t="s">
        <v>19</v>
      </c>
      <c r="D1237" t="s">
        <v>1719</v>
      </c>
      <c r="E1237">
        <v>10607</v>
      </c>
    </row>
    <row r="1238" spans="1:5">
      <c r="A1238" s="1">
        <v>45815</v>
      </c>
      <c r="B1238" t="s">
        <v>1106</v>
      </c>
      <c r="C1238" t="s">
        <v>19</v>
      </c>
      <c r="D1238" t="s">
        <v>1720</v>
      </c>
      <c r="E1238">
        <v>29600</v>
      </c>
    </row>
    <row r="1239" spans="1:5">
      <c r="A1239" s="1">
        <v>45815</v>
      </c>
      <c r="B1239" t="s">
        <v>1721</v>
      </c>
      <c r="C1239" t="s">
        <v>19</v>
      </c>
      <c r="D1239" t="s">
        <v>1722</v>
      </c>
      <c r="E1239">
        <v>14050</v>
      </c>
    </row>
    <row r="1240" spans="1:5">
      <c r="A1240" s="1">
        <v>45815</v>
      </c>
      <c r="B1240" t="s">
        <v>50</v>
      </c>
      <c r="C1240" t="s">
        <v>20</v>
      </c>
      <c r="D1240" t="s">
        <v>1723</v>
      </c>
      <c r="E1240">
        <v>8</v>
      </c>
    </row>
    <row r="1241" spans="1:5">
      <c r="A1241" s="1">
        <v>45815</v>
      </c>
      <c r="B1241" t="s">
        <v>1275</v>
      </c>
      <c r="C1241" t="s">
        <v>20</v>
      </c>
      <c r="D1241" t="s">
        <v>1724</v>
      </c>
      <c r="E1241">
        <v>370</v>
      </c>
    </row>
    <row r="1242" spans="1:5">
      <c r="A1242" s="1">
        <v>45815</v>
      </c>
      <c r="B1242" t="s">
        <v>1725</v>
      </c>
      <c r="C1242" t="s">
        <v>20</v>
      </c>
      <c r="D1242" t="s">
        <v>1726</v>
      </c>
      <c r="E1242">
        <v>606</v>
      </c>
    </row>
    <row r="1243" spans="1:5">
      <c r="A1243" s="1">
        <v>45815</v>
      </c>
      <c r="B1243" t="s">
        <v>1727</v>
      </c>
      <c r="C1243" t="s">
        <v>20</v>
      </c>
      <c r="D1243" t="s">
        <v>1728</v>
      </c>
      <c r="E1243">
        <v>4454</v>
      </c>
    </row>
    <row r="1244" spans="1:5">
      <c r="A1244" s="1">
        <v>45815</v>
      </c>
      <c r="B1244" t="s">
        <v>1541</v>
      </c>
      <c r="C1244" t="s">
        <v>20</v>
      </c>
      <c r="D1244" t="s">
        <v>1729</v>
      </c>
      <c r="E1244">
        <v>725</v>
      </c>
    </row>
    <row r="1245" spans="1:5">
      <c r="A1245" s="1">
        <v>45815</v>
      </c>
      <c r="B1245" t="s">
        <v>1730</v>
      </c>
      <c r="C1245" t="s">
        <v>20</v>
      </c>
      <c r="D1245" t="s">
        <v>1731</v>
      </c>
      <c r="E1245">
        <v>30</v>
      </c>
    </row>
    <row r="1246" spans="1:5">
      <c r="A1246" s="1">
        <v>45815</v>
      </c>
      <c r="B1246" t="s">
        <v>1685</v>
      </c>
      <c r="C1246" t="s">
        <v>20</v>
      </c>
      <c r="D1246" t="s">
        <v>1732</v>
      </c>
      <c r="E1246">
        <v>42451</v>
      </c>
    </row>
    <row r="1247" spans="1:5">
      <c r="A1247" s="1">
        <v>45815</v>
      </c>
      <c r="B1247" t="s">
        <v>239</v>
      </c>
      <c r="C1247" t="s">
        <v>20</v>
      </c>
      <c r="D1247" t="s">
        <v>1733</v>
      </c>
      <c r="E1247">
        <v>190</v>
      </c>
    </row>
    <row r="1248" spans="1:5">
      <c r="A1248" s="1">
        <v>45815</v>
      </c>
      <c r="B1248" t="s">
        <v>1734</v>
      </c>
      <c r="C1248" t="s">
        <v>20</v>
      </c>
      <c r="D1248" t="s">
        <v>1735</v>
      </c>
      <c r="E1248">
        <v>12342</v>
      </c>
    </row>
    <row r="1249" spans="1:5">
      <c r="A1249" s="1">
        <v>45815</v>
      </c>
      <c r="B1249" t="s">
        <v>1280</v>
      </c>
      <c r="C1249" t="s">
        <v>20</v>
      </c>
      <c r="D1249" t="s">
        <v>1736</v>
      </c>
      <c r="E1249">
        <v>110</v>
      </c>
    </row>
    <row r="1250" spans="1:5">
      <c r="A1250" s="1">
        <v>45815</v>
      </c>
      <c r="B1250" t="s">
        <v>360</v>
      </c>
      <c r="C1250" t="s">
        <v>20</v>
      </c>
      <c r="D1250" t="s">
        <v>1737</v>
      </c>
      <c r="E1250">
        <v>23370</v>
      </c>
    </row>
    <row r="1251" spans="1:5">
      <c r="A1251" s="1">
        <v>45815</v>
      </c>
      <c r="B1251" t="s">
        <v>1075</v>
      </c>
      <c r="C1251" t="s">
        <v>20</v>
      </c>
      <c r="D1251" t="s">
        <v>1738</v>
      </c>
      <c r="E1251">
        <v>370</v>
      </c>
    </row>
    <row r="1252" spans="1:5">
      <c r="A1252" s="1">
        <v>45815</v>
      </c>
      <c r="B1252" t="s">
        <v>50</v>
      </c>
      <c r="C1252" t="s">
        <v>20</v>
      </c>
      <c r="D1252" t="s">
        <v>1739</v>
      </c>
      <c r="E1252">
        <v>670</v>
      </c>
    </row>
    <row r="1253" spans="1:5">
      <c r="A1253" s="1">
        <v>45816</v>
      </c>
      <c r="B1253" t="s">
        <v>817</v>
      </c>
      <c r="C1253" t="s">
        <v>20</v>
      </c>
      <c r="D1253" t="s">
        <v>1740</v>
      </c>
      <c r="E1253">
        <v>41475</v>
      </c>
    </row>
    <row r="1254" spans="1:5">
      <c r="A1254" s="1">
        <v>45817</v>
      </c>
      <c r="B1254" t="s">
        <v>1741</v>
      </c>
      <c r="C1254" t="s">
        <v>19</v>
      </c>
      <c r="D1254" t="s">
        <v>1742</v>
      </c>
      <c r="E1254">
        <v>40180</v>
      </c>
    </row>
    <row r="1255" spans="1:5">
      <c r="A1255" s="1">
        <v>45817</v>
      </c>
      <c r="B1255" t="s">
        <v>1743</v>
      </c>
      <c r="C1255" t="s">
        <v>20</v>
      </c>
      <c r="D1255" t="s">
        <v>1744</v>
      </c>
      <c r="E1255">
        <v>3700</v>
      </c>
    </row>
    <row r="1256" spans="1:5">
      <c r="A1256" s="1">
        <v>45817</v>
      </c>
      <c r="B1256" t="s">
        <v>212</v>
      </c>
      <c r="C1256" t="s">
        <v>20</v>
      </c>
      <c r="D1256" t="s">
        <v>1745</v>
      </c>
      <c r="E1256">
        <v>53645</v>
      </c>
    </row>
    <row r="1257" spans="1:5">
      <c r="A1257" s="1">
        <v>45817</v>
      </c>
      <c r="B1257" t="s">
        <v>1075</v>
      </c>
      <c r="C1257" t="s">
        <v>20</v>
      </c>
      <c r="D1257" t="s">
        <v>1746</v>
      </c>
      <c r="E1257">
        <v>740</v>
      </c>
    </row>
    <row r="1258" spans="1:5">
      <c r="A1258" s="1">
        <v>45817</v>
      </c>
      <c r="B1258" t="s">
        <v>48</v>
      </c>
      <c r="C1258" t="s">
        <v>20</v>
      </c>
      <c r="D1258" t="s">
        <v>1747</v>
      </c>
      <c r="E1258">
        <v>3495</v>
      </c>
    </row>
    <row r="1259" spans="1:5">
      <c r="A1259" s="1">
        <v>45817</v>
      </c>
      <c r="B1259" t="s">
        <v>1748</v>
      </c>
      <c r="C1259" t="s">
        <v>20</v>
      </c>
      <c r="D1259" t="s">
        <v>1749</v>
      </c>
      <c r="E1259">
        <v>8810</v>
      </c>
    </row>
    <row r="1260" spans="1:5">
      <c r="A1260" s="1">
        <v>45817</v>
      </c>
      <c r="B1260" t="s">
        <v>557</v>
      </c>
      <c r="C1260" t="s">
        <v>20</v>
      </c>
      <c r="D1260" t="s">
        <v>1750</v>
      </c>
      <c r="E1260">
        <v>22396</v>
      </c>
    </row>
    <row r="1261" spans="1:5">
      <c r="A1261" s="1">
        <v>45817</v>
      </c>
      <c r="B1261" t="s">
        <v>35</v>
      </c>
      <c r="C1261" t="s">
        <v>20</v>
      </c>
      <c r="D1261" t="s">
        <v>1751</v>
      </c>
      <c r="E1261">
        <v>12787</v>
      </c>
    </row>
    <row r="1262" spans="1:5">
      <c r="A1262" s="1">
        <v>45817</v>
      </c>
      <c r="B1262" t="s">
        <v>35</v>
      </c>
      <c r="C1262" t="s">
        <v>20</v>
      </c>
      <c r="D1262" t="s">
        <v>1752</v>
      </c>
      <c r="E1262">
        <v>3588</v>
      </c>
    </row>
    <row r="1263" spans="1:5">
      <c r="A1263" s="1">
        <v>45817</v>
      </c>
      <c r="B1263" t="s">
        <v>1753</v>
      </c>
      <c r="C1263" t="s">
        <v>20</v>
      </c>
      <c r="D1263" t="s">
        <v>1754</v>
      </c>
      <c r="E1263">
        <v>14797</v>
      </c>
    </row>
    <row r="1264" spans="1:5">
      <c r="A1264" s="1">
        <v>45817</v>
      </c>
      <c r="B1264" t="s">
        <v>1755</v>
      </c>
      <c r="C1264" t="s">
        <v>20</v>
      </c>
      <c r="D1264" t="s">
        <v>1756</v>
      </c>
      <c r="E1264">
        <v>5640</v>
      </c>
    </row>
    <row r="1265" spans="1:5">
      <c r="A1265" s="1">
        <v>45817</v>
      </c>
      <c r="B1265" t="s">
        <v>1075</v>
      </c>
      <c r="C1265" t="s">
        <v>20</v>
      </c>
      <c r="D1265" t="s">
        <v>1757</v>
      </c>
      <c r="E1265">
        <v>2795</v>
      </c>
    </row>
    <row r="1266" spans="1:5">
      <c r="A1266" s="1">
        <v>45817</v>
      </c>
      <c r="B1266" t="s">
        <v>1758</v>
      </c>
      <c r="C1266" t="s">
        <v>20</v>
      </c>
      <c r="D1266" t="s">
        <v>1759</v>
      </c>
      <c r="E1266">
        <v>2580</v>
      </c>
    </row>
    <row r="1267" spans="1:5">
      <c r="A1267" s="1">
        <v>45817</v>
      </c>
      <c r="B1267" t="s">
        <v>52</v>
      </c>
      <c r="C1267" t="s">
        <v>20</v>
      </c>
      <c r="D1267" t="s">
        <v>1760</v>
      </c>
      <c r="E1267">
        <v>740</v>
      </c>
    </row>
    <row r="1268" spans="1:5">
      <c r="A1268" s="1">
        <v>45817</v>
      </c>
      <c r="B1268" t="s">
        <v>1761</v>
      </c>
      <c r="C1268" t="s">
        <v>20</v>
      </c>
      <c r="D1268" t="s">
        <v>1762</v>
      </c>
      <c r="E1268">
        <v>6500</v>
      </c>
    </row>
    <row r="1269" spans="1:5">
      <c r="A1269" s="1">
        <v>45817</v>
      </c>
      <c r="B1269" t="s">
        <v>557</v>
      </c>
      <c r="C1269" t="s">
        <v>20</v>
      </c>
      <c r="D1269" t="s">
        <v>1763</v>
      </c>
      <c r="E1269">
        <v>2440</v>
      </c>
    </row>
    <row r="1270" spans="1:5">
      <c r="A1270" s="1">
        <v>45817</v>
      </c>
      <c r="B1270" t="s">
        <v>1075</v>
      </c>
      <c r="C1270" t="s">
        <v>20</v>
      </c>
      <c r="D1270" t="s">
        <v>1764</v>
      </c>
      <c r="E1270">
        <v>1110</v>
      </c>
    </row>
    <row r="1271" spans="1:5">
      <c r="A1271" s="1">
        <v>45817</v>
      </c>
      <c r="B1271" t="s">
        <v>1666</v>
      </c>
      <c r="C1271" t="s">
        <v>20</v>
      </c>
      <c r="D1271" t="s">
        <v>1765</v>
      </c>
      <c r="E1271">
        <v>675</v>
      </c>
    </row>
    <row r="1272" spans="1:5">
      <c r="A1272" s="1">
        <v>45817</v>
      </c>
      <c r="B1272" t="s">
        <v>1083</v>
      </c>
      <c r="C1272" t="s">
        <v>20</v>
      </c>
      <c r="D1272" t="s">
        <v>1766</v>
      </c>
      <c r="E1272">
        <v>1996</v>
      </c>
    </row>
    <row r="1273" spans="1:5">
      <c r="A1273" s="1">
        <v>45817</v>
      </c>
      <c r="B1273" t="s">
        <v>799</v>
      </c>
      <c r="C1273" t="s">
        <v>20</v>
      </c>
      <c r="D1273" t="s">
        <v>1767</v>
      </c>
      <c r="E1273">
        <v>370</v>
      </c>
    </row>
    <row r="1274" spans="1:5">
      <c r="A1274" s="1">
        <v>45818</v>
      </c>
      <c r="B1274" t="s">
        <v>1768</v>
      </c>
      <c r="C1274" t="s">
        <v>19</v>
      </c>
      <c r="D1274" t="s">
        <v>1769</v>
      </c>
      <c r="E1274">
        <v>90610</v>
      </c>
    </row>
    <row r="1275" spans="1:5">
      <c r="A1275" s="1">
        <v>45818</v>
      </c>
      <c r="B1275" t="s">
        <v>1567</v>
      </c>
      <c r="C1275" t="s">
        <v>19</v>
      </c>
      <c r="D1275" t="s">
        <v>1770</v>
      </c>
      <c r="E1275">
        <v>256</v>
      </c>
    </row>
    <row r="1276" spans="1:5">
      <c r="A1276" s="1">
        <v>45818</v>
      </c>
      <c r="B1276" t="s">
        <v>1771</v>
      </c>
      <c r="C1276" t="s">
        <v>20</v>
      </c>
      <c r="D1276" t="s">
        <v>1772</v>
      </c>
      <c r="E1276">
        <v>5550</v>
      </c>
    </row>
    <row r="1277" spans="1:5">
      <c r="A1277" s="1">
        <v>45818</v>
      </c>
      <c r="B1277" t="s">
        <v>48</v>
      </c>
      <c r="C1277" t="s">
        <v>20</v>
      </c>
      <c r="D1277" t="s">
        <v>1773</v>
      </c>
      <c r="E1277">
        <v>20037</v>
      </c>
    </row>
    <row r="1278" spans="1:5">
      <c r="A1278" s="1">
        <v>45818</v>
      </c>
      <c r="B1278" t="s">
        <v>1275</v>
      </c>
      <c r="C1278" t="s">
        <v>20</v>
      </c>
      <c r="D1278" t="s">
        <v>1774</v>
      </c>
      <c r="E1278">
        <v>1110</v>
      </c>
    </row>
    <row r="1279" spans="1:5">
      <c r="A1279" s="1">
        <v>45818</v>
      </c>
      <c r="B1279" t="s">
        <v>76</v>
      </c>
      <c r="C1279" t="s">
        <v>20</v>
      </c>
      <c r="D1279" t="s">
        <v>1775</v>
      </c>
      <c r="E1279">
        <v>4035</v>
      </c>
    </row>
    <row r="1280" spans="1:5">
      <c r="A1280" s="1">
        <v>45818</v>
      </c>
      <c r="B1280" t="s">
        <v>1776</v>
      </c>
      <c r="C1280" t="s">
        <v>20</v>
      </c>
      <c r="D1280" t="s">
        <v>1777</v>
      </c>
      <c r="E1280">
        <v>5786</v>
      </c>
    </row>
    <row r="1281" spans="1:5">
      <c r="A1281" s="1">
        <v>45818</v>
      </c>
      <c r="B1281" t="s">
        <v>212</v>
      </c>
      <c r="C1281" t="s">
        <v>20</v>
      </c>
      <c r="D1281" t="s">
        <v>1778</v>
      </c>
      <c r="E1281">
        <v>11478</v>
      </c>
    </row>
    <row r="1282" spans="1:5">
      <c r="A1282" s="1">
        <v>45818</v>
      </c>
      <c r="B1282" t="s">
        <v>68</v>
      </c>
      <c r="C1282" t="s">
        <v>20</v>
      </c>
      <c r="D1282" t="s">
        <v>1779</v>
      </c>
      <c r="E1282">
        <v>17661</v>
      </c>
    </row>
    <row r="1283" spans="1:5">
      <c r="A1283" s="1">
        <v>45818</v>
      </c>
      <c r="B1283" t="s">
        <v>52</v>
      </c>
      <c r="C1283" t="s">
        <v>20</v>
      </c>
      <c r="D1283" t="s">
        <v>1780</v>
      </c>
      <c r="E1283">
        <v>7400</v>
      </c>
    </row>
    <row r="1284" spans="1:5">
      <c r="A1284" s="1">
        <v>45818</v>
      </c>
      <c r="B1284" t="s">
        <v>50</v>
      </c>
      <c r="C1284" t="s">
        <v>20</v>
      </c>
      <c r="D1284" t="s">
        <v>1781</v>
      </c>
      <c r="E1284">
        <v>1116</v>
      </c>
    </row>
    <row r="1285" spans="1:5">
      <c r="A1285" s="1">
        <v>45818</v>
      </c>
      <c r="B1285" t="s">
        <v>1592</v>
      </c>
      <c r="C1285" t="s">
        <v>20</v>
      </c>
      <c r="D1285" t="s">
        <v>1782</v>
      </c>
      <c r="E1285">
        <v>1150</v>
      </c>
    </row>
    <row r="1286" spans="1:5">
      <c r="A1286" s="1">
        <v>45818</v>
      </c>
      <c r="B1286" t="s">
        <v>557</v>
      </c>
      <c r="C1286" t="s">
        <v>20</v>
      </c>
      <c r="D1286" t="s">
        <v>1783</v>
      </c>
      <c r="E1286">
        <v>24420</v>
      </c>
    </row>
    <row r="1287" spans="1:5">
      <c r="A1287" s="1">
        <v>45818</v>
      </c>
      <c r="B1287" t="s">
        <v>557</v>
      </c>
      <c r="C1287" t="s">
        <v>20</v>
      </c>
      <c r="D1287" t="s">
        <v>1784</v>
      </c>
      <c r="E1287">
        <v>260</v>
      </c>
    </row>
    <row r="1288" spans="1:5">
      <c r="A1288" s="1">
        <v>45818</v>
      </c>
      <c r="B1288" t="s">
        <v>100</v>
      </c>
      <c r="C1288" t="s">
        <v>20</v>
      </c>
      <c r="D1288" t="s">
        <v>1785</v>
      </c>
      <c r="E1288">
        <v>4573</v>
      </c>
    </row>
    <row r="1289" spans="1:5">
      <c r="A1289" s="1">
        <v>45818</v>
      </c>
      <c r="B1289" t="s">
        <v>1776</v>
      </c>
      <c r="C1289" t="s">
        <v>20</v>
      </c>
      <c r="D1289" t="s">
        <v>1786</v>
      </c>
      <c r="E1289">
        <v>1240</v>
      </c>
    </row>
    <row r="1290" spans="1:5">
      <c r="A1290" s="1">
        <v>45818</v>
      </c>
      <c r="B1290" t="s">
        <v>1307</v>
      </c>
      <c r="C1290" t="s">
        <v>20</v>
      </c>
      <c r="D1290" t="s">
        <v>1787</v>
      </c>
      <c r="E1290">
        <v>4610</v>
      </c>
    </row>
    <row r="1291" spans="1:5">
      <c r="A1291" s="1">
        <v>45818</v>
      </c>
      <c r="B1291" t="s">
        <v>1631</v>
      </c>
      <c r="C1291" t="s">
        <v>20</v>
      </c>
      <c r="D1291" t="s">
        <v>1788</v>
      </c>
      <c r="E1291">
        <v>1146</v>
      </c>
    </row>
    <row r="1292" spans="1:5">
      <c r="A1292" s="1">
        <v>45818</v>
      </c>
      <c r="B1292" t="s">
        <v>43</v>
      </c>
      <c r="C1292" t="s">
        <v>20</v>
      </c>
      <c r="D1292" t="s">
        <v>1789</v>
      </c>
      <c r="E1292">
        <v>1380</v>
      </c>
    </row>
    <row r="1293" spans="1:5">
      <c r="A1293" s="1">
        <v>45818</v>
      </c>
      <c r="B1293" t="s">
        <v>1307</v>
      </c>
      <c r="C1293" t="s">
        <v>20</v>
      </c>
      <c r="D1293" t="s">
        <v>1790</v>
      </c>
      <c r="E1293">
        <v>1180</v>
      </c>
    </row>
    <row r="1294" spans="1:5">
      <c r="A1294" s="1">
        <v>45819</v>
      </c>
      <c r="B1294" t="s">
        <v>1628</v>
      </c>
      <c r="C1294" t="s">
        <v>19</v>
      </c>
      <c r="D1294" t="s">
        <v>1791</v>
      </c>
      <c r="E1294">
        <v>14251</v>
      </c>
    </row>
    <row r="1295" spans="1:5">
      <c r="A1295" s="1">
        <v>45819</v>
      </c>
      <c r="B1295" t="s">
        <v>56</v>
      </c>
      <c r="C1295" t="s">
        <v>19</v>
      </c>
      <c r="D1295" t="s">
        <v>1792</v>
      </c>
      <c r="E1295">
        <v>4277</v>
      </c>
    </row>
    <row r="1296" spans="1:5">
      <c r="A1296" s="1">
        <v>45819</v>
      </c>
      <c r="B1296" t="s">
        <v>50</v>
      </c>
      <c r="C1296" t="s">
        <v>20</v>
      </c>
      <c r="D1296" t="s">
        <v>1793</v>
      </c>
      <c r="E1296">
        <v>12</v>
      </c>
    </row>
    <row r="1297" spans="1:5">
      <c r="A1297" s="1">
        <v>45819</v>
      </c>
      <c r="B1297" t="s">
        <v>747</v>
      </c>
      <c r="C1297" t="s">
        <v>20</v>
      </c>
      <c r="D1297" t="s">
        <v>1794</v>
      </c>
      <c r="E1297">
        <v>384</v>
      </c>
    </row>
    <row r="1298" spans="1:5">
      <c r="A1298" s="1">
        <v>45819</v>
      </c>
      <c r="B1298" t="s">
        <v>907</v>
      </c>
      <c r="C1298" t="s">
        <v>20</v>
      </c>
      <c r="D1298" t="s">
        <v>1795</v>
      </c>
      <c r="E1298">
        <v>1615</v>
      </c>
    </row>
    <row r="1299" spans="1:5">
      <c r="A1299" s="1">
        <v>45819</v>
      </c>
      <c r="B1299" t="s">
        <v>1796</v>
      </c>
      <c r="C1299" t="s">
        <v>20</v>
      </c>
      <c r="D1299" t="s">
        <v>1797</v>
      </c>
      <c r="E1299">
        <v>9630</v>
      </c>
    </row>
    <row r="1300" spans="1:5">
      <c r="A1300" s="1">
        <v>45819</v>
      </c>
      <c r="B1300" t="s">
        <v>1307</v>
      </c>
      <c r="C1300" t="s">
        <v>20</v>
      </c>
      <c r="D1300" t="s">
        <v>1798</v>
      </c>
      <c r="E1300">
        <v>380</v>
      </c>
    </row>
    <row r="1301" spans="1:5">
      <c r="A1301" s="1">
        <v>45819</v>
      </c>
      <c r="B1301" t="s">
        <v>802</v>
      </c>
      <c r="C1301" t="s">
        <v>20</v>
      </c>
      <c r="D1301" t="s">
        <v>1799</v>
      </c>
      <c r="E1301">
        <v>17650</v>
      </c>
    </row>
    <row r="1302" spans="1:5">
      <c r="A1302" s="1">
        <v>45819</v>
      </c>
      <c r="B1302" t="s">
        <v>35</v>
      </c>
      <c r="C1302" t="s">
        <v>20</v>
      </c>
      <c r="D1302" t="s">
        <v>1800</v>
      </c>
      <c r="E1302">
        <v>25182</v>
      </c>
    </row>
    <row r="1303" spans="1:5">
      <c r="A1303" s="1">
        <v>45819</v>
      </c>
      <c r="B1303" t="s">
        <v>1083</v>
      </c>
      <c r="C1303" t="s">
        <v>20</v>
      </c>
      <c r="D1303" t="s">
        <v>1801</v>
      </c>
      <c r="E1303">
        <v>1066</v>
      </c>
    </row>
    <row r="1304" spans="1:5">
      <c r="A1304" s="1">
        <v>45819</v>
      </c>
      <c r="B1304" t="s">
        <v>1802</v>
      </c>
      <c r="C1304" t="s">
        <v>20</v>
      </c>
      <c r="D1304" t="s">
        <v>1803</v>
      </c>
      <c r="E1304">
        <v>2327</v>
      </c>
    </row>
    <row r="1305" spans="1:5">
      <c r="A1305" s="1">
        <v>45819</v>
      </c>
      <c r="B1305" t="s">
        <v>747</v>
      </c>
      <c r="C1305" t="s">
        <v>20</v>
      </c>
      <c r="D1305" t="s">
        <v>1804</v>
      </c>
      <c r="E1305">
        <v>135</v>
      </c>
    </row>
    <row r="1306" spans="1:5">
      <c r="A1306" s="1">
        <v>45819</v>
      </c>
      <c r="B1306" t="s">
        <v>1592</v>
      </c>
      <c r="C1306" t="s">
        <v>20</v>
      </c>
      <c r="D1306" t="s">
        <v>1805</v>
      </c>
      <c r="E1306">
        <v>9077</v>
      </c>
    </row>
    <row r="1307" spans="1:5">
      <c r="A1307" s="1">
        <v>45819</v>
      </c>
      <c r="B1307" t="s">
        <v>35</v>
      </c>
      <c r="C1307" t="s">
        <v>20</v>
      </c>
      <c r="D1307" t="s">
        <v>1806</v>
      </c>
      <c r="E1307">
        <v>1333</v>
      </c>
    </row>
    <row r="1308" spans="1:5">
      <c r="A1308" s="1">
        <v>45819</v>
      </c>
      <c r="B1308" t="s">
        <v>222</v>
      </c>
      <c r="C1308" t="s">
        <v>20</v>
      </c>
      <c r="D1308" t="s">
        <v>1807</v>
      </c>
      <c r="E1308">
        <v>3927</v>
      </c>
    </row>
    <row r="1309" spans="1:5">
      <c r="A1309" s="1">
        <v>45819</v>
      </c>
      <c r="B1309" t="s">
        <v>1808</v>
      </c>
      <c r="C1309" t="s">
        <v>20</v>
      </c>
      <c r="D1309" t="s">
        <v>1809</v>
      </c>
      <c r="E1309">
        <v>150</v>
      </c>
    </row>
    <row r="1310" spans="1:5">
      <c r="A1310" s="1">
        <v>45820</v>
      </c>
      <c r="B1310" t="s">
        <v>1810</v>
      </c>
      <c r="C1310" t="s">
        <v>19</v>
      </c>
      <c r="D1310" t="s">
        <v>1811</v>
      </c>
      <c r="E1310">
        <v>31721</v>
      </c>
    </row>
    <row r="1311" spans="1:5">
      <c r="A1311" s="1">
        <v>45820</v>
      </c>
      <c r="B1311" t="s">
        <v>56</v>
      </c>
      <c r="C1311" t="s">
        <v>19</v>
      </c>
      <c r="D1311" t="s">
        <v>1812</v>
      </c>
      <c r="E1311">
        <v>6120</v>
      </c>
    </row>
    <row r="1312" spans="1:5">
      <c r="A1312" s="1">
        <v>45820</v>
      </c>
      <c r="B1312" t="s">
        <v>68</v>
      </c>
      <c r="C1312" t="s">
        <v>20</v>
      </c>
      <c r="D1312" t="s">
        <v>1813</v>
      </c>
      <c r="E1312">
        <v>24467</v>
      </c>
    </row>
    <row r="1313" spans="1:5">
      <c r="A1313" s="1">
        <v>45820</v>
      </c>
      <c r="B1313" t="s">
        <v>1814</v>
      </c>
      <c r="C1313" t="s">
        <v>20</v>
      </c>
      <c r="D1313" t="s">
        <v>1815</v>
      </c>
      <c r="E1313">
        <v>5664</v>
      </c>
    </row>
    <row r="1314" spans="1:5">
      <c r="A1314" s="1">
        <v>45820</v>
      </c>
      <c r="B1314" t="s">
        <v>1816</v>
      </c>
      <c r="C1314" t="s">
        <v>20</v>
      </c>
      <c r="D1314" t="s">
        <v>1817</v>
      </c>
      <c r="E1314">
        <v>375</v>
      </c>
    </row>
    <row r="1315" spans="1:5">
      <c r="A1315" s="1">
        <v>45820</v>
      </c>
      <c r="B1315" t="s">
        <v>222</v>
      </c>
      <c r="C1315" t="s">
        <v>20</v>
      </c>
      <c r="D1315" t="s">
        <v>1818</v>
      </c>
      <c r="E1315">
        <v>3186</v>
      </c>
    </row>
    <row r="1316" spans="1:5">
      <c r="A1316" s="1">
        <v>45820</v>
      </c>
      <c r="B1316" t="s">
        <v>1819</v>
      </c>
      <c r="C1316" t="s">
        <v>20</v>
      </c>
      <c r="D1316" t="s">
        <v>1820</v>
      </c>
      <c r="E1316">
        <v>23120</v>
      </c>
    </row>
    <row r="1317" spans="1:5">
      <c r="A1317" s="1">
        <v>45820</v>
      </c>
      <c r="B1317" t="s">
        <v>557</v>
      </c>
      <c r="C1317" t="s">
        <v>20</v>
      </c>
      <c r="D1317" t="s">
        <v>1821</v>
      </c>
      <c r="E1317">
        <v>1043</v>
      </c>
    </row>
    <row r="1318" spans="1:5">
      <c r="A1318" s="1">
        <v>45820</v>
      </c>
      <c r="B1318" t="s">
        <v>50</v>
      </c>
      <c r="C1318" t="s">
        <v>20</v>
      </c>
      <c r="D1318" t="s">
        <v>1822</v>
      </c>
      <c r="E1318">
        <v>10253</v>
      </c>
    </row>
    <row r="1319" spans="1:5">
      <c r="A1319" s="1">
        <v>45820</v>
      </c>
      <c r="B1319" t="s">
        <v>1796</v>
      </c>
      <c r="C1319" t="s">
        <v>20</v>
      </c>
      <c r="D1319" t="s">
        <v>1823</v>
      </c>
      <c r="E1319">
        <v>1665</v>
      </c>
    </row>
    <row r="1320" spans="1:5">
      <c r="A1320" s="1">
        <v>45820</v>
      </c>
      <c r="B1320" t="s">
        <v>1824</v>
      </c>
      <c r="C1320" t="s">
        <v>20</v>
      </c>
      <c r="D1320" t="s">
        <v>1825</v>
      </c>
      <c r="E1320">
        <v>370</v>
      </c>
    </row>
    <row r="1321" spans="1:5">
      <c r="A1321" s="1">
        <v>45820</v>
      </c>
      <c r="B1321" t="s">
        <v>455</v>
      </c>
      <c r="C1321" t="s">
        <v>20</v>
      </c>
      <c r="D1321" t="s">
        <v>1826</v>
      </c>
      <c r="E1321">
        <v>10613</v>
      </c>
    </row>
    <row r="1322" spans="1:5">
      <c r="A1322" s="1">
        <v>45820</v>
      </c>
      <c r="B1322" t="s">
        <v>455</v>
      </c>
      <c r="C1322" t="s">
        <v>20</v>
      </c>
      <c r="D1322" t="s">
        <v>1827</v>
      </c>
      <c r="E1322">
        <v>1701</v>
      </c>
    </row>
    <row r="1323" spans="1:5">
      <c r="A1323" s="1">
        <v>45821</v>
      </c>
      <c r="B1323" t="s">
        <v>1828</v>
      </c>
      <c r="C1323" t="s">
        <v>19</v>
      </c>
      <c r="D1323" t="s">
        <v>1829</v>
      </c>
      <c r="E1323">
        <v>5803</v>
      </c>
    </row>
    <row r="1324" spans="1:5">
      <c r="A1324" s="1">
        <v>45821</v>
      </c>
      <c r="B1324" t="s">
        <v>1049</v>
      </c>
      <c r="C1324" t="s">
        <v>19</v>
      </c>
      <c r="D1324" t="s">
        <v>1830</v>
      </c>
      <c r="E1324">
        <v>24643</v>
      </c>
    </row>
    <row r="1325" spans="1:5">
      <c r="A1325" s="1">
        <v>45821</v>
      </c>
      <c r="B1325" t="s">
        <v>50</v>
      </c>
      <c r="C1325" t="s">
        <v>20</v>
      </c>
      <c r="D1325" t="s">
        <v>1831</v>
      </c>
      <c r="E1325">
        <v>12</v>
      </c>
    </row>
    <row r="1326" spans="1:5">
      <c r="A1326" s="1">
        <v>45821</v>
      </c>
      <c r="B1326" t="s">
        <v>50</v>
      </c>
      <c r="C1326" t="s">
        <v>20</v>
      </c>
      <c r="D1326" t="s">
        <v>1832</v>
      </c>
      <c r="E1326">
        <v>12</v>
      </c>
    </row>
    <row r="1327" spans="1:5">
      <c r="A1327" s="1">
        <v>45821</v>
      </c>
      <c r="B1327" t="s">
        <v>191</v>
      </c>
      <c r="C1327" t="s">
        <v>20</v>
      </c>
      <c r="D1327" t="s">
        <v>1833</v>
      </c>
      <c r="E1327">
        <v>564</v>
      </c>
    </row>
    <row r="1328" spans="1:5">
      <c r="A1328" s="1">
        <v>45821</v>
      </c>
      <c r="B1328" t="s">
        <v>50</v>
      </c>
      <c r="C1328" t="s">
        <v>20</v>
      </c>
      <c r="D1328" t="s">
        <v>1834</v>
      </c>
      <c r="E1328">
        <v>12</v>
      </c>
    </row>
    <row r="1329" spans="1:5">
      <c r="A1329" s="1">
        <v>45821</v>
      </c>
      <c r="B1329" t="s">
        <v>566</v>
      </c>
      <c r="C1329" t="s">
        <v>20</v>
      </c>
      <c r="D1329" t="s">
        <v>1835</v>
      </c>
      <c r="E1329">
        <v>12423</v>
      </c>
    </row>
    <row r="1330" spans="1:5">
      <c r="A1330" s="1">
        <v>45821</v>
      </c>
      <c r="B1330" t="s">
        <v>1836</v>
      </c>
      <c r="C1330" t="s">
        <v>20</v>
      </c>
      <c r="D1330" t="s">
        <v>1837</v>
      </c>
      <c r="E1330">
        <v>1211</v>
      </c>
    </row>
    <row r="1331" spans="1:5">
      <c r="A1331" s="1">
        <v>45821</v>
      </c>
      <c r="B1331" t="s">
        <v>135</v>
      </c>
      <c r="C1331" t="s">
        <v>20</v>
      </c>
      <c r="D1331" t="s">
        <v>1838</v>
      </c>
      <c r="E1331">
        <v>488</v>
      </c>
    </row>
    <row r="1332" spans="1:5">
      <c r="A1332" s="1">
        <v>45821</v>
      </c>
      <c r="B1332" t="s">
        <v>50</v>
      </c>
      <c r="C1332" t="s">
        <v>20</v>
      </c>
      <c r="D1332" t="s">
        <v>1839</v>
      </c>
      <c r="E1332">
        <v>12</v>
      </c>
    </row>
    <row r="1333" spans="1:5">
      <c r="A1333" s="1">
        <v>45821</v>
      </c>
      <c r="B1333" t="s">
        <v>1631</v>
      </c>
      <c r="C1333" t="s">
        <v>20</v>
      </c>
      <c r="D1333" t="s">
        <v>1840</v>
      </c>
      <c r="E1333">
        <v>1048</v>
      </c>
    </row>
    <row r="1334" spans="1:5">
      <c r="A1334" s="1">
        <v>45821</v>
      </c>
      <c r="B1334" t="s">
        <v>1377</v>
      </c>
      <c r="C1334" t="s">
        <v>20</v>
      </c>
      <c r="D1334" t="s">
        <v>1841</v>
      </c>
      <c r="E1334">
        <v>3035</v>
      </c>
    </row>
    <row r="1335" spans="1:5">
      <c r="A1335" s="1">
        <v>45821</v>
      </c>
      <c r="B1335" t="s">
        <v>557</v>
      </c>
      <c r="C1335" t="s">
        <v>20</v>
      </c>
      <c r="D1335" t="s">
        <v>1842</v>
      </c>
      <c r="E1335">
        <v>89</v>
      </c>
    </row>
    <row r="1336" spans="1:5">
      <c r="A1336" s="1">
        <v>45822</v>
      </c>
      <c r="B1336" t="s">
        <v>56</v>
      </c>
      <c r="C1336" t="s">
        <v>19</v>
      </c>
      <c r="D1336" t="s">
        <v>1843</v>
      </c>
      <c r="E1336">
        <v>300</v>
      </c>
    </row>
    <row r="1337" spans="1:5">
      <c r="A1337" s="1">
        <v>45822</v>
      </c>
      <c r="B1337" t="s">
        <v>1628</v>
      </c>
      <c r="C1337" t="s">
        <v>19</v>
      </c>
      <c r="D1337" t="s">
        <v>1844</v>
      </c>
      <c r="E1337">
        <v>14032</v>
      </c>
    </row>
    <row r="1338" spans="1:5">
      <c r="A1338" s="1">
        <v>45822</v>
      </c>
      <c r="B1338" t="s">
        <v>1845</v>
      </c>
      <c r="C1338" t="s">
        <v>19</v>
      </c>
      <c r="D1338" t="s">
        <v>1846</v>
      </c>
      <c r="E1338">
        <v>24530</v>
      </c>
    </row>
    <row r="1339" spans="1:5">
      <c r="A1339" s="1">
        <v>45822</v>
      </c>
      <c r="B1339" t="s">
        <v>1847</v>
      </c>
      <c r="C1339" t="s">
        <v>20</v>
      </c>
      <c r="D1339" t="s">
        <v>1848</v>
      </c>
      <c r="E1339">
        <v>4150</v>
      </c>
    </row>
    <row r="1340" spans="1:5">
      <c r="A1340" s="1">
        <v>45822</v>
      </c>
      <c r="B1340" t="s">
        <v>135</v>
      </c>
      <c r="C1340" t="s">
        <v>20</v>
      </c>
      <c r="D1340" t="s">
        <v>1849</v>
      </c>
      <c r="E1340">
        <v>5325</v>
      </c>
    </row>
    <row r="1341" spans="1:5">
      <c r="A1341" s="1">
        <v>45822</v>
      </c>
      <c r="B1341" t="s">
        <v>76</v>
      </c>
      <c r="C1341" t="s">
        <v>20</v>
      </c>
      <c r="D1341" t="s">
        <v>1850</v>
      </c>
      <c r="E1341">
        <v>2270</v>
      </c>
    </row>
    <row r="1342" spans="1:5">
      <c r="A1342" s="1">
        <v>45822</v>
      </c>
      <c r="B1342" t="s">
        <v>1196</v>
      </c>
      <c r="C1342" t="s">
        <v>20</v>
      </c>
      <c r="D1342" t="s">
        <v>1851</v>
      </c>
      <c r="E1342">
        <v>1717</v>
      </c>
    </row>
    <row r="1343" spans="1:5">
      <c r="A1343" s="1">
        <v>45822</v>
      </c>
      <c r="B1343" t="s">
        <v>50</v>
      </c>
      <c r="C1343" t="s">
        <v>20</v>
      </c>
      <c r="D1343" t="s">
        <v>1852</v>
      </c>
      <c r="E1343">
        <v>12</v>
      </c>
    </row>
    <row r="1344" spans="1:5">
      <c r="A1344" s="1">
        <v>45822</v>
      </c>
      <c r="B1344" t="s">
        <v>43</v>
      </c>
      <c r="C1344" t="s">
        <v>20</v>
      </c>
      <c r="D1344" t="s">
        <v>1853</v>
      </c>
      <c r="E1344">
        <v>5325</v>
      </c>
    </row>
    <row r="1345" spans="1:5">
      <c r="A1345" s="1">
        <v>45822</v>
      </c>
      <c r="B1345" t="s">
        <v>50</v>
      </c>
      <c r="C1345" t="s">
        <v>20</v>
      </c>
      <c r="D1345" t="s">
        <v>1854</v>
      </c>
      <c r="E1345">
        <v>2087</v>
      </c>
    </row>
    <row r="1346" spans="1:5">
      <c r="A1346" s="1">
        <v>45822</v>
      </c>
      <c r="B1346" t="s">
        <v>52</v>
      </c>
      <c r="C1346" t="s">
        <v>20</v>
      </c>
      <c r="D1346" t="s">
        <v>1855</v>
      </c>
      <c r="E1346">
        <v>1480</v>
      </c>
    </row>
    <row r="1347" spans="1:5">
      <c r="A1347" s="1">
        <v>45822</v>
      </c>
      <c r="B1347" t="s">
        <v>1075</v>
      </c>
      <c r="C1347" t="s">
        <v>20</v>
      </c>
      <c r="D1347" t="s">
        <v>1856</v>
      </c>
      <c r="E1347">
        <v>33</v>
      </c>
    </row>
    <row r="1348" spans="1:5">
      <c r="A1348" s="1">
        <v>45822</v>
      </c>
      <c r="B1348" t="s">
        <v>557</v>
      </c>
      <c r="C1348" t="s">
        <v>20</v>
      </c>
      <c r="D1348" t="s">
        <v>1857</v>
      </c>
      <c r="E1348">
        <v>16357</v>
      </c>
    </row>
    <row r="1349" spans="1:5">
      <c r="A1349" s="1">
        <v>45822</v>
      </c>
      <c r="B1349" t="s">
        <v>626</v>
      </c>
      <c r="C1349" t="s">
        <v>20</v>
      </c>
      <c r="D1349" t="s">
        <v>1858</v>
      </c>
      <c r="E1349">
        <v>3887</v>
      </c>
    </row>
    <row r="1350" spans="1:5">
      <c r="A1350" s="1">
        <v>45822</v>
      </c>
      <c r="B1350" t="s">
        <v>100</v>
      </c>
      <c r="C1350" t="s">
        <v>20</v>
      </c>
      <c r="D1350" t="s">
        <v>1859</v>
      </c>
      <c r="E1350">
        <v>18117</v>
      </c>
    </row>
    <row r="1351" spans="1:5">
      <c r="A1351" s="1">
        <v>45822</v>
      </c>
      <c r="B1351" t="s">
        <v>566</v>
      </c>
      <c r="C1351" t="s">
        <v>20</v>
      </c>
      <c r="D1351" t="s">
        <v>1860</v>
      </c>
      <c r="E1351">
        <v>30</v>
      </c>
    </row>
    <row r="1352" spans="1:5">
      <c r="A1352" s="1">
        <v>45822</v>
      </c>
      <c r="B1352" t="s">
        <v>1677</v>
      </c>
      <c r="C1352" t="s">
        <v>20</v>
      </c>
      <c r="D1352" t="s">
        <v>1861</v>
      </c>
      <c r="E1352">
        <v>8861</v>
      </c>
    </row>
    <row r="1353" spans="1:5">
      <c r="A1353" s="1">
        <v>45822</v>
      </c>
      <c r="B1353" t="s">
        <v>360</v>
      </c>
      <c r="C1353" t="s">
        <v>20</v>
      </c>
      <c r="D1353" t="s">
        <v>1862</v>
      </c>
      <c r="E1353">
        <v>1805</v>
      </c>
    </row>
    <row r="1354" spans="1:5">
      <c r="A1354" s="1">
        <v>45822</v>
      </c>
      <c r="B1354" t="s">
        <v>1748</v>
      </c>
      <c r="C1354" t="s">
        <v>20</v>
      </c>
      <c r="D1354" t="s">
        <v>1863</v>
      </c>
      <c r="E1354">
        <v>230</v>
      </c>
    </row>
    <row r="1355" spans="1:5">
      <c r="A1355" s="1">
        <v>45824</v>
      </c>
      <c r="B1355" t="s">
        <v>56</v>
      </c>
      <c r="C1355" t="s">
        <v>19</v>
      </c>
      <c r="D1355" t="s">
        <v>1864</v>
      </c>
      <c r="E1355">
        <v>4233</v>
      </c>
    </row>
    <row r="1356" spans="1:5">
      <c r="A1356" s="1">
        <v>45824</v>
      </c>
      <c r="B1356" t="s">
        <v>56</v>
      </c>
      <c r="C1356" t="s">
        <v>19</v>
      </c>
      <c r="D1356" t="s">
        <v>1865</v>
      </c>
      <c r="E1356">
        <v>1274</v>
      </c>
    </row>
    <row r="1357" spans="1:5">
      <c r="A1357" s="1">
        <v>45824</v>
      </c>
      <c r="B1357" t="s">
        <v>1567</v>
      </c>
      <c r="C1357" t="s">
        <v>19</v>
      </c>
      <c r="D1357" t="s">
        <v>1866</v>
      </c>
      <c r="E1357">
        <v>920</v>
      </c>
    </row>
    <row r="1358" spans="1:5">
      <c r="A1358" s="1">
        <v>45824</v>
      </c>
      <c r="B1358" t="s">
        <v>83</v>
      </c>
      <c r="C1358" t="s">
        <v>20</v>
      </c>
      <c r="D1358" t="s">
        <v>1867</v>
      </c>
      <c r="E1358">
        <v>84040</v>
      </c>
    </row>
    <row r="1359" spans="1:5">
      <c r="A1359" s="1">
        <v>45824</v>
      </c>
      <c r="B1359" t="s">
        <v>33</v>
      </c>
      <c r="C1359" t="s">
        <v>20</v>
      </c>
      <c r="D1359" t="s">
        <v>1868</v>
      </c>
      <c r="E1359">
        <v>5650</v>
      </c>
    </row>
    <row r="1360" spans="1:5">
      <c r="A1360" s="1">
        <v>45824</v>
      </c>
      <c r="B1360" t="s">
        <v>1869</v>
      </c>
      <c r="C1360" t="s">
        <v>20</v>
      </c>
      <c r="D1360" t="s">
        <v>1870</v>
      </c>
      <c r="E1360">
        <v>250</v>
      </c>
    </row>
    <row r="1361" spans="1:5">
      <c r="A1361" s="1">
        <v>45824</v>
      </c>
      <c r="B1361" t="s">
        <v>566</v>
      </c>
      <c r="C1361" t="s">
        <v>20</v>
      </c>
      <c r="D1361" t="s">
        <v>1871</v>
      </c>
      <c r="E1361">
        <v>2576</v>
      </c>
    </row>
    <row r="1362" spans="1:5">
      <c r="A1362" s="1">
        <v>45824</v>
      </c>
      <c r="B1362" t="s">
        <v>1685</v>
      </c>
      <c r="C1362" t="s">
        <v>20</v>
      </c>
      <c r="D1362" t="s">
        <v>1872</v>
      </c>
      <c r="E1362">
        <v>457</v>
      </c>
    </row>
    <row r="1363" spans="1:5">
      <c r="A1363" s="1">
        <v>45824</v>
      </c>
      <c r="B1363" t="s">
        <v>410</v>
      </c>
      <c r="C1363" t="s">
        <v>20</v>
      </c>
      <c r="D1363" t="s">
        <v>1873</v>
      </c>
      <c r="E1363">
        <v>325</v>
      </c>
    </row>
    <row r="1364" spans="1:5">
      <c r="A1364" s="1">
        <v>45824</v>
      </c>
      <c r="B1364" t="s">
        <v>35</v>
      </c>
      <c r="C1364" t="s">
        <v>20</v>
      </c>
      <c r="D1364" t="s">
        <v>1874</v>
      </c>
      <c r="E1364">
        <v>2667</v>
      </c>
    </row>
    <row r="1365" spans="1:5">
      <c r="A1365" s="1">
        <v>45824</v>
      </c>
      <c r="B1365" t="s">
        <v>1275</v>
      </c>
      <c r="C1365" t="s">
        <v>20</v>
      </c>
      <c r="D1365" t="s">
        <v>1875</v>
      </c>
      <c r="E1365">
        <v>1820</v>
      </c>
    </row>
    <row r="1366" spans="1:5">
      <c r="A1366" s="1">
        <v>45824</v>
      </c>
      <c r="B1366" t="s">
        <v>50</v>
      </c>
      <c r="C1366" t="s">
        <v>20</v>
      </c>
      <c r="D1366" t="s">
        <v>1876</v>
      </c>
      <c r="E1366">
        <v>12</v>
      </c>
    </row>
    <row r="1367" spans="1:5">
      <c r="A1367" s="1">
        <v>45824</v>
      </c>
      <c r="B1367" t="s">
        <v>254</v>
      </c>
      <c r="C1367" t="s">
        <v>20</v>
      </c>
      <c r="D1367" t="s">
        <v>1877</v>
      </c>
      <c r="E1367">
        <v>2471</v>
      </c>
    </row>
    <row r="1368" spans="1:5">
      <c r="A1368" s="1">
        <v>45824</v>
      </c>
      <c r="B1368" t="s">
        <v>135</v>
      </c>
      <c r="C1368" t="s">
        <v>20</v>
      </c>
      <c r="D1368" t="s">
        <v>1878</v>
      </c>
      <c r="E1368">
        <v>4974</v>
      </c>
    </row>
    <row r="1369" spans="1:5">
      <c r="A1369" s="1">
        <v>45824</v>
      </c>
      <c r="B1369" t="s">
        <v>1592</v>
      </c>
      <c r="C1369" t="s">
        <v>20</v>
      </c>
      <c r="D1369" t="s">
        <v>1879</v>
      </c>
      <c r="E1369">
        <v>54014</v>
      </c>
    </row>
    <row r="1370" spans="1:5">
      <c r="A1370" s="1">
        <v>45825</v>
      </c>
      <c r="B1370" t="s">
        <v>50</v>
      </c>
      <c r="C1370" t="s">
        <v>20</v>
      </c>
      <c r="D1370" t="s">
        <v>1880</v>
      </c>
      <c r="E1370">
        <v>370</v>
      </c>
    </row>
    <row r="1371" spans="1:5">
      <c r="A1371" s="1">
        <v>45825</v>
      </c>
      <c r="B1371" t="s">
        <v>1881</v>
      </c>
      <c r="C1371" t="s">
        <v>20</v>
      </c>
      <c r="D1371" t="s">
        <v>1882</v>
      </c>
      <c r="E1371">
        <v>96</v>
      </c>
    </row>
    <row r="1372" spans="1:5">
      <c r="A1372" s="1">
        <v>45825</v>
      </c>
      <c r="B1372" t="s">
        <v>195</v>
      </c>
      <c r="C1372" t="s">
        <v>20</v>
      </c>
      <c r="D1372" t="s">
        <v>1883</v>
      </c>
      <c r="E1372">
        <v>56524</v>
      </c>
    </row>
    <row r="1373" spans="1:5">
      <c r="A1373" s="1">
        <v>45825</v>
      </c>
      <c r="B1373" t="s">
        <v>239</v>
      </c>
      <c r="C1373" t="s">
        <v>20</v>
      </c>
      <c r="D1373" t="s">
        <v>1884</v>
      </c>
      <c r="E1373">
        <v>10080</v>
      </c>
    </row>
    <row r="1374" spans="1:5">
      <c r="A1374" s="1">
        <v>45825</v>
      </c>
      <c r="B1374" t="s">
        <v>360</v>
      </c>
      <c r="C1374" t="s">
        <v>20</v>
      </c>
      <c r="D1374" t="s">
        <v>1885</v>
      </c>
      <c r="E1374">
        <v>840</v>
      </c>
    </row>
    <row r="1375" spans="1:5">
      <c r="A1375" s="1">
        <v>45825</v>
      </c>
      <c r="B1375" t="s">
        <v>1748</v>
      </c>
      <c r="C1375" t="s">
        <v>20</v>
      </c>
      <c r="D1375" t="s">
        <v>1886</v>
      </c>
      <c r="E1375">
        <v>11036</v>
      </c>
    </row>
    <row r="1376" spans="1:5">
      <c r="A1376" s="1">
        <v>45825</v>
      </c>
      <c r="B1376" t="s">
        <v>1887</v>
      </c>
      <c r="C1376" t="s">
        <v>20</v>
      </c>
      <c r="D1376" t="s">
        <v>1888</v>
      </c>
      <c r="E1376">
        <v>315</v>
      </c>
    </row>
    <row r="1377" spans="1:5">
      <c r="A1377" s="1">
        <v>45825</v>
      </c>
      <c r="B1377" t="s">
        <v>321</v>
      </c>
      <c r="C1377" t="s">
        <v>20</v>
      </c>
      <c r="D1377" t="s">
        <v>1889</v>
      </c>
      <c r="E1377">
        <v>3598</v>
      </c>
    </row>
    <row r="1378" spans="1:5">
      <c r="A1378" s="1">
        <v>45825</v>
      </c>
      <c r="B1378" t="s">
        <v>856</v>
      </c>
      <c r="C1378" t="s">
        <v>20</v>
      </c>
      <c r="D1378" t="s">
        <v>1890</v>
      </c>
      <c r="E1378">
        <v>67341</v>
      </c>
    </row>
    <row r="1379" spans="1:5">
      <c r="A1379" s="1">
        <v>45825</v>
      </c>
      <c r="B1379" t="s">
        <v>887</v>
      </c>
      <c r="C1379" t="s">
        <v>20</v>
      </c>
      <c r="D1379" t="s">
        <v>1891</v>
      </c>
      <c r="E1379">
        <v>1350</v>
      </c>
    </row>
    <row r="1380" spans="1:5">
      <c r="A1380" s="1">
        <v>45825</v>
      </c>
      <c r="B1380" t="s">
        <v>1892</v>
      </c>
      <c r="C1380" t="s">
        <v>20</v>
      </c>
      <c r="D1380" t="s">
        <v>1893</v>
      </c>
      <c r="E1380">
        <v>36716</v>
      </c>
    </row>
    <row r="1381" spans="1:5">
      <c r="A1381" s="1">
        <v>45825</v>
      </c>
      <c r="B1381" t="s">
        <v>709</v>
      </c>
      <c r="C1381" t="s">
        <v>20</v>
      </c>
      <c r="D1381" t="s">
        <v>1894</v>
      </c>
      <c r="E1381">
        <v>928</v>
      </c>
    </row>
    <row r="1382" spans="1:5">
      <c r="A1382" s="1">
        <v>45825</v>
      </c>
      <c r="B1382" t="s">
        <v>50</v>
      </c>
      <c r="C1382" t="s">
        <v>20</v>
      </c>
      <c r="D1382" t="s">
        <v>1895</v>
      </c>
      <c r="E1382">
        <v>12</v>
      </c>
    </row>
    <row r="1383" spans="1:5">
      <c r="A1383" s="1">
        <v>45825</v>
      </c>
      <c r="B1383" t="s">
        <v>222</v>
      </c>
      <c r="C1383" t="s">
        <v>20</v>
      </c>
      <c r="D1383" t="s">
        <v>1896</v>
      </c>
      <c r="E1383">
        <v>425</v>
      </c>
    </row>
    <row r="1384" spans="1:5">
      <c r="A1384" s="1">
        <v>45825</v>
      </c>
      <c r="B1384" t="s">
        <v>1897</v>
      </c>
      <c r="C1384" t="s">
        <v>20</v>
      </c>
      <c r="D1384" t="s">
        <v>1898</v>
      </c>
      <c r="E1384">
        <v>3048</v>
      </c>
    </row>
    <row r="1385" spans="1:5">
      <c r="A1385" s="1">
        <v>45826</v>
      </c>
      <c r="B1385" t="s">
        <v>1899</v>
      </c>
      <c r="C1385" t="s">
        <v>19</v>
      </c>
      <c r="D1385" t="s">
        <v>1900</v>
      </c>
      <c r="E1385">
        <v>5284</v>
      </c>
    </row>
    <row r="1386" spans="1:5">
      <c r="A1386" s="1">
        <v>45826</v>
      </c>
      <c r="B1386" t="s">
        <v>1901</v>
      </c>
      <c r="C1386" t="s">
        <v>19</v>
      </c>
      <c r="D1386" t="s">
        <v>1902</v>
      </c>
      <c r="E1386">
        <v>4810</v>
      </c>
    </row>
    <row r="1387" spans="1:5">
      <c r="A1387" s="1">
        <v>45826</v>
      </c>
      <c r="B1387" t="s">
        <v>1903</v>
      </c>
      <c r="C1387" t="s">
        <v>19</v>
      </c>
      <c r="D1387" t="s">
        <v>1904</v>
      </c>
      <c r="E1387">
        <v>11922</v>
      </c>
    </row>
    <row r="1388" spans="1:5">
      <c r="A1388" s="1">
        <v>45826</v>
      </c>
      <c r="B1388" t="s">
        <v>246</v>
      </c>
      <c r="C1388" t="s">
        <v>19</v>
      </c>
      <c r="D1388" t="s">
        <v>1905</v>
      </c>
      <c r="E1388">
        <v>1242</v>
      </c>
    </row>
    <row r="1389" spans="1:5">
      <c r="A1389" s="1">
        <v>45826</v>
      </c>
      <c r="B1389" t="s">
        <v>900</v>
      </c>
      <c r="C1389" t="s">
        <v>20</v>
      </c>
      <c r="D1389" t="s">
        <v>1906</v>
      </c>
      <c r="E1389">
        <v>416</v>
      </c>
    </row>
    <row r="1390" spans="1:5">
      <c r="A1390" s="1">
        <v>45826</v>
      </c>
      <c r="B1390" t="s">
        <v>222</v>
      </c>
      <c r="C1390" t="s">
        <v>20</v>
      </c>
      <c r="D1390" t="s">
        <v>1907</v>
      </c>
      <c r="E1390">
        <v>3034</v>
      </c>
    </row>
    <row r="1391" spans="1:5">
      <c r="A1391" s="1">
        <v>45826</v>
      </c>
      <c r="B1391" t="s">
        <v>203</v>
      </c>
      <c r="C1391" t="s">
        <v>20</v>
      </c>
      <c r="D1391" t="s">
        <v>1908</v>
      </c>
      <c r="E1391">
        <v>9866</v>
      </c>
    </row>
    <row r="1392" spans="1:5">
      <c r="A1392" s="1">
        <v>45826</v>
      </c>
      <c r="B1392" t="s">
        <v>1909</v>
      </c>
      <c r="C1392" t="s">
        <v>20</v>
      </c>
      <c r="D1392" t="s">
        <v>1910</v>
      </c>
      <c r="E1392">
        <v>210</v>
      </c>
    </row>
    <row r="1393" spans="1:5">
      <c r="A1393" s="1">
        <v>45826</v>
      </c>
      <c r="B1393" t="s">
        <v>52</v>
      </c>
      <c r="C1393" t="s">
        <v>20</v>
      </c>
      <c r="D1393" t="s">
        <v>1911</v>
      </c>
      <c r="E1393">
        <v>740</v>
      </c>
    </row>
    <row r="1394" spans="1:5">
      <c r="A1394" s="1">
        <v>45826</v>
      </c>
      <c r="B1394" t="s">
        <v>193</v>
      </c>
      <c r="C1394" t="s">
        <v>20</v>
      </c>
      <c r="D1394" t="s">
        <v>1912</v>
      </c>
      <c r="E1394">
        <v>26910</v>
      </c>
    </row>
    <row r="1395" spans="1:5">
      <c r="A1395" s="1">
        <v>45826</v>
      </c>
      <c r="B1395" t="s">
        <v>557</v>
      </c>
      <c r="C1395" t="s">
        <v>20</v>
      </c>
      <c r="D1395" t="s">
        <v>1913</v>
      </c>
      <c r="E1395">
        <v>495</v>
      </c>
    </row>
    <row r="1396" spans="1:5">
      <c r="A1396" s="1">
        <v>45826</v>
      </c>
      <c r="B1396" t="s">
        <v>1914</v>
      </c>
      <c r="C1396" t="s">
        <v>20</v>
      </c>
      <c r="D1396" t="s">
        <v>1915</v>
      </c>
      <c r="E1396">
        <v>35608</v>
      </c>
    </row>
    <row r="1397" spans="1:5">
      <c r="A1397" s="1">
        <v>45826</v>
      </c>
      <c r="B1397" t="s">
        <v>1916</v>
      </c>
      <c r="C1397" t="s">
        <v>20</v>
      </c>
      <c r="D1397" t="s">
        <v>1917</v>
      </c>
      <c r="E1397">
        <v>3375</v>
      </c>
    </row>
    <row r="1398" spans="1:5">
      <c r="A1398" s="1">
        <v>45826</v>
      </c>
      <c r="B1398" t="s">
        <v>1771</v>
      </c>
      <c r="C1398" t="s">
        <v>20</v>
      </c>
      <c r="D1398" t="s">
        <v>1918</v>
      </c>
      <c r="E1398">
        <v>3700</v>
      </c>
    </row>
    <row r="1399" spans="1:5">
      <c r="A1399" s="1">
        <v>45826</v>
      </c>
      <c r="B1399" t="s">
        <v>900</v>
      </c>
      <c r="C1399" t="s">
        <v>20</v>
      </c>
      <c r="D1399" t="s">
        <v>1919</v>
      </c>
      <c r="E1399">
        <v>540</v>
      </c>
    </row>
    <row r="1400" spans="1:5">
      <c r="A1400" s="1">
        <v>45826</v>
      </c>
      <c r="B1400" t="s">
        <v>557</v>
      </c>
      <c r="C1400" t="s">
        <v>20</v>
      </c>
      <c r="D1400" t="s">
        <v>1920</v>
      </c>
      <c r="E1400">
        <v>1538</v>
      </c>
    </row>
    <row r="1401" spans="1:5">
      <c r="A1401" s="1">
        <v>45826</v>
      </c>
      <c r="B1401" t="s">
        <v>892</v>
      </c>
      <c r="C1401" t="s">
        <v>20</v>
      </c>
      <c r="D1401" t="s">
        <v>1921</v>
      </c>
      <c r="E1401">
        <v>75</v>
      </c>
    </row>
    <row r="1402" spans="1:5">
      <c r="A1402" s="1">
        <v>45827</v>
      </c>
      <c r="B1402" t="s">
        <v>56</v>
      </c>
      <c r="C1402" t="s">
        <v>19</v>
      </c>
      <c r="D1402" t="s">
        <v>1922</v>
      </c>
      <c r="E1402">
        <v>1106</v>
      </c>
    </row>
    <row r="1403" spans="1:5">
      <c r="A1403" s="1">
        <v>45827</v>
      </c>
      <c r="B1403" t="s">
        <v>1923</v>
      </c>
      <c r="C1403" t="s">
        <v>19</v>
      </c>
      <c r="D1403" t="s">
        <v>1924</v>
      </c>
      <c r="E1403">
        <v>12788</v>
      </c>
    </row>
    <row r="1404" spans="1:5">
      <c r="A1404" s="1">
        <v>45827</v>
      </c>
      <c r="B1404" t="s">
        <v>1051</v>
      </c>
      <c r="C1404" t="s">
        <v>20</v>
      </c>
      <c r="D1404" t="s">
        <v>1925</v>
      </c>
      <c r="E1404">
        <v>6405</v>
      </c>
    </row>
    <row r="1405" spans="1:5">
      <c r="A1405" s="1">
        <v>45827</v>
      </c>
      <c r="B1405" t="s">
        <v>1926</v>
      </c>
      <c r="C1405" t="s">
        <v>20</v>
      </c>
      <c r="D1405" t="s">
        <v>1927</v>
      </c>
      <c r="E1405">
        <v>1300</v>
      </c>
    </row>
    <row r="1406" spans="1:5">
      <c r="A1406" s="1">
        <v>45827</v>
      </c>
      <c r="B1406" t="s">
        <v>1666</v>
      </c>
      <c r="C1406" t="s">
        <v>20</v>
      </c>
      <c r="D1406" t="s">
        <v>1928</v>
      </c>
      <c r="E1406">
        <v>610</v>
      </c>
    </row>
    <row r="1407" spans="1:5">
      <c r="A1407" s="1">
        <v>45827</v>
      </c>
      <c r="B1407" t="s">
        <v>50</v>
      </c>
      <c r="C1407" t="s">
        <v>20</v>
      </c>
      <c r="D1407" t="s">
        <v>1929</v>
      </c>
      <c r="E1407">
        <v>12</v>
      </c>
    </row>
    <row r="1408" spans="1:5">
      <c r="A1408" s="1">
        <v>45827</v>
      </c>
      <c r="B1408" t="s">
        <v>50</v>
      </c>
      <c r="C1408" t="s">
        <v>20</v>
      </c>
      <c r="D1408" t="s">
        <v>1930</v>
      </c>
      <c r="E1408">
        <v>12</v>
      </c>
    </row>
    <row r="1409" spans="1:5">
      <c r="A1409" s="1">
        <v>45827</v>
      </c>
      <c r="B1409" t="s">
        <v>557</v>
      </c>
      <c r="C1409" t="s">
        <v>20</v>
      </c>
      <c r="D1409" t="s">
        <v>1931</v>
      </c>
      <c r="E1409">
        <v>4180</v>
      </c>
    </row>
    <row r="1410" spans="1:5">
      <c r="A1410" s="1">
        <v>45827</v>
      </c>
      <c r="B1410" t="s">
        <v>52</v>
      </c>
      <c r="C1410" t="s">
        <v>20</v>
      </c>
      <c r="D1410" t="s">
        <v>1932</v>
      </c>
      <c r="E1410">
        <v>740</v>
      </c>
    </row>
    <row r="1411" spans="1:5">
      <c r="A1411" s="1">
        <v>45827</v>
      </c>
      <c r="B1411" t="s">
        <v>566</v>
      </c>
      <c r="C1411" t="s">
        <v>20</v>
      </c>
      <c r="D1411" t="s">
        <v>1933</v>
      </c>
      <c r="E1411">
        <v>1920</v>
      </c>
    </row>
    <row r="1412" spans="1:5">
      <c r="A1412" s="1">
        <v>45827</v>
      </c>
      <c r="B1412" t="s">
        <v>1934</v>
      </c>
      <c r="C1412" t="s">
        <v>20</v>
      </c>
      <c r="D1412" t="s">
        <v>1935</v>
      </c>
      <c r="E1412">
        <v>35280</v>
      </c>
    </row>
    <row r="1413" spans="1:5">
      <c r="A1413" s="1">
        <v>45827</v>
      </c>
      <c r="B1413" t="s">
        <v>802</v>
      </c>
      <c r="C1413" t="s">
        <v>20</v>
      </c>
      <c r="D1413" t="s">
        <v>1936</v>
      </c>
      <c r="E1413">
        <v>2086</v>
      </c>
    </row>
    <row r="1414" spans="1:5">
      <c r="A1414" s="1">
        <v>45827</v>
      </c>
      <c r="B1414" t="s">
        <v>1937</v>
      </c>
      <c r="C1414" t="s">
        <v>20</v>
      </c>
      <c r="D1414" t="s">
        <v>1938</v>
      </c>
      <c r="E1414">
        <v>3265</v>
      </c>
    </row>
    <row r="1415" spans="1:5">
      <c r="A1415" s="1">
        <v>45827</v>
      </c>
      <c r="B1415" t="s">
        <v>43</v>
      </c>
      <c r="C1415" t="s">
        <v>20</v>
      </c>
      <c r="D1415" t="s">
        <v>1939</v>
      </c>
      <c r="E1415">
        <v>10484</v>
      </c>
    </row>
    <row r="1416" spans="1:5">
      <c r="A1416" s="1">
        <v>45827</v>
      </c>
      <c r="B1416" t="s">
        <v>1940</v>
      </c>
      <c r="C1416" t="s">
        <v>20</v>
      </c>
      <c r="D1416" t="s">
        <v>1941</v>
      </c>
      <c r="E1416">
        <v>9250</v>
      </c>
    </row>
    <row r="1417" spans="1:5">
      <c r="A1417" s="1">
        <v>45827</v>
      </c>
      <c r="B1417" t="s">
        <v>1196</v>
      </c>
      <c r="C1417" t="s">
        <v>20</v>
      </c>
      <c r="D1417" t="s">
        <v>1942</v>
      </c>
      <c r="E1417">
        <v>6635</v>
      </c>
    </row>
    <row r="1418" spans="1:5">
      <c r="A1418" s="1">
        <v>45827</v>
      </c>
      <c r="B1418" t="s">
        <v>76</v>
      </c>
      <c r="C1418" t="s">
        <v>20</v>
      </c>
      <c r="D1418" t="s">
        <v>1943</v>
      </c>
      <c r="E1418">
        <v>662</v>
      </c>
    </row>
    <row r="1419" spans="1:5">
      <c r="A1419" s="1">
        <v>45827</v>
      </c>
      <c r="B1419" t="s">
        <v>900</v>
      </c>
      <c r="C1419" t="s">
        <v>20</v>
      </c>
      <c r="D1419" t="s">
        <v>1944</v>
      </c>
      <c r="E1419">
        <v>120</v>
      </c>
    </row>
    <row r="1420" spans="1:5">
      <c r="A1420" s="1">
        <v>45827</v>
      </c>
      <c r="B1420" t="s">
        <v>1592</v>
      </c>
      <c r="C1420" t="s">
        <v>20</v>
      </c>
      <c r="D1420" t="s">
        <v>1945</v>
      </c>
      <c r="E1420">
        <v>778</v>
      </c>
    </row>
    <row r="1421" spans="1:5">
      <c r="A1421" s="1">
        <v>45828</v>
      </c>
      <c r="B1421" t="s">
        <v>443</v>
      </c>
      <c r="C1421" t="s">
        <v>19</v>
      </c>
      <c r="D1421" t="s">
        <v>1946</v>
      </c>
      <c r="E1421">
        <v>35900</v>
      </c>
    </row>
    <row r="1422" spans="1:5">
      <c r="A1422" s="1">
        <v>45828</v>
      </c>
      <c r="B1422" t="s">
        <v>1947</v>
      </c>
      <c r="C1422" t="s">
        <v>19</v>
      </c>
      <c r="D1422" t="s">
        <v>1948</v>
      </c>
      <c r="E1422">
        <v>32980</v>
      </c>
    </row>
    <row r="1423" spans="1:5">
      <c r="A1423" s="1">
        <v>45828</v>
      </c>
      <c r="B1423" t="s">
        <v>1901</v>
      </c>
      <c r="C1423" t="s">
        <v>19</v>
      </c>
      <c r="D1423" t="s">
        <v>1949</v>
      </c>
      <c r="E1423">
        <v>3700</v>
      </c>
    </row>
    <row r="1424" spans="1:5">
      <c r="A1424" s="1">
        <v>45828</v>
      </c>
      <c r="B1424" t="s">
        <v>246</v>
      </c>
      <c r="C1424" t="s">
        <v>19</v>
      </c>
      <c r="D1424" t="s">
        <v>1950</v>
      </c>
      <c r="E1424">
        <v>304</v>
      </c>
    </row>
    <row r="1425" spans="1:5">
      <c r="A1425" s="1">
        <v>45828</v>
      </c>
      <c r="B1425" t="s">
        <v>131</v>
      </c>
      <c r="C1425" t="s">
        <v>20</v>
      </c>
      <c r="D1425" t="s">
        <v>1951</v>
      </c>
      <c r="E1425">
        <v>3700</v>
      </c>
    </row>
    <row r="1426" spans="1:5">
      <c r="A1426" s="1">
        <v>45828</v>
      </c>
      <c r="B1426" t="s">
        <v>50</v>
      </c>
      <c r="C1426" t="s">
        <v>20</v>
      </c>
      <c r="D1426" t="s">
        <v>1952</v>
      </c>
      <c r="E1426">
        <v>12</v>
      </c>
    </row>
    <row r="1427" spans="1:5">
      <c r="A1427" s="1">
        <v>45828</v>
      </c>
      <c r="B1427" t="s">
        <v>76</v>
      </c>
      <c r="C1427" t="s">
        <v>20</v>
      </c>
      <c r="D1427" t="s">
        <v>1953</v>
      </c>
      <c r="E1427">
        <v>3975</v>
      </c>
    </row>
    <row r="1428" spans="1:5">
      <c r="A1428" s="1">
        <v>45828</v>
      </c>
      <c r="B1428" t="s">
        <v>135</v>
      </c>
      <c r="C1428" t="s">
        <v>20</v>
      </c>
      <c r="D1428" t="s">
        <v>1954</v>
      </c>
      <c r="E1428">
        <v>2350</v>
      </c>
    </row>
    <row r="1429" spans="1:5">
      <c r="A1429" s="1">
        <v>45828</v>
      </c>
      <c r="B1429" t="s">
        <v>1051</v>
      </c>
      <c r="C1429" t="s">
        <v>20</v>
      </c>
      <c r="D1429" t="s">
        <v>1955</v>
      </c>
      <c r="E1429">
        <v>3995</v>
      </c>
    </row>
    <row r="1430" spans="1:5">
      <c r="A1430" s="1">
        <v>45828</v>
      </c>
      <c r="B1430" t="s">
        <v>591</v>
      </c>
      <c r="C1430" t="s">
        <v>20</v>
      </c>
      <c r="D1430" t="s">
        <v>1956</v>
      </c>
      <c r="E1430">
        <v>2574</v>
      </c>
    </row>
    <row r="1431" spans="1:5">
      <c r="A1431" s="1">
        <v>45828</v>
      </c>
      <c r="B1431" t="s">
        <v>254</v>
      </c>
      <c r="C1431" t="s">
        <v>20</v>
      </c>
      <c r="D1431" t="s">
        <v>1957</v>
      </c>
      <c r="E1431">
        <v>1110</v>
      </c>
    </row>
    <row r="1432" spans="1:5">
      <c r="A1432" s="1">
        <v>45828</v>
      </c>
      <c r="B1432" t="s">
        <v>557</v>
      </c>
      <c r="C1432" t="s">
        <v>20</v>
      </c>
      <c r="D1432" t="s">
        <v>1958</v>
      </c>
      <c r="E1432">
        <v>1276</v>
      </c>
    </row>
    <row r="1433" spans="1:5">
      <c r="A1433" s="1">
        <v>45828</v>
      </c>
      <c r="B1433" t="s">
        <v>52</v>
      </c>
      <c r="C1433" t="s">
        <v>20</v>
      </c>
      <c r="D1433" t="s">
        <v>1959</v>
      </c>
      <c r="E1433">
        <v>370</v>
      </c>
    </row>
    <row r="1434" spans="1:5">
      <c r="A1434" s="1">
        <v>45828</v>
      </c>
      <c r="B1434" t="s">
        <v>1960</v>
      </c>
      <c r="C1434" t="s">
        <v>20</v>
      </c>
      <c r="D1434" t="s">
        <v>1961</v>
      </c>
      <c r="E1434">
        <v>2120</v>
      </c>
    </row>
    <row r="1435" spans="1:5">
      <c r="A1435" s="1">
        <v>45828</v>
      </c>
      <c r="B1435" t="s">
        <v>290</v>
      </c>
      <c r="C1435" t="s">
        <v>20</v>
      </c>
      <c r="D1435" t="s">
        <v>1962</v>
      </c>
      <c r="E1435">
        <v>6416</v>
      </c>
    </row>
    <row r="1436" spans="1:5">
      <c r="A1436" s="1">
        <v>45828</v>
      </c>
      <c r="B1436" t="s">
        <v>1666</v>
      </c>
      <c r="C1436" t="s">
        <v>20</v>
      </c>
      <c r="D1436" t="s">
        <v>1963</v>
      </c>
      <c r="E1436">
        <v>656</v>
      </c>
    </row>
    <row r="1437" spans="1:5">
      <c r="A1437" s="1">
        <v>45828</v>
      </c>
      <c r="B1437" t="s">
        <v>1964</v>
      </c>
      <c r="C1437" t="s">
        <v>20</v>
      </c>
      <c r="D1437" t="s">
        <v>1965</v>
      </c>
      <c r="E1437">
        <v>8215</v>
      </c>
    </row>
    <row r="1438" spans="1:5">
      <c r="A1438" s="1">
        <v>45828</v>
      </c>
      <c r="B1438" t="s">
        <v>756</v>
      </c>
      <c r="C1438" t="s">
        <v>20</v>
      </c>
      <c r="D1438" t="s">
        <v>1966</v>
      </c>
      <c r="E1438">
        <v>125</v>
      </c>
    </row>
    <row r="1439" spans="1:5">
      <c r="A1439" s="1">
        <v>45828</v>
      </c>
      <c r="B1439" t="s">
        <v>195</v>
      </c>
      <c r="C1439" t="s">
        <v>20</v>
      </c>
      <c r="D1439" t="s">
        <v>1967</v>
      </c>
      <c r="E1439">
        <v>9367</v>
      </c>
    </row>
    <row r="1440" spans="1:5">
      <c r="A1440" s="1">
        <v>45828</v>
      </c>
      <c r="B1440" t="s">
        <v>563</v>
      </c>
      <c r="C1440" t="s">
        <v>20</v>
      </c>
      <c r="D1440" t="s">
        <v>1968</v>
      </c>
      <c r="E1440">
        <v>60</v>
      </c>
    </row>
    <row r="1441" spans="1:5">
      <c r="A1441" s="1">
        <v>45828</v>
      </c>
      <c r="B1441" t="s">
        <v>290</v>
      </c>
      <c r="C1441" t="s">
        <v>20</v>
      </c>
      <c r="D1441" t="s">
        <v>1969</v>
      </c>
      <c r="E1441">
        <v>360</v>
      </c>
    </row>
    <row r="1442" spans="1:5">
      <c r="A1442" s="1">
        <v>45828</v>
      </c>
      <c r="B1442" t="s">
        <v>1970</v>
      </c>
      <c r="C1442" t="s">
        <v>20</v>
      </c>
      <c r="D1442" t="s">
        <v>1971</v>
      </c>
      <c r="E1442">
        <v>24134</v>
      </c>
    </row>
    <row r="1443" spans="1:5">
      <c r="A1443" s="1">
        <v>45828</v>
      </c>
      <c r="B1443" t="s">
        <v>721</v>
      </c>
      <c r="C1443" t="s">
        <v>20</v>
      </c>
      <c r="D1443" t="s">
        <v>1972</v>
      </c>
      <c r="E1443">
        <v>20806</v>
      </c>
    </row>
    <row r="1444" spans="1:5">
      <c r="A1444" s="1">
        <v>45828</v>
      </c>
      <c r="B1444" t="s">
        <v>528</v>
      </c>
      <c r="C1444" t="s">
        <v>20</v>
      </c>
      <c r="D1444" t="s">
        <v>1973</v>
      </c>
      <c r="E1444">
        <v>3576</v>
      </c>
    </row>
    <row r="1445" spans="1:5">
      <c r="A1445" s="1">
        <v>45828</v>
      </c>
      <c r="B1445" t="s">
        <v>50</v>
      </c>
      <c r="C1445" t="s">
        <v>20</v>
      </c>
      <c r="D1445" t="s">
        <v>1974</v>
      </c>
      <c r="E1445">
        <v>370</v>
      </c>
    </row>
    <row r="1446" spans="1:5">
      <c r="A1446" s="1">
        <v>45828</v>
      </c>
      <c r="B1446" t="s">
        <v>1975</v>
      </c>
      <c r="C1446" t="s">
        <v>20</v>
      </c>
      <c r="D1446" t="s">
        <v>1976</v>
      </c>
      <c r="E1446">
        <v>30506</v>
      </c>
    </row>
    <row r="1447" spans="1:5">
      <c r="A1447" s="1">
        <v>45829</v>
      </c>
      <c r="B1447" t="s">
        <v>1049</v>
      </c>
      <c r="C1447" t="s">
        <v>19</v>
      </c>
      <c r="D1447" t="s">
        <v>1977</v>
      </c>
      <c r="E1447">
        <v>9250</v>
      </c>
    </row>
    <row r="1448" spans="1:5">
      <c r="A1448" s="1">
        <v>45829</v>
      </c>
      <c r="B1448" t="s">
        <v>56</v>
      </c>
      <c r="C1448" t="s">
        <v>19</v>
      </c>
      <c r="D1448" t="s">
        <v>1978</v>
      </c>
      <c r="E1448">
        <v>4621</v>
      </c>
    </row>
    <row r="1449" spans="1:5">
      <c r="A1449" s="1">
        <v>45829</v>
      </c>
      <c r="B1449" t="s">
        <v>254</v>
      </c>
      <c r="C1449" t="s">
        <v>20</v>
      </c>
      <c r="D1449" t="s">
        <v>1979</v>
      </c>
      <c r="E1449">
        <v>7990</v>
      </c>
    </row>
    <row r="1450" spans="1:5">
      <c r="A1450" s="1">
        <v>45829</v>
      </c>
      <c r="B1450" t="s">
        <v>1980</v>
      </c>
      <c r="C1450" t="s">
        <v>20</v>
      </c>
      <c r="D1450" t="s">
        <v>1981</v>
      </c>
      <c r="E1450">
        <v>250</v>
      </c>
    </row>
    <row r="1451" spans="1:5">
      <c r="A1451" s="1">
        <v>45829</v>
      </c>
      <c r="B1451" t="s">
        <v>321</v>
      </c>
      <c r="C1451" t="s">
        <v>20</v>
      </c>
      <c r="D1451" t="s">
        <v>1982</v>
      </c>
      <c r="E1451">
        <v>762</v>
      </c>
    </row>
    <row r="1452" spans="1:5">
      <c r="A1452" s="1">
        <v>45829</v>
      </c>
      <c r="B1452" t="s">
        <v>1671</v>
      </c>
      <c r="C1452" t="s">
        <v>20</v>
      </c>
      <c r="D1452" t="s">
        <v>1983</v>
      </c>
      <c r="E1452">
        <v>1860</v>
      </c>
    </row>
    <row r="1453" spans="1:5">
      <c r="A1453" s="1">
        <v>45829</v>
      </c>
      <c r="B1453" t="s">
        <v>1984</v>
      </c>
      <c r="C1453" t="s">
        <v>20</v>
      </c>
      <c r="D1453" t="s">
        <v>1985</v>
      </c>
      <c r="E1453">
        <v>2772</v>
      </c>
    </row>
    <row r="1454" spans="1:5">
      <c r="A1454" s="1">
        <v>45829</v>
      </c>
      <c r="B1454" t="s">
        <v>50</v>
      </c>
      <c r="C1454" t="s">
        <v>20</v>
      </c>
      <c r="D1454" t="s">
        <v>1986</v>
      </c>
      <c r="E1454">
        <v>12</v>
      </c>
    </row>
    <row r="1455" spans="1:5">
      <c r="A1455" s="1">
        <v>45829</v>
      </c>
      <c r="B1455" t="s">
        <v>1377</v>
      </c>
      <c r="C1455" t="s">
        <v>20</v>
      </c>
      <c r="D1455" t="s">
        <v>1987</v>
      </c>
      <c r="E1455">
        <v>6676</v>
      </c>
    </row>
    <row r="1456" spans="1:5">
      <c r="A1456" s="1">
        <v>45829</v>
      </c>
      <c r="B1456" t="s">
        <v>135</v>
      </c>
      <c r="C1456" t="s">
        <v>20</v>
      </c>
      <c r="D1456" t="s">
        <v>1988</v>
      </c>
      <c r="E1456">
        <v>10</v>
      </c>
    </row>
    <row r="1457" spans="1:5">
      <c r="A1457" s="1">
        <v>45829</v>
      </c>
      <c r="B1457" t="s">
        <v>76</v>
      </c>
      <c r="C1457" t="s">
        <v>20</v>
      </c>
      <c r="D1457" t="s">
        <v>1989</v>
      </c>
      <c r="E1457">
        <v>375</v>
      </c>
    </row>
    <row r="1458" spans="1:5">
      <c r="A1458" s="1">
        <v>45829</v>
      </c>
      <c r="B1458" t="s">
        <v>50</v>
      </c>
      <c r="C1458" t="s">
        <v>20</v>
      </c>
      <c r="D1458" t="s">
        <v>1990</v>
      </c>
      <c r="E1458">
        <v>370</v>
      </c>
    </row>
    <row r="1459" spans="1:5">
      <c r="A1459" s="1">
        <v>45829</v>
      </c>
      <c r="B1459" t="s">
        <v>1991</v>
      </c>
      <c r="C1459" t="s">
        <v>20</v>
      </c>
      <c r="D1459" t="s">
        <v>1992</v>
      </c>
      <c r="E1459">
        <v>33874</v>
      </c>
    </row>
    <row r="1460" spans="1:5">
      <c r="A1460" s="1">
        <v>45829</v>
      </c>
      <c r="B1460" t="s">
        <v>1666</v>
      </c>
      <c r="C1460" t="s">
        <v>20</v>
      </c>
      <c r="D1460" t="s">
        <v>1993</v>
      </c>
      <c r="E1460">
        <v>25960</v>
      </c>
    </row>
    <row r="1461" spans="1:5">
      <c r="A1461" s="1">
        <v>45829</v>
      </c>
      <c r="B1461" t="s">
        <v>1994</v>
      </c>
      <c r="C1461" t="s">
        <v>20</v>
      </c>
      <c r="D1461" t="s">
        <v>1995</v>
      </c>
      <c r="E1461">
        <v>9526</v>
      </c>
    </row>
    <row r="1462" spans="1:5">
      <c r="A1462" s="1">
        <v>45829</v>
      </c>
      <c r="B1462" t="s">
        <v>1996</v>
      </c>
      <c r="C1462" t="s">
        <v>20</v>
      </c>
      <c r="D1462" t="s">
        <v>1997</v>
      </c>
      <c r="E1462">
        <v>2800</v>
      </c>
    </row>
    <row r="1463" spans="1:5">
      <c r="A1463" s="1">
        <v>45829</v>
      </c>
      <c r="B1463" t="s">
        <v>1998</v>
      </c>
      <c r="C1463" t="s">
        <v>20</v>
      </c>
      <c r="D1463" t="s">
        <v>1999</v>
      </c>
      <c r="E1463">
        <v>16836</v>
      </c>
    </row>
    <row r="1464" spans="1:5">
      <c r="A1464" s="1">
        <v>45829</v>
      </c>
      <c r="B1464" t="s">
        <v>222</v>
      </c>
      <c r="C1464" t="s">
        <v>20</v>
      </c>
      <c r="D1464" t="s">
        <v>2000</v>
      </c>
      <c r="E1464">
        <v>15488</v>
      </c>
    </row>
    <row r="1465" spans="1:5">
      <c r="A1465" s="1">
        <v>45829</v>
      </c>
      <c r="B1465" t="s">
        <v>2001</v>
      </c>
      <c r="C1465" t="s">
        <v>20</v>
      </c>
      <c r="D1465" t="s">
        <v>2002</v>
      </c>
      <c r="E1465">
        <v>17521</v>
      </c>
    </row>
    <row r="1466" spans="1:5">
      <c r="A1466" s="1">
        <v>45829</v>
      </c>
      <c r="B1466" t="s">
        <v>455</v>
      </c>
      <c r="C1466" t="s">
        <v>20</v>
      </c>
      <c r="D1466" t="s">
        <v>2003</v>
      </c>
      <c r="E1466">
        <v>19313</v>
      </c>
    </row>
    <row r="1467" spans="1:5">
      <c r="A1467" s="1">
        <v>45829</v>
      </c>
      <c r="B1467" t="s">
        <v>2004</v>
      </c>
      <c r="C1467" t="s">
        <v>20</v>
      </c>
      <c r="D1467" t="s">
        <v>2005</v>
      </c>
      <c r="E1467">
        <v>3968</v>
      </c>
    </row>
    <row r="1468" spans="1:5">
      <c r="A1468" s="1">
        <v>45831</v>
      </c>
      <c r="B1468" t="s">
        <v>246</v>
      </c>
      <c r="C1468" t="s">
        <v>19</v>
      </c>
      <c r="D1468" t="s">
        <v>2006</v>
      </c>
      <c r="E1468">
        <v>220</v>
      </c>
    </row>
    <row r="1469" spans="1:5">
      <c r="A1469" s="1">
        <v>45831</v>
      </c>
      <c r="B1469" t="s">
        <v>2007</v>
      </c>
      <c r="C1469" t="s">
        <v>19</v>
      </c>
      <c r="D1469" t="s">
        <v>2008</v>
      </c>
      <c r="E1469">
        <v>4180</v>
      </c>
    </row>
    <row r="1470" spans="1:5">
      <c r="A1470" s="1">
        <v>45831</v>
      </c>
      <c r="B1470" t="s">
        <v>83</v>
      </c>
      <c r="C1470" t="s">
        <v>20</v>
      </c>
      <c r="D1470" t="s">
        <v>2009</v>
      </c>
      <c r="E1470">
        <v>439</v>
      </c>
    </row>
    <row r="1471" spans="1:5">
      <c r="A1471" s="1">
        <v>45831</v>
      </c>
      <c r="B1471" t="s">
        <v>687</v>
      </c>
      <c r="C1471" t="s">
        <v>20</v>
      </c>
      <c r="D1471" t="s">
        <v>2010</v>
      </c>
      <c r="E1471">
        <v>18984</v>
      </c>
    </row>
    <row r="1472" spans="1:5">
      <c r="A1472" s="1">
        <v>45831</v>
      </c>
      <c r="B1472" t="s">
        <v>474</v>
      </c>
      <c r="C1472" t="s">
        <v>20</v>
      </c>
      <c r="D1472" t="s">
        <v>2011</v>
      </c>
      <c r="E1472">
        <v>6406</v>
      </c>
    </row>
    <row r="1473" spans="1:5">
      <c r="A1473" s="1">
        <v>45831</v>
      </c>
      <c r="B1473" t="s">
        <v>254</v>
      </c>
      <c r="C1473" t="s">
        <v>20</v>
      </c>
      <c r="D1473" t="s">
        <v>2012</v>
      </c>
      <c r="E1473">
        <v>3700</v>
      </c>
    </row>
    <row r="1474" spans="1:5">
      <c r="A1474" s="1">
        <v>45831</v>
      </c>
      <c r="B1474" t="s">
        <v>721</v>
      </c>
      <c r="C1474" t="s">
        <v>20</v>
      </c>
      <c r="D1474" t="s">
        <v>2013</v>
      </c>
      <c r="E1474">
        <v>2048</v>
      </c>
    </row>
    <row r="1475" spans="1:5">
      <c r="A1475" s="1">
        <v>45831</v>
      </c>
      <c r="B1475" t="s">
        <v>1975</v>
      </c>
      <c r="C1475" t="s">
        <v>20</v>
      </c>
      <c r="D1475" t="s">
        <v>2014</v>
      </c>
      <c r="E1475">
        <v>3350</v>
      </c>
    </row>
    <row r="1476" spans="1:5">
      <c r="A1476" s="1">
        <v>45831</v>
      </c>
      <c r="B1476" t="s">
        <v>1666</v>
      </c>
      <c r="C1476" t="s">
        <v>20</v>
      </c>
      <c r="D1476" t="s">
        <v>2015</v>
      </c>
      <c r="E1476">
        <v>1120</v>
      </c>
    </row>
    <row r="1477" spans="1:5">
      <c r="A1477" s="1">
        <v>45831</v>
      </c>
      <c r="B1477" t="s">
        <v>1776</v>
      </c>
      <c r="C1477" t="s">
        <v>20</v>
      </c>
      <c r="D1477" t="s">
        <v>2016</v>
      </c>
      <c r="E1477">
        <v>745</v>
      </c>
    </row>
    <row r="1478" spans="1:5">
      <c r="A1478" s="1">
        <v>45831</v>
      </c>
      <c r="B1478" t="s">
        <v>203</v>
      </c>
      <c r="C1478" t="s">
        <v>20</v>
      </c>
      <c r="D1478" t="s">
        <v>2017</v>
      </c>
      <c r="E1478">
        <v>3594</v>
      </c>
    </row>
    <row r="1479" spans="1:5">
      <c r="A1479" s="1">
        <v>45831</v>
      </c>
      <c r="B1479" t="s">
        <v>856</v>
      </c>
      <c r="C1479" t="s">
        <v>20</v>
      </c>
      <c r="D1479" t="s">
        <v>2018</v>
      </c>
      <c r="E1479">
        <v>1274</v>
      </c>
    </row>
    <row r="1480" spans="1:5">
      <c r="A1480" s="1">
        <v>45831</v>
      </c>
      <c r="B1480" t="s">
        <v>48</v>
      </c>
      <c r="C1480" t="s">
        <v>20</v>
      </c>
      <c r="D1480" t="s">
        <v>2019</v>
      </c>
      <c r="E1480">
        <v>20900</v>
      </c>
    </row>
    <row r="1481" spans="1:5">
      <c r="A1481" s="1">
        <v>45831</v>
      </c>
      <c r="B1481" t="s">
        <v>2020</v>
      </c>
      <c r="C1481" t="s">
        <v>20</v>
      </c>
      <c r="D1481" t="s">
        <v>2021</v>
      </c>
      <c r="E1481">
        <v>15780</v>
      </c>
    </row>
    <row r="1482" spans="1:5">
      <c r="A1482" s="1">
        <v>45831</v>
      </c>
      <c r="B1482" t="s">
        <v>2022</v>
      </c>
      <c r="C1482" t="s">
        <v>20</v>
      </c>
      <c r="D1482" t="s">
        <v>2023</v>
      </c>
      <c r="E1482">
        <v>28924</v>
      </c>
    </row>
    <row r="1483" spans="1:5">
      <c r="A1483" s="1">
        <v>45831</v>
      </c>
      <c r="B1483" t="s">
        <v>2024</v>
      </c>
      <c r="C1483" t="s">
        <v>20</v>
      </c>
      <c r="D1483" t="s">
        <v>2025</v>
      </c>
      <c r="E1483">
        <v>6078</v>
      </c>
    </row>
    <row r="1484" spans="1:5">
      <c r="A1484" s="1">
        <v>45831</v>
      </c>
      <c r="B1484" t="s">
        <v>135</v>
      </c>
      <c r="C1484" t="s">
        <v>20</v>
      </c>
      <c r="D1484" t="s">
        <v>2026</v>
      </c>
      <c r="E1484">
        <v>304</v>
      </c>
    </row>
    <row r="1485" spans="1:5">
      <c r="A1485" s="1">
        <v>45831</v>
      </c>
      <c r="B1485" t="s">
        <v>203</v>
      </c>
      <c r="C1485" t="s">
        <v>20</v>
      </c>
      <c r="D1485" t="s">
        <v>2027</v>
      </c>
      <c r="E1485">
        <v>960</v>
      </c>
    </row>
    <row r="1486" spans="1:5">
      <c r="A1486" s="1">
        <v>45831</v>
      </c>
      <c r="B1486" t="s">
        <v>50</v>
      </c>
      <c r="C1486" t="s">
        <v>20</v>
      </c>
      <c r="D1486" t="s">
        <v>2028</v>
      </c>
      <c r="E1486">
        <v>4962</v>
      </c>
    </row>
    <row r="1487" spans="1:5">
      <c r="A1487" s="1">
        <v>45831</v>
      </c>
      <c r="B1487" t="s">
        <v>2029</v>
      </c>
      <c r="C1487" t="s">
        <v>20</v>
      </c>
      <c r="D1487" t="s">
        <v>2030</v>
      </c>
      <c r="E1487">
        <v>370</v>
      </c>
    </row>
    <row r="1488" spans="1:5">
      <c r="A1488" s="1">
        <v>45832</v>
      </c>
      <c r="B1488" t="s">
        <v>687</v>
      </c>
      <c r="C1488" t="s">
        <v>20</v>
      </c>
      <c r="D1488" t="s">
        <v>2031</v>
      </c>
      <c r="E1488">
        <v>20350</v>
      </c>
    </row>
    <row r="1489" spans="1:5">
      <c r="A1489" s="1">
        <v>45832</v>
      </c>
      <c r="B1489" t="s">
        <v>2032</v>
      </c>
      <c r="C1489" t="s">
        <v>20</v>
      </c>
      <c r="D1489" t="s">
        <v>2033</v>
      </c>
      <c r="E1489">
        <v>100</v>
      </c>
    </row>
    <row r="1490" spans="1:5">
      <c r="A1490" s="1">
        <v>45832</v>
      </c>
      <c r="B1490" t="s">
        <v>455</v>
      </c>
      <c r="C1490" t="s">
        <v>20</v>
      </c>
      <c r="D1490" t="s">
        <v>2034</v>
      </c>
      <c r="E1490">
        <v>13935</v>
      </c>
    </row>
    <row r="1491" spans="1:5">
      <c r="A1491" s="1">
        <v>45832</v>
      </c>
      <c r="B1491" t="s">
        <v>50</v>
      </c>
      <c r="C1491" t="s">
        <v>20</v>
      </c>
      <c r="D1491" t="s">
        <v>2035</v>
      </c>
      <c r="E1491">
        <v>20</v>
      </c>
    </row>
    <row r="1492" spans="1:5">
      <c r="A1492" s="1">
        <v>45832</v>
      </c>
      <c r="B1492" t="s">
        <v>802</v>
      </c>
      <c r="C1492" t="s">
        <v>20</v>
      </c>
      <c r="D1492" t="s">
        <v>2036</v>
      </c>
      <c r="E1492">
        <v>15800</v>
      </c>
    </row>
    <row r="1493" spans="1:5">
      <c r="A1493" s="1">
        <v>45832</v>
      </c>
      <c r="B1493" t="s">
        <v>321</v>
      </c>
      <c r="C1493" t="s">
        <v>20</v>
      </c>
      <c r="D1493" t="s">
        <v>2037</v>
      </c>
      <c r="E1493">
        <v>185</v>
      </c>
    </row>
    <row r="1494" spans="1:5">
      <c r="A1494" s="1">
        <v>45832</v>
      </c>
      <c r="B1494" t="s">
        <v>48</v>
      </c>
      <c r="C1494" t="s">
        <v>20</v>
      </c>
      <c r="D1494" t="s">
        <v>2038</v>
      </c>
      <c r="E1494">
        <v>710</v>
      </c>
    </row>
    <row r="1495" spans="1:5">
      <c r="A1495" s="1">
        <v>45832</v>
      </c>
      <c r="B1495" t="s">
        <v>1182</v>
      </c>
      <c r="C1495" t="s">
        <v>20</v>
      </c>
      <c r="D1495" t="s">
        <v>2039</v>
      </c>
      <c r="E1495">
        <v>42774</v>
      </c>
    </row>
    <row r="1496" spans="1:5">
      <c r="A1496" s="1">
        <v>45832</v>
      </c>
      <c r="B1496" t="s">
        <v>2040</v>
      </c>
      <c r="C1496" t="s">
        <v>20</v>
      </c>
      <c r="D1496" t="s">
        <v>2041</v>
      </c>
      <c r="E1496">
        <v>55764</v>
      </c>
    </row>
    <row r="1497" spans="1:5">
      <c r="A1497" s="1">
        <v>45832</v>
      </c>
      <c r="B1497" t="s">
        <v>370</v>
      </c>
      <c r="C1497" t="s">
        <v>20</v>
      </c>
      <c r="D1497" t="s">
        <v>2042</v>
      </c>
      <c r="E1497">
        <v>485</v>
      </c>
    </row>
    <row r="1498" spans="1:5">
      <c r="A1498" s="1">
        <v>45832</v>
      </c>
      <c r="B1498" t="s">
        <v>481</v>
      </c>
      <c r="C1498" t="s">
        <v>20</v>
      </c>
      <c r="D1498" t="s">
        <v>2043</v>
      </c>
      <c r="E1498">
        <v>903</v>
      </c>
    </row>
    <row r="1499" spans="1:5">
      <c r="A1499" s="1">
        <v>45832</v>
      </c>
      <c r="B1499" t="s">
        <v>43</v>
      </c>
      <c r="C1499" t="s">
        <v>20</v>
      </c>
      <c r="D1499" t="s">
        <v>2044</v>
      </c>
      <c r="E1499">
        <v>162</v>
      </c>
    </row>
    <row r="1500" spans="1:5">
      <c r="A1500" s="1">
        <v>45832</v>
      </c>
      <c r="B1500" t="s">
        <v>76</v>
      </c>
      <c r="C1500" t="s">
        <v>20</v>
      </c>
      <c r="D1500" t="s">
        <v>2045</v>
      </c>
      <c r="E1500">
        <v>64660</v>
      </c>
    </row>
    <row r="1501" spans="1:5">
      <c r="A1501" s="1">
        <v>45832</v>
      </c>
      <c r="B1501" t="s">
        <v>370</v>
      </c>
      <c r="C1501" t="s">
        <v>20</v>
      </c>
      <c r="D1501" t="s">
        <v>2046</v>
      </c>
      <c r="E1501">
        <v>620</v>
      </c>
    </row>
    <row r="1502" spans="1:5">
      <c r="A1502" s="1">
        <v>45832</v>
      </c>
      <c r="B1502" t="s">
        <v>2047</v>
      </c>
      <c r="C1502" t="s">
        <v>20</v>
      </c>
      <c r="D1502" t="s">
        <v>2048</v>
      </c>
      <c r="E1502">
        <v>21503</v>
      </c>
    </row>
    <row r="1503" spans="1:5">
      <c r="A1503" s="1">
        <v>45832</v>
      </c>
      <c r="B1503" t="s">
        <v>2049</v>
      </c>
      <c r="C1503" t="s">
        <v>20</v>
      </c>
      <c r="D1503" t="s">
        <v>2050</v>
      </c>
      <c r="E1503">
        <v>30</v>
      </c>
    </row>
    <row r="1504" spans="1:5">
      <c r="A1504" s="1">
        <v>45833</v>
      </c>
      <c r="B1504" t="s">
        <v>443</v>
      </c>
      <c r="C1504" t="s">
        <v>19</v>
      </c>
      <c r="D1504" t="s">
        <v>2051</v>
      </c>
      <c r="E1504">
        <v>18500</v>
      </c>
    </row>
    <row r="1505" spans="1:5">
      <c r="A1505" s="1">
        <v>45833</v>
      </c>
      <c r="B1505" t="s">
        <v>1104</v>
      </c>
      <c r="C1505" t="s">
        <v>19</v>
      </c>
      <c r="D1505" t="s">
        <v>2052</v>
      </c>
      <c r="E1505">
        <v>785</v>
      </c>
    </row>
    <row r="1506" spans="1:5">
      <c r="A1506" s="1">
        <v>45833</v>
      </c>
      <c r="B1506" t="s">
        <v>2053</v>
      </c>
      <c r="C1506" t="s">
        <v>19</v>
      </c>
      <c r="D1506" t="s">
        <v>2054</v>
      </c>
      <c r="E1506">
        <v>4190</v>
      </c>
    </row>
    <row r="1507" spans="1:5">
      <c r="A1507" s="1">
        <v>45833</v>
      </c>
      <c r="B1507" t="s">
        <v>1628</v>
      </c>
      <c r="C1507" t="s">
        <v>19</v>
      </c>
      <c r="D1507" t="s">
        <v>2055</v>
      </c>
      <c r="E1507">
        <v>29081</v>
      </c>
    </row>
    <row r="1508" spans="1:5">
      <c r="A1508" s="1">
        <v>45833</v>
      </c>
      <c r="B1508" t="s">
        <v>1175</v>
      </c>
      <c r="C1508" t="s">
        <v>20</v>
      </c>
      <c r="D1508" t="s">
        <v>2056</v>
      </c>
      <c r="E1508">
        <v>425</v>
      </c>
    </row>
    <row r="1509" spans="1:5">
      <c r="A1509" s="1">
        <v>45833</v>
      </c>
      <c r="B1509" t="s">
        <v>2057</v>
      </c>
      <c r="C1509" t="s">
        <v>20</v>
      </c>
      <c r="D1509" t="s">
        <v>2058</v>
      </c>
      <c r="E1509">
        <v>25275</v>
      </c>
    </row>
    <row r="1510" spans="1:5">
      <c r="A1510" s="1">
        <v>45833</v>
      </c>
      <c r="B1510" t="s">
        <v>2059</v>
      </c>
      <c r="C1510" t="s">
        <v>20</v>
      </c>
      <c r="D1510" t="s">
        <v>2060</v>
      </c>
      <c r="E1510">
        <v>9383</v>
      </c>
    </row>
    <row r="1511" spans="1:5">
      <c r="A1511" s="1">
        <v>45833</v>
      </c>
      <c r="B1511" t="s">
        <v>154</v>
      </c>
      <c r="C1511" t="s">
        <v>20</v>
      </c>
      <c r="D1511" t="s">
        <v>2061</v>
      </c>
      <c r="E1511">
        <v>750</v>
      </c>
    </row>
    <row r="1512" spans="1:5">
      <c r="A1512" s="1">
        <v>45833</v>
      </c>
      <c r="B1512" t="s">
        <v>35</v>
      </c>
      <c r="C1512" t="s">
        <v>20</v>
      </c>
      <c r="D1512" t="s">
        <v>2062</v>
      </c>
      <c r="E1512">
        <v>3150</v>
      </c>
    </row>
    <row r="1513" spans="1:5">
      <c r="A1513" s="1">
        <v>45833</v>
      </c>
      <c r="B1513" t="s">
        <v>76</v>
      </c>
      <c r="C1513" t="s">
        <v>20</v>
      </c>
      <c r="D1513" t="s">
        <v>2063</v>
      </c>
      <c r="E1513">
        <v>27517</v>
      </c>
    </row>
    <row r="1514" spans="1:5">
      <c r="A1514" s="1">
        <v>45833</v>
      </c>
      <c r="B1514" t="s">
        <v>2064</v>
      </c>
      <c r="C1514" t="s">
        <v>20</v>
      </c>
      <c r="D1514" t="s">
        <v>2065</v>
      </c>
      <c r="E1514">
        <v>8052</v>
      </c>
    </row>
    <row r="1515" spans="1:5">
      <c r="A1515" s="1">
        <v>45833</v>
      </c>
      <c r="B1515" t="s">
        <v>1075</v>
      </c>
      <c r="C1515" t="s">
        <v>20</v>
      </c>
      <c r="D1515" t="s">
        <v>2066</v>
      </c>
      <c r="E1515">
        <v>5990</v>
      </c>
    </row>
    <row r="1516" spans="1:5">
      <c r="A1516" s="1">
        <v>45833</v>
      </c>
      <c r="B1516" t="s">
        <v>2067</v>
      </c>
      <c r="C1516" t="s">
        <v>20</v>
      </c>
      <c r="D1516" t="s">
        <v>2068</v>
      </c>
      <c r="E1516">
        <v>24</v>
      </c>
    </row>
    <row r="1517" spans="1:5">
      <c r="A1517" s="1">
        <v>45833</v>
      </c>
      <c r="B1517" t="s">
        <v>2069</v>
      </c>
      <c r="C1517" t="s">
        <v>20</v>
      </c>
      <c r="D1517" t="s">
        <v>2070</v>
      </c>
      <c r="E1517">
        <v>547</v>
      </c>
    </row>
    <row r="1518" spans="1:5">
      <c r="A1518" s="1">
        <v>45833</v>
      </c>
      <c r="B1518" t="s">
        <v>50</v>
      </c>
      <c r="C1518" t="s">
        <v>20</v>
      </c>
      <c r="D1518" t="s">
        <v>2071</v>
      </c>
      <c r="E1518">
        <v>8826</v>
      </c>
    </row>
    <row r="1519" spans="1:5">
      <c r="A1519" s="1">
        <v>45833</v>
      </c>
      <c r="B1519" t="s">
        <v>1075</v>
      </c>
      <c r="C1519" t="s">
        <v>20</v>
      </c>
      <c r="D1519" t="s">
        <v>2072</v>
      </c>
      <c r="E1519">
        <v>750</v>
      </c>
    </row>
    <row r="1520" spans="1:5">
      <c r="A1520" s="1">
        <v>45833</v>
      </c>
      <c r="B1520" t="s">
        <v>1666</v>
      </c>
      <c r="C1520" t="s">
        <v>20</v>
      </c>
      <c r="D1520" t="s">
        <v>2073</v>
      </c>
      <c r="E1520">
        <v>2427</v>
      </c>
    </row>
    <row r="1521" spans="1:5">
      <c r="A1521" s="1">
        <v>45833</v>
      </c>
      <c r="B1521" t="s">
        <v>76</v>
      </c>
      <c r="C1521" t="s">
        <v>20</v>
      </c>
      <c r="D1521" t="s">
        <v>2074</v>
      </c>
      <c r="E1521">
        <v>1070</v>
      </c>
    </row>
    <row r="1522" spans="1:5">
      <c r="A1522" s="1">
        <v>45833</v>
      </c>
      <c r="B1522" t="s">
        <v>254</v>
      </c>
      <c r="C1522" t="s">
        <v>20</v>
      </c>
      <c r="D1522" t="s">
        <v>2075</v>
      </c>
      <c r="E1522">
        <v>370</v>
      </c>
    </row>
    <row r="1523" spans="1:5">
      <c r="A1523" s="1">
        <v>45833</v>
      </c>
      <c r="B1523" t="s">
        <v>1734</v>
      </c>
      <c r="C1523" t="s">
        <v>20</v>
      </c>
      <c r="D1523" t="s">
        <v>2076</v>
      </c>
      <c r="E1523">
        <v>1110</v>
      </c>
    </row>
    <row r="1524" spans="1:5">
      <c r="A1524" s="1">
        <v>45833</v>
      </c>
      <c r="B1524" t="s">
        <v>854</v>
      </c>
      <c r="C1524" t="s">
        <v>20</v>
      </c>
      <c r="D1524" t="s">
        <v>2077</v>
      </c>
      <c r="E1524">
        <v>14595</v>
      </c>
    </row>
    <row r="1525" spans="1:5">
      <c r="A1525" s="1">
        <v>45833</v>
      </c>
      <c r="B1525" t="s">
        <v>2078</v>
      </c>
      <c r="C1525" t="s">
        <v>20</v>
      </c>
      <c r="D1525" t="s">
        <v>2079</v>
      </c>
      <c r="E1525">
        <v>4118</v>
      </c>
    </row>
    <row r="1526" spans="1:5">
      <c r="A1526" s="1">
        <v>45833</v>
      </c>
      <c r="B1526" t="s">
        <v>1377</v>
      </c>
      <c r="C1526" t="s">
        <v>20</v>
      </c>
      <c r="D1526" t="s">
        <v>2080</v>
      </c>
      <c r="E1526">
        <v>5925</v>
      </c>
    </row>
    <row r="1527" spans="1:5">
      <c r="A1527" s="1">
        <v>45833</v>
      </c>
      <c r="B1527" t="s">
        <v>2081</v>
      </c>
      <c r="C1527" t="s">
        <v>20</v>
      </c>
      <c r="D1527" t="s">
        <v>2082</v>
      </c>
      <c r="E1527">
        <v>20</v>
      </c>
    </row>
    <row r="1528" spans="1:5">
      <c r="A1528" s="1">
        <v>45833</v>
      </c>
      <c r="B1528" t="s">
        <v>2083</v>
      </c>
      <c r="C1528" t="s">
        <v>20</v>
      </c>
      <c r="D1528" t="s">
        <v>2084</v>
      </c>
      <c r="E1528">
        <v>25252</v>
      </c>
    </row>
    <row r="1529" spans="1:5">
      <c r="A1529" s="1">
        <v>45833</v>
      </c>
      <c r="B1529" t="s">
        <v>2085</v>
      </c>
      <c r="C1529" t="s">
        <v>20</v>
      </c>
      <c r="D1529" t="s">
        <v>2086</v>
      </c>
      <c r="E1529">
        <v>75</v>
      </c>
    </row>
    <row r="1530" spans="1:5">
      <c r="A1530" s="1">
        <v>45834</v>
      </c>
      <c r="B1530" t="s">
        <v>1628</v>
      </c>
      <c r="C1530" t="s">
        <v>19</v>
      </c>
      <c r="D1530" t="s">
        <v>2087</v>
      </c>
      <c r="E1530">
        <v>128985</v>
      </c>
    </row>
    <row r="1531" spans="1:5">
      <c r="A1531" s="1">
        <v>45834</v>
      </c>
      <c r="B1531" t="s">
        <v>1182</v>
      </c>
      <c r="C1531" t="s">
        <v>20</v>
      </c>
      <c r="D1531" t="s">
        <v>2088</v>
      </c>
      <c r="E1531">
        <v>25675</v>
      </c>
    </row>
    <row r="1532" spans="1:5">
      <c r="A1532" s="1">
        <v>45834</v>
      </c>
      <c r="B1532" t="s">
        <v>1175</v>
      </c>
      <c r="C1532" t="s">
        <v>20</v>
      </c>
      <c r="D1532" t="s">
        <v>2089</v>
      </c>
      <c r="E1532">
        <v>255</v>
      </c>
    </row>
    <row r="1533" spans="1:5">
      <c r="A1533" s="1">
        <v>45834</v>
      </c>
      <c r="B1533" t="s">
        <v>1075</v>
      </c>
      <c r="C1533" t="s">
        <v>20</v>
      </c>
      <c r="D1533" t="s">
        <v>2090</v>
      </c>
      <c r="E1533">
        <v>128</v>
      </c>
    </row>
    <row r="1534" spans="1:5">
      <c r="A1534" s="1">
        <v>45834</v>
      </c>
      <c r="B1534" t="s">
        <v>193</v>
      </c>
      <c r="C1534" t="s">
        <v>20</v>
      </c>
      <c r="D1534" t="s">
        <v>2091</v>
      </c>
      <c r="E1534">
        <v>41414</v>
      </c>
    </row>
    <row r="1535" spans="1:5">
      <c r="A1535" s="1">
        <v>45834</v>
      </c>
      <c r="B1535" t="s">
        <v>412</v>
      </c>
      <c r="C1535" t="s">
        <v>20</v>
      </c>
      <c r="D1535" t="s">
        <v>2092</v>
      </c>
      <c r="E1535">
        <v>6203</v>
      </c>
    </row>
    <row r="1536" spans="1:5">
      <c r="A1536" s="1">
        <v>45834</v>
      </c>
      <c r="B1536" t="s">
        <v>2093</v>
      </c>
      <c r="C1536" t="s">
        <v>20</v>
      </c>
      <c r="D1536" t="s">
        <v>2094</v>
      </c>
      <c r="E1536">
        <v>1480</v>
      </c>
    </row>
    <row r="1537" spans="1:5">
      <c r="A1537" s="1">
        <v>45834</v>
      </c>
      <c r="B1537" t="s">
        <v>50</v>
      </c>
      <c r="C1537" t="s">
        <v>20</v>
      </c>
      <c r="D1537" t="s">
        <v>2095</v>
      </c>
      <c r="E1537">
        <v>12</v>
      </c>
    </row>
    <row r="1538" spans="1:5">
      <c r="A1538" s="1">
        <v>45834</v>
      </c>
      <c r="B1538" t="s">
        <v>68</v>
      </c>
      <c r="C1538" t="s">
        <v>20</v>
      </c>
      <c r="D1538" t="s">
        <v>2096</v>
      </c>
      <c r="E1538">
        <v>2350</v>
      </c>
    </row>
    <row r="1539" spans="1:5">
      <c r="A1539" s="1">
        <v>45834</v>
      </c>
      <c r="B1539" t="s">
        <v>68</v>
      </c>
      <c r="C1539" t="s">
        <v>20</v>
      </c>
      <c r="D1539" t="s">
        <v>2097</v>
      </c>
      <c r="E1539">
        <v>11094</v>
      </c>
    </row>
    <row r="1540" spans="1:5">
      <c r="A1540" s="1">
        <v>45834</v>
      </c>
      <c r="B1540" t="s">
        <v>412</v>
      </c>
      <c r="C1540" t="s">
        <v>20</v>
      </c>
      <c r="D1540" t="s">
        <v>2098</v>
      </c>
      <c r="E1540">
        <v>400</v>
      </c>
    </row>
    <row r="1541" spans="1:5">
      <c r="A1541" s="1">
        <v>45834</v>
      </c>
      <c r="B1541" t="s">
        <v>2099</v>
      </c>
      <c r="C1541" t="s">
        <v>20</v>
      </c>
      <c r="D1541" t="s">
        <v>2100</v>
      </c>
      <c r="E1541">
        <v>15620</v>
      </c>
    </row>
    <row r="1542" spans="1:5">
      <c r="A1542" s="1">
        <v>45834</v>
      </c>
      <c r="B1542" t="s">
        <v>1182</v>
      </c>
      <c r="C1542" t="s">
        <v>20</v>
      </c>
      <c r="D1542" t="s">
        <v>2101</v>
      </c>
      <c r="E1542">
        <v>1975</v>
      </c>
    </row>
    <row r="1543" spans="1:5">
      <c r="A1543" s="1">
        <v>45834</v>
      </c>
      <c r="B1543" t="s">
        <v>50</v>
      </c>
      <c r="C1543" t="s">
        <v>20</v>
      </c>
      <c r="D1543" t="s">
        <v>2102</v>
      </c>
      <c r="E1543">
        <v>1216</v>
      </c>
    </row>
    <row r="1544" spans="1:5">
      <c r="A1544" s="1">
        <v>45834</v>
      </c>
      <c r="B1544" t="s">
        <v>2103</v>
      </c>
      <c r="C1544" t="s">
        <v>20</v>
      </c>
      <c r="D1544" t="s">
        <v>2104</v>
      </c>
      <c r="E1544">
        <v>12</v>
      </c>
    </row>
    <row r="1545" spans="1:5">
      <c r="A1545" s="1">
        <v>45834</v>
      </c>
      <c r="B1545" t="s">
        <v>360</v>
      </c>
      <c r="C1545" t="s">
        <v>20</v>
      </c>
      <c r="D1545" t="s">
        <v>2105</v>
      </c>
      <c r="E1545">
        <v>215</v>
      </c>
    </row>
    <row r="1546" spans="1:5">
      <c r="A1546" s="1">
        <v>45834</v>
      </c>
      <c r="B1546" t="s">
        <v>1066</v>
      </c>
      <c r="C1546" t="s">
        <v>20</v>
      </c>
      <c r="D1546" t="s">
        <v>2106</v>
      </c>
      <c r="E1546">
        <v>1296</v>
      </c>
    </row>
    <row r="1547" spans="1:5">
      <c r="A1547" s="1">
        <v>45834</v>
      </c>
      <c r="B1547" t="s">
        <v>50</v>
      </c>
      <c r="C1547" t="s">
        <v>20</v>
      </c>
      <c r="D1547" t="s">
        <v>2107</v>
      </c>
      <c r="E1547">
        <v>370</v>
      </c>
    </row>
    <row r="1548" spans="1:5">
      <c r="A1548" s="1">
        <v>45835</v>
      </c>
      <c r="B1548" t="s">
        <v>1106</v>
      </c>
      <c r="C1548" t="s">
        <v>19</v>
      </c>
      <c r="D1548" t="s">
        <v>2108</v>
      </c>
      <c r="E1548">
        <v>156245</v>
      </c>
    </row>
    <row r="1549" spans="1:5">
      <c r="A1549" s="1">
        <v>45835</v>
      </c>
      <c r="B1549" t="s">
        <v>854</v>
      </c>
      <c r="C1549" t="s">
        <v>20</v>
      </c>
      <c r="D1549" t="s">
        <v>2109</v>
      </c>
      <c r="E1549">
        <v>1525</v>
      </c>
    </row>
    <row r="1550" spans="1:5">
      <c r="A1550" s="1">
        <v>45835</v>
      </c>
      <c r="B1550" t="s">
        <v>706</v>
      </c>
      <c r="C1550" t="s">
        <v>20</v>
      </c>
      <c r="D1550" t="s">
        <v>2110</v>
      </c>
      <c r="E1550">
        <v>11254</v>
      </c>
    </row>
    <row r="1551" spans="1:5">
      <c r="A1551" s="1">
        <v>45835</v>
      </c>
      <c r="B1551" t="s">
        <v>68</v>
      </c>
      <c r="C1551" t="s">
        <v>20</v>
      </c>
      <c r="D1551" t="s">
        <v>2111</v>
      </c>
      <c r="E1551">
        <v>5250</v>
      </c>
    </row>
    <row r="1552" spans="1:5">
      <c r="A1552" s="1">
        <v>45835</v>
      </c>
      <c r="B1552" t="s">
        <v>2112</v>
      </c>
      <c r="C1552" t="s">
        <v>20</v>
      </c>
      <c r="D1552" t="s">
        <v>2113</v>
      </c>
      <c r="E1552">
        <v>11920</v>
      </c>
    </row>
    <row r="1553" spans="1:5">
      <c r="A1553" s="1">
        <v>45835</v>
      </c>
      <c r="B1553" t="s">
        <v>2114</v>
      </c>
      <c r="C1553" t="s">
        <v>20</v>
      </c>
      <c r="D1553" t="s">
        <v>2115</v>
      </c>
      <c r="E1553">
        <v>6208</v>
      </c>
    </row>
    <row r="1554" spans="1:5">
      <c r="A1554" s="1">
        <v>45835</v>
      </c>
      <c r="B1554" t="s">
        <v>1666</v>
      </c>
      <c r="C1554" t="s">
        <v>20</v>
      </c>
      <c r="D1554" t="s">
        <v>2116</v>
      </c>
      <c r="E1554">
        <v>525</v>
      </c>
    </row>
    <row r="1555" spans="1:5">
      <c r="A1555" s="1">
        <v>45835</v>
      </c>
      <c r="B1555" t="s">
        <v>2099</v>
      </c>
      <c r="C1555" t="s">
        <v>20</v>
      </c>
      <c r="D1555" t="s">
        <v>2117</v>
      </c>
      <c r="E1555">
        <v>439</v>
      </c>
    </row>
    <row r="1556" spans="1:5">
      <c r="A1556" s="1">
        <v>45835</v>
      </c>
      <c r="B1556" t="s">
        <v>81</v>
      </c>
      <c r="C1556" t="s">
        <v>20</v>
      </c>
      <c r="D1556" t="s">
        <v>2118</v>
      </c>
      <c r="E1556">
        <v>75</v>
      </c>
    </row>
    <row r="1557" spans="1:5">
      <c r="A1557" s="1">
        <v>45835</v>
      </c>
      <c r="B1557" t="s">
        <v>2119</v>
      </c>
      <c r="C1557" t="s">
        <v>20</v>
      </c>
      <c r="D1557" t="s">
        <v>2120</v>
      </c>
      <c r="E1557">
        <v>1402</v>
      </c>
    </row>
    <row r="1558" spans="1:5">
      <c r="A1558" s="1">
        <v>45835</v>
      </c>
      <c r="B1558" t="s">
        <v>1051</v>
      </c>
      <c r="C1558" t="s">
        <v>20</v>
      </c>
      <c r="D1558" t="s">
        <v>2121</v>
      </c>
      <c r="E1558">
        <v>1110</v>
      </c>
    </row>
    <row r="1559" spans="1:5">
      <c r="A1559" s="1">
        <v>45835</v>
      </c>
      <c r="B1559" t="s">
        <v>2122</v>
      </c>
      <c r="C1559" t="s">
        <v>20</v>
      </c>
      <c r="D1559" t="s">
        <v>2123</v>
      </c>
      <c r="E1559">
        <v>370</v>
      </c>
    </row>
    <row r="1560" spans="1:5">
      <c r="A1560" s="1">
        <v>45835</v>
      </c>
      <c r="B1560" t="s">
        <v>2059</v>
      </c>
      <c r="C1560" t="s">
        <v>20</v>
      </c>
      <c r="D1560" t="s">
        <v>2124</v>
      </c>
      <c r="E1560">
        <v>20792</v>
      </c>
    </row>
    <row r="1561" spans="1:5">
      <c r="A1561" s="1">
        <v>45835</v>
      </c>
      <c r="B1561" t="s">
        <v>1377</v>
      </c>
      <c r="C1561" t="s">
        <v>20</v>
      </c>
      <c r="D1561" t="s">
        <v>2125</v>
      </c>
      <c r="E1561">
        <v>9486</v>
      </c>
    </row>
    <row r="1562" spans="1:5">
      <c r="A1562" s="1">
        <v>45835</v>
      </c>
      <c r="B1562" t="s">
        <v>50</v>
      </c>
      <c r="C1562" t="s">
        <v>20</v>
      </c>
      <c r="D1562" t="s">
        <v>2126</v>
      </c>
      <c r="E1562">
        <v>30</v>
      </c>
    </row>
    <row r="1563" spans="1:5">
      <c r="A1563" s="1">
        <v>45835</v>
      </c>
      <c r="B1563" t="s">
        <v>1666</v>
      </c>
      <c r="C1563" t="s">
        <v>20</v>
      </c>
      <c r="D1563" t="s">
        <v>2127</v>
      </c>
      <c r="E1563">
        <v>31565</v>
      </c>
    </row>
    <row r="1564" spans="1:5">
      <c r="A1564" s="1">
        <v>45835</v>
      </c>
      <c r="B1564" t="s">
        <v>2128</v>
      </c>
      <c r="C1564" t="s">
        <v>20</v>
      </c>
      <c r="D1564" t="s">
        <v>2129</v>
      </c>
      <c r="E1564">
        <v>370</v>
      </c>
    </row>
    <row r="1565" spans="1:5">
      <c r="A1565" s="1">
        <v>45836</v>
      </c>
      <c r="B1565" t="s">
        <v>927</v>
      </c>
      <c r="C1565" t="s">
        <v>19</v>
      </c>
      <c r="D1565" t="s">
        <v>2130</v>
      </c>
      <c r="E1565">
        <v>19432</v>
      </c>
    </row>
    <row r="1566" spans="1:5">
      <c r="A1566" s="1">
        <v>45836</v>
      </c>
      <c r="B1566" t="s">
        <v>96</v>
      </c>
      <c r="C1566" t="s">
        <v>19</v>
      </c>
      <c r="D1566" t="s">
        <v>2131</v>
      </c>
      <c r="E1566">
        <v>6160</v>
      </c>
    </row>
    <row r="1567" spans="1:5">
      <c r="A1567" s="1">
        <v>45836</v>
      </c>
      <c r="B1567" t="s">
        <v>239</v>
      </c>
      <c r="C1567" t="s">
        <v>20</v>
      </c>
      <c r="D1567" t="s">
        <v>2132</v>
      </c>
      <c r="E1567">
        <v>2316</v>
      </c>
    </row>
    <row r="1568" spans="1:5">
      <c r="A1568" s="1">
        <v>45836</v>
      </c>
      <c r="B1568" t="s">
        <v>131</v>
      </c>
      <c r="C1568" t="s">
        <v>20</v>
      </c>
      <c r="D1568" t="s">
        <v>2133</v>
      </c>
      <c r="E1568">
        <v>3700</v>
      </c>
    </row>
    <row r="1569" spans="1:5">
      <c r="A1569" s="1">
        <v>45836</v>
      </c>
      <c r="B1569" t="s">
        <v>68</v>
      </c>
      <c r="C1569" t="s">
        <v>20</v>
      </c>
      <c r="D1569" t="s">
        <v>2134</v>
      </c>
      <c r="E1569">
        <v>1980</v>
      </c>
    </row>
    <row r="1570" spans="1:5">
      <c r="A1570" s="1">
        <v>45836</v>
      </c>
      <c r="B1570" t="s">
        <v>2047</v>
      </c>
      <c r="C1570" t="s">
        <v>20</v>
      </c>
      <c r="D1570" t="s">
        <v>2135</v>
      </c>
      <c r="E1570">
        <v>12170</v>
      </c>
    </row>
    <row r="1571" spans="1:5">
      <c r="A1571" s="1">
        <v>45836</v>
      </c>
      <c r="B1571" t="s">
        <v>1075</v>
      </c>
      <c r="C1571" t="s">
        <v>20</v>
      </c>
      <c r="D1571" t="s">
        <v>2136</v>
      </c>
      <c r="E1571">
        <v>15267</v>
      </c>
    </row>
    <row r="1572" spans="1:5">
      <c r="A1572" s="1">
        <v>45836</v>
      </c>
      <c r="B1572" t="s">
        <v>1311</v>
      </c>
      <c r="C1572" t="s">
        <v>20</v>
      </c>
      <c r="D1572" t="s">
        <v>2137</v>
      </c>
      <c r="E1572">
        <v>2941</v>
      </c>
    </row>
    <row r="1573" spans="1:5">
      <c r="A1573" s="1">
        <v>45836</v>
      </c>
      <c r="B1573" t="s">
        <v>2099</v>
      </c>
      <c r="C1573" t="s">
        <v>20</v>
      </c>
      <c r="D1573" t="s">
        <v>2138</v>
      </c>
      <c r="E1573">
        <v>3240</v>
      </c>
    </row>
    <row r="1574" spans="1:5">
      <c r="A1574" s="1">
        <v>45836</v>
      </c>
      <c r="B1574" t="s">
        <v>528</v>
      </c>
      <c r="C1574" t="s">
        <v>20</v>
      </c>
      <c r="D1574" t="s">
        <v>2139</v>
      </c>
      <c r="E1574">
        <v>4353</v>
      </c>
    </row>
    <row r="1575" spans="1:5">
      <c r="A1575" s="1">
        <v>45836</v>
      </c>
      <c r="B1575" t="s">
        <v>2140</v>
      </c>
      <c r="C1575" t="s">
        <v>20</v>
      </c>
      <c r="D1575" t="s">
        <v>2141</v>
      </c>
      <c r="E1575">
        <v>2505</v>
      </c>
    </row>
    <row r="1576" spans="1:5">
      <c r="A1576" s="1">
        <v>45836</v>
      </c>
      <c r="B1576" t="s">
        <v>915</v>
      </c>
      <c r="C1576" t="s">
        <v>20</v>
      </c>
      <c r="D1576" t="s">
        <v>2142</v>
      </c>
      <c r="E1576">
        <v>1292</v>
      </c>
    </row>
    <row r="1577" spans="1:5">
      <c r="A1577" s="1">
        <v>45836</v>
      </c>
      <c r="B1577" t="s">
        <v>2143</v>
      </c>
      <c r="C1577" t="s">
        <v>20</v>
      </c>
      <c r="D1577" t="s">
        <v>2144</v>
      </c>
      <c r="E1577">
        <v>4263</v>
      </c>
    </row>
    <row r="1578" spans="1:5">
      <c r="A1578" s="1">
        <v>45836</v>
      </c>
      <c r="B1578" t="s">
        <v>518</v>
      </c>
      <c r="C1578" t="s">
        <v>20</v>
      </c>
      <c r="D1578" t="s">
        <v>2145</v>
      </c>
      <c r="E1578">
        <v>1450</v>
      </c>
    </row>
    <row r="1579" spans="1:5">
      <c r="A1579" s="1">
        <v>45838</v>
      </c>
      <c r="B1579" t="s">
        <v>586</v>
      </c>
      <c r="C1579" t="s">
        <v>19</v>
      </c>
      <c r="D1579" t="s">
        <v>2146</v>
      </c>
      <c r="E1579">
        <v>740</v>
      </c>
    </row>
    <row r="1580" spans="1:5">
      <c r="A1580" s="1">
        <v>45838</v>
      </c>
      <c r="B1580" t="s">
        <v>927</v>
      </c>
      <c r="C1580" t="s">
        <v>19</v>
      </c>
      <c r="D1580" t="s">
        <v>2147</v>
      </c>
      <c r="E1580">
        <v>20060</v>
      </c>
    </row>
    <row r="1581" spans="1:5">
      <c r="A1581" s="1">
        <v>45838</v>
      </c>
      <c r="B1581" t="s">
        <v>1628</v>
      </c>
      <c r="C1581" t="s">
        <v>19</v>
      </c>
      <c r="D1581" t="s">
        <v>2148</v>
      </c>
      <c r="E1581">
        <v>69122</v>
      </c>
    </row>
    <row r="1582" spans="1:5">
      <c r="A1582" s="1">
        <v>45838</v>
      </c>
      <c r="B1582" t="s">
        <v>2149</v>
      </c>
      <c r="C1582" t="s">
        <v>19</v>
      </c>
      <c r="D1582" t="s">
        <v>2150</v>
      </c>
      <c r="E1582">
        <v>27797</v>
      </c>
    </row>
    <row r="1583" spans="1:5">
      <c r="A1583" s="1">
        <v>45838</v>
      </c>
      <c r="B1583" t="s">
        <v>1768</v>
      </c>
      <c r="C1583" t="s">
        <v>19</v>
      </c>
      <c r="D1583" t="s">
        <v>2151</v>
      </c>
      <c r="E1583">
        <v>66770</v>
      </c>
    </row>
    <row r="1584" spans="1:5">
      <c r="A1584" s="1">
        <v>45838</v>
      </c>
      <c r="B1584" t="s">
        <v>1229</v>
      </c>
      <c r="C1584" t="s">
        <v>19</v>
      </c>
      <c r="D1584" t="s">
        <v>2152</v>
      </c>
      <c r="E1584">
        <v>4440</v>
      </c>
    </row>
    <row r="1585" spans="1:5">
      <c r="A1585" s="1">
        <v>45838</v>
      </c>
      <c r="B1585" t="s">
        <v>1061</v>
      </c>
      <c r="C1585" t="s">
        <v>20</v>
      </c>
      <c r="D1585" t="s">
        <v>2153</v>
      </c>
      <c r="E1585">
        <v>1110</v>
      </c>
    </row>
    <row r="1586" spans="1:5">
      <c r="A1586" s="1">
        <v>45838</v>
      </c>
      <c r="B1586" t="s">
        <v>2154</v>
      </c>
      <c r="C1586" t="s">
        <v>20</v>
      </c>
      <c r="D1586" t="s">
        <v>2155</v>
      </c>
      <c r="E1586">
        <v>3708</v>
      </c>
    </row>
    <row r="1587" spans="1:5">
      <c r="A1587" s="1">
        <v>45838</v>
      </c>
      <c r="B1587" t="s">
        <v>50</v>
      </c>
      <c r="C1587" t="s">
        <v>20</v>
      </c>
      <c r="D1587" t="s">
        <v>2156</v>
      </c>
      <c r="E1587">
        <v>12</v>
      </c>
    </row>
    <row r="1588" spans="1:5">
      <c r="A1588" s="1">
        <v>45838</v>
      </c>
      <c r="B1588" t="s">
        <v>2059</v>
      </c>
      <c r="C1588" t="s">
        <v>20</v>
      </c>
      <c r="D1588" t="s">
        <v>2157</v>
      </c>
      <c r="E1588">
        <v>480</v>
      </c>
    </row>
    <row r="1589" spans="1:5">
      <c r="A1589" s="1">
        <v>45838</v>
      </c>
      <c r="B1589" t="s">
        <v>50</v>
      </c>
      <c r="C1589" t="s">
        <v>20</v>
      </c>
      <c r="D1589" t="s">
        <v>2158</v>
      </c>
      <c r="E1589">
        <v>11</v>
      </c>
    </row>
    <row r="1590" spans="1:5">
      <c r="A1590" s="1">
        <v>45838</v>
      </c>
      <c r="B1590" t="s">
        <v>76</v>
      </c>
      <c r="C1590" t="s">
        <v>20</v>
      </c>
      <c r="D1590" t="s">
        <v>2159</v>
      </c>
      <c r="E1590">
        <v>460</v>
      </c>
    </row>
    <row r="1591" spans="1:5">
      <c r="A1591" s="1">
        <v>45838</v>
      </c>
      <c r="B1591" t="s">
        <v>50</v>
      </c>
      <c r="C1591" t="s">
        <v>20</v>
      </c>
      <c r="D1591" t="s">
        <v>2160</v>
      </c>
      <c r="E1591">
        <v>360</v>
      </c>
    </row>
    <row r="1592" spans="1:5">
      <c r="A1592" s="1">
        <v>45838</v>
      </c>
      <c r="B1592" t="s">
        <v>50</v>
      </c>
      <c r="C1592" t="s">
        <v>20</v>
      </c>
      <c r="D1592" t="s">
        <v>2161</v>
      </c>
      <c r="E1592">
        <v>370</v>
      </c>
    </row>
    <row r="1593" spans="1:5">
      <c r="A1593" s="1">
        <v>45838</v>
      </c>
      <c r="B1593" t="s">
        <v>1051</v>
      </c>
      <c r="C1593" t="s">
        <v>20</v>
      </c>
      <c r="D1593" t="s">
        <v>2162</v>
      </c>
      <c r="E1593">
        <v>1110</v>
      </c>
    </row>
    <row r="1594" spans="1:5">
      <c r="A1594" s="1">
        <v>45838</v>
      </c>
      <c r="B1594" t="s">
        <v>1578</v>
      </c>
      <c r="C1594" t="s">
        <v>20</v>
      </c>
      <c r="D1594" t="s">
        <v>2163</v>
      </c>
      <c r="E1594">
        <v>11700</v>
      </c>
    </row>
    <row r="1595" spans="1:5">
      <c r="A1595" s="1">
        <v>45838</v>
      </c>
      <c r="B1595" t="s">
        <v>2164</v>
      </c>
      <c r="C1595" t="s">
        <v>20</v>
      </c>
      <c r="D1595" t="s">
        <v>2165</v>
      </c>
      <c r="E1595">
        <v>1677</v>
      </c>
    </row>
    <row r="1596" spans="1:5">
      <c r="A1596" s="1">
        <v>45838</v>
      </c>
      <c r="B1596" t="s">
        <v>50</v>
      </c>
      <c r="C1596" t="s">
        <v>20</v>
      </c>
      <c r="D1596" t="s">
        <v>2166</v>
      </c>
      <c r="E1596">
        <v>25</v>
      </c>
    </row>
    <row r="1597" spans="1:5">
      <c r="A1597" s="1">
        <v>45838</v>
      </c>
      <c r="B1597" t="s">
        <v>907</v>
      </c>
      <c r="C1597" t="s">
        <v>20</v>
      </c>
      <c r="D1597" t="s">
        <v>2167</v>
      </c>
      <c r="E1597">
        <v>15490</v>
      </c>
    </row>
    <row r="1598" spans="1:5">
      <c r="A1598" s="1">
        <v>45838</v>
      </c>
      <c r="B1598" t="s">
        <v>1666</v>
      </c>
      <c r="C1598" t="s">
        <v>20</v>
      </c>
      <c r="D1598" t="s">
        <v>2168</v>
      </c>
      <c r="E1598">
        <v>160</v>
      </c>
    </row>
    <row r="1599" spans="1:5">
      <c r="A1599" s="1">
        <v>45838</v>
      </c>
      <c r="B1599" t="s">
        <v>1994</v>
      </c>
      <c r="C1599" t="s">
        <v>20</v>
      </c>
      <c r="D1599" t="s">
        <v>2169</v>
      </c>
      <c r="E1599">
        <v>1081</v>
      </c>
    </row>
    <row r="1600" spans="1:5">
      <c r="A1600" s="1">
        <v>45838</v>
      </c>
      <c r="B1600" t="s">
        <v>566</v>
      </c>
      <c r="C1600" t="s">
        <v>20</v>
      </c>
      <c r="D1600" t="s">
        <v>2170</v>
      </c>
      <c r="E1600">
        <v>268</v>
      </c>
    </row>
    <row r="1601" spans="1:5">
      <c r="A1601" s="1">
        <v>45838</v>
      </c>
      <c r="B1601" t="s">
        <v>856</v>
      </c>
      <c r="C1601" t="s">
        <v>20</v>
      </c>
      <c r="D1601" t="s">
        <v>2171</v>
      </c>
      <c r="E1601">
        <v>958</v>
      </c>
    </row>
    <row r="1602" spans="1:5">
      <c r="A1602" s="1">
        <v>45838</v>
      </c>
      <c r="B1602" t="s">
        <v>2172</v>
      </c>
      <c r="C1602" t="s">
        <v>20</v>
      </c>
      <c r="D1602" t="s">
        <v>2173</v>
      </c>
      <c r="E1602">
        <v>1011</v>
      </c>
    </row>
    <row r="1603" spans="1:5">
      <c r="A1603" s="1">
        <v>45839</v>
      </c>
      <c r="B1603" t="s">
        <v>1810</v>
      </c>
      <c r="C1603" t="s">
        <v>19</v>
      </c>
      <c r="D1603" t="s">
        <v>2174</v>
      </c>
      <c r="E1603">
        <v>2631</v>
      </c>
    </row>
    <row r="1604" spans="1:5">
      <c r="A1604" s="1">
        <v>45839</v>
      </c>
      <c r="B1604" t="s">
        <v>1901</v>
      </c>
      <c r="C1604" t="s">
        <v>19</v>
      </c>
      <c r="D1604" t="s">
        <v>2175</v>
      </c>
      <c r="E1604">
        <v>1110</v>
      </c>
    </row>
    <row r="1605" spans="1:5">
      <c r="A1605" s="1">
        <v>45839</v>
      </c>
      <c r="B1605" t="s">
        <v>100</v>
      </c>
      <c r="C1605" t="s">
        <v>20</v>
      </c>
      <c r="D1605" t="s">
        <v>2176</v>
      </c>
      <c r="E1605">
        <v>210</v>
      </c>
    </row>
    <row r="1606" spans="1:5">
      <c r="A1606" s="1">
        <v>45839</v>
      </c>
      <c r="B1606" t="s">
        <v>76</v>
      </c>
      <c r="C1606" t="s">
        <v>20</v>
      </c>
      <c r="D1606" t="s">
        <v>2177</v>
      </c>
      <c r="E1606">
        <v>74535</v>
      </c>
    </row>
    <row r="1607" spans="1:5">
      <c r="A1607" s="1">
        <v>45839</v>
      </c>
      <c r="B1607" t="s">
        <v>1075</v>
      </c>
      <c r="C1607" t="s">
        <v>20</v>
      </c>
      <c r="D1607" t="s">
        <v>2178</v>
      </c>
      <c r="E1607">
        <v>500</v>
      </c>
    </row>
    <row r="1608" spans="1:5">
      <c r="A1608" s="1">
        <v>45839</v>
      </c>
      <c r="B1608" t="s">
        <v>76</v>
      </c>
      <c r="C1608" t="s">
        <v>20</v>
      </c>
      <c r="D1608" t="s">
        <v>2179</v>
      </c>
      <c r="E1608">
        <v>1415</v>
      </c>
    </row>
    <row r="1609" spans="1:5">
      <c r="A1609" s="1">
        <v>45839</v>
      </c>
      <c r="B1609" t="s">
        <v>687</v>
      </c>
      <c r="C1609" t="s">
        <v>20</v>
      </c>
      <c r="D1609" t="s">
        <v>2180</v>
      </c>
      <c r="E1609">
        <v>5297</v>
      </c>
    </row>
    <row r="1610" spans="1:5">
      <c r="A1610" s="1">
        <v>45839</v>
      </c>
      <c r="B1610" t="s">
        <v>52</v>
      </c>
      <c r="C1610" t="s">
        <v>20</v>
      </c>
      <c r="D1610" t="s">
        <v>2181</v>
      </c>
      <c r="E1610">
        <v>3700</v>
      </c>
    </row>
    <row r="1611" spans="1:5">
      <c r="A1611" s="1">
        <v>45839</v>
      </c>
      <c r="B1611" t="s">
        <v>2040</v>
      </c>
      <c r="C1611" t="s">
        <v>20</v>
      </c>
      <c r="D1611" t="s">
        <v>2182</v>
      </c>
      <c r="E1611">
        <v>4470</v>
      </c>
    </row>
    <row r="1612" spans="1:5">
      <c r="A1612" s="1">
        <v>45839</v>
      </c>
      <c r="B1612" t="s">
        <v>76</v>
      </c>
      <c r="C1612" t="s">
        <v>20</v>
      </c>
      <c r="D1612" t="s">
        <v>2183</v>
      </c>
      <c r="E1612">
        <v>790</v>
      </c>
    </row>
    <row r="1613" spans="1:5">
      <c r="A1613" s="1">
        <v>45839</v>
      </c>
      <c r="B1613" t="s">
        <v>2184</v>
      </c>
      <c r="C1613" t="s">
        <v>20</v>
      </c>
      <c r="D1613" t="s">
        <v>2185</v>
      </c>
      <c r="E1613">
        <v>22924</v>
      </c>
    </row>
    <row r="1614" spans="1:5">
      <c r="A1614" s="1">
        <v>45839</v>
      </c>
      <c r="B1614" t="s">
        <v>35</v>
      </c>
      <c r="C1614" t="s">
        <v>20</v>
      </c>
      <c r="D1614" t="s">
        <v>2186</v>
      </c>
      <c r="E1614">
        <v>21076</v>
      </c>
    </row>
    <row r="1615" spans="1:5">
      <c r="A1615" s="1">
        <v>45839</v>
      </c>
      <c r="B1615" t="s">
        <v>2187</v>
      </c>
      <c r="C1615" t="s">
        <v>20</v>
      </c>
      <c r="D1615" t="s">
        <v>2188</v>
      </c>
      <c r="E1615">
        <v>83005</v>
      </c>
    </row>
    <row r="1616" spans="1:5">
      <c r="A1616" s="1">
        <v>45839</v>
      </c>
      <c r="B1616" t="s">
        <v>1994</v>
      </c>
      <c r="C1616" t="s">
        <v>20</v>
      </c>
      <c r="D1616" t="s">
        <v>2189</v>
      </c>
      <c r="E1616">
        <v>60</v>
      </c>
    </row>
    <row r="1617" spans="1:5">
      <c r="A1617" s="1">
        <v>45839</v>
      </c>
      <c r="B1617" t="s">
        <v>566</v>
      </c>
      <c r="C1617" t="s">
        <v>20</v>
      </c>
      <c r="D1617" t="s">
        <v>2190</v>
      </c>
      <c r="E1617">
        <v>160</v>
      </c>
    </row>
    <row r="1618" spans="1:5">
      <c r="A1618" s="1">
        <v>45839</v>
      </c>
      <c r="B1618" t="s">
        <v>910</v>
      </c>
      <c r="C1618" t="s">
        <v>20</v>
      </c>
      <c r="D1618" t="s">
        <v>2191</v>
      </c>
      <c r="E1618">
        <v>1790</v>
      </c>
    </row>
    <row r="1619" spans="1:5">
      <c r="A1619" s="1">
        <v>45839</v>
      </c>
      <c r="B1619" t="s">
        <v>856</v>
      </c>
      <c r="C1619" t="s">
        <v>20</v>
      </c>
      <c r="D1619" t="s">
        <v>2192</v>
      </c>
      <c r="E1619">
        <v>572</v>
      </c>
    </row>
    <row r="1620" spans="1:5">
      <c r="A1620" s="1">
        <v>45839</v>
      </c>
      <c r="B1620" t="s">
        <v>2099</v>
      </c>
      <c r="C1620" t="s">
        <v>20</v>
      </c>
      <c r="D1620" t="s">
        <v>2193</v>
      </c>
      <c r="E1620">
        <v>200</v>
      </c>
    </row>
    <row r="1621" spans="1:5">
      <c r="A1621" s="1">
        <v>45840</v>
      </c>
      <c r="B1621" t="s">
        <v>58</v>
      </c>
      <c r="C1621" t="s">
        <v>19</v>
      </c>
      <c r="D1621" t="s">
        <v>2194</v>
      </c>
      <c r="E1621">
        <v>18440</v>
      </c>
    </row>
    <row r="1622" spans="1:5">
      <c r="A1622" s="1">
        <v>45840</v>
      </c>
      <c r="B1622" t="s">
        <v>1049</v>
      </c>
      <c r="C1622" t="s">
        <v>19</v>
      </c>
      <c r="D1622" t="s">
        <v>2195</v>
      </c>
      <c r="E1622">
        <v>7400</v>
      </c>
    </row>
    <row r="1623" spans="1:5">
      <c r="A1623" s="1">
        <v>45840</v>
      </c>
      <c r="B1623" t="s">
        <v>706</v>
      </c>
      <c r="C1623" t="s">
        <v>20</v>
      </c>
      <c r="D1623" t="s">
        <v>2196</v>
      </c>
      <c r="E1623">
        <v>10796</v>
      </c>
    </row>
    <row r="1624" spans="1:5">
      <c r="A1624" s="1">
        <v>45840</v>
      </c>
      <c r="B1624" t="s">
        <v>76</v>
      </c>
      <c r="C1624" t="s">
        <v>20</v>
      </c>
      <c r="D1624" t="s">
        <v>2197</v>
      </c>
      <c r="E1624">
        <v>46882</v>
      </c>
    </row>
    <row r="1625" spans="1:5">
      <c r="A1625" s="1">
        <v>45840</v>
      </c>
      <c r="B1625" t="s">
        <v>76</v>
      </c>
      <c r="C1625" t="s">
        <v>20</v>
      </c>
      <c r="D1625" t="s">
        <v>2198</v>
      </c>
      <c r="E1625">
        <v>24304</v>
      </c>
    </row>
    <row r="1626" spans="1:5">
      <c r="A1626" s="1">
        <v>45840</v>
      </c>
      <c r="B1626" t="s">
        <v>76</v>
      </c>
      <c r="C1626" t="s">
        <v>20</v>
      </c>
      <c r="D1626" t="s">
        <v>2199</v>
      </c>
      <c r="E1626">
        <v>1656</v>
      </c>
    </row>
    <row r="1627" spans="1:5">
      <c r="A1627" s="1">
        <v>45840</v>
      </c>
      <c r="B1627" t="s">
        <v>907</v>
      </c>
      <c r="C1627" t="s">
        <v>20</v>
      </c>
      <c r="D1627" t="s">
        <v>2200</v>
      </c>
      <c r="E1627">
        <v>291</v>
      </c>
    </row>
    <row r="1628" spans="1:5">
      <c r="A1628" s="1">
        <v>45840</v>
      </c>
      <c r="B1628" t="s">
        <v>50</v>
      </c>
      <c r="C1628" t="s">
        <v>20</v>
      </c>
      <c r="D1628" t="s">
        <v>2201</v>
      </c>
      <c r="E1628">
        <v>170</v>
      </c>
    </row>
    <row r="1629" spans="1:5">
      <c r="A1629" s="1">
        <v>45840</v>
      </c>
      <c r="B1629" t="s">
        <v>2202</v>
      </c>
      <c r="C1629" t="s">
        <v>20</v>
      </c>
      <c r="D1629" t="s">
        <v>2203</v>
      </c>
      <c r="E1629">
        <v>36914</v>
      </c>
    </row>
    <row r="1630" spans="1:5">
      <c r="A1630" s="1">
        <v>45840</v>
      </c>
      <c r="B1630" t="s">
        <v>2204</v>
      </c>
      <c r="C1630" t="s">
        <v>20</v>
      </c>
      <c r="D1630" t="s">
        <v>2205</v>
      </c>
      <c r="E1630">
        <v>3018</v>
      </c>
    </row>
    <row r="1631" spans="1:5">
      <c r="A1631" s="1">
        <v>45840</v>
      </c>
      <c r="B1631" t="s">
        <v>2206</v>
      </c>
      <c r="C1631" t="s">
        <v>20</v>
      </c>
      <c r="D1631" t="s">
        <v>2207</v>
      </c>
      <c r="E1631">
        <v>5050</v>
      </c>
    </row>
    <row r="1632" spans="1:5">
      <c r="A1632" s="1">
        <v>45840</v>
      </c>
      <c r="B1632" t="s">
        <v>687</v>
      </c>
      <c r="C1632" t="s">
        <v>20</v>
      </c>
      <c r="D1632" t="s">
        <v>2208</v>
      </c>
      <c r="E1632">
        <v>2590</v>
      </c>
    </row>
    <row r="1633" spans="1:5">
      <c r="A1633" s="1">
        <v>45840</v>
      </c>
      <c r="B1633" t="s">
        <v>563</v>
      </c>
      <c r="C1633" t="s">
        <v>20</v>
      </c>
      <c r="D1633" t="s">
        <v>2209</v>
      </c>
      <c r="E1633">
        <v>306</v>
      </c>
    </row>
    <row r="1634" spans="1:5">
      <c r="A1634" s="1">
        <v>45840</v>
      </c>
      <c r="B1634" t="s">
        <v>706</v>
      </c>
      <c r="C1634" t="s">
        <v>20</v>
      </c>
      <c r="D1634" t="s">
        <v>2210</v>
      </c>
      <c r="E1634">
        <v>9016</v>
      </c>
    </row>
    <row r="1635" spans="1:5">
      <c r="A1635" s="1">
        <v>45840</v>
      </c>
      <c r="B1635" t="s">
        <v>706</v>
      </c>
      <c r="C1635" t="s">
        <v>20</v>
      </c>
      <c r="D1635" t="s">
        <v>2211</v>
      </c>
      <c r="E1635">
        <v>1890</v>
      </c>
    </row>
    <row r="1636" spans="1:5">
      <c r="A1636" s="1">
        <v>45840</v>
      </c>
      <c r="B1636" t="s">
        <v>2212</v>
      </c>
      <c r="C1636" t="s">
        <v>20</v>
      </c>
      <c r="D1636" t="s">
        <v>2213</v>
      </c>
      <c r="E1636">
        <v>1800</v>
      </c>
    </row>
    <row r="1637" spans="1:5">
      <c r="A1637" s="1">
        <v>45841</v>
      </c>
      <c r="B1637" t="s">
        <v>2214</v>
      </c>
      <c r="C1637" t="s">
        <v>20</v>
      </c>
      <c r="D1637" t="s">
        <v>2215</v>
      </c>
      <c r="E1637">
        <v>740</v>
      </c>
    </row>
    <row r="1638" spans="1:5">
      <c r="A1638" s="1">
        <v>45841</v>
      </c>
      <c r="B1638" t="s">
        <v>100</v>
      </c>
      <c r="C1638" t="s">
        <v>20</v>
      </c>
      <c r="D1638" t="s">
        <v>2216</v>
      </c>
      <c r="E1638">
        <v>10000</v>
      </c>
    </row>
    <row r="1639" spans="1:5">
      <c r="A1639" s="1">
        <v>45841</v>
      </c>
      <c r="B1639" t="s">
        <v>2122</v>
      </c>
      <c r="C1639" t="s">
        <v>20</v>
      </c>
      <c r="D1639" t="s">
        <v>2217</v>
      </c>
      <c r="E1639">
        <v>370</v>
      </c>
    </row>
    <row r="1640" spans="1:5">
      <c r="A1640" s="1">
        <v>45841</v>
      </c>
      <c r="B1640" t="s">
        <v>76</v>
      </c>
      <c r="C1640" t="s">
        <v>20</v>
      </c>
      <c r="D1640" t="s">
        <v>2218</v>
      </c>
      <c r="E1640">
        <v>1040</v>
      </c>
    </row>
    <row r="1641" spans="1:5">
      <c r="A1641" s="1">
        <v>45841</v>
      </c>
      <c r="B1641" t="s">
        <v>87</v>
      </c>
      <c r="C1641" t="s">
        <v>20</v>
      </c>
      <c r="D1641" t="s">
        <v>2219</v>
      </c>
      <c r="E1641">
        <v>9093</v>
      </c>
    </row>
    <row r="1642" spans="1:5">
      <c r="A1642" s="1">
        <v>45841</v>
      </c>
      <c r="B1642" t="s">
        <v>135</v>
      </c>
      <c r="C1642" t="s">
        <v>20</v>
      </c>
      <c r="D1642" t="s">
        <v>2220</v>
      </c>
      <c r="E1642">
        <v>2043</v>
      </c>
    </row>
    <row r="1643" spans="1:5">
      <c r="A1643" s="1">
        <v>45841</v>
      </c>
      <c r="B1643" t="s">
        <v>76</v>
      </c>
      <c r="C1643" t="s">
        <v>20</v>
      </c>
      <c r="D1643" t="s">
        <v>2221</v>
      </c>
      <c r="E1643">
        <v>7115</v>
      </c>
    </row>
    <row r="1644" spans="1:5">
      <c r="A1644" s="1">
        <v>45841</v>
      </c>
      <c r="B1644" t="s">
        <v>506</v>
      </c>
      <c r="C1644" t="s">
        <v>20</v>
      </c>
      <c r="D1644" t="s">
        <v>2222</v>
      </c>
      <c r="E1644">
        <v>9105</v>
      </c>
    </row>
    <row r="1645" spans="1:5">
      <c r="A1645" s="1">
        <v>45841</v>
      </c>
      <c r="B1645" t="s">
        <v>2223</v>
      </c>
      <c r="C1645" t="s">
        <v>20</v>
      </c>
      <c r="D1645" t="s">
        <v>2224</v>
      </c>
      <c r="E1645">
        <v>1478</v>
      </c>
    </row>
    <row r="1646" spans="1:5">
      <c r="A1646" s="1">
        <v>45841</v>
      </c>
      <c r="B1646" t="s">
        <v>50</v>
      </c>
      <c r="C1646" t="s">
        <v>20</v>
      </c>
      <c r="D1646" t="s">
        <v>2225</v>
      </c>
      <c r="E1646">
        <v>1007</v>
      </c>
    </row>
    <row r="1647" spans="1:5">
      <c r="A1647" s="1">
        <v>45841</v>
      </c>
      <c r="B1647" t="s">
        <v>2206</v>
      </c>
      <c r="C1647" t="s">
        <v>20</v>
      </c>
      <c r="D1647" t="s">
        <v>2226</v>
      </c>
      <c r="E1647">
        <v>2587</v>
      </c>
    </row>
    <row r="1648" spans="1:5">
      <c r="A1648" s="1">
        <v>45841</v>
      </c>
      <c r="B1648" t="s">
        <v>2227</v>
      </c>
      <c r="C1648" t="s">
        <v>20</v>
      </c>
      <c r="D1648" t="s">
        <v>2228</v>
      </c>
      <c r="E1648">
        <v>264</v>
      </c>
    </row>
    <row r="1649" spans="1:5">
      <c r="A1649" s="1">
        <v>45841</v>
      </c>
      <c r="B1649" t="s">
        <v>2229</v>
      </c>
      <c r="C1649" t="s">
        <v>20</v>
      </c>
      <c r="D1649" t="s">
        <v>2230</v>
      </c>
      <c r="E1649">
        <v>1264</v>
      </c>
    </row>
    <row r="1650" spans="1:5">
      <c r="A1650" s="1">
        <v>45841</v>
      </c>
      <c r="B1650" t="s">
        <v>254</v>
      </c>
      <c r="C1650" t="s">
        <v>20</v>
      </c>
      <c r="D1650" t="s">
        <v>2231</v>
      </c>
      <c r="E1650">
        <v>2220</v>
      </c>
    </row>
    <row r="1651" spans="1:5">
      <c r="A1651" s="1">
        <v>45841</v>
      </c>
      <c r="B1651" t="s">
        <v>1075</v>
      </c>
      <c r="C1651" t="s">
        <v>20</v>
      </c>
      <c r="D1651" t="s">
        <v>2232</v>
      </c>
      <c r="E1651">
        <v>255</v>
      </c>
    </row>
    <row r="1652" spans="1:5">
      <c r="A1652" s="1">
        <v>45841</v>
      </c>
      <c r="B1652" t="s">
        <v>2233</v>
      </c>
      <c r="C1652" t="s">
        <v>20</v>
      </c>
      <c r="D1652" t="s">
        <v>2234</v>
      </c>
      <c r="E1652">
        <v>3600</v>
      </c>
    </row>
    <row r="1653" spans="1:5">
      <c r="A1653" s="1">
        <v>45841</v>
      </c>
      <c r="B1653" t="s">
        <v>2235</v>
      </c>
      <c r="C1653" t="s">
        <v>20</v>
      </c>
      <c r="D1653" t="s">
        <v>2236</v>
      </c>
      <c r="E1653">
        <v>960</v>
      </c>
    </row>
    <row r="1654" spans="1:5">
      <c r="A1654" s="1">
        <v>45841</v>
      </c>
      <c r="B1654" t="s">
        <v>135</v>
      </c>
      <c r="C1654" t="s">
        <v>20</v>
      </c>
      <c r="D1654" t="s">
        <v>2237</v>
      </c>
      <c r="E1654">
        <v>5869</v>
      </c>
    </row>
    <row r="1655" spans="1:5">
      <c r="A1655" s="1">
        <v>45841</v>
      </c>
      <c r="B1655" t="s">
        <v>50</v>
      </c>
      <c r="C1655" t="s">
        <v>20</v>
      </c>
      <c r="D1655" t="s">
        <v>2238</v>
      </c>
      <c r="E1655">
        <v>25481</v>
      </c>
    </row>
    <row r="1656" spans="1:5">
      <c r="A1656" s="1">
        <v>45842</v>
      </c>
      <c r="B1656" t="s">
        <v>27</v>
      </c>
      <c r="C1656" t="s">
        <v>19</v>
      </c>
      <c r="D1656" t="s">
        <v>2239</v>
      </c>
      <c r="E1656">
        <v>3457</v>
      </c>
    </row>
    <row r="1657" spans="1:5">
      <c r="A1657" s="1">
        <v>45842</v>
      </c>
      <c r="B1657" t="s">
        <v>1628</v>
      </c>
      <c r="C1657" t="s">
        <v>19</v>
      </c>
      <c r="D1657" t="s">
        <v>2240</v>
      </c>
      <c r="E1657">
        <v>3585</v>
      </c>
    </row>
    <row r="1658" spans="1:5">
      <c r="A1658" s="1">
        <v>45842</v>
      </c>
      <c r="B1658" t="s">
        <v>1578</v>
      </c>
      <c r="C1658" t="s">
        <v>20</v>
      </c>
      <c r="D1658" t="s">
        <v>2241</v>
      </c>
      <c r="E1658">
        <v>15600</v>
      </c>
    </row>
    <row r="1659" spans="1:5">
      <c r="A1659" s="1">
        <v>45842</v>
      </c>
      <c r="B1659" t="s">
        <v>124</v>
      </c>
      <c r="C1659" t="s">
        <v>20</v>
      </c>
      <c r="D1659" t="s">
        <v>2242</v>
      </c>
      <c r="E1659">
        <v>13488</v>
      </c>
    </row>
    <row r="1660" spans="1:5">
      <c r="A1660" s="1">
        <v>45842</v>
      </c>
      <c r="B1660" t="s">
        <v>33</v>
      </c>
      <c r="C1660" t="s">
        <v>20</v>
      </c>
      <c r="D1660" t="s">
        <v>2243</v>
      </c>
      <c r="E1660">
        <v>7400</v>
      </c>
    </row>
    <row r="1661" spans="1:5">
      <c r="A1661" s="1">
        <v>45842</v>
      </c>
      <c r="B1661" t="s">
        <v>68</v>
      </c>
      <c r="C1661" t="s">
        <v>20</v>
      </c>
      <c r="D1661" t="s">
        <v>2244</v>
      </c>
      <c r="E1661">
        <v>2483</v>
      </c>
    </row>
    <row r="1662" spans="1:5">
      <c r="A1662" s="1">
        <v>45842</v>
      </c>
      <c r="B1662" t="s">
        <v>2214</v>
      </c>
      <c r="C1662" t="s">
        <v>20</v>
      </c>
      <c r="D1662" t="s">
        <v>2245</v>
      </c>
      <c r="E1662">
        <v>740</v>
      </c>
    </row>
    <row r="1663" spans="1:5">
      <c r="A1663" s="1">
        <v>45842</v>
      </c>
      <c r="B1663" t="s">
        <v>1075</v>
      </c>
      <c r="C1663" t="s">
        <v>20</v>
      </c>
      <c r="D1663" t="s">
        <v>2246</v>
      </c>
      <c r="E1663">
        <v>20161</v>
      </c>
    </row>
    <row r="1664" spans="1:5">
      <c r="A1664" s="1">
        <v>45842</v>
      </c>
      <c r="B1664" t="s">
        <v>2001</v>
      </c>
      <c r="C1664" t="s">
        <v>20</v>
      </c>
      <c r="D1664" t="s">
        <v>2247</v>
      </c>
      <c r="E1664">
        <v>3770</v>
      </c>
    </row>
    <row r="1665" spans="1:5">
      <c r="A1665" s="1">
        <v>45842</v>
      </c>
      <c r="B1665" t="s">
        <v>526</v>
      </c>
      <c r="C1665" t="s">
        <v>20</v>
      </c>
      <c r="D1665" t="s">
        <v>2248</v>
      </c>
      <c r="E1665">
        <v>39068</v>
      </c>
    </row>
    <row r="1666" spans="1:5">
      <c r="A1666" s="1">
        <v>45842</v>
      </c>
      <c r="B1666" t="s">
        <v>43</v>
      </c>
      <c r="C1666" t="s">
        <v>20</v>
      </c>
      <c r="D1666" t="s">
        <v>2249</v>
      </c>
      <c r="E1666">
        <v>8637</v>
      </c>
    </row>
    <row r="1667" spans="1:5">
      <c r="A1667" s="1">
        <v>45842</v>
      </c>
      <c r="B1667" t="s">
        <v>2250</v>
      </c>
      <c r="C1667" t="s">
        <v>20</v>
      </c>
      <c r="D1667" t="s">
        <v>2251</v>
      </c>
      <c r="E1667">
        <v>12235</v>
      </c>
    </row>
    <row r="1668" spans="1:5">
      <c r="A1668" s="1">
        <v>45842</v>
      </c>
      <c r="B1668" t="s">
        <v>76</v>
      </c>
      <c r="C1668" t="s">
        <v>20</v>
      </c>
      <c r="D1668" t="s">
        <v>2252</v>
      </c>
      <c r="E1668">
        <v>895</v>
      </c>
    </row>
    <row r="1669" spans="1:5">
      <c r="A1669" s="1">
        <v>45842</v>
      </c>
      <c r="B1669" t="s">
        <v>526</v>
      </c>
      <c r="C1669" t="s">
        <v>20</v>
      </c>
      <c r="D1669" t="s">
        <v>2253</v>
      </c>
      <c r="E1669">
        <v>260</v>
      </c>
    </row>
    <row r="1670" spans="1:5">
      <c r="A1670" s="1">
        <v>45842</v>
      </c>
      <c r="B1670" t="s">
        <v>687</v>
      </c>
      <c r="C1670" t="s">
        <v>20</v>
      </c>
      <c r="D1670" t="s">
        <v>2254</v>
      </c>
      <c r="E1670">
        <v>3564</v>
      </c>
    </row>
    <row r="1671" spans="1:5">
      <c r="A1671" s="1">
        <v>45842</v>
      </c>
      <c r="B1671" t="s">
        <v>100</v>
      </c>
      <c r="C1671" t="s">
        <v>20</v>
      </c>
      <c r="D1671" t="s">
        <v>2255</v>
      </c>
      <c r="E1671">
        <v>3338</v>
      </c>
    </row>
    <row r="1672" spans="1:5">
      <c r="A1672" s="1">
        <v>45842</v>
      </c>
      <c r="B1672" t="s">
        <v>2256</v>
      </c>
      <c r="C1672" t="s">
        <v>20</v>
      </c>
      <c r="D1672" t="s">
        <v>2257</v>
      </c>
      <c r="E1672">
        <v>59493</v>
      </c>
    </row>
    <row r="1673" spans="1:5">
      <c r="A1673" s="1">
        <v>45842</v>
      </c>
      <c r="B1673" t="s">
        <v>856</v>
      </c>
      <c r="C1673" t="s">
        <v>20</v>
      </c>
      <c r="D1673" t="s">
        <v>2258</v>
      </c>
      <c r="E1673">
        <v>753</v>
      </c>
    </row>
    <row r="1674" spans="1:5">
      <c r="A1674" s="1">
        <v>45842</v>
      </c>
      <c r="B1674" t="s">
        <v>563</v>
      </c>
      <c r="C1674" t="s">
        <v>20</v>
      </c>
      <c r="D1674" t="s">
        <v>2259</v>
      </c>
      <c r="E1674">
        <v>7400</v>
      </c>
    </row>
    <row r="1675" spans="1:5">
      <c r="A1675" s="1">
        <v>45842</v>
      </c>
      <c r="B1675" t="s">
        <v>2260</v>
      </c>
      <c r="C1675" t="s">
        <v>20</v>
      </c>
      <c r="D1675" t="s">
        <v>2261</v>
      </c>
      <c r="E1675">
        <v>2354</v>
      </c>
    </row>
    <row r="1676" spans="1:5">
      <c r="A1676" s="1">
        <v>45842</v>
      </c>
      <c r="B1676" t="s">
        <v>412</v>
      </c>
      <c r="C1676" t="s">
        <v>20</v>
      </c>
      <c r="D1676" t="s">
        <v>2262</v>
      </c>
      <c r="E1676">
        <v>335</v>
      </c>
    </row>
    <row r="1677" spans="1:5">
      <c r="A1677" s="1">
        <v>45842</v>
      </c>
      <c r="B1677" t="s">
        <v>2143</v>
      </c>
      <c r="C1677" t="s">
        <v>20</v>
      </c>
      <c r="D1677" t="s">
        <v>2263</v>
      </c>
      <c r="E1677">
        <v>435</v>
      </c>
    </row>
    <row r="1678" spans="1:5">
      <c r="A1678" s="1">
        <v>45842</v>
      </c>
      <c r="B1678" t="s">
        <v>706</v>
      </c>
      <c r="C1678" t="s">
        <v>20</v>
      </c>
      <c r="D1678" t="s">
        <v>2264</v>
      </c>
      <c r="E1678">
        <v>720</v>
      </c>
    </row>
    <row r="1679" spans="1:5">
      <c r="A1679" s="1">
        <v>45842</v>
      </c>
      <c r="B1679" t="s">
        <v>2214</v>
      </c>
      <c r="C1679" t="s">
        <v>20</v>
      </c>
      <c r="D1679" t="s">
        <v>2265</v>
      </c>
      <c r="E1679">
        <v>740</v>
      </c>
    </row>
    <row r="1680" spans="1:5">
      <c r="A1680" s="1">
        <v>45843</v>
      </c>
      <c r="B1680" t="s">
        <v>2266</v>
      </c>
      <c r="C1680" t="s">
        <v>19</v>
      </c>
      <c r="D1680" t="s">
        <v>2267</v>
      </c>
      <c r="E1680">
        <v>9465</v>
      </c>
    </row>
    <row r="1681" spans="1:5">
      <c r="A1681" s="1">
        <v>45843</v>
      </c>
      <c r="B1681" t="s">
        <v>60</v>
      </c>
      <c r="C1681" t="s">
        <v>19</v>
      </c>
      <c r="D1681" t="s">
        <v>2268</v>
      </c>
      <c r="E1681">
        <v>60980</v>
      </c>
    </row>
    <row r="1682" spans="1:5">
      <c r="A1682" s="1">
        <v>45843</v>
      </c>
      <c r="B1682" t="s">
        <v>246</v>
      </c>
      <c r="C1682" t="s">
        <v>19</v>
      </c>
      <c r="D1682" t="s">
        <v>2269</v>
      </c>
      <c r="E1682">
        <v>250</v>
      </c>
    </row>
    <row r="1683" spans="1:5">
      <c r="A1683" s="1">
        <v>45843</v>
      </c>
      <c r="B1683" t="s">
        <v>50</v>
      </c>
      <c r="C1683" t="s">
        <v>20</v>
      </c>
      <c r="D1683" t="s">
        <v>2270</v>
      </c>
      <c r="E1683">
        <v>12</v>
      </c>
    </row>
    <row r="1684" spans="1:5">
      <c r="A1684" s="1">
        <v>45843</v>
      </c>
      <c r="B1684" t="s">
        <v>541</v>
      </c>
      <c r="C1684" t="s">
        <v>20</v>
      </c>
      <c r="D1684" t="s">
        <v>2271</v>
      </c>
      <c r="E1684">
        <v>740</v>
      </c>
    </row>
    <row r="1685" spans="1:5">
      <c r="A1685" s="1">
        <v>45843</v>
      </c>
      <c r="B1685" t="s">
        <v>124</v>
      </c>
      <c r="C1685" t="s">
        <v>20</v>
      </c>
      <c r="D1685" t="s">
        <v>2272</v>
      </c>
      <c r="E1685">
        <v>5550</v>
      </c>
    </row>
    <row r="1686" spans="1:5">
      <c r="A1686" s="1">
        <v>45843</v>
      </c>
      <c r="B1686" t="s">
        <v>750</v>
      </c>
      <c r="C1686" t="s">
        <v>20</v>
      </c>
      <c r="D1686" t="s">
        <v>2273</v>
      </c>
      <c r="E1686">
        <v>3082</v>
      </c>
    </row>
    <row r="1687" spans="1:5">
      <c r="A1687" s="1">
        <v>45843</v>
      </c>
      <c r="B1687" t="s">
        <v>2274</v>
      </c>
      <c r="C1687" t="s">
        <v>20</v>
      </c>
      <c r="D1687" t="s">
        <v>2275</v>
      </c>
      <c r="E1687">
        <v>5894</v>
      </c>
    </row>
    <row r="1688" spans="1:5">
      <c r="A1688" s="1">
        <v>45843</v>
      </c>
      <c r="B1688" t="s">
        <v>2214</v>
      </c>
      <c r="C1688" t="s">
        <v>20</v>
      </c>
      <c r="D1688" t="s">
        <v>2276</v>
      </c>
      <c r="E1688">
        <v>2220</v>
      </c>
    </row>
    <row r="1689" spans="1:5">
      <c r="A1689" s="1">
        <v>45843</v>
      </c>
      <c r="B1689" t="s">
        <v>907</v>
      </c>
      <c r="C1689" t="s">
        <v>20</v>
      </c>
      <c r="D1689" t="s">
        <v>2277</v>
      </c>
      <c r="E1689">
        <v>5896</v>
      </c>
    </row>
    <row r="1690" spans="1:5">
      <c r="A1690" s="1">
        <v>45843</v>
      </c>
      <c r="B1690" t="s">
        <v>526</v>
      </c>
      <c r="C1690" t="s">
        <v>20</v>
      </c>
      <c r="D1690" t="s">
        <v>2278</v>
      </c>
      <c r="E1690">
        <v>4258</v>
      </c>
    </row>
    <row r="1691" spans="1:5">
      <c r="A1691" s="1">
        <v>45843</v>
      </c>
      <c r="B1691" t="s">
        <v>2279</v>
      </c>
      <c r="C1691" t="s">
        <v>20</v>
      </c>
      <c r="D1691" t="s">
        <v>2280</v>
      </c>
      <c r="E1691">
        <v>12000</v>
      </c>
    </row>
    <row r="1692" spans="1:5">
      <c r="A1692" s="1">
        <v>45843</v>
      </c>
      <c r="B1692" t="s">
        <v>1039</v>
      </c>
      <c r="C1692" t="s">
        <v>20</v>
      </c>
      <c r="D1692" t="s">
        <v>2281</v>
      </c>
      <c r="E1692">
        <v>40571</v>
      </c>
    </row>
    <row r="1693" spans="1:5">
      <c r="A1693" s="1">
        <v>45843</v>
      </c>
      <c r="B1693" t="s">
        <v>50</v>
      </c>
      <c r="C1693" t="s">
        <v>20</v>
      </c>
      <c r="D1693" t="s">
        <v>2282</v>
      </c>
      <c r="E1693">
        <v>9772</v>
      </c>
    </row>
    <row r="1694" spans="1:5">
      <c r="A1694" s="1">
        <v>45843</v>
      </c>
      <c r="B1694" t="s">
        <v>1075</v>
      </c>
      <c r="C1694" t="s">
        <v>20</v>
      </c>
      <c r="D1694" t="s">
        <v>2283</v>
      </c>
      <c r="E1694">
        <v>16650</v>
      </c>
    </row>
    <row r="1695" spans="1:5">
      <c r="A1695" s="1">
        <v>45843</v>
      </c>
      <c r="B1695" t="s">
        <v>50</v>
      </c>
      <c r="C1695" t="s">
        <v>20</v>
      </c>
      <c r="D1695" t="s">
        <v>2284</v>
      </c>
      <c r="E1695">
        <v>370</v>
      </c>
    </row>
    <row r="1696" spans="1:5">
      <c r="A1696" s="1">
        <v>45843</v>
      </c>
      <c r="B1696" t="s">
        <v>687</v>
      </c>
      <c r="C1696" t="s">
        <v>20</v>
      </c>
      <c r="D1696" t="s">
        <v>2285</v>
      </c>
      <c r="E1696">
        <v>2206</v>
      </c>
    </row>
    <row r="1697" spans="1:5">
      <c r="A1697" s="1">
        <v>45843</v>
      </c>
      <c r="B1697" t="s">
        <v>1607</v>
      </c>
      <c r="C1697" t="s">
        <v>20</v>
      </c>
      <c r="D1697" t="s">
        <v>2286</v>
      </c>
      <c r="E1697">
        <v>2173</v>
      </c>
    </row>
    <row r="1698" spans="1:5">
      <c r="A1698" s="1">
        <v>45843</v>
      </c>
      <c r="B1698" t="s">
        <v>1135</v>
      </c>
      <c r="C1698" t="s">
        <v>20</v>
      </c>
      <c r="D1698" t="s">
        <v>2287</v>
      </c>
      <c r="E1698">
        <v>3995</v>
      </c>
    </row>
    <row r="1699" spans="1:5">
      <c r="A1699" s="1">
        <v>45843</v>
      </c>
      <c r="B1699" t="s">
        <v>2288</v>
      </c>
      <c r="C1699" t="s">
        <v>20</v>
      </c>
      <c r="D1699" t="s">
        <v>2289</v>
      </c>
      <c r="E1699">
        <v>1850</v>
      </c>
    </row>
    <row r="1700" spans="1:5">
      <c r="A1700" s="1">
        <v>45843</v>
      </c>
      <c r="B1700" t="s">
        <v>1085</v>
      </c>
      <c r="C1700" t="s">
        <v>20</v>
      </c>
      <c r="D1700" t="s">
        <v>2290</v>
      </c>
      <c r="E1700">
        <v>2140</v>
      </c>
    </row>
    <row r="1701" spans="1:5">
      <c r="A1701" s="1">
        <v>45843</v>
      </c>
      <c r="B1701" t="s">
        <v>360</v>
      </c>
      <c r="C1701" t="s">
        <v>20</v>
      </c>
      <c r="D1701" t="s">
        <v>2291</v>
      </c>
      <c r="E1701">
        <v>1533</v>
      </c>
    </row>
    <row r="1702" spans="1:5">
      <c r="A1702" s="1">
        <v>45843</v>
      </c>
      <c r="B1702" t="s">
        <v>750</v>
      </c>
      <c r="C1702" t="s">
        <v>20</v>
      </c>
      <c r="D1702" t="s">
        <v>2292</v>
      </c>
      <c r="E1702">
        <v>2047</v>
      </c>
    </row>
    <row r="1703" spans="1:5">
      <c r="A1703" s="1">
        <v>45843</v>
      </c>
      <c r="B1703" t="s">
        <v>750</v>
      </c>
      <c r="C1703" t="s">
        <v>20</v>
      </c>
      <c r="D1703" t="s">
        <v>2293</v>
      </c>
      <c r="E1703">
        <v>1862</v>
      </c>
    </row>
    <row r="1704" spans="1:5">
      <c r="A1704" s="1">
        <v>45843</v>
      </c>
      <c r="B1704" t="s">
        <v>50</v>
      </c>
      <c r="C1704" t="s">
        <v>20</v>
      </c>
      <c r="D1704" t="s">
        <v>2294</v>
      </c>
      <c r="E1704">
        <v>12</v>
      </c>
    </row>
    <row r="1705" spans="1:5">
      <c r="A1705" s="1">
        <v>45843</v>
      </c>
      <c r="B1705" t="s">
        <v>2022</v>
      </c>
      <c r="C1705" t="s">
        <v>20</v>
      </c>
      <c r="D1705" t="s">
        <v>2295</v>
      </c>
      <c r="E1705">
        <v>23485</v>
      </c>
    </row>
    <row r="1706" spans="1:5">
      <c r="A1706" s="1">
        <v>45843</v>
      </c>
      <c r="B1706" t="s">
        <v>2069</v>
      </c>
      <c r="C1706" t="s">
        <v>20</v>
      </c>
      <c r="D1706" t="s">
        <v>2296</v>
      </c>
      <c r="E1706">
        <v>24723</v>
      </c>
    </row>
    <row r="1707" spans="1:5">
      <c r="A1707" s="1">
        <v>45843</v>
      </c>
      <c r="B1707" t="s">
        <v>50</v>
      </c>
      <c r="C1707" t="s">
        <v>20</v>
      </c>
      <c r="D1707" t="s">
        <v>2297</v>
      </c>
      <c r="E1707">
        <v>7136</v>
      </c>
    </row>
    <row r="1708" spans="1:5">
      <c r="A1708" s="1">
        <v>45844</v>
      </c>
      <c r="B1708" t="s">
        <v>254</v>
      </c>
      <c r="C1708" t="s">
        <v>20</v>
      </c>
      <c r="D1708" t="s">
        <v>2298</v>
      </c>
      <c r="E1708">
        <v>1850</v>
      </c>
    </row>
    <row r="1709" spans="1:5">
      <c r="A1709" s="1">
        <v>45844</v>
      </c>
      <c r="B1709" t="s">
        <v>1075</v>
      </c>
      <c r="C1709" t="s">
        <v>20</v>
      </c>
      <c r="D1709" t="s">
        <v>2299</v>
      </c>
      <c r="E1709">
        <v>100</v>
      </c>
    </row>
    <row r="1710" spans="1:5">
      <c r="A1710" s="1">
        <v>45844</v>
      </c>
      <c r="B1710" t="s">
        <v>100</v>
      </c>
      <c r="C1710" t="s">
        <v>20</v>
      </c>
      <c r="D1710" t="s">
        <v>2300</v>
      </c>
      <c r="E1710">
        <v>68</v>
      </c>
    </row>
    <row r="1711" spans="1:5">
      <c r="A1711" s="1">
        <v>45845</v>
      </c>
      <c r="B1711" t="s">
        <v>2266</v>
      </c>
      <c r="C1711" t="s">
        <v>19</v>
      </c>
      <c r="D1711" t="s">
        <v>2301</v>
      </c>
      <c r="E1711">
        <v>4000</v>
      </c>
    </row>
    <row r="1712" spans="1:5">
      <c r="A1712" s="1">
        <v>45845</v>
      </c>
      <c r="B1712" t="s">
        <v>50</v>
      </c>
      <c r="C1712" t="s">
        <v>20</v>
      </c>
      <c r="D1712" t="s">
        <v>2302</v>
      </c>
      <c r="E1712">
        <v>740</v>
      </c>
    </row>
    <row r="1713" spans="1:5">
      <c r="A1713" s="1">
        <v>45845</v>
      </c>
      <c r="B1713" t="s">
        <v>2303</v>
      </c>
      <c r="C1713" t="s">
        <v>20</v>
      </c>
      <c r="D1713" t="s">
        <v>2304</v>
      </c>
      <c r="E1713">
        <v>1250</v>
      </c>
    </row>
    <row r="1714" spans="1:5">
      <c r="A1714" s="1">
        <v>45845</v>
      </c>
      <c r="B1714" t="s">
        <v>1881</v>
      </c>
      <c r="C1714" t="s">
        <v>20</v>
      </c>
      <c r="D1714" t="s">
        <v>2305</v>
      </c>
      <c r="E1714">
        <v>378</v>
      </c>
    </row>
    <row r="1715" spans="1:5">
      <c r="A1715" s="1">
        <v>45845</v>
      </c>
      <c r="B1715" t="s">
        <v>2059</v>
      </c>
      <c r="C1715" t="s">
        <v>20</v>
      </c>
      <c r="D1715" t="s">
        <v>2306</v>
      </c>
      <c r="E1715">
        <v>2103</v>
      </c>
    </row>
    <row r="1716" spans="1:5">
      <c r="A1716" s="1">
        <v>45845</v>
      </c>
      <c r="B1716" t="s">
        <v>526</v>
      </c>
      <c r="C1716" t="s">
        <v>20</v>
      </c>
      <c r="D1716" t="s">
        <v>2307</v>
      </c>
      <c r="E1716">
        <v>1905</v>
      </c>
    </row>
    <row r="1717" spans="1:5">
      <c r="A1717" s="1">
        <v>45845</v>
      </c>
      <c r="B1717" t="s">
        <v>2308</v>
      </c>
      <c r="C1717" t="s">
        <v>20</v>
      </c>
      <c r="D1717" t="s">
        <v>2309</v>
      </c>
      <c r="E1717">
        <v>29455</v>
      </c>
    </row>
    <row r="1718" spans="1:5">
      <c r="A1718" s="1">
        <v>45845</v>
      </c>
      <c r="B1718" t="s">
        <v>358</v>
      </c>
      <c r="C1718" t="s">
        <v>20</v>
      </c>
      <c r="D1718" t="s">
        <v>2310</v>
      </c>
      <c r="E1718">
        <v>2926</v>
      </c>
    </row>
    <row r="1719" spans="1:5">
      <c r="A1719" s="1">
        <v>45845</v>
      </c>
      <c r="B1719" t="s">
        <v>68</v>
      </c>
      <c r="C1719" t="s">
        <v>20</v>
      </c>
      <c r="D1719" t="s">
        <v>2311</v>
      </c>
      <c r="E1719">
        <v>1065</v>
      </c>
    </row>
    <row r="1720" spans="1:5">
      <c r="A1720" s="1">
        <v>45845</v>
      </c>
      <c r="B1720" t="s">
        <v>321</v>
      </c>
      <c r="C1720" t="s">
        <v>20</v>
      </c>
      <c r="D1720" t="s">
        <v>2312</v>
      </c>
      <c r="E1720">
        <v>4430</v>
      </c>
    </row>
    <row r="1721" spans="1:5">
      <c r="A1721" s="1">
        <v>45845</v>
      </c>
      <c r="B1721" t="s">
        <v>76</v>
      </c>
      <c r="C1721" t="s">
        <v>20</v>
      </c>
      <c r="D1721" t="s">
        <v>2313</v>
      </c>
      <c r="E1721">
        <v>27958</v>
      </c>
    </row>
    <row r="1722" spans="1:5">
      <c r="A1722" s="1">
        <v>45845</v>
      </c>
      <c r="B1722" t="s">
        <v>2314</v>
      </c>
      <c r="C1722" t="s">
        <v>20</v>
      </c>
      <c r="D1722" t="s">
        <v>2315</v>
      </c>
      <c r="E1722">
        <v>15687</v>
      </c>
    </row>
    <row r="1723" spans="1:5">
      <c r="A1723" s="1">
        <v>45845</v>
      </c>
      <c r="B1723" t="s">
        <v>2316</v>
      </c>
      <c r="C1723" t="s">
        <v>20</v>
      </c>
      <c r="D1723" t="s">
        <v>2317</v>
      </c>
      <c r="E1723">
        <v>10074</v>
      </c>
    </row>
    <row r="1724" spans="1:5">
      <c r="A1724" s="1">
        <v>45845</v>
      </c>
      <c r="B1724" t="s">
        <v>76</v>
      </c>
      <c r="C1724" t="s">
        <v>20</v>
      </c>
      <c r="D1724" t="s">
        <v>2318</v>
      </c>
      <c r="E1724">
        <v>1775</v>
      </c>
    </row>
    <row r="1725" spans="1:5">
      <c r="A1725" s="1">
        <v>45845</v>
      </c>
      <c r="B1725" t="s">
        <v>2319</v>
      </c>
      <c r="C1725" t="s">
        <v>20</v>
      </c>
      <c r="D1725" t="s">
        <v>2320</v>
      </c>
      <c r="E1725">
        <v>14632</v>
      </c>
    </row>
    <row r="1726" spans="1:5">
      <c r="A1726" s="1">
        <v>45845</v>
      </c>
      <c r="B1726" t="s">
        <v>254</v>
      </c>
      <c r="C1726" t="s">
        <v>20</v>
      </c>
      <c r="D1726" t="s">
        <v>2321</v>
      </c>
      <c r="E1726">
        <v>2992</v>
      </c>
    </row>
    <row r="1727" spans="1:5">
      <c r="A1727" s="1">
        <v>45845</v>
      </c>
      <c r="B1727" t="s">
        <v>1085</v>
      </c>
      <c r="C1727" t="s">
        <v>20</v>
      </c>
      <c r="D1727" t="s">
        <v>2322</v>
      </c>
      <c r="E1727">
        <v>600</v>
      </c>
    </row>
    <row r="1728" spans="1:5">
      <c r="A1728" s="1">
        <v>45845</v>
      </c>
      <c r="B1728" t="s">
        <v>2323</v>
      </c>
      <c r="C1728" t="s">
        <v>20</v>
      </c>
      <c r="D1728" t="s">
        <v>2324</v>
      </c>
      <c r="E1728">
        <v>270</v>
      </c>
    </row>
    <row r="1729" spans="1:5">
      <c r="A1729" s="1">
        <v>45846</v>
      </c>
      <c r="B1729" t="s">
        <v>246</v>
      </c>
      <c r="C1729" t="s">
        <v>19</v>
      </c>
      <c r="D1729" t="s">
        <v>2325</v>
      </c>
      <c r="E1729">
        <v>250</v>
      </c>
    </row>
    <row r="1730" spans="1:5">
      <c r="A1730" s="1">
        <v>45846</v>
      </c>
      <c r="B1730" t="s">
        <v>1628</v>
      </c>
      <c r="C1730" t="s">
        <v>19</v>
      </c>
      <c r="D1730" t="s">
        <v>2326</v>
      </c>
      <c r="E1730">
        <v>55903</v>
      </c>
    </row>
    <row r="1731" spans="1:5">
      <c r="A1731" s="1">
        <v>45846</v>
      </c>
      <c r="B1731" t="s">
        <v>927</v>
      </c>
      <c r="C1731" t="s">
        <v>19</v>
      </c>
      <c r="D1731" t="s">
        <v>2327</v>
      </c>
      <c r="E1731">
        <v>22200</v>
      </c>
    </row>
    <row r="1732" spans="1:5">
      <c r="A1732" s="1">
        <v>45846</v>
      </c>
      <c r="B1732" t="s">
        <v>27</v>
      </c>
      <c r="C1732" t="s">
        <v>19</v>
      </c>
      <c r="D1732" t="s">
        <v>2328</v>
      </c>
      <c r="E1732">
        <v>2443</v>
      </c>
    </row>
    <row r="1733" spans="1:5">
      <c r="A1733" s="1">
        <v>45846</v>
      </c>
      <c r="B1733" t="s">
        <v>2329</v>
      </c>
      <c r="C1733" t="s">
        <v>19</v>
      </c>
      <c r="D1733" t="s">
        <v>2330</v>
      </c>
      <c r="E1733">
        <v>17294</v>
      </c>
    </row>
    <row r="1734" spans="1:5">
      <c r="A1734" s="1">
        <v>45846</v>
      </c>
      <c r="B1734" t="s">
        <v>2331</v>
      </c>
      <c r="C1734" t="s">
        <v>20</v>
      </c>
      <c r="D1734" t="s">
        <v>2332</v>
      </c>
      <c r="E1734">
        <v>1480</v>
      </c>
    </row>
    <row r="1735" spans="1:5">
      <c r="A1735" s="1">
        <v>45846</v>
      </c>
      <c r="B1735" t="s">
        <v>131</v>
      </c>
      <c r="C1735" t="s">
        <v>20</v>
      </c>
      <c r="D1735" t="s">
        <v>2333</v>
      </c>
      <c r="E1735">
        <v>3700</v>
      </c>
    </row>
    <row r="1736" spans="1:5">
      <c r="A1736" s="1">
        <v>45846</v>
      </c>
      <c r="B1736" t="s">
        <v>43</v>
      </c>
      <c r="C1736" t="s">
        <v>20</v>
      </c>
      <c r="D1736" t="s">
        <v>2334</v>
      </c>
      <c r="E1736">
        <v>14787</v>
      </c>
    </row>
    <row r="1737" spans="1:5">
      <c r="A1737" s="1">
        <v>45846</v>
      </c>
      <c r="B1737" t="s">
        <v>239</v>
      </c>
      <c r="C1737" t="s">
        <v>20</v>
      </c>
      <c r="D1737" t="s">
        <v>2335</v>
      </c>
      <c r="E1737">
        <v>1455</v>
      </c>
    </row>
    <row r="1738" spans="1:5">
      <c r="A1738" s="1">
        <v>45846</v>
      </c>
      <c r="B1738" t="s">
        <v>68</v>
      </c>
      <c r="C1738" t="s">
        <v>20</v>
      </c>
      <c r="D1738" t="s">
        <v>2336</v>
      </c>
      <c r="E1738">
        <v>24860</v>
      </c>
    </row>
    <row r="1739" spans="1:5">
      <c r="A1739" s="1">
        <v>45846</v>
      </c>
      <c r="B1739" t="s">
        <v>2059</v>
      </c>
      <c r="C1739" t="s">
        <v>20</v>
      </c>
      <c r="D1739" t="s">
        <v>2337</v>
      </c>
      <c r="E1739">
        <v>2200</v>
      </c>
    </row>
    <row r="1740" spans="1:5">
      <c r="A1740" s="1">
        <v>45846</v>
      </c>
      <c r="B1740" t="s">
        <v>2288</v>
      </c>
      <c r="C1740" t="s">
        <v>20</v>
      </c>
      <c r="D1740" t="s">
        <v>2338</v>
      </c>
      <c r="E1740">
        <v>4676</v>
      </c>
    </row>
    <row r="1741" spans="1:5">
      <c r="A1741" s="1">
        <v>45846</v>
      </c>
      <c r="B1741" t="s">
        <v>566</v>
      </c>
      <c r="C1741" t="s">
        <v>20</v>
      </c>
      <c r="D1741" t="s">
        <v>2339</v>
      </c>
      <c r="E1741">
        <v>682</v>
      </c>
    </row>
    <row r="1742" spans="1:5">
      <c r="A1742" s="1">
        <v>45846</v>
      </c>
      <c r="B1742" t="s">
        <v>563</v>
      </c>
      <c r="C1742" t="s">
        <v>20</v>
      </c>
      <c r="D1742" t="s">
        <v>2340</v>
      </c>
      <c r="E1742">
        <v>5786</v>
      </c>
    </row>
    <row r="1743" spans="1:5">
      <c r="A1743" s="1">
        <v>45846</v>
      </c>
      <c r="B1743" t="s">
        <v>43</v>
      </c>
      <c r="C1743" t="s">
        <v>20</v>
      </c>
      <c r="D1743" t="s">
        <v>2341</v>
      </c>
      <c r="E1743">
        <v>2638</v>
      </c>
    </row>
    <row r="1744" spans="1:5">
      <c r="A1744" s="1">
        <v>45846</v>
      </c>
      <c r="B1744" t="s">
        <v>1666</v>
      </c>
      <c r="C1744" t="s">
        <v>20</v>
      </c>
      <c r="D1744" t="s">
        <v>2342</v>
      </c>
      <c r="E1744">
        <v>6476</v>
      </c>
    </row>
    <row r="1745" spans="1:5">
      <c r="A1745" s="1">
        <v>45846</v>
      </c>
      <c r="B1745" t="s">
        <v>526</v>
      </c>
      <c r="C1745" t="s">
        <v>20</v>
      </c>
      <c r="D1745" t="s">
        <v>2343</v>
      </c>
      <c r="E1745">
        <v>15118</v>
      </c>
    </row>
    <row r="1746" spans="1:5">
      <c r="A1746" s="1">
        <v>45846</v>
      </c>
      <c r="B1746" t="s">
        <v>321</v>
      </c>
      <c r="C1746" t="s">
        <v>20</v>
      </c>
      <c r="D1746" t="s">
        <v>2344</v>
      </c>
      <c r="E1746">
        <v>7655</v>
      </c>
    </row>
    <row r="1747" spans="1:5">
      <c r="A1747" s="1">
        <v>45846</v>
      </c>
      <c r="B1747" t="s">
        <v>2069</v>
      </c>
      <c r="C1747" t="s">
        <v>20</v>
      </c>
      <c r="D1747" t="s">
        <v>2345</v>
      </c>
      <c r="E1747">
        <v>5480</v>
      </c>
    </row>
    <row r="1748" spans="1:5">
      <c r="A1748" s="1">
        <v>45846</v>
      </c>
      <c r="B1748" t="s">
        <v>50</v>
      </c>
      <c r="C1748" t="s">
        <v>20</v>
      </c>
      <c r="D1748" t="s">
        <v>2346</v>
      </c>
      <c r="E1748">
        <v>904</v>
      </c>
    </row>
    <row r="1749" spans="1:5">
      <c r="A1749" s="1">
        <v>45846</v>
      </c>
      <c r="B1749" t="s">
        <v>35</v>
      </c>
      <c r="C1749" t="s">
        <v>20</v>
      </c>
      <c r="D1749" t="s">
        <v>2347</v>
      </c>
      <c r="E1749">
        <v>1686</v>
      </c>
    </row>
    <row r="1750" spans="1:5">
      <c r="A1750" s="1">
        <v>45846</v>
      </c>
      <c r="B1750" t="s">
        <v>43</v>
      </c>
      <c r="C1750" t="s">
        <v>20</v>
      </c>
      <c r="D1750" t="s">
        <v>2348</v>
      </c>
      <c r="E1750">
        <v>453</v>
      </c>
    </row>
    <row r="1751" spans="1:5">
      <c r="A1751" s="1">
        <v>45846</v>
      </c>
      <c r="B1751" t="s">
        <v>521</v>
      </c>
      <c r="C1751" t="s">
        <v>20</v>
      </c>
      <c r="D1751" t="s">
        <v>2349</v>
      </c>
      <c r="E1751">
        <v>3509</v>
      </c>
    </row>
    <row r="1752" spans="1:5">
      <c r="A1752" s="1">
        <v>45846</v>
      </c>
      <c r="B1752" t="s">
        <v>2350</v>
      </c>
      <c r="C1752" t="s">
        <v>20</v>
      </c>
      <c r="D1752" t="s">
        <v>2351</v>
      </c>
      <c r="E1752">
        <v>715</v>
      </c>
    </row>
    <row r="1753" spans="1:5">
      <c r="A1753" s="1">
        <v>45846</v>
      </c>
      <c r="B1753" t="s">
        <v>563</v>
      </c>
      <c r="C1753" t="s">
        <v>20</v>
      </c>
      <c r="D1753" t="s">
        <v>2352</v>
      </c>
      <c r="E1753">
        <v>11064</v>
      </c>
    </row>
    <row r="1754" spans="1:5">
      <c r="A1754" s="1">
        <v>45846</v>
      </c>
      <c r="B1754" t="s">
        <v>50</v>
      </c>
      <c r="C1754" t="s">
        <v>20</v>
      </c>
      <c r="D1754" t="s">
        <v>2353</v>
      </c>
      <c r="E1754">
        <v>9857</v>
      </c>
    </row>
    <row r="1755" spans="1:5">
      <c r="A1755" s="1">
        <v>45846</v>
      </c>
      <c r="B1755" t="s">
        <v>412</v>
      </c>
      <c r="C1755" t="s">
        <v>20</v>
      </c>
      <c r="D1755" t="s">
        <v>2354</v>
      </c>
      <c r="E1755">
        <v>456</v>
      </c>
    </row>
    <row r="1756" spans="1:5">
      <c r="A1756" s="1">
        <v>45846</v>
      </c>
      <c r="B1756" t="s">
        <v>2355</v>
      </c>
      <c r="C1756" t="s">
        <v>20</v>
      </c>
      <c r="D1756" t="s">
        <v>2356</v>
      </c>
      <c r="E1756">
        <v>1110</v>
      </c>
    </row>
    <row r="1757" spans="1:5">
      <c r="A1757" s="1">
        <v>45846</v>
      </c>
      <c r="B1757" t="s">
        <v>2319</v>
      </c>
      <c r="C1757" t="s">
        <v>20</v>
      </c>
      <c r="D1757" t="s">
        <v>2357</v>
      </c>
      <c r="E1757">
        <v>1530</v>
      </c>
    </row>
    <row r="1758" spans="1:5">
      <c r="A1758" s="1">
        <v>45846</v>
      </c>
      <c r="B1758" t="s">
        <v>321</v>
      </c>
      <c r="C1758" t="s">
        <v>20</v>
      </c>
      <c r="D1758" t="s">
        <v>2358</v>
      </c>
      <c r="E1758">
        <v>848</v>
      </c>
    </row>
    <row r="1759" spans="1:5">
      <c r="A1759" s="1">
        <v>45846</v>
      </c>
      <c r="B1759" t="s">
        <v>68</v>
      </c>
      <c r="C1759" t="s">
        <v>20</v>
      </c>
      <c r="D1759" t="s">
        <v>2359</v>
      </c>
      <c r="E1759">
        <v>270</v>
      </c>
    </row>
    <row r="1760" spans="1:5">
      <c r="A1760" s="1">
        <v>45846</v>
      </c>
      <c r="B1760" t="s">
        <v>1397</v>
      </c>
      <c r="C1760" t="s">
        <v>20</v>
      </c>
      <c r="D1760" t="s">
        <v>2360</v>
      </c>
      <c r="E1760">
        <v>348</v>
      </c>
    </row>
    <row r="1761" spans="1:5">
      <c r="A1761" s="1">
        <v>45847</v>
      </c>
      <c r="B1761" t="s">
        <v>2361</v>
      </c>
      <c r="C1761" t="s">
        <v>20</v>
      </c>
      <c r="D1761" t="s">
        <v>2362</v>
      </c>
      <c r="E1761">
        <v>7400</v>
      </c>
    </row>
    <row r="1762" spans="1:5">
      <c r="A1762" s="1">
        <v>45848</v>
      </c>
      <c r="B1762" t="s">
        <v>1628</v>
      </c>
      <c r="C1762" t="s">
        <v>19</v>
      </c>
      <c r="D1762" t="s">
        <v>2363</v>
      </c>
      <c r="E1762">
        <v>1590</v>
      </c>
    </row>
    <row r="1763" spans="1:5">
      <c r="A1763" s="1">
        <v>45848</v>
      </c>
      <c r="B1763" t="s">
        <v>2364</v>
      </c>
      <c r="C1763" t="s">
        <v>19</v>
      </c>
      <c r="D1763" t="s">
        <v>2365</v>
      </c>
      <c r="E1763">
        <v>16702</v>
      </c>
    </row>
    <row r="1764" spans="1:5">
      <c r="A1764" s="1">
        <v>45848</v>
      </c>
      <c r="B1764" t="s">
        <v>68</v>
      </c>
      <c r="C1764" t="s">
        <v>20</v>
      </c>
      <c r="D1764" t="s">
        <v>2366</v>
      </c>
      <c r="E1764">
        <v>700</v>
      </c>
    </row>
    <row r="1765" spans="1:5">
      <c r="A1765" s="1">
        <v>45848</v>
      </c>
      <c r="B1765" t="s">
        <v>802</v>
      </c>
      <c r="C1765" t="s">
        <v>20</v>
      </c>
      <c r="D1765" t="s">
        <v>2367</v>
      </c>
      <c r="E1765">
        <v>3700</v>
      </c>
    </row>
    <row r="1766" spans="1:5">
      <c r="A1766" s="1">
        <v>45848</v>
      </c>
      <c r="B1766" t="s">
        <v>137</v>
      </c>
      <c r="C1766" t="s">
        <v>20</v>
      </c>
      <c r="D1766" t="s">
        <v>2368</v>
      </c>
      <c r="E1766">
        <v>140</v>
      </c>
    </row>
    <row r="1767" spans="1:5">
      <c r="A1767" s="1">
        <v>45848</v>
      </c>
      <c r="B1767" t="s">
        <v>2369</v>
      </c>
      <c r="C1767" t="s">
        <v>20</v>
      </c>
      <c r="D1767" t="s">
        <v>2370</v>
      </c>
      <c r="E1767">
        <v>6062</v>
      </c>
    </row>
    <row r="1768" spans="1:5">
      <c r="A1768" s="1">
        <v>45848</v>
      </c>
      <c r="B1768" t="s">
        <v>1377</v>
      </c>
      <c r="C1768" t="s">
        <v>20</v>
      </c>
      <c r="D1768" t="s">
        <v>2371</v>
      </c>
      <c r="E1768">
        <v>15906</v>
      </c>
    </row>
    <row r="1769" spans="1:5">
      <c r="A1769" s="1">
        <v>45848</v>
      </c>
      <c r="B1769" t="s">
        <v>76</v>
      </c>
      <c r="C1769" t="s">
        <v>20</v>
      </c>
      <c r="D1769" t="s">
        <v>2372</v>
      </c>
      <c r="E1769">
        <v>1190</v>
      </c>
    </row>
    <row r="1770" spans="1:5">
      <c r="A1770" s="1">
        <v>45848</v>
      </c>
      <c r="B1770" t="s">
        <v>2202</v>
      </c>
      <c r="C1770" t="s">
        <v>20</v>
      </c>
      <c r="D1770" t="s">
        <v>2373</v>
      </c>
      <c r="E1770">
        <v>6094</v>
      </c>
    </row>
    <row r="1771" spans="1:5">
      <c r="A1771" s="1">
        <v>45848</v>
      </c>
      <c r="B1771" t="s">
        <v>526</v>
      </c>
      <c r="C1771" t="s">
        <v>20</v>
      </c>
      <c r="D1771" t="s">
        <v>2374</v>
      </c>
      <c r="E1771">
        <v>30574</v>
      </c>
    </row>
    <row r="1772" spans="1:5">
      <c r="A1772" s="1">
        <v>45848</v>
      </c>
      <c r="B1772" t="s">
        <v>566</v>
      </c>
      <c r="C1772" t="s">
        <v>20</v>
      </c>
      <c r="D1772" t="s">
        <v>2375</v>
      </c>
      <c r="E1772">
        <v>1364</v>
      </c>
    </row>
    <row r="1773" spans="1:5">
      <c r="A1773" s="1">
        <v>45848</v>
      </c>
      <c r="B1773" t="s">
        <v>2256</v>
      </c>
      <c r="C1773" t="s">
        <v>20</v>
      </c>
      <c r="D1773" t="s">
        <v>2376</v>
      </c>
      <c r="E1773">
        <v>310</v>
      </c>
    </row>
    <row r="1774" spans="1:5">
      <c r="A1774" s="1">
        <v>45848</v>
      </c>
      <c r="B1774" t="s">
        <v>137</v>
      </c>
      <c r="C1774" t="s">
        <v>20</v>
      </c>
      <c r="D1774" t="s">
        <v>2377</v>
      </c>
      <c r="E1774">
        <v>2046</v>
      </c>
    </row>
    <row r="1775" spans="1:5">
      <c r="A1775" s="1">
        <v>45848</v>
      </c>
      <c r="B1775" t="s">
        <v>154</v>
      </c>
      <c r="C1775" t="s">
        <v>20</v>
      </c>
      <c r="D1775" t="s">
        <v>2378</v>
      </c>
      <c r="E1775">
        <v>375</v>
      </c>
    </row>
    <row r="1776" spans="1:5">
      <c r="A1776" s="1">
        <v>45848</v>
      </c>
      <c r="B1776" t="s">
        <v>907</v>
      </c>
      <c r="C1776" t="s">
        <v>20</v>
      </c>
      <c r="D1776" t="s">
        <v>2379</v>
      </c>
      <c r="E1776">
        <v>4970</v>
      </c>
    </row>
    <row r="1777" spans="1:5">
      <c r="A1777" s="1">
        <v>45848</v>
      </c>
      <c r="B1777" t="s">
        <v>2380</v>
      </c>
      <c r="C1777" t="s">
        <v>20</v>
      </c>
      <c r="D1777" t="s">
        <v>2381</v>
      </c>
      <c r="E1777">
        <v>8190</v>
      </c>
    </row>
    <row r="1778" spans="1:5">
      <c r="A1778" s="1">
        <v>45848</v>
      </c>
      <c r="B1778" t="s">
        <v>50</v>
      </c>
      <c r="C1778" t="s">
        <v>20</v>
      </c>
      <c r="D1778" t="s">
        <v>2382</v>
      </c>
      <c r="E1778">
        <v>291</v>
      </c>
    </row>
    <row r="1779" spans="1:5">
      <c r="A1779" s="1">
        <v>45848</v>
      </c>
      <c r="B1779" t="s">
        <v>2319</v>
      </c>
      <c r="C1779" t="s">
        <v>20</v>
      </c>
      <c r="D1779" t="s">
        <v>2383</v>
      </c>
      <c r="E1779">
        <v>4455</v>
      </c>
    </row>
    <row r="1780" spans="1:5">
      <c r="A1780" s="1">
        <v>45848</v>
      </c>
      <c r="B1780" t="s">
        <v>197</v>
      </c>
      <c r="C1780" t="s">
        <v>20</v>
      </c>
      <c r="D1780" t="s">
        <v>2384</v>
      </c>
      <c r="E1780">
        <v>370</v>
      </c>
    </row>
    <row r="1781" spans="1:5">
      <c r="A1781" s="1">
        <v>45848</v>
      </c>
      <c r="B1781" t="s">
        <v>526</v>
      </c>
      <c r="C1781" t="s">
        <v>20</v>
      </c>
      <c r="D1781" t="s">
        <v>2385</v>
      </c>
      <c r="E1781">
        <v>4518</v>
      </c>
    </row>
    <row r="1782" spans="1:5">
      <c r="A1782" s="1">
        <v>45848</v>
      </c>
      <c r="B1782" t="s">
        <v>2386</v>
      </c>
      <c r="C1782" t="s">
        <v>20</v>
      </c>
      <c r="D1782" t="s">
        <v>2387</v>
      </c>
      <c r="E1782">
        <v>16010</v>
      </c>
    </row>
    <row r="1783" spans="1:5">
      <c r="A1783" s="1">
        <v>45848</v>
      </c>
      <c r="B1783" t="s">
        <v>50</v>
      </c>
      <c r="C1783" t="s">
        <v>20</v>
      </c>
      <c r="D1783" t="s">
        <v>2388</v>
      </c>
      <c r="E1783">
        <v>12</v>
      </c>
    </row>
    <row r="1784" spans="1:5">
      <c r="A1784" s="1">
        <v>45848</v>
      </c>
      <c r="B1784" t="s">
        <v>907</v>
      </c>
      <c r="C1784" t="s">
        <v>20</v>
      </c>
      <c r="D1784" t="s">
        <v>2389</v>
      </c>
      <c r="E1784">
        <v>600</v>
      </c>
    </row>
    <row r="1785" spans="1:5">
      <c r="A1785" s="1">
        <v>45848</v>
      </c>
      <c r="B1785" t="s">
        <v>566</v>
      </c>
      <c r="C1785" t="s">
        <v>20</v>
      </c>
      <c r="D1785" t="s">
        <v>2390</v>
      </c>
      <c r="E1785">
        <v>150</v>
      </c>
    </row>
    <row r="1786" spans="1:5">
      <c r="A1786" s="1">
        <v>45848</v>
      </c>
      <c r="B1786" t="s">
        <v>2391</v>
      </c>
      <c r="C1786" t="s">
        <v>20</v>
      </c>
      <c r="D1786" t="s">
        <v>2392</v>
      </c>
      <c r="E1786">
        <v>21443</v>
      </c>
    </row>
    <row r="1787" spans="1:5">
      <c r="A1787" s="1">
        <v>45848</v>
      </c>
      <c r="B1787" t="s">
        <v>563</v>
      </c>
      <c r="C1787" t="s">
        <v>20</v>
      </c>
      <c r="D1787" t="s">
        <v>2393</v>
      </c>
      <c r="E1787">
        <v>87</v>
      </c>
    </row>
    <row r="1788" spans="1:5">
      <c r="A1788" s="1">
        <v>45848</v>
      </c>
      <c r="B1788" t="s">
        <v>83</v>
      </c>
      <c r="C1788" t="s">
        <v>20</v>
      </c>
      <c r="D1788" t="s">
        <v>2394</v>
      </c>
      <c r="E1788">
        <v>34666</v>
      </c>
    </row>
    <row r="1789" spans="1:5">
      <c r="A1789" s="1">
        <v>45848</v>
      </c>
      <c r="B1789" t="s">
        <v>506</v>
      </c>
      <c r="C1789" t="s">
        <v>20</v>
      </c>
      <c r="D1789" t="s">
        <v>2395</v>
      </c>
      <c r="E1789">
        <v>7461</v>
      </c>
    </row>
    <row r="1790" spans="1:5">
      <c r="A1790" s="1">
        <v>45848</v>
      </c>
      <c r="B1790" t="s">
        <v>1631</v>
      </c>
      <c r="C1790" t="s">
        <v>20</v>
      </c>
      <c r="D1790" t="s">
        <v>2396</v>
      </c>
      <c r="E1790">
        <v>370</v>
      </c>
    </row>
    <row r="1791" spans="1:5">
      <c r="A1791" s="1">
        <v>45849</v>
      </c>
      <c r="B1791" t="s">
        <v>2397</v>
      </c>
      <c r="C1791" t="s">
        <v>19</v>
      </c>
      <c r="D1791" t="s">
        <v>2398</v>
      </c>
      <c r="E1791">
        <v>3930</v>
      </c>
    </row>
    <row r="1792" spans="1:5">
      <c r="A1792" s="1">
        <v>45849</v>
      </c>
      <c r="B1792" t="s">
        <v>2399</v>
      </c>
      <c r="C1792" t="s">
        <v>20</v>
      </c>
      <c r="D1792" t="s">
        <v>2400</v>
      </c>
      <c r="E1792">
        <v>1110</v>
      </c>
    </row>
    <row r="1793" spans="1:5">
      <c r="A1793" s="1">
        <v>45849</v>
      </c>
      <c r="B1793" t="s">
        <v>2401</v>
      </c>
      <c r="C1793" t="s">
        <v>20</v>
      </c>
      <c r="D1793" t="s">
        <v>2402</v>
      </c>
      <c r="E1793">
        <v>3717</v>
      </c>
    </row>
    <row r="1794" spans="1:5">
      <c r="A1794" s="1">
        <v>45849</v>
      </c>
      <c r="B1794" t="s">
        <v>76</v>
      </c>
      <c r="C1794" t="s">
        <v>20</v>
      </c>
      <c r="D1794" t="s">
        <v>2403</v>
      </c>
      <c r="E1794">
        <v>37118</v>
      </c>
    </row>
    <row r="1795" spans="1:5">
      <c r="A1795" s="1">
        <v>45849</v>
      </c>
      <c r="B1795" t="s">
        <v>2404</v>
      </c>
      <c r="C1795" t="s">
        <v>20</v>
      </c>
      <c r="D1795" t="s">
        <v>2405</v>
      </c>
      <c r="E1795">
        <v>370</v>
      </c>
    </row>
    <row r="1796" spans="1:5">
      <c r="A1796" s="1">
        <v>45849</v>
      </c>
      <c r="B1796" t="s">
        <v>2406</v>
      </c>
      <c r="C1796" t="s">
        <v>20</v>
      </c>
      <c r="D1796" t="s">
        <v>2407</v>
      </c>
      <c r="E1796">
        <v>14221</v>
      </c>
    </row>
    <row r="1797" spans="1:5">
      <c r="A1797" s="1">
        <v>45849</v>
      </c>
      <c r="B1797" t="s">
        <v>756</v>
      </c>
      <c r="C1797" t="s">
        <v>20</v>
      </c>
      <c r="D1797" t="s">
        <v>2408</v>
      </c>
      <c r="E1797">
        <v>8211</v>
      </c>
    </row>
    <row r="1798" spans="1:5">
      <c r="A1798" s="1">
        <v>45849</v>
      </c>
      <c r="B1798" t="s">
        <v>756</v>
      </c>
      <c r="C1798" t="s">
        <v>20</v>
      </c>
      <c r="D1798" t="s">
        <v>2409</v>
      </c>
      <c r="E1798">
        <v>90</v>
      </c>
    </row>
    <row r="1799" spans="1:5">
      <c r="A1799" s="1">
        <v>45849</v>
      </c>
      <c r="B1799" t="s">
        <v>2410</v>
      </c>
      <c r="C1799" t="s">
        <v>20</v>
      </c>
      <c r="D1799" t="s">
        <v>2411</v>
      </c>
      <c r="E1799">
        <v>7611</v>
      </c>
    </row>
    <row r="1800" spans="1:5">
      <c r="A1800" s="1">
        <v>45849</v>
      </c>
      <c r="B1800" t="s">
        <v>2412</v>
      </c>
      <c r="C1800" t="s">
        <v>20</v>
      </c>
      <c r="D1800" t="s">
        <v>2413</v>
      </c>
      <c r="E1800">
        <v>400</v>
      </c>
    </row>
    <row r="1801" spans="1:5">
      <c r="A1801" s="1">
        <v>45849</v>
      </c>
      <c r="B1801" t="s">
        <v>2154</v>
      </c>
      <c r="C1801" t="s">
        <v>20</v>
      </c>
      <c r="D1801" t="s">
        <v>2414</v>
      </c>
      <c r="E1801">
        <v>6026</v>
      </c>
    </row>
    <row r="1802" spans="1:5">
      <c r="A1802" s="1">
        <v>45849</v>
      </c>
      <c r="B1802" t="s">
        <v>2401</v>
      </c>
      <c r="C1802" t="s">
        <v>20</v>
      </c>
      <c r="D1802" t="s">
        <v>2415</v>
      </c>
      <c r="E1802">
        <v>165</v>
      </c>
    </row>
    <row r="1803" spans="1:5">
      <c r="A1803" s="1">
        <v>45850</v>
      </c>
      <c r="B1803" t="s">
        <v>1049</v>
      </c>
      <c r="C1803" t="s">
        <v>19</v>
      </c>
      <c r="D1803" t="s">
        <v>2416</v>
      </c>
      <c r="E1803">
        <v>7400</v>
      </c>
    </row>
    <row r="1804" spans="1:5">
      <c r="A1804" s="1">
        <v>45850</v>
      </c>
      <c r="B1804" t="s">
        <v>2417</v>
      </c>
      <c r="C1804" t="s">
        <v>19</v>
      </c>
      <c r="D1804" t="s">
        <v>2418</v>
      </c>
      <c r="E1804">
        <v>47792</v>
      </c>
    </row>
    <row r="1805" spans="1:5">
      <c r="A1805" s="1">
        <v>45850</v>
      </c>
      <c r="B1805" t="s">
        <v>1042</v>
      </c>
      <c r="C1805" t="s">
        <v>19</v>
      </c>
      <c r="D1805" t="s">
        <v>2419</v>
      </c>
      <c r="E1805">
        <v>11300</v>
      </c>
    </row>
    <row r="1806" spans="1:5">
      <c r="A1806" s="1">
        <v>45850</v>
      </c>
      <c r="B1806" t="s">
        <v>1683</v>
      </c>
      <c r="C1806" t="s">
        <v>19</v>
      </c>
      <c r="D1806" t="s">
        <v>2420</v>
      </c>
      <c r="E1806">
        <v>1139</v>
      </c>
    </row>
    <row r="1807" spans="1:5">
      <c r="A1807" s="1">
        <v>45850</v>
      </c>
      <c r="B1807" t="s">
        <v>591</v>
      </c>
      <c r="C1807" t="s">
        <v>20</v>
      </c>
      <c r="D1807" t="s">
        <v>2421</v>
      </c>
      <c r="E1807">
        <v>1287</v>
      </c>
    </row>
    <row r="1808" spans="1:5">
      <c r="A1808" s="1">
        <v>45850</v>
      </c>
      <c r="B1808" t="s">
        <v>2202</v>
      </c>
      <c r="C1808" t="s">
        <v>20</v>
      </c>
      <c r="D1808" t="s">
        <v>2422</v>
      </c>
      <c r="E1808">
        <v>11484</v>
      </c>
    </row>
    <row r="1809" spans="1:5">
      <c r="A1809" s="1">
        <v>45850</v>
      </c>
      <c r="B1809" t="s">
        <v>50</v>
      </c>
      <c r="C1809" t="s">
        <v>20</v>
      </c>
      <c r="D1809" t="s">
        <v>2423</v>
      </c>
      <c r="E1809">
        <v>370</v>
      </c>
    </row>
    <row r="1810" spans="1:5">
      <c r="A1810" s="1">
        <v>45850</v>
      </c>
      <c r="B1810" t="s">
        <v>68</v>
      </c>
      <c r="C1810" t="s">
        <v>20</v>
      </c>
      <c r="D1810" t="s">
        <v>2424</v>
      </c>
      <c r="E1810">
        <v>19826</v>
      </c>
    </row>
    <row r="1811" spans="1:5">
      <c r="A1811" s="1">
        <v>45850</v>
      </c>
      <c r="B1811" t="s">
        <v>412</v>
      </c>
      <c r="C1811" t="s">
        <v>20</v>
      </c>
      <c r="D1811" t="s">
        <v>2425</v>
      </c>
      <c r="E1811">
        <v>370</v>
      </c>
    </row>
    <row r="1812" spans="1:5">
      <c r="A1812" s="1">
        <v>45850</v>
      </c>
      <c r="B1812" t="s">
        <v>2386</v>
      </c>
      <c r="C1812" t="s">
        <v>20</v>
      </c>
      <c r="D1812" t="s">
        <v>2426</v>
      </c>
      <c r="E1812">
        <v>821</v>
      </c>
    </row>
    <row r="1813" spans="1:5">
      <c r="A1813" s="1">
        <v>45850</v>
      </c>
      <c r="B1813" t="s">
        <v>2427</v>
      </c>
      <c r="C1813" t="s">
        <v>20</v>
      </c>
      <c r="D1813" t="s">
        <v>2428</v>
      </c>
      <c r="E1813">
        <v>30</v>
      </c>
    </row>
    <row r="1814" spans="1:5">
      <c r="A1814" s="1">
        <v>45850</v>
      </c>
      <c r="B1814" t="s">
        <v>2429</v>
      </c>
      <c r="C1814" t="s">
        <v>20</v>
      </c>
      <c r="D1814" t="s">
        <v>2430</v>
      </c>
      <c r="E1814">
        <v>21052</v>
      </c>
    </row>
    <row r="1815" spans="1:5">
      <c r="A1815" s="1">
        <v>45850</v>
      </c>
      <c r="B1815" t="s">
        <v>932</v>
      </c>
      <c r="C1815" t="s">
        <v>20</v>
      </c>
      <c r="D1815" t="s">
        <v>2431</v>
      </c>
      <c r="E1815">
        <v>1850</v>
      </c>
    </row>
    <row r="1816" spans="1:5">
      <c r="A1816" s="1">
        <v>45850</v>
      </c>
      <c r="B1816" t="s">
        <v>557</v>
      </c>
      <c r="C1816" t="s">
        <v>20</v>
      </c>
      <c r="D1816" t="s">
        <v>2432</v>
      </c>
      <c r="E1816">
        <v>12615</v>
      </c>
    </row>
    <row r="1817" spans="1:5">
      <c r="A1817" s="1">
        <v>45850</v>
      </c>
      <c r="B1817" t="s">
        <v>907</v>
      </c>
      <c r="C1817" t="s">
        <v>20</v>
      </c>
      <c r="D1817" t="s">
        <v>2433</v>
      </c>
      <c r="E1817">
        <v>7113</v>
      </c>
    </row>
    <row r="1818" spans="1:5">
      <c r="A1818" s="1">
        <v>45850</v>
      </c>
      <c r="B1818" t="s">
        <v>2434</v>
      </c>
      <c r="C1818" t="s">
        <v>20</v>
      </c>
      <c r="D1818" t="s">
        <v>2435</v>
      </c>
      <c r="E1818">
        <v>17795</v>
      </c>
    </row>
    <row r="1819" spans="1:5">
      <c r="A1819" s="1">
        <v>45850</v>
      </c>
      <c r="B1819" t="s">
        <v>1824</v>
      </c>
      <c r="C1819" t="s">
        <v>20</v>
      </c>
      <c r="D1819" t="s">
        <v>2436</v>
      </c>
      <c r="E1819">
        <v>1110</v>
      </c>
    </row>
    <row r="1820" spans="1:5">
      <c r="A1820" s="1">
        <v>45850</v>
      </c>
      <c r="B1820" t="s">
        <v>50</v>
      </c>
      <c r="C1820" t="s">
        <v>20</v>
      </c>
      <c r="D1820" t="s">
        <v>2437</v>
      </c>
      <c r="E1820">
        <v>12</v>
      </c>
    </row>
    <row r="1821" spans="1:5">
      <c r="A1821" s="1">
        <v>45850</v>
      </c>
      <c r="B1821" t="s">
        <v>83</v>
      </c>
      <c r="C1821" t="s">
        <v>20</v>
      </c>
      <c r="D1821" t="s">
        <v>2438</v>
      </c>
      <c r="E1821">
        <v>300</v>
      </c>
    </row>
    <row r="1822" spans="1:5">
      <c r="A1822" s="1">
        <v>45850</v>
      </c>
      <c r="B1822" t="s">
        <v>50</v>
      </c>
      <c r="C1822" t="s">
        <v>20</v>
      </c>
      <c r="D1822" t="s">
        <v>2439</v>
      </c>
      <c r="E1822">
        <v>30</v>
      </c>
    </row>
    <row r="1823" spans="1:5">
      <c r="A1823" s="1">
        <v>45850</v>
      </c>
      <c r="B1823" t="s">
        <v>50</v>
      </c>
      <c r="C1823" t="s">
        <v>20</v>
      </c>
      <c r="D1823" t="s">
        <v>2440</v>
      </c>
      <c r="E1823">
        <v>50</v>
      </c>
    </row>
    <row r="1824" spans="1:5">
      <c r="A1824" s="1">
        <v>45850</v>
      </c>
      <c r="B1824" t="s">
        <v>591</v>
      </c>
      <c r="C1824" t="s">
        <v>20</v>
      </c>
      <c r="D1824" t="s">
        <v>2441</v>
      </c>
      <c r="E1824">
        <v>917</v>
      </c>
    </row>
    <row r="1825" spans="1:5">
      <c r="A1825" s="1">
        <v>45850</v>
      </c>
      <c r="B1825" t="s">
        <v>781</v>
      </c>
      <c r="C1825" t="s">
        <v>20</v>
      </c>
      <c r="D1825" t="s">
        <v>2442</v>
      </c>
      <c r="E1825">
        <v>1850</v>
      </c>
    </row>
    <row r="1826" spans="1:5">
      <c r="A1826" s="1">
        <v>45850</v>
      </c>
      <c r="B1826" t="s">
        <v>50</v>
      </c>
      <c r="C1826" t="s">
        <v>20</v>
      </c>
      <c r="D1826" t="s">
        <v>2443</v>
      </c>
      <c r="E1826">
        <v>2332</v>
      </c>
    </row>
    <row r="1827" spans="1:5">
      <c r="A1827" s="1">
        <v>45850</v>
      </c>
      <c r="B1827" t="s">
        <v>2444</v>
      </c>
      <c r="C1827" t="s">
        <v>20</v>
      </c>
      <c r="D1827" t="s">
        <v>2445</v>
      </c>
      <c r="E1827">
        <v>296</v>
      </c>
    </row>
    <row r="1828" spans="1:5">
      <c r="A1828" s="1">
        <v>45850</v>
      </c>
      <c r="B1828" t="s">
        <v>2446</v>
      </c>
      <c r="C1828" t="s">
        <v>20</v>
      </c>
      <c r="D1828" t="s">
        <v>2447</v>
      </c>
      <c r="E1828">
        <v>454</v>
      </c>
    </row>
    <row r="1829" spans="1:5">
      <c r="A1829" s="1">
        <v>45851</v>
      </c>
      <c r="B1829" t="s">
        <v>2448</v>
      </c>
      <c r="C1829" t="s">
        <v>20</v>
      </c>
      <c r="D1829" t="s">
        <v>2449</v>
      </c>
      <c r="E1829">
        <v>390</v>
      </c>
    </row>
    <row r="1830" spans="1:5">
      <c r="A1830" s="1">
        <v>45852</v>
      </c>
      <c r="B1830" t="s">
        <v>1422</v>
      </c>
      <c r="C1830" t="s">
        <v>19</v>
      </c>
      <c r="D1830" t="s">
        <v>2450</v>
      </c>
      <c r="E1830">
        <v>375</v>
      </c>
    </row>
    <row r="1831" spans="1:5">
      <c r="A1831" s="1">
        <v>45852</v>
      </c>
      <c r="B1831" t="s">
        <v>76</v>
      </c>
      <c r="C1831" t="s">
        <v>20</v>
      </c>
      <c r="D1831" t="s">
        <v>2451</v>
      </c>
      <c r="E1831">
        <v>1110</v>
      </c>
    </row>
    <row r="1832" spans="1:5">
      <c r="A1832" s="1">
        <v>45852</v>
      </c>
      <c r="B1832" t="s">
        <v>2452</v>
      </c>
      <c r="C1832" t="s">
        <v>20</v>
      </c>
      <c r="D1832" t="s">
        <v>2453</v>
      </c>
      <c r="E1832">
        <v>25423</v>
      </c>
    </row>
    <row r="1833" spans="1:5">
      <c r="A1833" s="1">
        <v>45852</v>
      </c>
      <c r="B1833" t="s">
        <v>557</v>
      </c>
      <c r="C1833" t="s">
        <v>20</v>
      </c>
      <c r="D1833" t="s">
        <v>2454</v>
      </c>
      <c r="E1833">
        <v>58511</v>
      </c>
    </row>
    <row r="1834" spans="1:5">
      <c r="A1834" s="1">
        <v>45852</v>
      </c>
      <c r="B1834" t="s">
        <v>2455</v>
      </c>
      <c r="C1834" t="s">
        <v>20</v>
      </c>
      <c r="D1834" t="s">
        <v>2456</v>
      </c>
      <c r="E1834">
        <v>37376</v>
      </c>
    </row>
    <row r="1835" spans="1:5">
      <c r="A1835" s="1">
        <v>45852</v>
      </c>
      <c r="B1835" t="s">
        <v>802</v>
      </c>
      <c r="C1835" t="s">
        <v>20</v>
      </c>
      <c r="D1835" t="s">
        <v>2457</v>
      </c>
      <c r="E1835">
        <v>7400</v>
      </c>
    </row>
    <row r="1836" spans="1:5">
      <c r="A1836" s="1">
        <v>45852</v>
      </c>
      <c r="B1836" t="s">
        <v>50</v>
      </c>
      <c r="C1836" t="s">
        <v>20</v>
      </c>
      <c r="D1836" t="s">
        <v>2458</v>
      </c>
      <c r="E1836">
        <v>1690</v>
      </c>
    </row>
    <row r="1837" spans="1:5">
      <c r="A1837" s="1">
        <v>45852</v>
      </c>
      <c r="B1837" t="s">
        <v>2459</v>
      </c>
      <c r="C1837" t="s">
        <v>20</v>
      </c>
      <c r="D1837" t="s">
        <v>2460</v>
      </c>
      <c r="E1837">
        <v>22190</v>
      </c>
    </row>
    <row r="1838" spans="1:5">
      <c r="A1838" s="1">
        <v>45852</v>
      </c>
      <c r="B1838" t="s">
        <v>2099</v>
      </c>
      <c r="C1838" t="s">
        <v>20</v>
      </c>
      <c r="D1838" t="s">
        <v>2461</v>
      </c>
      <c r="E1838">
        <v>226</v>
      </c>
    </row>
    <row r="1839" spans="1:5">
      <c r="A1839" s="1">
        <v>45852</v>
      </c>
      <c r="B1839" t="s">
        <v>455</v>
      </c>
      <c r="C1839" t="s">
        <v>20</v>
      </c>
      <c r="D1839" t="s">
        <v>2462</v>
      </c>
      <c r="E1839">
        <v>1824</v>
      </c>
    </row>
    <row r="1840" spans="1:5">
      <c r="A1840" s="1">
        <v>45852</v>
      </c>
      <c r="B1840" t="s">
        <v>1008</v>
      </c>
      <c r="C1840" t="s">
        <v>20</v>
      </c>
      <c r="D1840" t="s">
        <v>2463</v>
      </c>
      <c r="E1840">
        <v>5493</v>
      </c>
    </row>
    <row r="1841" spans="1:5">
      <c r="A1841" s="1">
        <v>45852</v>
      </c>
      <c r="B1841" t="s">
        <v>907</v>
      </c>
      <c r="C1841" t="s">
        <v>20</v>
      </c>
      <c r="D1841" t="s">
        <v>2464</v>
      </c>
      <c r="E1841">
        <v>10852</v>
      </c>
    </row>
    <row r="1842" spans="1:5">
      <c r="A1842" s="1">
        <v>45852</v>
      </c>
      <c r="B1842" t="s">
        <v>412</v>
      </c>
      <c r="C1842" t="s">
        <v>20</v>
      </c>
      <c r="D1842" t="s">
        <v>2465</v>
      </c>
      <c r="E1842">
        <v>2655</v>
      </c>
    </row>
    <row r="1843" spans="1:5">
      <c r="A1843" s="1">
        <v>45852</v>
      </c>
      <c r="B1843" t="s">
        <v>1006</v>
      </c>
      <c r="C1843" t="s">
        <v>20</v>
      </c>
      <c r="D1843" t="s">
        <v>2466</v>
      </c>
      <c r="E1843">
        <v>100</v>
      </c>
    </row>
    <row r="1844" spans="1:5">
      <c r="A1844" s="1">
        <v>45852</v>
      </c>
      <c r="B1844" t="s">
        <v>2256</v>
      </c>
      <c r="C1844" t="s">
        <v>20</v>
      </c>
      <c r="D1844" t="s">
        <v>2467</v>
      </c>
      <c r="E1844">
        <v>40348</v>
      </c>
    </row>
    <row r="1845" spans="1:5">
      <c r="A1845" s="1">
        <v>45852</v>
      </c>
      <c r="B1845" t="s">
        <v>43</v>
      </c>
      <c r="C1845" t="s">
        <v>20</v>
      </c>
      <c r="D1845" t="s">
        <v>2468</v>
      </c>
      <c r="E1845">
        <v>1440</v>
      </c>
    </row>
    <row r="1846" spans="1:5">
      <c r="A1846" s="1">
        <v>45852</v>
      </c>
      <c r="B1846" t="s">
        <v>68</v>
      </c>
      <c r="C1846" t="s">
        <v>20</v>
      </c>
      <c r="D1846" t="s">
        <v>2469</v>
      </c>
      <c r="E1846">
        <v>670</v>
      </c>
    </row>
    <row r="1847" spans="1:5">
      <c r="A1847" s="1">
        <v>45852</v>
      </c>
      <c r="B1847" t="s">
        <v>2470</v>
      </c>
      <c r="C1847" t="s">
        <v>20</v>
      </c>
      <c r="D1847" t="s">
        <v>2471</v>
      </c>
      <c r="E1847">
        <v>17717</v>
      </c>
    </row>
    <row r="1848" spans="1:5">
      <c r="A1848" s="1">
        <v>45852</v>
      </c>
      <c r="B1848" t="s">
        <v>607</v>
      </c>
      <c r="C1848" t="s">
        <v>20</v>
      </c>
      <c r="D1848" t="s">
        <v>2472</v>
      </c>
      <c r="E1848">
        <v>30</v>
      </c>
    </row>
    <row r="1849" spans="1:5">
      <c r="A1849" s="1">
        <v>45852</v>
      </c>
      <c r="B1849" t="s">
        <v>222</v>
      </c>
      <c r="C1849" t="s">
        <v>20</v>
      </c>
      <c r="D1849" t="s">
        <v>2473</v>
      </c>
      <c r="E1849">
        <v>1564</v>
      </c>
    </row>
    <row r="1850" spans="1:5">
      <c r="A1850" s="1">
        <v>45852</v>
      </c>
      <c r="B1850" t="s">
        <v>2474</v>
      </c>
      <c r="C1850" t="s">
        <v>20</v>
      </c>
      <c r="D1850" t="s">
        <v>2475</v>
      </c>
      <c r="E1850">
        <v>370</v>
      </c>
    </row>
    <row r="1851" spans="1:5">
      <c r="A1851" s="1">
        <v>45853</v>
      </c>
      <c r="B1851" t="s">
        <v>1106</v>
      </c>
      <c r="C1851" t="s">
        <v>19</v>
      </c>
      <c r="D1851" t="s">
        <v>2476</v>
      </c>
      <c r="E1851">
        <v>175950</v>
      </c>
    </row>
    <row r="1852" spans="1:5">
      <c r="A1852" s="1">
        <v>45853</v>
      </c>
      <c r="B1852" t="s">
        <v>96</v>
      </c>
      <c r="C1852" t="s">
        <v>19</v>
      </c>
      <c r="D1852" t="s">
        <v>2477</v>
      </c>
      <c r="E1852">
        <v>3344</v>
      </c>
    </row>
    <row r="1853" spans="1:5">
      <c r="A1853" s="1">
        <v>45853</v>
      </c>
      <c r="B1853" t="s">
        <v>2478</v>
      </c>
      <c r="C1853" t="s">
        <v>20</v>
      </c>
      <c r="D1853" t="s">
        <v>2479</v>
      </c>
      <c r="E1853">
        <v>470</v>
      </c>
    </row>
    <row r="1854" spans="1:5">
      <c r="A1854" s="1">
        <v>45853</v>
      </c>
      <c r="B1854" t="s">
        <v>89</v>
      </c>
      <c r="C1854" t="s">
        <v>20</v>
      </c>
      <c r="D1854" t="s">
        <v>2480</v>
      </c>
      <c r="E1854">
        <v>740</v>
      </c>
    </row>
    <row r="1855" spans="1:5">
      <c r="A1855" s="1">
        <v>45853</v>
      </c>
      <c r="B1855" t="s">
        <v>83</v>
      </c>
      <c r="C1855" t="s">
        <v>20</v>
      </c>
      <c r="D1855" t="s">
        <v>2481</v>
      </c>
      <c r="E1855">
        <v>1640</v>
      </c>
    </row>
    <row r="1856" spans="1:5">
      <c r="A1856" s="1">
        <v>45853</v>
      </c>
      <c r="B1856" t="s">
        <v>2482</v>
      </c>
      <c r="C1856" t="s">
        <v>20</v>
      </c>
      <c r="D1856" t="s">
        <v>2483</v>
      </c>
      <c r="E1856">
        <v>27786</v>
      </c>
    </row>
    <row r="1857" spans="1:5">
      <c r="A1857" s="1">
        <v>45853</v>
      </c>
      <c r="B1857" t="s">
        <v>2484</v>
      </c>
      <c r="C1857" t="s">
        <v>20</v>
      </c>
      <c r="D1857" t="s">
        <v>2485</v>
      </c>
      <c r="E1857">
        <v>1438</v>
      </c>
    </row>
    <row r="1858" spans="1:5">
      <c r="A1858" s="1">
        <v>45853</v>
      </c>
      <c r="B1858" t="s">
        <v>2486</v>
      </c>
      <c r="C1858" t="s">
        <v>20</v>
      </c>
      <c r="D1858" t="s">
        <v>2487</v>
      </c>
      <c r="E1858">
        <v>8194</v>
      </c>
    </row>
    <row r="1859" spans="1:5">
      <c r="A1859" s="1">
        <v>45853</v>
      </c>
      <c r="B1859" t="s">
        <v>1776</v>
      </c>
      <c r="C1859" t="s">
        <v>20</v>
      </c>
      <c r="D1859" t="s">
        <v>2488</v>
      </c>
      <c r="E1859">
        <v>968</v>
      </c>
    </row>
    <row r="1860" spans="1:5">
      <c r="A1860" s="1">
        <v>45853</v>
      </c>
      <c r="B1860" t="s">
        <v>35</v>
      </c>
      <c r="C1860" t="s">
        <v>20</v>
      </c>
      <c r="D1860" t="s">
        <v>2489</v>
      </c>
      <c r="E1860">
        <v>2070</v>
      </c>
    </row>
    <row r="1861" spans="1:5">
      <c r="A1861" s="1">
        <v>45853</v>
      </c>
      <c r="B1861" t="s">
        <v>2406</v>
      </c>
      <c r="C1861" t="s">
        <v>20</v>
      </c>
      <c r="D1861" t="s">
        <v>2490</v>
      </c>
      <c r="E1861">
        <v>15685</v>
      </c>
    </row>
    <row r="1862" spans="1:5">
      <c r="A1862" s="1">
        <v>45853</v>
      </c>
      <c r="B1862" t="s">
        <v>2214</v>
      </c>
      <c r="C1862" t="s">
        <v>20</v>
      </c>
      <c r="D1862" t="s">
        <v>2491</v>
      </c>
      <c r="E1862">
        <v>1850</v>
      </c>
    </row>
    <row r="1863" spans="1:5">
      <c r="A1863" s="1">
        <v>45853</v>
      </c>
      <c r="B1863" t="s">
        <v>1557</v>
      </c>
      <c r="C1863" t="s">
        <v>20</v>
      </c>
      <c r="D1863" t="s">
        <v>2492</v>
      </c>
      <c r="E1863">
        <v>5690</v>
      </c>
    </row>
    <row r="1864" spans="1:5">
      <c r="A1864" s="1">
        <v>45853</v>
      </c>
      <c r="B1864" t="s">
        <v>35</v>
      </c>
      <c r="C1864" t="s">
        <v>20</v>
      </c>
      <c r="D1864" t="s">
        <v>2493</v>
      </c>
      <c r="E1864">
        <v>2198</v>
      </c>
    </row>
    <row r="1865" spans="1:5">
      <c r="A1865" s="1">
        <v>45853</v>
      </c>
      <c r="B1865" t="s">
        <v>35</v>
      </c>
      <c r="C1865" t="s">
        <v>20</v>
      </c>
      <c r="D1865" t="s">
        <v>2494</v>
      </c>
      <c r="E1865">
        <v>5426</v>
      </c>
    </row>
    <row r="1866" spans="1:5">
      <c r="A1866" s="1">
        <v>45853</v>
      </c>
      <c r="B1866" t="s">
        <v>135</v>
      </c>
      <c r="C1866" t="s">
        <v>20</v>
      </c>
      <c r="D1866" t="s">
        <v>2495</v>
      </c>
      <c r="E1866">
        <v>1067</v>
      </c>
    </row>
    <row r="1867" spans="1:5">
      <c r="A1867" s="1">
        <v>45853</v>
      </c>
      <c r="B1867" t="s">
        <v>1816</v>
      </c>
      <c r="C1867" t="s">
        <v>20</v>
      </c>
      <c r="D1867" t="s">
        <v>2496</v>
      </c>
      <c r="E1867">
        <v>785</v>
      </c>
    </row>
    <row r="1868" spans="1:5">
      <c r="A1868" s="1">
        <v>45854</v>
      </c>
      <c r="B1868" t="s">
        <v>1683</v>
      </c>
      <c r="C1868" t="s">
        <v>19</v>
      </c>
      <c r="D1868" t="s">
        <v>2497</v>
      </c>
      <c r="E1868">
        <v>5606</v>
      </c>
    </row>
    <row r="1869" spans="1:5">
      <c r="A1869" s="1">
        <v>45854</v>
      </c>
      <c r="B1869" t="s">
        <v>2498</v>
      </c>
      <c r="C1869" t="s">
        <v>19</v>
      </c>
      <c r="D1869" t="s">
        <v>2499</v>
      </c>
      <c r="E1869">
        <v>370</v>
      </c>
    </row>
    <row r="1870" spans="1:5">
      <c r="A1870" s="1">
        <v>45854</v>
      </c>
      <c r="B1870" t="s">
        <v>733</v>
      </c>
      <c r="C1870" t="s">
        <v>19</v>
      </c>
      <c r="D1870" t="s">
        <v>2500</v>
      </c>
      <c r="E1870">
        <v>9750</v>
      </c>
    </row>
    <row r="1871" spans="1:5">
      <c r="A1871" s="1">
        <v>45854</v>
      </c>
      <c r="B1871" t="s">
        <v>2501</v>
      </c>
      <c r="C1871" t="s">
        <v>20</v>
      </c>
      <c r="D1871" t="s">
        <v>2502</v>
      </c>
      <c r="E1871">
        <v>19241</v>
      </c>
    </row>
    <row r="1872" spans="1:5">
      <c r="A1872" s="1">
        <v>45854</v>
      </c>
      <c r="B1872" t="s">
        <v>2455</v>
      </c>
      <c r="C1872" t="s">
        <v>20</v>
      </c>
      <c r="D1872" t="s">
        <v>2503</v>
      </c>
      <c r="E1872">
        <v>16286</v>
      </c>
    </row>
    <row r="1873" spans="1:5">
      <c r="A1873" s="1">
        <v>45854</v>
      </c>
      <c r="B1873" t="s">
        <v>50</v>
      </c>
      <c r="C1873" t="s">
        <v>20</v>
      </c>
      <c r="D1873" t="s">
        <v>2504</v>
      </c>
      <c r="E1873">
        <v>370</v>
      </c>
    </row>
    <row r="1874" spans="1:5">
      <c r="A1874" s="1">
        <v>45854</v>
      </c>
      <c r="B1874" t="s">
        <v>2505</v>
      </c>
      <c r="C1874" t="s">
        <v>20</v>
      </c>
      <c r="D1874" t="s">
        <v>2506</v>
      </c>
      <c r="E1874">
        <v>10742</v>
      </c>
    </row>
    <row r="1875" spans="1:5">
      <c r="A1875" s="1">
        <v>45854</v>
      </c>
      <c r="B1875" t="s">
        <v>763</v>
      </c>
      <c r="C1875" t="s">
        <v>20</v>
      </c>
      <c r="D1875" t="s">
        <v>2507</v>
      </c>
      <c r="E1875">
        <v>1450</v>
      </c>
    </row>
    <row r="1876" spans="1:5">
      <c r="A1876" s="1">
        <v>45854</v>
      </c>
      <c r="B1876" t="s">
        <v>563</v>
      </c>
      <c r="C1876" t="s">
        <v>20</v>
      </c>
      <c r="D1876" t="s">
        <v>2508</v>
      </c>
      <c r="E1876">
        <v>8142</v>
      </c>
    </row>
    <row r="1877" spans="1:5">
      <c r="A1877" s="1">
        <v>45854</v>
      </c>
      <c r="B1877" t="s">
        <v>321</v>
      </c>
      <c r="C1877" t="s">
        <v>20</v>
      </c>
      <c r="D1877" t="s">
        <v>2509</v>
      </c>
      <c r="E1877">
        <v>4823</v>
      </c>
    </row>
    <row r="1878" spans="1:5">
      <c r="A1878" s="1">
        <v>45854</v>
      </c>
      <c r="B1878" t="s">
        <v>2510</v>
      </c>
      <c r="C1878" t="s">
        <v>20</v>
      </c>
      <c r="D1878" t="s">
        <v>2511</v>
      </c>
      <c r="E1878">
        <v>15672</v>
      </c>
    </row>
    <row r="1879" spans="1:5">
      <c r="A1879" s="1">
        <v>45854</v>
      </c>
      <c r="B1879" t="s">
        <v>43</v>
      </c>
      <c r="C1879" t="s">
        <v>20</v>
      </c>
      <c r="D1879" t="s">
        <v>2512</v>
      </c>
      <c r="E1879">
        <v>295</v>
      </c>
    </row>
    <row r="1880" spans="1:5">
      <c r="A1880" s="1">
        <v>45854</v>
      </c>
      <c r="B1880" t="s">
        <v>197</v>
      </c>
      <c r="C1880" t="s">
        <v>20</v>
      </c>
      <c r="D1880" t="s">
        <v>2513</v>
      </c>
      <c r="E1880">
        <v>740</v>
      </c>
    </row>
    <row r="1881" spans="1:5">
      <c r="A1881" s="1">
        <v>45854</v>
      </c>
      <c r="B1881" t="s">
        <v>981</v>
      </c>
      <c r="C1881" t="s">
        <v>20</v>
      </c>
      <c r="D1881" t="s">
        <v>2514</v>
      </c>
      <c r="E1881">
        <v>150</v>
      </c>
    </row>
    <row r="1882" spans="1:5">
      <c r="A1882" s="1">
        <v>45854</v>
      </c>
      <c r="B1882" t="s">
        <v>2515</v>
      </c>
      <c r="C1882" t="s">
        <v>20</v>
      </c>
      <c r="D1882" t="s">
        <v>2516</v>
      </c>
      <c r="E1882">
        <v>6980</v>
      </c>
    </row>
    <row r="1883" spans="1:5">
      <c r="A1883" s="1">
        <v>45854</v>
      </c>
      <c r="B1883" t="s">
        <v>50</v>
      </c>
      <c r="C1883" t="s">
        <v>20</v>
      </c>
      <c r="D1883" t="s">
        <v>2517</v>
      </c>
      <c r="E1883">
        <v>8814</v>
      </c>
    </row>
    <row r="1884" spans="1:5">
      <c r="A1884" s="1">
        <v>45854</v>
      </c>
      <c r="B1884" t="s">
        <v>518</v>
      </c>
      <c r="C1884" t="s">
        <v>20</v>
      </c>
      <c r="D1884" t="s">
        <v>2518</v>
      </c>
      <c r="E1884">
        <v>1441</v>
      </c>
    </row>
    <row r="1885" spans="1:5">
      <c r="A1885" s="1">
        <v>45854</v>
      </c>
      <c r="B1885" t="s">
        <v>254</v>
      </c>
      <c r="C1885" t="s">
        <v>20</v>
      </c>
      <c r="D1885" t="s">
        <v>2519</v>
      </c>
      <c r="E1885">
        <v>740</v>
      </c>
    </row>
    <row r="1886" spans="1:5">
      <c r="A1886" s="1">
        <v>45855</v>
      </c>
      <c r="B1886" t="s">
        <v>927</v>
      </c>
      <c r="C1886" t="s">
        <v>19</v>
      </c>
      <c r="D1886" t="s">
        <v>2520</v>
      </c>
      <c r="E1886">
        <v>7400</v>
      </c>
    </row>
    <row r="1887" spans="1:5">
      <c r="A1887" s="1">
        <v>45855</v>
      </c>
      <c r="B1887" t="s">
        <v>2521</v>
      </c>
      <c r="C1887" t="s">
        <v>19</v>
      </c>
      <c r="D1887" t="s">
        <v>2522</v>
      </c>
      <c r="E1887">
        <v>125782</v>
      </c>
    </row>
    <row r="1888" spans="1:5">
      <c r="A1888" s="1">
        <v>45855</v>
      </c>
      <c r="B1888" t="s">
        <v>1049</v>
      </c>
      <c r="C1888" t="s">
        <v>19</v>
      </c>
      <c r="D1888" t="s">
        <v>2523</v>
      </c>
      <c r="E1888">
        <v>69063</v>
      </c>
    </row>
    <row r="1889" spans="1:5">
      <c r="A1889" s="1">
        <v>45855</v>
      </c>
      <c r="B1889" t="s">
        <v>927</v>
      </c>
      <c r="C1889" t="s">
        <v>19</v>
      </c>
      <c r="D1889" t="s">
        <v>2524</v>
      </c>
      <c r="E1889">
        <v>45190</v>
      </c>
    </row>
    <row r="1890" spans="1:5">
      <c r="A1890" s="1">
        <v>45855</v>
      </c>
      <c r="B1890" t="s">
        <v>2521</v>
      </c>
      <c r="C1890" t="s">
        <v>19</v>
      </c>
      <c r="D1890" t="s">
        <v>2525</v>
      </c>
      <c r="E1890">
        <v>66511</v>
      </c>
    </row>
    <row r="1891" spans="1:5">
      <c r="A1891" s="1">
        <v>45855</v>
      </c>
      <c r="B1891" t="s">
        <v>68</v>
      </c>
      <c r="C1891" t="s">
        <v>20</v>
      </c>
      <c r="D1891" t="s">
        <v>2526</v>
      </c>
      <c r="E1891">
        <v>12946</v>
      </c>
    </row>
    <row r="1892" spans="1:5">
      <c r="A1892" s="1">
        <v>45855</v>
      </c>
      <c r="B1892" t="s">
        <v>566</v>
      </c>
      <c r="C1892" t="s">
        <v>20</v>
      </c>
      <c r="D1892" t="s">
        <v>2527</v>
      </c>
      <c r="E1892">
        <v>1620</v>
      </c>
    </row>
    <row r="1893" spans="1:5">
      <c r="A1893" s="1">
        <v>45855</v>
      </c>
      <c r="B1893" t="s">
        <v>50</v>
      </c>
      <c r="C1893" t="s">
        <v>20</v>
      </c>
      <c r="D1893" t="s">
        <v>2528</v>
      </c>
      <c r="E1893">
        <v>3700</v>
      </c>
    </row>
    <row r="1894" spans="1:5">
      <c r="A1894" s="1">
        <v>45855</v>
      </c>
      <c r="B1894" t="s">
        <v>756</v>
      </c>
      <c r="C1894" t="s">
        <v>20</v>
      </c>
      <c r="D1894" t="s">
        <v>2529</v>
      </c>
      <c r="E1894">
        <v>4081</v>
      </c>
    </row>
    <row r="1895" spans="1:5">
      <c r="A1895" s="1">
        <v>45855</v>
      </c>
      <c r="B1895" t="s">
        <v>197</v>
      </c>
      <c r="C1895" t="s">
        <v>20</v>
      </c>
      <c r="D1895" t="s">
        <v>2530</v>
      </c>
      <c r="E1895">
        <v>2760</v>
      </c>
    </row>
    <row r="1896" spans="1:5">
      <c r="A1896" s="1">
        <v>45855</v>
      </c>
      <c r="B1896" t="s">
        <v>1887</v>
      </c>
      <c r="C1896" t="s">
        <v>20</v>
      </c>
      <c r="D1896" t="s">
        <v>2531</v>
      </c>
      <c r="E1896">
        <v>320</v>
      </c>
    </row>
    <row r="1897" spans="1:5">
      <c r="A1897" s="1">
        <v>45855</v>
      </c>
      <c r="B1897" t="s">
        <v>1592</v>
      </c>
      <c r="C1897" t="s">
        <v>20</v>
      </c>
      <c r="D1897" t="s">
        <v>2532</v>
      </c>
      <c r="E1897">
        <v>718</v>
      </c>
    </row>
    <row r="1898" spans="1:5">
      <c r="A1898" s="1">
        <v>45855</v>
      </c>
      <c r="B1898" t="s">
        <v>83</v>
      </c>
      <c r="C1898" t="s">
        <v>20</v>
      </c>
      <c r="D1898" t="s">
        <v>2533</v>
      </c>
      <c r="E1898">
        <v>680</v>
      </c>
    </row>
    <row r="1899" spans="1:5">
      <c r="A1899" s="1">
        <v>45855</v>
      </c>
      <c r="B1899" t="s">
        <v>2534</v>
      </c>
      <c r="C1899" t="s">
        <v>20</v>
      </c>
      <c r="D1899" t="s">
        <v>2535</v>
      </c>
      <c r="E1899">
        <v>1346</v>
      </c>
    </row>
    <row r="1900" spans="1:5">
      <c r="A1900" s="1">
        <v>45855</v>
      </c>
      <c r="B1900" t="s">
        <v>2536</v>
      </c>
      <c r="C1900" t="s">
        <v>20</v>
      </c>
      <c r="D1900" t="s">
        <v>2537</v>
      </c>
      <c r="E1900">
        <v>2085</v>
      </c>
    </row>
    <row r="1901" spans="1:5">
      <c r="A1901" s="1">
        <v>45855</v>
      </c>
      <c r="B1901" t="s">
        <v>2059</v>
      </c>
      <c r="C1901" t="s">
        <v>20</v>
      </c>
      <c r="D1901" t="s">
        <v>2538</v>
      </c>
      <c r="E1901">
        <v>514</v>
      </c>
    </row>
    <row r="1902" spans="1:5">
      <c r="A1902" s="1">
        <v>45855</v>
      </c>
      <c r="B1902" t="s">
        <v>2406</v>
      </c>
      <c r="C1902" t="s">
        <v>20</v>
      </c>
      <c r="D1902" t="s">
        <v>2539</v>
      </c>
      <c r="E1902">
        <v>100</v>
      </c>
    </row>
    <row r="1903" spans="1:5">
      <c r="A1903" s="1">
        <v>45855</v>
      </c>
      <c r="B1903" t="s">
        <v>2455</v>
      </c>
      <c r="C1903" t="s">
        <v>20</v>
      </c>
      <c r="D1903" t="s">
        <v>2540</v>
      </c>
      <c r="E1903">
        <v>391</v>
      </c>
    </row>
    <row r="1904" spans="1:5">
      <c r="A1904" s="1">
        <v>45856</v>
      </c>
      <c r="B1904" t="s">
        <v>557</v>
      </c>
      <c r="C1904" t="s">
        <v>20</v>
      </c>
      <c r="D1904" t="s">
        <v>2541</v>
      </c>
      <c r="E1904">
        <v>11598</v>
      </c>
    </row>
    <row r="1905" spans="1:5">
      <c r="A1905" s="1">
        <v>45856</v>
      </c>
      <c r="B1905" t="s">
        <v>526</v>
      </c>
      <c r="C1905" t="s">
        <v>20</v>
      </c>
      <c r="D1905" t="s">
        <v>2542</v>
      </c>
      <c r="E1905">
        <v>2541</v>
      </c>
    </row>
    <row r="1906" spans="1:5">
      <c r="A1906" s="1">
        <v>45856</v>
      </c>
      <c r="B1906" t="s">
        <v>2455</v>
      </c>
      <c r="C1906" t="s">
        <v>20</v>
      </c>
      <c r="D1906" t="s">
        <v>2543</v>
      </c>
      <c r="E1906">
        <v>255</v>
      </c>
    </row>
    <row r="1907" spans="1:5">
      <c r="A1907" s="1">
        <v>45856</v>
      </c>
      <c r="B1907" t="s">
        <v>135</v>
      </c>
      <c r="C1907" t="s">
        <v>20</v>
      </c>
      <c r="D1907" t="s">
        <v>2544</v>
      </c>
      <c r="E1907">
        <v>13890</v>
      </c>
    </row>
    <row r="1908" spans="1:5">
      <c r="A1908" s="1">
        <v>45856</v>
      </c>
      <c r="B1908" t="s">
        <v>1685</v>
      </c>
      <c r="C1908" t="s">
        <v>20</v>
      </c>
      <c r="D1908" t="s">
        <v>2545</v>
      </c>
      <c r="E1908">
        <v>17650</v>
      </c>
    </row>
    <row r="1909" spans="1:5">
      <c r="A1909" s="1">
        <v>45856</v>
      </c>
      <c r="B1909" t="s">
        <v>2546</v>
      </c>
      <c r="C1909" t="s">
        <v>20</v>
      </c>
      <c r="D1909" t="s">
        <v>2547</v>
      </c>
      <c r="E1909">
        <v>192</v>
      </c>
    </row>
    <row r="1910" spans="1:5">
      <c r="A1910" s="1">
        <v>45856</v>
      </c>
      <c r="B1910" t="s">
        <v>528</v>
      </c>
      <c r="C1910" t="s">
        <v>20</v>
      </c>
      <c r="D1910" t="s">
        <v>2548</v>
      </c>
      <c r="E1910">
        <v>1507</v>
      </c>
    </row>
    <row r="1911" spans="1:5">
      <c r="A1911" s="1">
        <v>45856</v>
      </c>
      <c r="B1911" t="s">
        <v>2256</v>
      </c>
      <c r="C1911" t="s">
        <v>20</v>
      </c>
      <c r="D1911" t="s">
        <v>2549</v>
      </c>
      <c r="E1911">
        <v>957</v>
      </c>
    </row>
    <row r="1912" spans="1:5">
      <c r="A1912" s="1">
        <v>45856</v>
      </c>
      <c r="B1912" t="s">
        <v>2474</v>
      </c>
      <c r="C1912" t="s">
        <v>20</v>
      </c>
      <c r="D1912" t="s">
        <v>2550</v>
      </c>
      <c r="E1912">
        <v>740</v>
      </c>
    </row>
    <row r="1913" spans="1:5">
      <c r="A1913" s="1">
        <v>45856</v>
      </c>
      <c r="B1913" t="s">
        <v>135</v>
      </c>
      <c r="C1913" t="s">
        <v>20</v>
      </c>
      <c r="D1913" t="s">
        <v>2551</v>
      </c>
      <c r="E1913">
        <v>20</v>
      </c>
    </row>
    <row r="1914" spans="1:5">
      <c r="A1914" s="1">
        <v>45856</v>
      </c>
      <c r="B1914" t="s">
        <v>2552</v>
      </c>
      <c r="C1914" t="s">
        <v>20</v>
      </c>
      <c r="D1914" t="s">
        <v>2553</v>
      </c>
      <c r="E1914">
        <v>40</v>
      </c>
    </row>
    <row r="1915" spans="1:5">
      <c r="A1915" s="1">
        <v>45856</v>
      </c>
      <c r="B1915" t="s">
        <v>2554</v>
      </c>
      <c r="C1915" t="s">
        <v>20</v>
      </c>
      <c r="D1915" t="s">
        <v>2555</v>
      </c>
      <c r="E1915">
        <v>430</v>
      </c>
    </row>
    <row r="1916" spans="1:5">
      <c r="A1916" s="1">
        <v>45857</v>
      </c>
      <c r="B1916" t="s">
        <v>927</v>
      </c>
      <c r="C1916" t="s">
        <v>19</v>
      </c>
      <c r="D1916" t="s">
        <v>2556</v>
      </c>
      <c r="E1916">
        <v>11100</v>
      </c>
    </row>
    <row r="1917" spans="1:5">
      <c r="A1917" s="1">
        <v>45857</v>
      </c>
      <c r="B1917" t="s">
        <v>733</v>
      </c>
      <c r="C1917" t="s">
        <v>19</v>
      </c>
      <c r="D1917" t="s">
        <v>2557</v>
      </c>
      <c r="E1917">
        <v>9750</v>
      </c>
    </row>
    <row r="1918" spans="1:5">
      <c r="A1918" s="1">
        <v>45857</v>
      </c>
      <c r="B1918" t="s">
        <v>2558</v>
      </c>
      <c r="C1918" t="s">
        <v>19</v>
      </c>
      <c r="D1918" t="s">
        <v>2559</v>
      </c>
      <c r="E1918">
        <v>6470</v>
      </c>
    </row>
    <row r="1919" spans="1:5">
      <c r="A1919" s="1">
        <v>45857</v>
      </c>
      <c r="B1919" t="s">
        <v>2560</v>
      </c>
      <c r="C1919" t="s">
        <v>19</v>
      </c>
      <c r="D1919" t="s">
        <v>2561</v>
      </c>
      <c r="E1919">
        <v>9560</v>
      </c>
    </row>
    <row r="1920" spans="1:5">
      <c r="A1920" s="1">
        <v>45857</v>
      </c>
      <c r="B1920" t="s">
        <v>1104</v>
      </c>
      <c r="C1920" t="s">
        <v>19</v>
      </c>
      <c r="D1920" t="s">
        <v>2562</v>
      </c>
      <c r="E1920">
        <v>49147</v>
      </c>
    </row>
    <row r="1921" spans="1:5">
      <c r="A1921" s="1">
        <v>45857</v>
      </c>
      <c r="B1921" t="s">
        <v>2563</v>
      </c>
      <c r="C1921" t="s">
        <v>19</v>
      </c>
      <c r="D1921" t="s">
        <v>2564</v>
      </c>
      <c r="E1921">
        <v>21945</v>
      </c>
    </row>
    <row r="1922" spans="1:5">
      <c r="A1922" s="1">
        <v>45857</v>
      </c>
      <c r="B1922" t="s">
        <v>1021</v>
      </c>
      <c r="C1922" t="s">
        <v>19</v>
      </c>
      <c r="D1922" t="s">
        <v>2565</v>
      </c>
      <c r="E1922">
        <v>1300</v>
      </c>
    </row>
    <row r="1923" spans="1:5">
      <c r="A1923" s="1">
        <v>45857</v>
      </c>
      <c r="B1923" t="s">
        <v>2501</v>
      </c>
      <c r="C1923" t="s">
        <v>20</v>
      </c>
      <c r="D1923" t="s">
        <v>2566</v>
      </c>
      <c r="E1923">
        <v>1132</v>
      </c>
    </row>
    <row r="1924" spans="1:5">
      <c r="A1924" s="1">
        <v>45857</v>
      </c>
      <c r="B1924" t="s">
        <v>2567</v>
      </c>
      <c r="C1924" t="s">
        <v>20</v>
      </c>
      <c r="D1924" t="s">
        <v>2568</v>
      </c>
      <c r="E1924">
        <v>1110</v>
      </c>
    </row>
    <row r="1925" spans="1:5">
      <c r="A1925" s="1">
        <v>45857</v>
      </c>
      <c r="B1925" t="s">
        <v>239</v>
      </c>
      <c r="C1925" t="s">
        <v>20</v>
      </c>
      <c r="D1925" t="s">
        <v>2569</v>
      </c>
      <c r="E1925">
        <v>2342</v>
      </c>
    </row>
    <row r="1926" spans="1:5">
      <c r="A1926" s="1">
        <v>45857</v>
      </c>
      <c r="B1926" t="s">
        <v>50</v>
      </c>
      <c r="C1926" t="s">
        <v>20</v>
      </c>
      <c r="D1926" t="s">
        <v>2570</v>
      </c>
      <c r="E1926">
        <v>12</v>
      </c>
    </row>
    <row r="1927" spans="1:5">
      <c r="A1927" s="1">
        <v>45857</v>
      </c>
      <c r="B1927" t="s">
        <v>2154</v>
      </c>
      <c r="C1927" t="s">
        <v>20</v>
      </c>
      <c r="D1927" t="s">
        <v>2571</v>
      </c>
      <c r="E1927">
        <v>285</v>
      </c>
    </row>
    <row r="1928" spans="1:5">
      <c r="A1928" s="1">
        <v>45857</v>
      </c>
      <c r="B1928" t="s">
        <v>50</v>
      </c>
      <c r="C1928" t="s">
        <v>20</v>
      </c>
      <c r="D1928" t="s">
        <v>2572</v>
      </c>
      <c r="E1928">
        <v>5850</v>
      </c>
    </row>
    <row r="1929" spans="1:5">
      <c r="A1929" s="1">
        <v>45857</v>
      </c>
      <c r="B1929" t="s">
        <v>2573</v>
      </c>
      <c r="C1929" t="s">
        <v>20</v>
      </c>
      <c r="D1929" t="s">
        <v>2574</v>
      </c>
      <c r="E1929">
        <v>12287</v>
      </c>
    </row>
    <row r="1930" spans="1:5">
      <c r="A1930" s="1">
        <v>45857</v>
      </c>
      <c r="B1930" t="s">
        <v>1776</v>
      </c>
      <c r="C1930" t="s">
        <v>20</v>
      </c>
      <c r="D1930" t="s">
        <v>2575</v>
      </c>
      <c r="E1930">
        <v>555</v>
      </c>
    </row>
    <row r="1931" spans="1:5">
      <c r="A1931" s="1">
        <v>45857</v>
      </c>
      <c r="B1931" t="s">
        <v>50</v>
      </c>
      <c r="C1931" t="s">
        <v>20</v>
      </c>
      <c r="D1931" t="s">
        <v>2576</v>
      </c>
      <c r="E1931">
        <v>30</v>
      </c>
    </row>
    <row r="1932" spans="1:5">
      <c r="A1932" s="1">
        <v>45857</v>
      </c>
      <c r="B1932" t="s">
        <v>1592</v>
      </c>
      <c r="C1932" t="s">
        <v>20</v>
      </c>
      <c r="D1932" t="s">
        <v>2577</v>
      </c>
      <c r="E1932">
        <v>21523</v>
      </c>
    </row>
    <row r="1933" spans="1:5">
      <c r="A1933" s="1">
        <v>45857</v>
      </c>
      <c r="B1933" t="s">
        <v>83</v>
      </c>
      <c r="C1933" t="s">
        <v>20</v>
      </c>
      <c r="D1933" t="s">
        <v>2578</v>
      </c>
      <c r="E1933">
        <v>735</v>
      </c>
    </row>
    <row r="1934" spans="1:5">
      <c r="A1934" s="1">
        <v>45857</v>
      </c>
      <c r="B1934" t="s">
        <v>2059</v>
      </c>
      <c r="C1934" t="s">
        <v>20</v>
      </c>
      <c r="D1934" t="s">
        <v>2579</v>
      </c>
      <c r="E1934">
        <v>740</v>
      </c>
    </row>
    <row r="1935" spans="1:5">
      <c r="A1935" s="1">
        <v>45858</v>
      </c>
      <c r="B1935" t="s">
        <v>2580</v>
      </c>
      <c r="C1935" t="s">
        <v>20</v>
      </c>
      <c r="D1935" t="s">
        <v>2581</v>
      </c>
      <c r="E1935">
        <v>3507</v>
      </c>
    </row>
    <row r="1936" spans="1:5">
      <c r="A1936" s="1">
        <v>45858</v>
      </c>
      <c r="B1936" t="s">
        <v>50</v>
      </c>
      <c r="C1936" t="s">
        <v>20</v>
      </c>
      <c r="D1936" t="s">
        <v>2582</v>
      </c>
      <c r="E1936">
        <v>370</v>
      </c>
    </row>
    <row r="1937" spans="1:5">
      <c r="A1937" s="1">
        <v>45859</v>
      </c>
      <c r="B1937" t="s">
        <v>1628</v>
      </c>
      <c r="C1937" t="s">
        <v>19</v>
      </c>
      <c r="D1937" t="s">
        <v>2583</v>
      </c>
      <c r="E1937">
        <v>2237</v>
      </c>
    </row>
    <row r="1938" spans="1:5">
      <c r="A1938" s="1">
        <v>45859</v>
      </c>
      <c r="B1938" t="s">
        <v>246</v>
      </c>
      <c r="C1938" t="s">
        <v>19</v>
      </c>
      <c r="D1938" t="s">
        <v>2584</v>
      </c>
      <c r="E1938">
        <v>29217</v>
      </c>
    </row>
    <row r="1939" spans="1:5">
      <c r="A1939" s="1">
        <v>45859</v>
      </c>
      <c r="B1939" t="s">
        <v>512</v>
      </c>
      <c r="C1939" t="s">
        <v>20</v>
      </c>
      <c r="D1939" t="s">
        <v>2585</v>
      </c>
      <c r="E1939">
        <v>1553</v>
      </c>
    </row>
    <row r="1940" spans="1:5">
      <c r="A1940" s="1">
        <v>45859</v>
      </c>
      <c r="B1940" t="s">
        <v>2586</v>
      </c>
      <c r="C1940" t="s">
        <v>20</v>
      </c>
      <c r="D1940" t="s">
        <v>2587</v>
      </c>
      <c r="E1940">
        <v>130</v>
      </c>
    </row>
    <row r="1941" spans="1:5">
      <c r="A1941" s="1">
        <v>45859</v>
      </c>
      <c r="B1941" t="s">
        <v>455</v>
      </c>
      <c r="C1941" t="s">
        <v>20</v>
      </c>
      <c r="D1941" t="s">
        <v>2588</v>
      </c>
      <c r="E1941">
        <v>2980</v>
      </c>
    </row>
    <row r="1942" spans="1:5">
      <c r="A1942" s="1">
        <v>45859</v>
      </c>
      <c r="B1942" t="s">
        <v>2059</v>
      </c>
      <c r="C1942" t="s">
        <v>20</v>
      </c>
      <c r="D1942" t="s">
        <v>2589</v>
      </c>
      <c r="E1942">
        <v>1850</v>
      </c>
    </row>
    <row r="1943" spans="1:5">
      <c r="A1943" s="1">
        <v>45859</v>
      </c>
      <c r="B1943" t="s">
        <v>2590</v>
      </c>
      <c r="C1943" t="s">
        <v>20</v>
      </c>
      <c r="D1943" t="s">
        <v>2591</v>
      </c>
      <c r="E1943">
        <v>15003</v>
      </c>
    </row>
    <row r="1944" spans="1:5">
      <c r="A1944" s="1">
        <v>45859</v>
      </c>
      <c r="B1944" t="s">
        <v>2592</v>
      </c>
      <c r="C1944" t="s">
        <v>20</v>
      </c>
      <c r="D1944" t="s">
        <v>2593</v>
      </c>
      <c r="E1944">
        <v>17687</v>
      </c>
    </row>
    <row r="1945" spans="1:5">
      <c r="A1945" s="1">
        <v>45859</v>
      </c>
      <c r="B1945" t="s">
        <v>2590</v>
      </c>
      <c r="C1945" t="s">
        <v>20</v>
      </c>
      <c r="D1945" t="s">
        <v>2594</v>
      </c>
      <c r="E1945">
        <v>25</v>
      </c>
    </row>
    <row r="1946" spans="1:5">
      <c r="A1946" s="1">
        <v>45859</v>
      </c>
      <c r="B1946" t="s">
        <v>50</v>
      </c>
      <c r="C1946" t="s">
        <v>20</v>
      </c>
      <c r="D1946" t="s">
        <v>2595</v>
      </c>
      <c r="E1946">
        <v>12</v>
      </c>
    </row>
    <row r="1947" spans="1:5">
      <c r="A1947" s="1">
        <v>45859</v>
      </c>
      <c r="B1947" t="s">
        <v>557</v>
      </c>
      <c r="C1947" t="s">
        <v>20</v>
      </c>
      <c r="D1947" t="s">
        <v>2596</v>
      </c>
      <c r="E1947">
        <v>528</v>
      </c>
    </row>
    <row r="1948" spans="1:5">
      <c r="A1948" s="1">
        <v>45859</v>
      </c>
      <c r="B1948" t="s">
        <v>222</v>
      </c>
      <c r="C1948" t="s">
        <v>20</v>
      </c>
      <c r="D1948" t="s">
        <v>2597</v>
      </c>
      <c r="E1948">
        <v>1480</v>
      </c>
    </row>
    <row r="1949" spans="1:5">
      <c r="A1949" s="1">
        <v>45859</v>
      </c>
      <c r="B1949" t="s">
        <v>2214</v>
      </c>
      <c r="C1949" t="s">
        <v>20</v>
      </c>
      <c r="D1949" t="s">
        <v>2598</v>
      </c>
      <c r="E1949">
        <v>1110</v>
      </c>
    </row>
    <row r="1950" spans="1:5">
      <c r="A1950" s="1">
        <v>45859</v>
      </c>
      <c r="B1950" t="s">
        <v>932</v>
      </c>
      <c r="C1950" t="s">
        <v>20</v>
      </c>
      <c r="D1950" t="s">
        <v>2599</v>
      </c>
      <c r="E1950">
        <v>1480</v>
      </c>
    </row>
    <row r="1951" spans="1:5">
      <c r="A1951" s="1">
        <v>45859</v>
      </c>
      <c r="B1951" t="s">
        <v>2600</v>
      </c>
      <c r="C1951" t="s">
        <v>20</v>
      </c>
      <c r="D1951" t="s">
        <v>2601</v>
      </c>
      <c r="E1951">
        <v>370</v>
      </c>
    </row>
    <row r="1952" spans="1:5">
      <c r="A1952" s="1">
        <v>45859</v>
      </c>
      <c r="B1952" t="s">
        <v>135</v>
      </c>
      <c r="C1952" t="s">
        <v>20</v>
      </c>
      <c r="D1952" t="s">
        <v>2602</v>
      </c>
      <c r="E1952">
        <v>12017</v>
      </c>
    </row>
    <row r="1953" spans="1:5">
      <c r="A1953" s="1">
        <v>45859</v>
      </c>
      <c r="B1953" t="s">
        <v>2603</v>
      </c>
      <c r="C1953" t="s">
        <v>20</v>
      </c>
      <c r="D1953" t="s">
        <v>2604</v>
      </c>
      <c r="E1953">
        <v>2896</v>
      </c>
    </row>
    <row r="1954" spans="1:5">
      <c r="A1954" s="1">
        <v>45859</v>
      </c>
      <c r="B1954" t="s">
        <v>2059</v>
      </c>
      <c r="C1954" t="s">
        <v>20</v>
      </c>
      <c r="D1954" t="s">
        <v>2605</v>
      </c>
      <c r="E1954">
        <v>15406</v>
      </c>
    </row>
    <row r="1955" spans="1:5">
      <c r="A1955" s="1">
        <v>45860</v>
      </c>
      <c r="B1955" t="s">
        <v>927</v>
      </c>
      <c r="C1955" t="s">
        <v>19</v>
      </c>
      <c r="D1955" t="s">
        <v>2606</v>
      </c>
      <c r="E1955">
        <v>18500</v>
      </c>
    </row>
    <row r="1956" spans="1:5">
      <c r="A1956" s="1">
        <v>45860</v>
      </c>
      <c r="B1956" t="s">
        <v>176</v>
      </c>
      <c r="C1956" t="s">
        <v>19</v>
      </c>
      <c r="D1956" t="s">
        <v>2607</v>
      </c>
      <c r="E1956">
        <v>11864</v>
      </c>
    </row>
    <row r="1957" spans="1:5">
      <c r="A1957" s="1">
        <v>45860</v>
      </c>
      <c r="B1957" t="s">
        <v>2364</v>
      </c>
      <c r="C1957" t="s">
        <v>19</v>
      </c>
      <c r="D1957" t="s">
        <v>2608</v>
      </c>
      <c r="E1957">
        <v>1383</v>
      </c>
    </row>
    <row r="1958" spans="1:5">
      <c r="A1958" s="1">
        <v>45860</v>
      </c>
      <c r="B1958" t="s">
        <v>2609</v>
      </c>
      <c r="C1958" t="s">
        <v>20</v>
      </c>
      <c r="D1958" t="s">
        <v>2610</v>
      </c>
      <c r="E1958">
        <v>8963</v>
      </c>
    </row>
    <row r="1959" spans="1:5">
      <c r="A1959" s="1">
        <v>45860</v>
      </c>
      <c r="B1959" t="s">
        <v>2455</v>
      </c>
      <c r="C1959" t="s">
        <v>20</v>
      </c>
      <c r="D1959" t="s">
        <v>2611</v>
      </c>
      <c r="E1959">
        <v>8407</v>
      </c>
    </row>
    <row r="1960" spans="1:5">
      <c r="A1960" s="1">
        <v>45860</v>
      </c>
      <c r="B1960" t="s">
        <v>802</v>
      </c>
      <c r="C1960" t="s">
        <v>20</v>
      </c>
      <c r="D1960" t="s">
        <v>2612</v>
      </c>
      <c r="E1960">
        <v>7400</v>
      </c>
    </row>
    <row r="1961" spans="1:5">
      <c r="A1961" s="1">
        <v>45860</v>
      </c>
      <c r="B1961" t="s">
        <v>107</v>
      </c>
      <c r="C1961" t="s">
        <v>20</v>
      </c>
      <c r="D1961" t="s">
        <v>2613</v>
      </c>
      <c r="E1961">
        <v>1850</v>
      </c>
    </row>
    <row r="1962" spans="1:5">
      <c r="A1962" s="1">
        <v>45860</v>
      </c>
      <c r="B1962" t="s">
        <v>2154</v>
      </c>
      <c r="C1962" t="s">
        <v>20</v>
      </c>
      <c r="D1962" t="s">
        <v>2614</v>
      </c>
      <c r="E1962">
        <v>285</v>
      </c>
    </row>
    <row r="1963" spans="1:5">
      <c r="A1963" s="1">
        <v>45860</v>
      </c>
      <c r="B1963" t="s">
        <v>52</v>
      </c>
      <c r="C1963" t="s">
        <v>20</v>
      </c>
      <c r="D1963" t="s">
        <v>2615</v>
      </c>
      <c r="E1963">
        <v>20</v>
      </c>
    </row>
    <row r="1964" spans="1:5">
      <c r="A1964" s="1">
        <v>45860</v>
      </c>
      <c r="B1964" t="s">
        <v>2616</v>
      </c>
      <c r="C1964" t="s">
        <v>20</v>
      </c>
      <c r="D1964" t="s">
        <v>2617</v>
      </c>
      <c r="E1964">
        <v>30865</v>
      </c>
    </row>
    <row r="1965" spans="1:5">
      <c r="A1965" s="1">
        <v>45860</v>
      </c>
      <c r="B1965" t="s">
        <v>50</v>
      </c>
      <c r="C1965" t="s">
        <v>20</v>
      </c>
      <c r="D1965" t="s">
        <v>2618</v>
      </c>
      <c r="E1965">
        <v>12</v>
      </c>
    </row>
    <row r="1966" spans="1:5">
      <c r="A1966" s="1">
        <v>45860</v>
      </c>
      <c r="B1966" t="s">
        <v>844</v>
      </c>
      <c r="C1966" t="s">
        <v>20</v>
      </c>
      <c r="D1966" t="s">
        <v>2619</v>
      </c>
      <c r="E1966">
        <v>27572</v>
      </c>
    </row>
    <row r="1967" spans="1:5">
      <c r="A1967" s="1">
        <v>45860</v>
      </c>
      <c r="B1967" t="s">
        <v>50</v>
      </c>
      <c r="C1967" t="s">
        <v>20</v>
      </c>
      <c r="D1967" t="s">
        <v>2620</v>
      </c>
      <c r="E1967">
        <v>370</v>
      </c>
    </row>
    <row r="1968" spans="1:5">
      <c r="A1968" s="1">
        <v>45860</v>
      </c>
      <c r="B1968" t="s">
        <v>2592</v>
      </c>
      <c r="C1968" t="s">
        <v>20</v>
      </c>
      <c r="D1968" t="s">
        <v>2621</v>
      </c>
      <c r="E1968">
        <v>662</v>
      </c>
    </row>
    <row r="1969" spans="1:5">
      <c r="A1969" s="1">
        <v>45860</v>
      </c>
      <c r="B1969" t="s">
        <v>1000</v>
      </c>
      <c r="C1969" t="s">
        <v>20</v>
      </c>
      <c r="D1969" t="s">
        <v>2622</v>
      </c>
      <c r="E1969">
        <v>260</v>
      </c>
    </row>
    <row r="1970" spans="1:5">
      <c r="A1970" s="1">
        <v>45861</v>
      </c>
      <c r="B1970" t="s">
        <v>786</v>
      </c>
      <c r="C1970" t="s">
        <v>19</v>
      </c>
      <c r="D1970" t="s">
        <v>2623</v>
      </c>
      <c r="E1970">
        <v>7037</v>
      </c>
    </row>
    <row r="1971" spans="1:5">
      <c r="A1971" s="1">
        <v>45861</v>
      </c>
      <c r="B1971" t="s">
        <v>1424</v>
      </c>
      <c r="C1971" t="s">
        <v>19</v>
      </c>
      <c r="D1971" t="s">
        <v>2624</v>
      </c>
      <c r="E1971">
        <v>13722</v>
      </c>
    </row>
    <row r="1972" spans="1:5">
      <c r="A1972" s="1">
        <v>45861</v>
      </c>
      <c r="B1972" t="s">
        <v>1104</v>
      </c>
      <c r="C1972" t="s">
        <v>19</v>
      </c>
      <c r="D1972" t="s">
        <v>2625</v>
      </c>
      <c r="E1972">
        <v>48496</v>
      </c>
    </row>
    <row r="1973" spans="1:5">
      <c r="A1973" s="1">
        <v>45861</v>
      </c>
      <c r="B1973" t="s">
        <v>1061</v>
      </c>
      <c r="C1973" t="s">
        <v>20</v>
      </c>
      <c r="D1973" t="s">
        <v>2626</v>
      </c>
      <c r="E1973">
        <v>40783</v>
      </c>
    </row>
    <row r="1974" spans="1:5">
      <c r="A1974" s="1">
        <v>45861</v>
      </c>
      <c r="B1974" t="s">
        <v>41</v>
      </c>
      <c r="C1974" t="s">
        <v>20</v>
      </c>
      <c r="D1974" t="s">
        <v>2627</v>
      </c>
      <c r="E1974">
        <v>7856</v>
      </c>
    </row>
    <row r="1975" spans="1:5">
      <c r="A1975" s="1">
        <v>45861</v>
      </c>
      <c r="B1975" t="s">
        <v>50</v>
      </c>
      <c r="C1975" t="s">
        <v>20</v>
      </c>
      <c r="D1975" t="s">
        <v>2628</v>
      </c>
      <c r="E1975">
        <v>370</v>
      </c>
    </row>
    <row r="1976" spans="1:5">
      <c r="A1976" s="1">
        <v>45861</v>
      </c>
      <c r="B1976" t="s">
        <v>83</v>
      </c>
      <c r="C1976" t="s">
        <v>20</v>
      </c>
      <c r="D1976" t="s">
        <v>2629</v>
      </c>
      <c r="E1976">
        <v>4233</v>
      </c>
    </row>
    <row r="1977" spans="1:5">
      <c r="A1977" s="1">
        <v>45861</v>
      </c>
      <c r="B1977" t="s">
        <v>2630</v>
      </c>
      <c r="C1977" t="s">
        <v>20</v>
      </c>
      <c r="D1977" t="s">
        <v>2631</v>
      </c>
      <c r="E1977">
        <v>24267</v>
      </c>
    </row>
    <row r="1978" spans="1:5">
      <c r="A1978" s="1">
        <v>45861</v>
      </c>
      <c r="B1978" t="s">
        <v>2632</v>
      </c>
      <c r="C1978" t="s">
        <v>20</v>
      </c>
      <c r="D1978" t="s">
        <v>2633</v>
      </c>
      <c r="E1978">
        <v>590</v>
      </c>
    </row>
    <row r="1979" spans="1:5">
      <c r="A1979" s="1">
        <v>45861</v>
      </c>
      <c r="B1979" t="s">
        <v>2634</v>
      </c>
      <c r="C1979" t="s">
        <v>20</v>
      </c>
      <c r="D1979" t="s">
        <v>2635</v>
      </c>
      <c r="E1979">
        <v>31867</v>
      </c>
    </row>
    <row r="1980" spans="1:5">
      <c r="A1980" s="1">
        <v>45861</v>
      </c>
      <c r="B1980" t="s">
        <v>2636</v>
      </c>
      <c r="C1980" t="s">
        <v>20</v>
      </c>
      <c r="D1980" t="s">
        <v>2637</v>
      </c>
      <c r="E1980">
        <v>740</v>
      </c>
    </row>
    <row r="1981" spans="1:5">
      <c r="A1981" s="1">
        <v>45861</v>
      </c>
      <c r="B1981" t="s">
        <v>1685</v>
      </c>
      <c r="C1981" t="s">
        <v>20</v>
      </c>
      <c r="D1981" t="s">
        <v>2638</v>
      </c>
      <c r="E1981">
        <v>17020</v>
      </c>
    </row>
    <row r="1982" spans="1:5">
      <c r="A1982" s="1">
        <v>45861</v>
      </c>
      <c r="B1982" t="s">
        <v>1377</v>
      </c>
      <c r="C1982" t="s">
        <v>20</v>
      </c>
      <c r="D1982" t="s">
        <v>2639</v>
      </c>
      <c r="E1982">
        <v>9180</v>
      </c>
    </row>
    <row r="1983" spans="1:5">
      <c r="A1983" s="1">
        <v>45861</v>
      </c>
      <c r="B1983" t="s">
        <v>2592</v>
      </c>
      <c r="C1983" t="s">
        <v>20</v>
      </c>
      <c r="D1983" t="s">
        <v>2640</v>
      </c>
      <c r="E1983">
        <v>550</v>
      </c>
    </row>
    <row r="1984" spans="1:5">
      <c r="A1984" s="1">
        <v>45861</v>
      </c>
      <c r="B1984" t="s">
        <v>2455</v>
      </c>
      <c r="C1984" t="s">
        <v>20</v>
      </c>
      <c r="D1984" t="s">
        <v>2641</v>
      </c>
      <c r="E1984">
        <v>300</v>
      </c>
    </row>
    <row r="1985" spans="1:5">
      <c r="A1985" s="1">
        <v>45861</v>
      </c>
      <c r="B1985" t="s">
        <v>1816</v>
      </c>
      <c r="C1985" t="s">
        <v>20</v>
      </c>
      <c r="D1985" t="s">
        <v>2642</v>
      </c>
      <c r="E1985">
        <v>6610</v>
      </c>
    </row>
    <row r="1986" spans="1:5">
      <c r="A1986" s="1">
        <v>45861</v>
      </c>
      <c r="B1986" t="s">
        <v>254</v>
      </c>
      <c r="C1986" t="s">
        <v>20</v>
      </c>
      <c r="D1986" t="s">
        <v>2643</v>
      </c>
      <c r="E1986">
        <v>740</v>
      </c>
    </row>
    <row r="1987" spans="1:5">
      <c r="A1987" s="1">
        <v>45861</v>
      </c>
      <c r="B1987" t="s">
        <v>1397</v>
      </c>
      <c r="C1987" t="s">
        <v>20</v>
      </c>
      <c r="D1987" t="s">
        <v>2644</v>
      </c>
      <c r="E1987">
        <v>18607</v>
      </c>
    </row>
    <row r="1988" spans="1:5">
      <c r="A1988" s="1">
        <v>45861</v>
      </c>
      <c r="B1988" t="s">
        <v>2645</v>
      </c>
      <c r="C1988" t="s">
        <v>20</v>
      </c>
      <c r="D1988" t="s">
        <v>2646</v>
      </c>
      <c r="E1988">
        <v>31002</v>
      </c>
    </row>
    <row r="1989" spans="1:5">
      <c r="A1989" s="1">
        <v>45861</v>
      </c>
      <c r="B1989" t="s">
        <v>1980</v>
      </c>
      <c r="C1989" t="s">
        <v>20</v>
      </c>
      <c r="D1989" t="s">
        <v>2647</v>
      </c>
      <c r="E1989">
        <v>250</v>
      </c>
    </row>
    <row r="1990" spans="1:5">
      <c r="A1990" s="1">
        <v>45862</v>
      </c>
      <c r="B1990" t="s">
        <v>60</v>
      </c>
      <c r="C1990" t="s">
        <v>19</v>
      </c>
      <c r="D1990" t="s">
        <v>2648</v>
      </c>
      <c r="E1990">
        <v>14770</v>
      </c>
    </row>
    <row r="1991" spans="1:5">
      <c r="A1991" s="1">
        <v>45862</v>
      </c>
      <c r="B1991" t="s">
        <v>2649</v>
      </c>
      <c r="C1991" t="s">
        <v>20</v>
      </c>
      <c r="D1991" t="s">
        <v>2650</v>
      </c>
      <c r="E1991">
        <v>1110</v>
      </c>
    </row>
    <row r="1992" spans="1:5">
      <c r="A1992" s="1">
        <v>45862</v>
      </c>
      <c r="B1992" t="s">
        <v>2651</v>
      </c>
      <c r="C1992" t="s">
        <v>20</v>
      </c>
      <c r="D1992" t="s">
        <v>2652</v>
      </c>
      <c r="E1992">
        <v>22201</v>
      </c>
    </row>
    <row r="1993" spans="1:5">
      <c r="A1993" s="1">
        <v>45862</v>
      </c>
      <c r="B1993" t="s">
        <v>193</v>
      </c>
      <c r="C1993" t="s">
        <v>20</v>
      </c>
      <c r="D1993" t="s">
        <v>2653</v>
      </c>
      <c r="E1993">
        <v>13530</v>
      </c>
    </row>
    <row r="1994" spans="1:5">
      <c r="A1994" s="1">
        <v>45862</v>
      </c>
      <c r="B1994" t="s">
        <v>193</v>
      </c>
      <c r="C1994" t="s">
        <v>20</v>
      </c>
      <c r="D1994" t="s">
        <v>2654</v>
      </c>
      <c r="E1994">
        <v>3084</v>
      </c>
    </row>
    <row r="1995" spans="1:5">
      <c r="A1995" s="1">
        <v>45862</v>
      </c>
      <c r="B1995" t="s">
        <v>2515</v>
      </c>
      <c r="C1995" t="s">
        <v>20</v>
      </c>
      <c r="D1995" t="s">
        <v>2655</v>
      </c>
      <c r="E1995">
        <v>630</v>
      </c>
    </row>
    <row r="1996" spans="1:5">
      <c r="A1996" s="1">
        <v>45862</v>
      </c>
      <c r="B1996" t="s">
        <v>50</v>
      </c>
      <c r="C1996" t="s">
        <v>20</v>
      </c>
      <c r="D1996" t="s">
        <v>2656</v>
      </c>
      <c r="E1996">
        <v>25</v>
      </c>
    </row>
    <row r="1997" spans="1:5">
      <c r="A1997" s="1">
        <v>45862</v>
      </c>
      <c r="B1997" t="s">
        <v>197</v>
      </c>
      <c r="C1997" t="s">
        <v>20</v>
      </c>
      <c r="D1997" t="s">
        <v>2657</v>
      </c>
      <c r="E1997">
        <v>740</v>
      </c>
    </row>
    <row r="1998" spans="1:5">
      <c r="A1998" s="1">
        <v>45862</v>
      </c>
      <c r="B1998" t="s">
        <v>2032</v>
      </c>
      <c r="C1998" t="s">
        <v>20</v>
      </c>
      <c r="D1998" t="s">
        <v>2658</v>
      </c>
      <c r="E1998">
        <v>40</v>
      </c>
    </row>
    <row r="1999" spans="1:5">
      <c r="A1999" s="1">
        <v>45862</v>
      </c>
      <c r="B1999" t="s">
        <v>526</v>
      </c>
      <c r="C1999" t="s">
        <v>20</v>
      </c>
      <c r="D1999" t="s">
        <v>2659</v>
      </c>
      <c r="E1999">
        <v>80</v>
      </c>
    </row>
    <row r="2000" spans="1:5">
      <c r="A2000" s="1">
        <v>45862</v>
      </c>
      <c r="B2000" t="s">
        <v>2649</v>
      </c>
      <c r="C2000" t="s">
        <v>20</v>
      </c>
      <c r="D2000" t="s">
        <v>2660</v>
      </c>
      <c r="E2000">
        <v>2420</v>
      </c>
    </row>
    <row r="2001" spans="1:5">
      <c r="A2001" s="1">
        <v>45862</v>
      </c>
      <c r="B2001" t="s">
        <v>756</v>
      </c>
      <c r="C2001" t="s">
        <v>20</v>
      </c>
      <c r="D2001" t="s">
        <v>2661</v>
      </c>
      <c r="E2001">
        <v>50</v>
      </c>
    </row>
    <row r="2002" spans="1:5">
      <c r="A2002" s="1">
        <v>45862</v>
      </c>
      <c r="B2002" t="s">
        <v>1964</v>
      </c>
      <c r="C2002" t="s">
        <v>20</v>
      </c>
      <c r="D2002" t="s">
        <v>2662</v>
      </c>
      <c r="E2002">
        <v>22885</v>
      </c>
    </row>
    <row r="2003" spans="1:5">
      <c r="A2003" s="1">
        <v>45862</v>
      </c>
      <c r="B2003" t="s">
        <v>2663</v>
      </c>
      <c r="C2003" t="s">
        <v>20</v>
      </c>
      <c r="D2003" t="s">
        <v>2664</v>
      </c>
      <c r="E2003">
        <v>14486</v>
      </c>
    </row>
    <row r="2004" spans="1:5">
      <c r="A2004" s="1">
        <v>45862</v>
      </c>
      <c r="B2004" t="s">
        <v>358</v>
      </c>
      <c r="C2004" t="s">
        <v>20</v>
      </c>
      <c r="D2004" t="s">
        <v>2665</v>
      </c>
      <c r="E2004">
        <v>8680</v>
      </c>
    </row>
    <row r="2005" spans="1:5">
      <c r="A2005" s="1">
        <v>45862</v>
      </c>
      <c r="B2005" t="s">
        <v>1410</v>
      </c>
      <c r="C2005" t="s">
        <v>20</v>
      </c>
      <c r="D2005" t="s">
        <v>2666</v>
      </c>
      <c r="E2005">
        <v>50</v>
      </c>
    </row>
    <row r="2006" spans="1:5">
      <c r="A2006" s="1">
        <v>45862</v>
      </c>
      <c r="B2006" t="s">
        <v>2667</v>
      </c>
      <c r="C2006" t="s">
        <v>20</v>
      </c>
      <c r="D2006" t="s">
        <v>2668</v>
      </c>
      <c r="E2006">
        <v>32082</v>
      </c>
    </row>
    <row r="2007" spans="1:5">
      <c r="A2007" s="1">
        <v>45863</v>
      </c>
      <c r="B2007" t="s">
        <v>246</v>
      </c>
      <c r="C2007" t="s">
        <v>19</v>
      </c>
      <c r="D2007" t="s">
        <v>2669</v>
      </c>
      <c r="E2007">
        <v>4538</v>
      </c>
    </row>
    <row r="2008" spans="1:5">
      <c r="A2008" s="1">
        <v>45863</v>
      </c>
      <c r="B2008" t="s">
        <v>1628</v>
      </c>
      <c r="C2008" t="s">
        <v>19</v>
      </c>
      <c r="D2008" t="s">
        <v>2670</v>
      </c>
      <c r="E2008">
        <v>92295</v>
      </c>
    </row>
    <row r="2009" spans="1:5">
      <c r="A2009" s="1">
        <v>45863</v>
      </c>
      <c r="B2009" t="s">
        <v>58</v>
      </c>
      <c r="C2009" t="s">
        <v>19</v>
      </c>
      <c r="D2009" t="s">
        <v>2671</v>
      </c>
      <c r="E2009">
        <v>1280</v>
      </c>
    </row>
    <row r="2010" spans="1:5">
      <c r="A2010" s="1">
        <v>45863</v>
      </c>
      <c r="B2010" t="s">
        <v>1104</v>
      </c>
      <c r="C2010" t="s">
        <v>19</v>
      </c>
      <c r="D2010" t="s">
        <v>2672</v>
      </c>
      <c r="E2010">
        <v>77543</v>
      </c>
    </row>
    <row r="2011" spans="1:5">
      <c r="A2011" s="1">
        <v>45863</v>
      </c>
      <c r="B2011" t="s">
        <v>1397</v>
      </c>
      <c r="C2011" t="s">
        <v>20</v>
      </c>
      <c r="D2011" t="s">
        <v>2673</v>
      </c>
      <c r="E2011">
        <v>3700</v>
      </c>
    </row>
    <row r="2012" spans="1:5">
      <c r="A2012" s="1">
        <v>45863</v>
      </c>
      <c r="B2012" t="s">
        <v>2651</v>
      </c>
      <c r="C2012" t="s">
        <v>20</v>
      </c>
      <c r="D2012" t="s">
        <v>2674</v>
      </c>
      <c r="E2012">
        <v>60485</v>
      </c>
    </row>
    <row r="2013" spans="1:5">
      <c r="A2013" s="1">
        <v>45863</v>
      </c>
      <c r="B2013" t="s">
        <v>859</v>
      </c>
      <c r="C2013" t="s">
        <v>20</v>
      </c>
      <c r="D2013" t="s">
        <v>2675</v>
      </c>
      <c r="E2013">
        <v>427</v>
      </c>
    </row>
    <row r="2014" spans="1:5">
      <c r="A2014" s="1">
        <v>45863</v>
      </c>
      <c r="B2014" t="s">
        <v>1685</v>
      </c>
      <c r="C2014" t="s">
        <v>20</v>
      </c>
      <c r="D2014" t="s">
        <v>2676</v>
      </c>
      <c r="E2014">
        <v>2310</v>
      </c>
    </row>
    <row r="2015" spans="1:5">
      <c r="A2015" s="1">
        <v>45863</v>
      </c>
      <c r="B2015" t="s">
        <v>50</v>
      </c>
      <c r="C2015" t="s">
        <v>20</v>
      </c>
      <c r="D2015" t="s">
        <v>2677</v>
      </c>
      <c r="E2015">
        <v>19</v>
      </c>
    </row>
    <row r="2016" spans="1:5">
      <c r="A2016" s="1">
        <v>45863</v>
      </c>
      <c r="B2016" t="s">
        <v>2355</v>
      </c>
      <c r="C2016" t="s">
        <v>20</v>
      </c>
      <c r="D2016" t="s">
        <v>2678</v>
      </c>
      <c r="E2016">
        <v>11344</v>
      </c>
    </row>
    <row r="2017" spans="1:5">
      <c r="A2017" s="1">
        <v>45863</v>
      </c>
      <c r="B2017" t="s">
        <v>2679</v>
      </c>
      <c r="C2017" t="s">
        <v>20</v>
      </c>
      <c r="D2017" t="s">
        <v>2680</v>
      </c>
      <c r="E2017">
        <v>3360</v>
      </c>
    </row>
    <row r="2018" spans="1:5">
      <c r="A2018" s="1">
        <v>45863</v>
      </c>
      <c r="B2018" t="s">
        <v>968</v>
      </c>
      <c r="C2018" t="s">
        <v>20</v>
      </c>
      <c r="D2018" t="s">
        <v>2681</v>
      </c>
      <c r="E2018">
        <v>437</v>
      </c>
    </row>
    <row r="2019" spans="1:5">
      <c r="A2019" s="1">
        <v>45863</v>
      </c>
      <c r="B2019" t="s">
        <v>2682</v>
      </c>
      <c r="C2019" t="s">
        <v>20</v>
      </c>
      <c r="D2019" t="s">
        <v>2683</v>
      </c>
      <c r="E2019">
        <v>5340</v>
      </c>
    </row>
    <row r="2020" spans="1:5">
      <c r="A2020" s="1">
        <v>45863</v>
      </c>
      <c r="B2020" t="s">
        <v>2651</v>
      </c>
      <c r="C2020" t="s">
        <v>20</v>
      </c>
      <c r="D2020" t="s">
        <v>2684</v>
      </c>
      <c r="E2020">
        <v>3912</v>
      </c>
    </row>
    <row r="2021" spans="1:5">
      <c r="A2021" s="1">
        <v>45863</v>
      </c>
      <c r="B2021" t="s">
        <v>254</v>
      </c>
      <c r="C2021" t="s">
        <v>20</v>
      </c>
      <c r="D2021" t="s">
        <v>2685</v>
      </c>
      <c r="E2021">
        <v>1840</v>
      </c>
    </row>
    <row r="2022" spans="1:5">
      <c r="A2022" s="1">
        <v>45863</v>
      </c>
      <c r="B2022" t="s">
        <v>1550</v>
      </c>
      <c r="C2022" t="s">
        <v>20</v>
      </c>
      <c r="D2022" t="s">
        <v>2686</v>
      </c>
      <c r="E2022">
        <v>68</v>
      </c>
    </row>
    <row r="2023" spans="1:5">
      <c r="A2023" s="1">
        <v>45863</v>
      </c>
      <c r="B2023" t="s">
        <v>2586</v>
      </c>
      <c r="C2023" t="s">
        <v>20</v>
      </c>
      <c r="D2023" t="s">
        <v>2687</v>
      </c>
      <c r="E2023">
        <v>12775</v>
      </c>
    </row>
    <row r="2024" spans="1:5">
      <c r="A2024" s="1">
        <v>45863</v>
      </c>
      <c r="B2024" t="s">
        <v>83</v>
      </c>
      <c r="C2024" t="s">
        <v>20</v>
      </c>
      <c r="D2024" t="s">
        <v>2688</v>
      </c>
      <c r="E2024">
        <v>1030</v>
      </c>
    </row>
    <row r="2025" spans="1:5">
      <c r="A2025" s="1">
        <v>45863</v>
      </c>
      <c r="B2025" t="s">
        <v>254</v>
      </c>
      <c r="C2025" t="s">
        <v>20</v>
      </c>
      <c r="D2025" t="s">
        <v>2689</v>
      </c>
      <c r="E2025">
        <v>2270</v>
      </c>
    </row>
    <row r="2026" spans="1:5">
      <c r="A2026" s="1">
        <v>45864</v>
      </c>
      <c r="B2026" t="s">
        <v>246</v>
      </c>
      <c r="C2026" t="s">
        <v>19</v>
      </c>
      <c r="D2026" t="s">
        <v>2690</v>
      </c>
      <c r="E2026">
        <v>370</v>
      </c>
    </row>
    <row r="2027" spans="1:5">
      <c r="A2027" s="1">
        <v>45864</v>
      </c>
      <c r="B2027" t="s">
        <v>1104</v>
      </c>
      <c r="C2027" t="s">
        <v>19</v>
      </c>
      <c r="D2027" t="s">
        <v>2691</v>
      </c>
      <c r="E2027">
        <v>83424</v>
      </c>
    </row>
    <row r="2028" spans="1:5">
      <c r="A2028" s="1">
        <v>45864</v>
      </c>
      <c r="B2028" t="s">
        <v>2567</v>
      </c>
      <c r="C2028" t="s">
        <v>20</v>
      </c>
      <c r="D2028" t="s">
        <v>2692</v>
      </c>
      <c r="E2028">
        <v>370</v>
      </c>
    </row>
    <row r="2029" spans="1:5">
      <c r="A2029" s="1">
        <v>45864</v>
      </c>
      <c r="B2029" t="s">
        <v>2693</v>
      </c>
      <c r="C2029" t="s">
        <v>20</v>
      </c>
      <c r="D2029" t="s">
        <v>2694</v>
      </c>
      <c r="E2029">
        <v>370</v>
      </c>
    </row>
    <row r="2030" spans="1:5">
      <c r="A2030" s="1">
        <v>45864</v>
      </c>
      <c r="B2030" t="s">
        <v>1685</v>
      </c>
      <c r="C2030" t="s">
        <v>20</v>
      </c>
      <c r="D2030" t="s">
        <v>2695</v>
      </c>
      <c r="E2030">
        <v>6090</v>
      </c>
    </row>
    <row r="2031" spans="1:5">
      <c r="A2031" s="1">
        <v>45864</v>
      </c>
      <c r="B2031" t="s">
        <v>2696</v>
      </c>
      <c r="C2031" t="s">
        <v>20</v>
      </c>
      <c r="D2031" t="s">
        <v>2697</v>
      </c>
      <c r="E2031">
        <v>18020</v>
      </c>
    </row>
    <row r="2032" spans="1:5">
      <c r="A2032" s="1">
        <v>45864</v>
      </c>
      <c r="B2032" t="s">
        <v>2698</v>
      </c>
      <c r="C2032" t="s">
        <v>20</v>
      </c>
      <c r="D2032" t="s">
        <v>2699</v>
      </c>
      <c r="E2032">
        <v>160</v>
      </c>
    </row>
    <row r="2033" spans="1:5">
      <c r="A2033" s="1">
        <v>45864</v>
      </c>
      <c r="B2033" t="s">
        <v>2059</v>
      </c>
      <c r="C2033" t="s">
        <v>20</v>
      </c>
      <c r="D2033" t="s">
        <v>2700</v>
      </c>
      <c r="E2033">
        <v>976</v>
      </c>
    </row>
    <row r="2034" spans="1:5">
      <c r="A2034" s="1">
        <v>45864</v>
      </c>
      <c r="B2034" t="s">
        <v>50</v>
      </c>
      <c r="C2034" t="s">
        <v>20</v>
      </c>
      <c r="D2034" t="s">
        <v>2701</v>
      </c>
      <c r="E2034">
        <v>12</v>
      </c>
    </row>
    <row r="2035" spans="1:5">
      <c r="A2035" s="1">
        <v>45864</v>
      </c>
      <c r="B2035" t="s">
        <v>2702</v>
      </c>
      <c r="C2035" t="s">
        <v>20</v>
      </c>
      <c r="D2035" t="s">
        <v>2703</v>
      </c>
      <c r="E2035">
        <v>848</v>
      </c>
    </row>
    <row r="2036" spans="1:5">
      <c r="A2036" s="1">
        <v>45864</v>
      </c>
      <c r="B2036" t="s">
        <v>2704</v>
      </c>
      <c r="C2036" t="s">
        <v>20</v>
      </c>
      <c r="D2036" t="s">
        <v>2705</v>
      </c>
      <c r="E2036">
        <v>1486</v>
      </c>
    </row>
    <row r="2037" spans="1:5">
      <c r="A2037" s="1">
        <v>45864</v>
      </c>
      <c r="B2037" t="s">
        <v>100</v>
      </c>
      <c r="C2037" t="s">
        <v>20</v>
      </c>
      <c r="D2037" t="s">
        <v>2706</v>
      </c>
      <c r="E2037">
        <v>130</v>
      </c>
    </row>
    <row r="2038" spans="1:5">
      <c r="A2038" s="1">
        <v>45864</v>
      </c>
      <c r="B2038" t="s">
        <v>2308</v>
      </c>
      <c r="C2038" t="s">
        <v>20</v>
      </c>
      <c r="D2038" t="s">
        <v>2707</v>
      </c>
      <c r="E2038">
        <v>8950</v>
      </c>
    </row>
    <row r="2039" spans="1:5">
      <c r="A2039" s="1">
        <v>45864</v>
      </c>
      <c r="B2039" t="s">
        <v>2708</v>
      </c>
      <c r="C2039" t="s">
        <v>20</v>
      </c>
      <c r="D2039" t="s">
        <v>2709</v>
      </c>
      <c r="E2039">
        <v>3700</v>
      </c>
    </row>
    <row r="2040" spans="1:5">
      <c r="A2040" s="1">
        <v>45864</v>
      </c>
      <c r="B2040" t="s">
        <v>2455</v>
      </c>
      <c r="C2040" t="s">
        <v>20</v>
      </c>
      <c r="D2040" t="s">
        <v>2710</v>
      </c>
      <c r="E2040">
        <v>3700</v>
      </c>
    </row>
    <row r="2041" spans="1:5">
      <c r="A2041" s="1">
        <v>45864</v>
      </c>
      <c r="B2041" t="s">
        <v>1511</v>
      </c>
      <c r="C2041" t="s">
        <v>20</v>
      </c>
      <c r="D2041" t="s">
        <v>2711</v>
      </c>
      <c r="E2041">
        <v>4289</v>
      </c>
    </row>
    <row r="2042" spans="1:5">
      <c r="A2042" s="1">
        <v>45864</v>
      </c>
      <c r="B2042" t="s">
        <v>203</v>
      </c>
      <c r="C2042" t="s">
        <v>20</v>
      </c>
      <c r="D2042" t="s">
        <v>2712</v>
      </c>
      <c r="E2042">
        <v>740</v>
      </c>
    </row>
    <row r="2043" spans="1:5">
      <c r="A2043" s="1">
        <v>45866</v>
      </c>
      <c r="B2043" t="s">
        <v>1049</v>
      </c>
      <c r="C2043" t="s">
        <v>19</v>
      </c>
      <c r="D2043" t="s">
        <v>2713</v>
      </c>
      <c r="E2043">
        <v>7400</v>
      </c>
    </row>
    <row r="2044" spans="1:5">
      <c r="A2044" s="1">
        <v>45866</v>
      </c>
      <c r="B2044" t="s">
        <v>733</v>
      </c>
      <c r="C2044" t="s">
        <v>19</v>
      </c>
      <c r="D2044" t="s">
        <v>2714</v>
      </c>
      <c r="E2044">
        <v>9750</v>
      </c>
    </row>
    <row r="2045" spans="1:5">
      <c r="A2045" s="1">
        <v>45866</v>
      </c>
      <c r="B2045" t="s">
        <v>246</v>
      </c>
      <c r="C2045" t="s">
        <v>19</v>
      </c>
      <c r="D2045" t="s">
        <v>2715</v>
      </c>
      <c r="E2045">
        <v>1847</v>
      </c>
    </row>
    <row r="2046" spans="1:5">
      <c r="A2046" s="1">
        <v>45866</v>
      </c>
      <c r="B2046" t="s">
        <v>2716</v>
      </c>
      <c r="C2046" t="s">
        <v>20</v>
      </c>
      <c r="D2046" t="s">
        <v>2717</v>
      </c>
      <c r="E2046">
        <v>100</v>
      </c>
    </row>
    <row r="2047" spans="1:5">
      <c r="A2047" s="1">
        <v>45866</v>
      </c>
      <c r="B2047" t="s">
        <v>781</v>
      </c>
      <c r="C2047" t="s">
        <v>20</v>
      </c>
      <c r="D2047" t="s">
        <v>2718</v>
      </c>
      <c r="E2047">
        <v>3700</v>
      </c>
    </row>
    <row r="2048" spans="1:5">
      <c r="A2048" s="1">
        <v>45866</v>
      </c>
      <c r="B2048" t="s">
        <v>763</v>
      </c>
      <c r="C2048" t="s">
        <v>20</v>
      </c>
      <c r="D2048" t="s">
        <v>2719</v>
      </c>
      <c r="E2048">
        <v>60816</v>
      </c>
    </row>
    <row r="2049" spans="1:5">
      <c r="A2049" s="1">
        <v>45866</v>
      </c>
      <c r="B2049" t="s">
        <v>1075</v>
      </c>
      <c r="C2049" t="s">
        <v>20</v>
      </c>
      <c r="D2049" t="s">
        <v>2720</v>
      </c>
      <c r="E2049">
        <v>11100</v>
      </c>
    </row>
    <row r="2050" spans="1:5">
      <c r="A2050" s="1">
        <v>45866</v>
      </c>
      <c r="B2050" t="s">
        <v>2645</v>
      </c>
      <c r="C2050" t="s">
        <v>20</v>
      </c>
      <c r="D2050" t="s">
        <v>2721</v>
      </c>
      <c r="E2050">
        <v>106</v>
      </c>
    </row>
    <row r="2051" spans="1:5">
      <c r="A2051" s="1">
        <v>45866</v>
      </c>
      <c r="B2051" t="s">
        <v>35</v>
      </c>
      <c r="C2051" t="s">
        <v>20</v>
      </c>
      <c r="D2051" t="s">
        <v>2722</v>
      </c>
      <c r="E2051">
        <v>40475</v>
      </c>
    </row>
    <row r="2052" spans="1:5">
      <c r="A2052" s="1">
        <v>45866</v>
      </c>
      <c r="B2052" t="s">
        <v>526</v>
      </c>
      <c r="C2052" t="s">
        <v>20</v>
      </c>
      <c r="D2052" t="s">
        <v>2723</v>
      </c>
      <c r="E2052">
        <v>16271</v>
      </c>
    </row>
    <row r="2053" spans="1:5">
      <c r="A2053" s="1">
        <v>45866</v>
      </c>
      <c r="B2053" t="s">
        <v>76</v>
      </c>
      <c r="C2053" t="s">
        <v>20</v>
      </c>
      <c r="D2053" t="s">
        <v>2724</v>
      </c>
      <c r="E2053">
        <v>7900</v>
      </c>
    </row>
    <row r="2054" spans="1:5">
      <c r="A2054" s="1">
        <v>45866</v>
      </c>
      <c r="B2054" t="s">
        <v>2708</v>
      </c>
      <c r="C2054" t="s">
        <v>20</v>
      </c>
      <c r="D2054" t="s">
        <v>2725</v>
      </c>
      <c r="E2054">
        <v>1240</v>
      </c>
    </row>
    <row r="2055" spans="1:5">
      <c r="A2055" s="1">
        <v>45866</v>
      </c>
      <c r="B2055" t="s">
        <v>2726</v>
      </c>
      <c r="C2055" t="s">
        <v>20</v>
      </c>
      <c r="D2055" t="s">
        <v>2727</v>
      </c>
      <c r="E2055">
        <v>28855</v>
      </c>
    </row>
    <row r="2056" spans="1:5">
      <c r="A2056" s="1">
        <v>45866</v>
      </c>
      <c r="B2056" t="s">
        <v>2728</v>
      </c>
      <c r="C2056" t="s">
        <v>20</v>
      </c>
      <c r="D2056" t="s">
        <v>2729</v>
      </c>
      <c r="E2056">
        <v>12621</v>
      </c>
    </row>
    <row r="2057" spans="1:5">
      <c r="A2057" s="1">
        <v>45866</v>
      </c>
      <c r="B2057" t="s">
        <v>2730</v>
      </c>
      <c r="C2057" t="s">
        <v>20</v>
      </c>
      <c r="D2057" t="s">
        <v>2731</v>
      </c>
      <c r="E2057">
        <v>290</v>
      </c>
    </row>
    <row r="2058" spans="1:5">
      <c r="A2058" s="1">
        <v>45866</v>
      </c>
      <c r="B2058" t="s">
        <v>2032</v>
      </c>
      <c r="C2058" t="s">
        <v>20</v>
      </c>
      <c r="D2058" t="s">
        <v>2732</v>
      </c>
      <c r="E2058">
        <v>570</v>
      </c>
    </row>
    <row r="2059" spans="1:5">
      <c r="A2059" s="1">
        <v>45866</v>
      </c>
      <c r="B2059" t="s">
        <v>50</v>
      </c>
      <c r="C2059" t="s">
        <v>20</v>
      </c>
      <c r="D2059" t="s">
        <v>2733</v>
      </c>
      <c r="E2059">
        <v>2963</v>
      </c>
    </row>
    <row r="2060" spans="1:5">
      <c r="A2060" s="1">
        <v>45866</v>
      </c>
      <c r="B2060" t="s">
        <v>2734</v>
      </c>
      <c r="C2060" t="s">
        <v>20</v>
      </c>
      <c r="D2060" t="s">
        <v>2735</v>
      </c>
      <c r="E2060">
        <v>1536</v>
      </c>
    </row>
    <row r="2061" spans="1:5">
      <c r="A2061" s="1">
        <v>45866</v>
      </c>
      <c r="B2061" t="s">
        <v>2736</v>
      </c>
      <c r="C2061" t="s">
        <v>20</v>
      </c>
      <c r="D2061" t="s">
        <v>2737</v>
      </c>
      <c r="E2061">
        <v>6580</v>
      </c>
    </row>
    <row r="2062" spans="1:5">
      <c r="A2062" s="1">
        <v>45866</v>
      </c>
      <c r="B2062" t="s">
        <v>2474</v>
      </c>
      <c r="C2062" t="s">
        <v>20</v>
      </c>
      <c r="D2062" t="s">
        <v>2738</v>
      </c>
      <c r="E2062">
        <v>1850</v>
      </c>
    </row>
    <row r="2063" spans="1:5">
      <c r="A2063" s="1">
        <v>45866</v>
      </c>
      <c r="B2063" t="s">
        <v>2667</v>
      </c>
      <c r="C2063" t="s">
        <v>20</v>
      </c>
      <c r="D2063" t="s">
        <v>2739</v>
      </c>
      <c r="E2063">
        <v>5950</v>
      </c>
    </row>
    <row r="2064" spans="1:5">
      <c r="A2064" s="1">
        <v>45866</v>
      </c>
      <c r="B2064" t="s">
        <v>2645</v>
      </c>
      <c r="C2064" t="s">
        <v>20</v>
      </c>
      <c r="D2064" t="s">
        <v>2740</v>
      </c>
      <c r="E2064">
        <v>46221</v>
      </c>
    </row>
    <row r="2065" spans="1:5">
      <c r="A2065" s="1">
        <v>45866</v>
      </c>
      <c r="B2065" t="s">
        <v>932</v>
      </c>
      <c r="C2065" t="s">
        <v>20</v>
      </c>
      <c r="D2065" t="s">
        <v>2741</v>
      </c>
      <c r="E2065">
        <v>41201</v>
      </c>
    </row>
    <row r="2066" spans="1:5">
      <c r="A2066" s="1">
        <v>45866</v>
      </c>
      <c r="B2066" t="s">
        <v>1892</v>
      </c>
      <c r="C2066" t="s">
        <v>20</v>
      </c>
      <c r="D2066" t="s">
        <v>2742</v>
      </c>
      <c r="E2066">
        <v>7540</v>
      </c>
    </row>
    <row r="2067" spans="1:5">
      <c r="A2067" s="1">
        <v>45867</v>
      </c>
      <c r="B2067" t="s">
        <v>1104</v>
      </c>
      <c r="C2067" t="s">
        <v>19</v>
      </c>
      <c r="D2067" t="s">
        <v>2743</v>
      </c>
      <c r="E2067">
        <v>18810</v>
      </c>
    </row>
    <row r="2068" spans="1:5">
      <c r="A2068" s="1">
        <v>45867</v>
      </c>
      <c r="B2068" t="s">
        <v>927</v>
      </c>
      <c r="C2068" t="s">
        <v>19</v>
      </c>
      <c r="D2068" t="s">
        <v>2744</v>
      </c>
      <c r="E2068">
        <v>18500</v>
      </c>
    </row>
    <row r="2069" spans="1:5">
      <c r="A2069" s="1">
        <v>45867</v>
      </c>
      <c r="B2069" t="s">
        <v>1628</v>
      </c>
      <c r="C2069" t="s">
        <v>19</v>
      </c>
      <c r="D2069" t="s">
        <v>2745</v>
      </c>
      <c r="E2069">
        <v>10500</v>
      </c>
    </row>
    <row r="2070" spans="1:5">
      <c r="A2070" s="1">
        <v>45867</v>
      </c>
      <c r="B2070" t="s">
        <v>2498</v>
      </c>
      <c r="C2070" t="s">
        <v>19</v>
      </c>
      <c r="D2070" t="s">
        <v>2746</v>
      </c>
      <c r="E2070">
        <v>20500</v>
      </c>
    </row>
    <row r="2071" spans="1:5">
      <c r="A2071" s="1">
        <v>45867</v>
      </c>
      <c r="B2071" t="s">
        <v>50</v>
      </c>
      <c r="C2071" t="s">
        <v>20</v>
      </c>
      <c r="D2071" t="s">
        <v>2747</v>
      </c>
      <c r="E2071">
        <v>1070</v>
      </c>
    </row>
    <row r="2072" spans="1:5">
      <c r="A2072" s="1">
        <v>45867</v>
      </c>
      <c r="B2072" t="s">
        <v>197</v>
      </c>
      <c r="C2072" t="s">
        <v>20</v>
      </c>
      <c r="D2072" t="s">
        <v>2748</v>
      </c>
      <c r="E2072">
        <v>370</v>
      </c>
    </row>
    <row r="2073" spans="1:5">
      <c r="A2073" s="1">
        <v>45867</v>
      </c>
      <c r="B2073" t="s">
        <v>2749</v>
      </c>
      <c r="C2073" t="s">
        <v>20</v>
      </c>
      <c r="D2073" t="s">
        <v>2750</v>
      </c>
      <c r="E2073">
        <v>6320</v>
      </c>
    </row>
    <row r="2074" spans="1:5">
      <c r="A2074" s="1">
        <v>45867</v>
      </c>
      <c r="B2074" t="s">
        <v>1397</v>
      </c>
      <c r="C2074" t="s">
        <v>20</v>
      </c>
      <c r="D2074" t="s">
        <v>2751</v>
      </c>
      <c r="E2074">
        <v>187</v>
      </c>
    </row>
    <row r="2075" spans="1:5">
      <c r="A2075" s="1">
        <v>45867</v>
      </c>
      <c r="B2075" t="s">
        <v>254</v>
      </c>
      <c r="C2075" t="s">
        <v>20</v>
      </c>
      <c r="D2075" t="s">
        <v>2752</v>
      </c>
      <c r="E2075">
        <v>370</v>
      </c>
    </row>
    <row r="2076" spans="1:5">
      <c r="A2076" s="1">
        <v>45867</v>
      </c>
      <c r="B2076" t="s">
        <v>709</v>
      </c>
      <c r="C2076" t="s">
        <v>20</v>
      </c>
      <c r="D2076" t="s">
        <v>2753</v>
      </c>
      <c r="E2076">
        <v>42860</v>
      </c>
    </row>
    <row r="2077" spans="1:5">
      <c r="A2077" s="1">
        <v>45867</v>
      </c>
      <c r="B2077" t="s">
        <v>2754</v>
      </c>
      <c r="C2077" t="s">
        <v>20</v>
      </c>
      <c r="D2077" t="s">
        <v>2755</v>
      </c>
      <c r="E2077">
        <v>22600</v>
      </c>
    </row>
    <row r="2078" spans="1:5">
      <c r="A2078" s="1">
        <v>45867</v>
      </c>
      <c r="B2078" t="s">
        <v>2649</v>
      </c>
      <c r="C2078" t="s">
        <v>20</v>
      </c>
      <c r="D2078" t="s">
        <v>2756</v>
      </c>
      <c r="E2078">
        <v>1110</v>
      </c>
    </row>
    <row r="2079" spans="1:5">
      <c r="A2079" s="1">
        <v>45867</v>
      </c>
      <c r="B2079" t="s">
        <v>2634</v>
      </c>
      <c r="C2079" t="s">
        <v>20</v>
      </c>
      <c r="D2079" t="s">
        <v>2757</v>
      </c>
      <c r="E2079">
        <v>33460</v>
      </c>
    </row>
    <row r="2080" spans="1:5">
      <c r="A2080" s="1">
        <v>45867</v>
      </c>
      <c r="B2080" t="s">
        <v>131</v>
      </c>
      <c r="C2080" t="s">
        <v>20</v>
      </c>
      <c r="D2080" t="s">
        <v>2758</v>
      </c>
      <c r="E2080">
        <v>370</v>
      </c>
    </row>
    <row r="2081" spans="1:5">
      <c r="A2081" s="1">
        <v>45867</v>
      </c>
      <c r="B2081" t="s">
        <v>2759</v>
      </c>
      <c r="C2081" t="s">
        <v>20</v>
      </c>
      <c r="D2081" t="s">
        <v>2760</v>
      </c>
      <c r="E2081">
        <v>6312</v>
      </c>
    </row>
    <row r="2082" spans="1:5">
      <c r="A2082" s="1">
        <v>45867</v>
      </c>
      <c r="B2082" t="s">
        <v>1964</v>
      </c>
      <c r="C2082" t="s">
        <v>20</v>
      </c>
      <c r="D2082" t="s">
        <v>2761</v>
      </c>
      <c r="E2082">
        <v>8100</v>
      </c>
    </row>
    <row r="2083" spans="1:5">
      <c r="A2083" s="1">
        <v>45867</v>
      </c>
      <c r="B2083" t="s">
        <v>2762</v>
      </c>
      <c r="C2083" t="s">
        <v>20</v>
      </c>
      <c r="D2083" t="s">
        <v>2763</v>
      </c>
      <c r="E2083">
        <v>43501</v>
      </c>
    </row>
    <row r="2084" spans="1:5">
      <c r="A2084" s="1">
        <v>45867</v>
      </c>
      <c r="B2084" t="s">
        <v>2764</v>
      </c>
      <c r="C2084" t="s">
        <v>20</v>
      </c>
      <c r="D2084" t="s">
        <v>2765</v>
      </c>
      <c r="E2084">
        <v>3580</v>
      </c>
    </row>
    <row r="2085" spans="1:5">
      <c r="A2085" s="1">
        <v>45867</v>
      </c>
      <c r="B2085" t="s">
        <v>197</v>
      </c>
      <c r="C2085" t="s">
        <v>20</v>
      </c>
      <c r="D2085" t="s">
        <v>2766</v>
      </c>
      <c r="E2085">
        <v>370</v>
      </c>
    </row>
    <row r="2086" spans="1:5">
      <c r="A2086" s="1">
        <v>45867</v>
      </c>
      <c r="B2086" t="s">
        <v>76</v>
      </c>
      <c r="C2086" t="s">
        <v>20</v>
      </c>
      <c r="D2086" t="s">
        <v>2767</v>
      </c>
      <c r="E2086">
        <v>2936</v>
      </c>
    </row>
    <row r="2087" spans="1:5">
      <c r="A2087" s="1">
        <v>45867</v>
      </c>
      <c r="B2087" t="s">
        <v>2355</v>
      </c>
      <c r="C2087" t="s">
        <v>20</v>
      </c>
      <c r="D2087" t="s">
        <v>2768</v>
      </c>
      <c r="E2087">
        <v>9740</v>
      </c>
    </row>
    <row r="2088" spans="1:5">
      <c r="A2088" s="1">
        <v>45867</v>
      </c>
      <c r="B2088" t="s">
        <v>2590</v>
      </c>
      <c r="C2088" t="s">
        <v>20</v>
      </c>
      <c r="D2088" t="s">
        <v>2769</v>
      </c>
      <c r="E2088">
        <v>5550</v>
      </c>
    </row>
    <row r="2089" spans="1:5">
      <c r="A2089" s="1">
        <v>45867</v>
      </c>
      <c r="B2089" t="s">
        <v>1377</v>
      </c>
      <c r="C2089" t="s">
        <v>20</v>
      </c>
      <c r="D2089" t="s">
        <v>2770</v>
      </c>
      <c r="E2089">
        <v>1410</v>
      </c>
    </row>
    <row r="2090" spans="1:5">
      <c r="A2090" s="1">
        <v>45867</v>
      </c>
      <c r="B2090" t="s">
        <v>287</v>
      </c>
      <c r="C2090" t="s">
        <v>20</v>
      </c>
      <c r="D2090" t="s">
        <v>2771</v>
      </c>
      <c r="E2090">
        <v>37894</v>
      </c>
    </row>
    <row r="2091" spans="1:5">
      <c r="A2091" s="1">
        <v>45867</v>
      </c>
      <c r="B2091" t="s">
        <v>50</v>
      </c>
      <c r="C2091" t="s">
        <v>20</v>
      </c>
      <c r="D2091" t="s">
        <v>2772</v>
      </c>
      <c r="E2091">
        <v>8</v>
      </c>
    </row>
    <row r="2092" spans="1:5">
      <c r="A2092" s="1">
        <v>45867</v>
      </c>
      <c r="B2092" t="s">
        <v>2773</v>
      </c>
      <c r="C2092" t="s">
        <v>20</v>
      </c>
      <c r="D2092" t="s">
        <v>2774</v>
      </c>
      <c r="E2092">
        <v>39</v>
      </c>
    </row>
    <row r="2093" spans="1:5">
      <c r="A2093" s="1">
        <v>45867</v>
      </c>
      <c r="B2093" t="s">
        <v>2059</v>
      </c>
      <c r="C2093" t="s">
        <v>20</v>
      </c>
      <c r="D2093" t="s">
        <v>2775</v>
      </c>
      <c r="E2093">
        <v>4260</v>
      </c>
    </row>
    <row r="2094" spans="1:5">
      <c r="A2094" s="1">
        <v>45867</v>
      </c>
      <c r="B2094" t="s">
        <v>2776</v>
      </c>
      <c r="C2094" t="s">
        <v>20</v>
      </c>
      <c r="D2094" t="s">
        <v>2777</v>
      </c>
      <c r="E2094">
        <v>50</v>
      </c>
    </row>
    <row r="2095" spans="1:5">
      <c r="A2095" s="1">
        <v>45867</v>
      </c>
      <c r="B2095" t="s">
        <v>52</v>
      </c>
      <c r="C2095" t="s">
        <v>20</v>
      </c>
      <c r="D2095" t="s">
        <v>2778</v>
      </c>
      <c r="E2095">
        <v>390</v>
      </c>
    </row>
    <row r="2096" spans="1:5">
      <c r="A2096" s="1">
        <v>45868</v>
      </c>
      <c r="B2096" t="s">
        <v>180</v>
      </c>
      <c r="C2096" t="s">
        <v>19</v>
      </c>
      <c r="D2096" t="s">
        <v>2779</v>
      </c>
      <c r="E2096">
        <v>2550</v>
      </c>
    </row>
    <row r="2097" spans="1:5">
      <c r="A2097" s="1">
        <v>45868</v>
      </c>
      <c r="B2097" t="s">
        <v>2780</v>
      </c>
      <c r="C2097" t="s">
        <v>19</v>
      </c>
      <c r="D2097" t="s">
        <v>2781</v>
      </c>
      <c r="E2097">
        <v>39102</v>
      </c>
    </row>
    <row r="2098" spans="1:5">
      <c r="A2098" s="1">
        <v>45868</v>
      </c>
      <c r="B2098" t="s">
        <v>2782</v>
      </c>
      <c r="C2098" t="s">
        <v>19</v>
      </c>
      <c r="D2098" t="s">
        <v>2783</v>
      </c>
      <c r="E2098">
        <v>81147</v>
      </c>
    </row>
    <row r="2099" spans="1:5">
      <c r="A2099" s="1">
        <v>45868</v>
      </c>
      <c r="B2099" t="s">
        <v>222</v>
      </c>
      <c r="C2099" t="s">
        <v>20</v>
      </c>
      <c r="D2099" t="s">
        <v>2784</v>
      </c>
      <c r="E2099">
        <v>3600</v>
      </c>
    </row>
    <row r="2100" spans="1:5">
      <c r="A2100" s="1">
        <v>45868</v>
      </c>
      <c r="B2100" t="s">
        <v>100</v>
      </c>
      <c r="C2100" t="s">
        <v>20</v>
      </c>
      <c r="D2100" t="s">
        <v>2785</v>
      </c>
      <c r="E2100">
        <v>11366</v>
      </c>
    </row>
    <row r="2101" spans="1:5">
      <c r="A2101" s="1">
        <v>45868</v>
      </c>
      <c r="B2101" t="s">
        <v>2786</v>
      </c>
      <c r="C2101" t="s">
        <v>20</v>
      </c>
      <c r="D2101" t="s">
        <v>2787</v>
      </c>
      <c r="E2101">
        <v>19582</v>
      </c>
    </row>
    <row r="2102" spans="1:5">
      <c r="A2102" s="1">
        <v>45868</v>
      </c>
      <c r="B2102" t="s">
        <v>844</v>
      </c>
      <c r="C2102" t="s">
        <v>20</v>
      </c>
      <c r="D2102" t="s">
        <v>2788</v>
      </c>
      <c r="E2102">
        <v>1153</v>
      </c>
    </row>
    <row r="2103" spans="1:5">
      <c r="A2103" s="1">
        <v>45868</v>
      </c>
      <c r="B2103" t="s">
        <v>35</v>
      </c>
      <c r="C2103" t="s">
        <v>20</v>
      </c>
      <c r="D2103" t="s">
        <v>2789</v>
      </c>
      <c r="E2103">
        <v>5723</v>
      </c>
    </row>
    <row r="2104" spans="1:5">
      <c r="A2104" s="1">
        <v>45868</v>
      </c>
      <c r="B2104" t="s">
        <v>460</v>
      </c>
      <c r="C2104" t="s">
        <v>20</v>
      </c>
      <c r="D2104" t="s">
        <v>2790</v>
      </c>
      <c r="E2104">
        <v>1110</v>
      </c>
    </row>
    <row r="2105" spans="1:5">
      <c r="A2105" s="1">
        <v>45868</v>
      </c>
      <c r="B2105" t="s">
        <v>2791</v>
      </c>
      <c r="C2105" t="s">
        <v>20</v>
      </c>
      <c r="D2105" t="s">
        <v>2792</v>
      </c>
      <c r="E2105">
        <v>12812</v>
      </c>
    </row>
    <row r="2106" spans="1:5">
      <c r="A2106" s="1">
        <v>45868</v>
      </c>
      <c r="B2106" t="s">
        <v>2410</v>
      </c>
      <c r="C2106" t="s">
        <v>20</v>
      </c>
      <c r="D2106" t="s">
        <v>2793</v>
      </c>
      <c r="E2106">
        <v>300</v>
      </c>
    </row>
    <row r="2107" spans="1:5">
      <c r="A2107" s="1">
        <v>45868</v>
      </c>
      <c r="B2107" t="s">
        <v>802</v>
      </c>
      <c r="C2107" t="s">
        <v>20</v>
      </c>
      <c r="D2107" t="s">
        <v>2794</v>
      </c>
      <c r="E2107">
        <v>1850</v>
      </c>
    </row>
    <row r="2108" spans="1:5">
      <c r="A2108" s="1">
        <v>45868</v>
      </c>
      <c r="B2108" t="s">
        <v>2795</v>
      </c>
      <c r="C2108" t="s">
        <v>20</v>
      </c>
      <c r="D2108" t="s">
        <v>2796</v>
      </c>
      <c r="E2108">
        <v>7397</v>
      </c>
    </row>
    <row r="2109" spans="1:5">
      <c r="A2109" s="1">
        <v>45868</v>
      </c>
      <c r="B2109" t="s">
        <v>2795</v>
      </c>
      <c r="C2109" t="s">
        <v>20</v>
      </c>
      <c r="D2109" t="s">
        <v>2797</v>
      </c>
      <c r="E2109">
        <v>12470</v>
      </c>
    </row>
    <row r="2110" spans="1:5">
      <c r="A2110" s="1">
        <v>45868</v>
      </c>
      <c r="B2110" t="s">
        <v>50</v>
      </c>
      <c r="C2110" t="s">
        <v>20</v>
      </c>
      <c r="D2110" t="s">
        <v>2798</v>
      </c>
      <c r="E2110">
        <v>12</v>
      </c>
    </row>
    <row r="2111" spans="1:5">
      <c r="A2111" s="1">
        <v>45868</v>
      </c>
      <c r="B2111" t="s">
        <v>412</v>
      </c>
      <c r="C2111" t="s">
        <v>20</v>
      </c>
      <c r="D2111" t="s">
        <v>2799</v>
      </c>
      <c r="E2111">
        <v>15151</v>
      </c>
    </row>
    <row r="2112" spans="1:5">
      <c r="A2112" s="1">
        <v>45868</v>
      </c>
      <c r="B2112" t="s">
        <v>197</v>
      </c>
      <c r="C2112" t="s">
        <v>20</v>
      </c>
      <c r="D2112" t="s">
        <v>2800</v>
      </c>
      <c r="E2112">
        <v>370</v>
      </c>
    </row>
    <row r="2113" spans="1:5">
      <c r="A2113" s="1">
        <v>45868</v>
      </c>
      <c r="B2113" t="s">
        <v>76</v>
      </c>
      <c r="C2113" t="s">
        <v>20</v>
      </c>
      <c r="D2113" t="s">
        <v>2801</v>
      </c>
      <c r="E2113">
        <v>4738</v>
      </c>
    </row>
    <row r="2114" spans="1:5">
      <c r="A2114" s="1">
        <v>45868</v>
      </c>
      <c r="B2114" t="s">
        <v>2802</v>
      </c>
      <c r="C2114" t="s">
        <v>20</v>
      </c>
      <c r="D2114" t="s">
        <v>2803</v>
      </c>
      <c r="E2114">
        <v>21266</v>
      </c>
    </row>
    <row r="2115" spans="1:5">
      <c r="A2115" s="1">
        <v>45868</v>
      </c>
      <c r="B2115" t="s">
        <v>2804</v>
      </c>
      <c r="C2115" t="s">
        <v>20</v>
      </c>
      <c r="D2115" t="s">
        <v>2805</v>
      </c>
      <c r="E2115">
        <v>14193</v>
      </c>
    </row>
    <row r="2116" spans="1:5">
      <c r="A2116" s="1">
        <v>45868</v>
      </c>
      <c r="B2116" t="s">
        <v>932</v>
      </c>
      <c r="C2116" t="s">
        <v>20</v>
      </c>
      <c r="D2116" t="s">
        <v>2806</v>
      </c>
      <c r="E2116">
        <v>5370</v>
      </c>
    </row>
    <row r="2117" spans="1:5">
      <c r="A2117" s="1">
        <v>45868</v>
      </c>
      <c r="B2117" t="s">
        <v>197</v>
      </c>
      <c r="C2117" t="s">
        <v>20</v>
      </c>
      <c r="D2117" t="s">
        <v>2807</v>
      </c>
      <c r="E2117">
        <v>740</v>
      </c>
    </row>
    <row r="2118" spans="1:5">
      <c r="A2118" s="1">
        <v>45868</v>
      </c>
      <c r="B2118" t="s">
        <v>2455</v>
      </c>
      <c r="C2118" t="s">
        <v>20</v>
      </c>
      <c r="D2118" t="s">
        <v>2808</v>
      </c>
      <c r="E2118">
        <v>370</v>
      </c>
    </row>
    <row r="2119" spans="1:5">
      <c r="A2119" s="1">
        <v>45868</v>
      </c>
      <c r="B2119" t="s">
        <v>681</v>
      </c>
      <c r="C2119" t="s">
        <v>20</v>
      </c>
      <c r="D2119" t="s">
        <v>2809</v>
      </c>
      <c r="E2119">
        <v>648</v>
      </c>
    </row>
    <row r="2120" spans="1:5">
      <c r="A2120" s="1">
        <v>45868</v>
      </c>
      <c r="B2120" t="s">
        <v>2810</v>
      </c>
      <c r="C2120" t="s">
        <v>20</v>
      </c>
      <c r="D2120" t="s">
        <v>2811</v>
      </c>
      <c r="E2120">
        <v>50</v>
      </c>
    </row>
    <row r="2121" spans="1:5">
      <c r="A2121" s="1">
        <v>45869</v>
      </c>
      <c r="B2121" t="s">
        <v>246</v>
      </c>
      <c r="C2121" t="s">
        <v>19</v>
      </c>
      <c r="D2121" t="s">
        <v>2812</v>
      </c>
      <c r="E2121">
        <v>2330</v>
      </c>
    </row>
    <row r="2122" spans="1:5">
      <c r="A2122" s="1">
        <v>45869</v>
      </c>
      <c r="B2122" t="s">
        <v>2782</v>
      </c>
      <c r="C2122" t="s">
        <v>19</v>
      </c>
      <c r="D2122" t="s">
        <v>2813</v>
      </c>
      <c r="E2122">
        <v>96460</v>
      </c>
    </row>
    <row r="2123" spans="1:5">
      <c r="A2123" s="1">
        <v>45869</v>
      </c>
      <c r="B2123" t="s">
        <v>89</v>
      </c>
      <c r="C2123" t="s">
        <v>20</v>
      </c>
      <c r="D2123" t="s">
        <v>2814</v>
      </c>
      <c r="E2123">
        <v>740</v>
      </c>
    </row>
    <row r="2124" spans="1:5">
      <c r="A2124" s="1">
        <v>45869</v>
      </c>
      <c r="B2124" t="s">
        <v>2815</v>
      </c>
      <c r="C2124" t="s">
        <v>20</v>
      </c>
      <c r="D2124" t="s">
        <v>2816</v>
      </c>
      <c r="E2124">
        <v>1994</v>
      </c>
    </row>
    <row r="2125" spans="1:5">
      <c r="A2125" s="1">
        <v>45869</v>
      </c>
      <c r="B2125" t="s">
        <v>739</v>
      </c>
      <c r="C2125" t="s">
        <v>20</v>
      </c>
      <c r="D2125" t="s">
        <v>2817</v>
      </c>
      <c r="E2125">
        <v>28522</v>
      </c>
    </row>
    <row r="2126" spans="1:5">
      <c r="A2126" s="1">
        <v>45869</v>
      </c>
      <c r="B2126" t="s">
        <v>100</v>
      </c>
      <c r="C2126" t="s">
        <v>20</v>
      </c>
      <c r="D2126" t="s">
        <v>2818</v>
      </c>
      <c r="E2126">
        <v>14162</v>
      </c>
    </row>
    <row r="2127" spans="1:5">
      <c r="A2127" s="1">
        <v>45869</v>
      </c>
      <c r="B2127" t="s">
        <v>1666</v>
      </c>
      <c r="C2127" t="s">
        <v>20</v>
      </c>
      <c r="D2127" t="s">
        <v>2819</v>
      </c>
      <c r="E2127">
        <v>9250</v>
      </c>
    </row>
    <row r="2128" spans="1:5">
      <c r="A2128" s="1">
        <v>45869</v>
      </c>
      <c r="B2128" t="s">
        <v>2233</v>
      </c>
      <c r="C2128" t="s">
        <v>20</v>
      </c>
      <c r="D2128" t="s">
        <v>2820</v>
      </c>
      <c r="E2128">
        <v>35810</v>
      </c>
    </row>
    <row r="2129" spans="1:5">
      <c r="A2129" s="1">
        <v>45869</v>
      </c>
      <c r="B2129" t="s">
        <v>76</v>
      </c>
      <c r="C2129" t="s">
        <v>20</v>
      </c>
      <c r="D2129" t="s">
        <v>2821</v>
      </c>
      <c r="E2129">
        <v>69</v>
      </c>
    </row>
    <row r="2130" spans="1:5">
      <c r="A2130" s="1">
        <v>45869</v>
      </c>
      <c r="B2130" t="s">
        <v>50</v>
      </c>
      <c r="C2130" t="s">
        <v>20</v>
      </c>
      <c r="D2130" t="s">
        <v>2822</v>
      </c>
      <c r="E2130">
        <v>1210</v>
      </c>
    </row>
    <row r="2131" spans="1:5">
      <c r="A2131" s="1">
        <v>45869</v>
      </c>
      <c r="B2131" t="s">
        <v>709</v>
      </c>
      <c r="C2131" t="s">
        <v>20</v>
      </c>
      <c r="D2131" t="s">
        <v>2823</v>
      </c>
      <c r="E2131">
        <v>3518</v>
      </c>
    </row>
    <row r="2132" spans="1:5">
      <c r="A2132" s="1">
        <v>45869</v>
      </c>
      <c r="B2132" t="s">
        <v>193</v>
      </c>
      <c r="C2132" t="s">
        <v>20</v>
      </c>
      <c r="D2132" t="s">
        <v>2824</v>
      </c>
      <c r="E2132">
        <v>17020</v>
      </c>
    </row>
    <row r="2133" spans="1:5">
      <c r="A2133" s="1">
        <v>45869</v>
      </c>
      <c r="B2133" t="s">
        <v>2474</v>
      </c>
      <c r="C2133" t="s">
        <v>20</v>
      </c>
      <c r="D2133" t="s">
        <v>2825</v>
      </c>
      <c r="E2133">
        <v>1850</v>
      </c>
    </row>
    <row r="2134" spans="1:5">
      <c r="A2134" s="1">
        <v>45870</v>
      </c>
      <c r="B2134" t="s">
        <v>1049</v>
      </c>
      <c r="C2134" t="s">
        <v>19</v>
      </c>
      <c r="D2134" t="s">
        <v>2826</v>
      </c>
      <c r="E2134">
        <v>15990</v>
      </c>
    </row>
    <row r="2135" spans="1:5">
      <c r="A2135" s="1">
        <v>45870</v>
      </c>
      <c r="B2135" t="s">
        <v>180</v>
      </c>
      <c r="C2135" t="s">
        <v>19</v>
      </c>
      <c r="D2135" t="s">
        <v>2827</v>
      </c>
      <c r="E2135">
        <v>4701</v>
      </c>
    </row>
    <row r="2136" spans="1:5">
      <c r="A2136" s="1">
        <v>45870</v>
      </c>
      <c r="B2136" t="s">
        <v>60</v>
      </c>
      <c r="C2136" t="s">
        <v>19</v>
      </c>
      <c r="D2136" t="s">
        <v>2828</v>
      </c>
      <c r="E2136">
        <v>14800</v>
      </c>
    </row>
    <row r="2137" spans="1:5">
      <c r="A2137" s="1">
        <v>45870</v>
      </c>
      <c r="B2137" t="s">
        <v>2829</v>
      </c>
      <c r="C2137" t="s">
        <v>20</v>
      </c>
      <c r="D2137" t="s">
        <v>2830</v>
      </c>
      <c r="E2137">
        <v>4303</v>
      </c>
    </row>
    <row r="2138" spans="1:5">
      <c r="A2138" s="1">
        <v>45870</v>
      </c>
      <c r="B2138" t="s">
        <v>2590</v>
      </c>
      <c r="C2138" t="s">
        <v>20</v>
      </c>
      <c r="D2138" t="s">
        <v>2831</v>
      </c>
      <c r="E2138">
        <v>7767</v>
      </c>
    </row>
    <row r="2139" spans="1:5">
      <c r="A2139" s="1">
        <v>45870</v>
      </c>
      <c r="B2139" t="s">
        <v>2059</v>
      </c>
      <c r="C2139" t="s">
        <v>20</v>
      </c>
      <c r="D2139" t="s">
        <v>2832</v>
      </c>
      <c r="E2139">
        <v>1110</v>
      </c>
    </row>
    <row r="2140" spans="1:5">
      <c r="A2140" s="1">
        <v>45870</v>
      </c>
      <c r="B2140" t="s">
        <v>1275</v>
      </c>
      <c r="C2140" t="s">
        <v>20</v>
      </c>
      <c r="D2140" t="s">
        <v>2833</v>
      </c>
      <c r="E2140">
        <v>15043</v>
      </c>
    </row>
    <row r="2141" spans="1:5">
      <c r="A2141" s="1">
        <v>45870</v>
      </c>
      <c r="B2141" t="s">
        <v>844</v>
      </c>
      <c r="C2141" t="s">
        <v>20</v>
      </c>
      <c r="D2141" t="s">
        <v>2834</v>
      </c>
      <c r="E2141">
        <v>714</v>
      </c>
    </row>
    <row r="2142" spans="1:5">
      <c r="A2142" s="1">
        <v>45870</v>
      </c>
      <c r="B2142" t="s">
        <v>932</v>
      </c>
      <c r="C2142" t="s">
        <v>20</v>
      </c>
      <c r="D2142" t="s">
        <v>2835</v>
      </c>
      <c r="E2142">
        <v>7400</v>
      </c>
    </row>
    <row r="2143" spans="1:5">
      <c r="A2143" s="1">
        <v>45870</v>
      </c>
      <c r="B2143" t="s">
        <v>76</v>
      </c>
      <c r="C2143" t="s">
        <v>20</v>
      </c>
      <c r="D2143" t="s">
        <v>2836</v>
      </c>
      <c r="E2143">
        <v>1560</v>
      </c>
    </row>
    <row r="2144" spans="1:5">
      <c r="A2144" s="1">
        <v>45870</v>
      </c>
      <c r="B2144" t="s">
        <v>802</v>
      </c>
      <c r="C2144" t="s">
        <v>20</v>
      </c>
      <c r="D2144" t="s">
        <v>2837</v>
      </c>
      <c r="E2144">
        <v>1850</v>
      </c>
    </row>
    <row r="2145" spans="1:5">
      <c r="A2145" s="1">
        <v>45870</v>
      </c>
      <c r="B2145" t="s">
        <v>2603</v>
      </c>
      <c r="C2145" t="s">
        <v>20</v>
      </c>
      <c r="D2145" t="s">
        <v>2838</v>
      </c>
      <c r="E2145">
        <v>30055</v>
      </c>
    </row>
    <row r="2146" spans="1:5">
      <c r="A2146" s="1">
        <v>45870</v>
      </c>
      <c r="B2146" t="s">
        <v>856</v>
      </c>
      <c r="C2146" t="s">
        <v>20</v>
      </c>
      <c r="D2146" t="s">
        <v>2839</v>
      </c>
      <c r="E2146">
        <v>18114</v>
      </c>
    </row>
    <row r="2147" spans="1:5">
      <c r="A2147" s="1">
        <v>45870</v>
      </c>
      <c r="B2147" t="s">
        <v>2840</v>
      </c>
      <c r="C2147" t="s">
        <v>20</v>
      </c>
      <c r="D2147" t="s">
        <v>2841</v>
      </c>
      <c r="E2147">
        <v>7455</v>
      </c>
    </row>
    <row r="2148" spans="1:5">
      <c r="A2148" s="1">
        <v>45870</v>
      </c>
      <c r="B2148" t="s">
        <v>2455</v>
      </c>
      <c r="C2148" t="s">
        <v>20</v>
      </c>
      <c r="D2148" t="s">
        <v>2842</v>
      </c>
      <c r="E2148">
        <v>370</v>
      </c>
    </row>
    <row r="2149" spans="1:5">
      <c r="A2149" s="1">
        <v>45870</v>
      </c>
      <c r="B2149" t="s">
        <v>1173</v>
      </c>
      <c r="C2149" t="s">
        <v>20</v>
      </c>
      <c r="D2149" t="s">
        <v>2843</v>
      </c>
      <c r="E2149">
        <v>7795</v>
      </c>
    </row>
    <row r="2150" spans="1:5">
      <c r="A2150" s="1">
        <v>45870</v>
      </c>
      <c r="B2150" t="s">
        <v>706</v>
      </c>
      <c r="C2150" t="s">
        <v>20</v>
      </c>
      <c r="D2150" t="s">
        <v>2844</v>
      </c>
      <c r="E2150">
        <v>1734</v>
      </c>
    </row>
    <row r="2151" spans="1:5">
      <c r="A2151" s="1">
        <v>45870</v>
      </c>
      <c r="B2151" t="s">
        <v>1397</v>
      </c>
      <c r="C2151" t="s">
        <v>20</v>
      </c>
      <c r="D2151" t="s">
        <v>2845</v>
      </c>
      <c r="E2151">
        <v>3086</v>
      </c>
    </row>
    <row r="2152" spans="1:5">
      <c r="A2152" s="1">
        <v>45870</v>
      </c>
      <c r="B2152" t="s">
        <v>35</v>
      </c>
      <c r="C2152" t="s">
        <v>20</v>
      </c>
      <c r="D2152" t="s">
        <v>2846</v>
      </c>
      <c r="E2152">
        <v>2510</v>
      </c>
    </row>
    <row r="2153" spans="1:5">
      <c r="A2153" s="1">
        <v>45870</v>
      </c>
      <c r="B2153" t="s">
        <v>50</v>
      </c>
      <c r="C2153" t="s">
        <v>20</v>
      </c>
      <c r="D2153" t="s">
        <v>2847</v>
      </c>
      <c r="E2153">
        <v>4945</v>
      </c>
    </row>
    <row r="2154" spans="1:5">
      <c r="A2154" s="1">
        <v>45870</v>
      </c>
      <c r="B2154" t="s">
        <v>2848</v>
      </c>
      <c r="C2154" t="s">
        <v>20</v>
      </c>
      <c r="D2154" t="s">
        <v>2849</v>
      </c>
      <c r="E2154">
        <v>5216</v>
      </c>
    </row>
    <row r="2155" spans="1:5">
      <c r="A2155" s="1">
        <v>45870</v>
      </c>
      <c r="B2155" t="s">
        <v>563</v>
      </c>
      <c r="C2155" t="s">
        <v>20</v>
      </c>
      <c r="D2155" t="s">
        <v>2850</v>
      </c>
      <c r="E2155">
        <v>260</v>
      </c>
    </row>
    <row r="2156" spans="1:5">
      <c r="A2156" s="1">
        <v>45871</v>
      </c>
      <c r="B2156" t="s">
        <v>2851</v>
      </c>
      <c r="C2156" t="s">
        <v>19</v>
      </c>
      <c r="D2156" t="s">
        <v>2852</v>
      </c>
      <c r="E2156">
        <v>3010</v>
      </c>
    </row>
    <row r="2157" spans="1:5">
      <c r="A2157" s="1">
        <v>45871</v>
      </c>
      <c r="B2157" t="s">
        <v>1049</v>
      </c>
      <c r="C2157" t="s">
        <v>19</v>
      </c>
      <c r="D2157" t="s">
        <v>2853</v>
      </c>
      <c r="E2157">
        <v>7400</v>
      </c>
    </row>
    <row r="2158" spans="1:5">
      <c r="A2158" s="1">
        <v>45871</v>
      </c>
      <c r="B2158" t="s">
        <v>2854</v>
      </c>
      <c r="C2158" t="s">
        <v>19</v>
      </c>
      <c r="D2158" t="s">
        <v>2855</v>
      </c>
      <c r="E2158">
        <v>48224</v>
      </c>
    </row>
    <row r="2159" spans="1:5">
      <c r="A2159" s="1">
        <v>45871</v>
      </c>
      <c r="B2159" t="s">
        <v>1104</v>
      </c>
      <c r="C2159" t="s">
        <v>19</v>
      </c>
      <c r="D2159" t="s">
        <v>2856</v>
      </c>
      <c r="E2159">
        <v>2000</v>
      </c>
    </row>
    <row r="2160" spans="1:5">
      <c r="A2160" s="1">
        <v>45871</v>
      </c>
      <c r="B2160" t="s">
        <v>2780</v>
      </c>
      <c r="C2160" t="s">
        <v>19</v>
      </c>
      <c r="D2160" t="s">
        <v>2857</v>
      </c>
      <c r="E2160">
        <v>12722</v>
      </c>
    </row>
    <row r="2161" spans="1:5">
      <c r="A2161" s="1">
        <v>45871</v>
      </c>
      <c r="B2161" t="s">
        <v>50</v>
      </c>
      <c r="C2161" t="s">
        <v>20</v>
      </c>
      <c r="D2161" t="s">
        <v>2858</v>
      </c>
      <c r="E2161">
        <v>12</v>
      </c>
    </row>
    <row r="2162" spans="1:5">
      <c r="A2162" s="1">
        <v>45871</v>
      </c>
      <c r="B2162" t="s">
        <v>1892</v>
      </c>
      <c r="C2162" t="s">
        <v>20</v>
      </c>
      <c r="D2162" t="s">
        <v>2859</v>
      </c>
      <c r="E2162">
        <v>740</v>
      </c>
    </row>
    <row r="2163" spans="1:5">
      <c r="A2163" s="1">
        <v>45871</v>
      </c>
      <c r="B2163" t="s">
        <v>2603</v>
      </c>
      <c r="C2163" t="s">
        <v>20</v>
      </c>
      <c r="D2163" t="s">
        <v>2860</v>
      </c>
      <c r="E2163">
        <v>3210</v>
      </c>
    </row>
    <row r="2164" spans="1:5">
      <c r="A2164" s="1">
        <v>45871</v>
      </c>
      <c r="B2164" t="s">
        <v>100</v>
      </c>
      <c r="C2164" t="s">
        <v>20</v>
      </c>
      <c r="D2164" t="s">
        <v>2861</v>
      </c>
      <c r="E2164">
        <v>1274</v>
      </c>
    </row>
    <row r="2165" spans="1:5">
      <c r="A2165" s="1">
        <v>45871</v>
      </c>
      <c r="B2165" t="s">
        <v>2862</v>
      </c>
      <c r="C2165" t="s">
        <v>20</v>
      </c>
      <c r="D2165" t="s">
        <v>2863</v>
      </c>
      <c r="E2165">
        <v>17130</v>
      </c>
    </row>
    <row r="2166" spans="1:5">
      <c r="A2166" s="1">
        <v>45871</v>
      </c>
      <c r="B2166" t="s">
        <v>526</v>
      </c>
      <c r="C2166" t="s">
        <v>20</v>
      </c>
      <c r="D2166" t="s">
        <v>2864</v>
      </c>
      <c r="E2166">
        <v>3666</v>
      </c>
    </row>
    <row r="2167" spans="1:5">
      <c r="A2167" s="1">
        <v>45871</v>
      </c>
      <c r="B2167" t="s">
        <v>1397</v>
      </c>
      <c r="C2167" t="s">
        <v>20</v>
      </c>
      <c r="D2167" t="s">
        <v>2865</v>
      </c>
      <c r="E2167">
        <v>13302</v>
      </c>
    </row>
    <row r="2168" spans="1:5">
      <c r="A2168" s="1">
        <v>45871</v>
      </c>
      <c r="B2168" t="s">
        <v>1196</v>
      </c>
      <c r="C2168" t="s">
        <v>20</v>
      </c>
      <c r="D2168" t="s">
        <v>2866</v>
      </c>
      <c r="E2168">
        <v>20</v>
      </c>
    </row>
    <row r="2169" spans="1:5">
      <c r="A2169" s="1">
        <v>45871</v>
      </c>
      <c r="B2169" t="s">
        <v>932</v>
      </c>
      <c r="C2169" t="s">
        <v>20</v>
      </c>
      <c r="D2169" t="s">
        <v>2867</v>
      </c>
      <c r="E2169">
        <v>3700</v>
      </c>
    </row>
    <row r="2170" spans="1:5">
      <c r="A2170" s="1">
        <v>45871</v>
      </c>
      <c r="B2170" t="s">
        <v>1275</v>
      </c>
      <c r="C2170" t="s">
        <v>20</v>
      </c>
      <c r="D2170" t="s">
        <v>2868</v>
      </c>
      <c r="E2170">
        <v>21090</v>
      </c>
    </row>
    <row r="2171" spans="1:5">
      <c r="A2171" s="1">
        <v>45871</v>
      </c>
      <c r="B2171" t="s">
        <v>76</v>
      </c>
      <c r="C2171" t="s">
        <v>20</v>
      </c>
      <c r="D2171" t="s">
        <v>2869</v>
      </c>
      <c r="E2171">
        <v>14551</v>
      </c>
    </row>
    <row r="2172" spans="1:5">
      <c r="A2172" s="1">
        <v>45871</v>
      </c>
      <c r="B2172" t="s">
        <v>2233</v>
      </c>
      <c r="C2172" t="s">
        <v>20</v>
      </c>
      <c r="D2172" t="s">
        <v>2870</v>
      </c>
      <c r="E2172">
        <v>33182</v>
      </c>
    </row>
    <row r="2173" spans="1:5">
      <c r="A2173" s="1">
        <v>45871</v>
      </c>
      <c r="B2173" t="s">
        <v>1173</v>
      </c>
      <c r="C2173" t="s">
        <v>20</v>
      </c>
      <c r="D2173" t="s">
        <v>2871</v>
      </c>
      <c r="E2173">
        <v>705</v>
      </c>
    </row>
    <row r="2174" spans="1:5">
      <c r="A2174" s="1">
        <v>45871</v>
      </c>
      <c r="B2174" t="s">
        <v>2862</v>
      </c>
      <c r="C2174" t="s">
        <v>20</v>
      </c>
      <c r="D2174" t="s">
        <v>2872</v>
      </c>
      <c r="E2174">
        <v>2907</v>
      </c>
    </row>
    <row r="2175" spans="1:5">
      <c r="A2175" s="1">
        <v>45871</v>
      </c>
      <c r="B2175" t="s">
        <v>2848</v>
      </c>
      <c r="C2175" t="s">
        <v>20</v>
      </c>
      <c r="D2175" t="s">
        <v>2873</v>
      </c>
      <c r="E2175">
        <v>962</v>
      </c>
    </row>
    <row r="2176" spans="1:5">
      <c r="A2176" s="1">
        <v>45871</v>
      </c>
      <c r="B2176" t="s">
        <v>50</v>
      </c>
      <c r="C2176" t="s">
        <v>20</v>
      </c>
      <c r="D2176" t="s">
        <v>2874</v>
      </c>
      <c r="E2176">
        <v>370</v>
      </c>
    </row>
    <row r="2177" spans="1:5">
      <c r="A2177" s="1">
        <v>45871</v>
      </c>
      <c r="B2177" t="s">
        <v>856</v>
      </c>
      <c r="C2177" t="s">
        <v>20</v>
      </c>
      <c r="D2177" t="s">
        <v>2875</v>
      </c>
      <c r="E2177">
        <v>4228</v>
      </c>
    </row>
    <row r="2178" spans="1:5">
      <c r="A2178" s="1">
        <v>45871</v>
      </c>
      <c r="B2178" t="s">
        <v>1350</v>
      </c>
      <c r="C2178" t="s">
        <v>20</v>
      </c>
      <c r="D2178" t="s">
        <v>2876</v>
      </c>
      <c r="E2178">
        <v>323</v>
      </c>
    </row>
    <row r="2179" spans="1:5">
      <c r="A2179" s="1">
        <v>45871</v>
      </c>
      <c r="B2179" t="s">
        <v>43</v>
      </c>
      <c r="C2179" t="s">
        <v>20</v>
      </c>
      <c r="D2179" t="s">
        <v>2877</v>
      </c>
      <c r="E2179">
        <v>3160</v>
      </c>
    </row>
    <row r="2180" spans="1:5">
      <c r="A2180" s="1">
        <v>45871</v>
      </c>
      <c r="B2180" t="s">
        <v>1631</v>
      </c>
      <c r="C2180" t="s">
        <v>20</v>
      </c>
      <c r="D2180" t="s">
        <v>2878</v>
      </c>
      <c r="E2180">
        <v>370</v>
      </c>
    </row>
    <row r="2181" spans="1:5">
      <c r="A2181" s="1">
        <v>45871</v>
      </c>
      <c r="B2181" t="s">
        <v>2879</v>
      </c>
      <c r="C2181" t="s">
        <v>20</v>
      </c>
      <c r="D2181" t="s">
        <v>2880</v>
      </c>
      <c r="E2181">
        <v>1223</v>
      </c>
    </row>
    <row r="2182" spans="1:5">
      <c r="A2182" s="1">
        <v>45871</v>
      </c>
      <c r="B2182" t="s">
        <v>1397</v>
      </c>
      <c r="C2182" t="s">
        <v>20</v>
      </c>
      <c r="D2182" t="s">
        <v>2881</v>
      </c>
      <c r="E2182">
        <v>916</v>
      </c>
    </row>
    <row r="2183" spans="1:5">
      <c r="A2183" s="1">
        <v>45871</v>
      </c>
      <c r="B2183" t="s">
        <v>33</v>
      </c>
      <c r="C2183" t="s">
        <v>20</v>
      </c>
      <c r="D2183" t="s">
        <v>2882</v>
      </c>
      <c r="E2183">
        <v>476</v>
      </c>
    </row>
    <row r="2184" spans="1:5">
      <c r="A2184" s="1">
        <v>45873</v>
      </c>
      <c r="B2184" t="s">
        <v>1229</v>
      </c>
      <c r="C2184" t="s">
        <v>19</v>
      </c>
      <c r="D2184" t="s">
        <v>2883</v>
      </c>
      <c r="E2184">
        <v>2220</v>
      </c>
    </row>
    <row r="2185" spans="1:5">
      <c r="A2185" s="1">
        <v>45873</v>
      </c>
      <c r="B2185" t="s">
        <v>1104</v>
      </c>
      <c r="C2185" t="s">
        <v>19</v>
      </c>
      <c r="D2185" t="s">
        <v>2884</v>
      </c>
      <c r="E2185">
        <v>15363</v>
      </c>
    </row>
    <row r="2186" spans="1:5">
      <c r="A2186" s="1">
        <v>45873</v>
      </c>
      <c r="B2186" t="s">
        <v>1628</v>
      </c>
      <c r="C2186" t="s">
        <v>19</v>
      </c>
      <c r="D2186" t="s">
        <v>2885</v>
      </c>
      <c r="E2186">
        <v>5405</v>
      </c>
    </row>
    <row r="2187" spans="1:5">
      <c r="A2187" s="1">
        <v>45873</v>
      </c>
      <c r="B2187" t="s">
        <v>1049</v>
      </c>
      <c r="C2187" t="s">
        <v>19</v>
      </c>
      <c r="D2187" t="s">
        <v>2886</v>
      </c>
      <c r="E2187">
        <v>6587</v>
      </c>
    </row>
    <row r="2188" spans="1:5">
      <c r="A2188" s="1">
        <v>45873</v>
      </c>
      <c r="B2188" t="s">
        <v>180</v>
      </c>
      <c r="C2188" t="s">
        <v>19</v>
      </c>
      <c r="D2188" t="s">
        <v>2887</v>
      </c>
      <c r="E2188">
        <v>103650</v>
      </c>
    </row>
    <row r="2189" spans="1:5">
      <c r="A2189" s="1">
        <v>45873</v>
      </c>
      <c r="B2189" t="s">
        <v>1424</v>
      </c>
      <c r="C2189" t="s">
        <v>19</v>
      </c>
      <c r="D2189" t="s">
        <v>2888</v>
      </c>
      <c r="E2189">
        <v>6590</v>
      </c>
    </row>
    <row r="2190" spans="1:5">
      <c r="A2190" s="1">
        <v>45873</v>
      </c>
      <c r="B2190" t="s">
        <v>2329</v>
      </c>
      <c r="C2190" t="s">
        <v>19</v>
      </c>
      <c r="D2190" t="s">
        <v>2889</v>
      </c>
      <c r="E2190">
        <v>9881</v>
      </c>
    </row>
    <row r="2191" spans="1:5">
      <c r="A2191" s="1">
        <v>45873</v>
      </c>
      <c r="B2191" t="s">
        <v>52</v>
      </c>
      <c r="C2191" t="s">
        <v>20</v>
      </c>
      <c r="D2191" t="s">
        <v>2890</v>
      </c>
      <c r="E2191">
        <v>740</v>
      </c>
    </row>
    <row r="2192" spans="1:5">
      <c r="A2192" s="1">
        <v>45873</v>
      </c>
      <c r="B2192" t="s">
        <v>2590</v>
      </c>
      <c r="C2192" t="s">
        <v>20</v>
      </c>
      <c r="D2192" t="s">
        <v>2891</v>
      </c>
      <c r="E2192">
        <v>6660</v>
      </c>
    </row>
    <row r="2193" spans="1:5">
      <c r="A2193" s="1">
        <v>45873</v>
      </c>
      <c r="B2193" t="s">
        <v>197</v>
      </c>
      <c r="C2193" t="s">
        <v>20</v>
      </c>
      <c r="D2193" t="s">
        <v>2892</v>
      </c>
      <c r="E2193">
        <v>740</v>
      </c>
    </row>
    <row r="2194" spans="1:5">
      <c r="A2194" s="1">
        <v>45873</v>
      </c>
      <c r="B2194" t="s">
        <v>1173</v>
      </c>
      <c r="C2194" t="s">
        <v>20</v>
      </c>
      <c r="D2194" t="s">
        <v>2893</v>
      </c>
      <c r="E2194">
        <v>393</v>
      </c>
    </row>
    <row r="2195" spans="1:5">
      <c r="A2195" s="1">
        <v>45873</v>
      </c>
      <c r="B2195" t="s">
        <v>89</v>
      </c>
      <c r="C2195" t="s">
        <v>20</v>
      </c>
      <c r="D2195" t="s">
        <v>2894</v>
      </c>
      <c r="E2195">
        <v>370</v>
      </c>
    </row>
    <row r="2196" spans="1:5">
      <c r="A2196" s="1">
        <v>45873</v>
      </c>
      <c r="B2196" t="s">
        <v>222</v>
      </c>
      <c r="C2196" t="s">
        <v>20</v>
      </c>
      <c r="D2196" t="s">
        <v>2895</v>
      </c>
      <c r="E2196">
        <v>1500</v>
      </c>
    </row>
    <row r="2197" spans="1:5">
      <c r="A2197" s="1">
        <v>45873</v>
      </c>
      <c r="B2197" t="s">
        <v>2452</v>
      </c>
      <c r="C2197" t="s">
        <v>20</v>
      </c>
      <c r="D2197" t="s">
        <v>2896</v>
      </c>
      <c r="E2197">
        <v>1300</v>
      </c>
    </row>
    <row r="2198" spans="1:5">
      <c r="A2198" s="1">
        <v>45873</v>
      </c>
      <c r="B2198" t="s">
        <v>76</v>
      </c>
      <c r="C2198" t="s">
        <v>20</v>
      </c>
      <c r="D2198" t="s">
        <v>2897</v>
      </c>
      <c r="E2198">
        <v>4916</v>
      </c>
    </row>
    <row r="2199" spans="1:5">
      <c r="A2199" s="1">
        <v>45873</v>
      </c>
      <c r="B2199" t="s">
        <v>2898</v>
      </c>
      <c r="C2199" t="s">
        <v>20</v>
      </c>
      <c r="D2199" t="s">
        <v>2899</v>
      </c>
      <c r="E2199">
        <v>2762</v>
      </c>
    </row>
    <row r="2200" spans="1:5">
      <c r="A2200" s="1">
        <v>45873</v>
      </c>
      <c r="B2200" t="s">
        <v>2759</v>
      </c>
      <c r="C2200" t="s">
        <v>20</v>
      </c>
      <c r="D2200" t="s">
        <v>2900</v>
      </c>
      <c r="E2200">
        <v>260</v>
      </c>
    </row>
    <row r="2201" spans="1:5">
      <c r="A2201" s="1">
        <v>45873</v>
      </c>
      <c r="B2201" t="s">
        <v>43</v>
      </c>
      <c r="C2201" t="s">
        <v>20</v>
      </c>
      <c r="D2201" t="s">
        <v>2901</v>
      </c>
      <c r="E2201">
        <v>675</v>
      </c>
    </row>
    <row r="2202" spans="1:5">
      <c r="A2202" s="1">
        <v>45873</v>
      </c>
      <c r="B2202" t="s">
        <v>2902</v>
      </c>
      <c r="C2202" t="s">
        <v>20</v>
      </c>
      <c r="D2202" t="s">
        <v>2903</v>
      </c>
      <c r="E2202">
        <v>450</v>
      </c>
    </row>
    <row r="2203" spans="1:5">
      <c r="A2203" s="1">
        <v>45873</v>
      </c>
      <c r="B2203" t="s">
        <v>50</v>
      </c>
      <c r="C2203" t="s">
        <v>20</v>
      </c>
      <c r="D2203" t="s">
        <v>2904</v>
      </c>
      <c r="E2203">
        <v>910</v>
      </c>
    </row>
    <row r="2204" spans="1:5">
      <c r="A2204" s="1">
        <v>45873</v>
      </c>
      <c r="B2204" t="s">
        <v>2905</v>
      </c>
      <c r="C2204" t="s">
        <v>20</v>
      </c>
      <c r="D2204" t="s">
        <v>2906</v>
      </c>
      <c r="E2204">
        <v>18153</v>
      </c>
    </row>
    <row r="2205" spans="1:5">
      <c r="A2205" s="1">
        <v>45873</v>
      </c>
      <c r="B2205" t="s">
        <v>2907</v>
      </c>
      <c r="C2205" t="s">
        <v>20</v>
      </c>
      <c r="D2205" t="s">
        <v>2908</v>
      </c>
      <c r="E2205">
        <v>1573</v>
      </c>
    </row>
    <row r="2206" spans="1:5">
      <c r="A2206" s="1">
        <v>45873</v>
      </c>
      <c r="B2206" t="s">
        <v>1173</v>
      </c>
      <c r="C2206" t="s">
        <v>20</v>
      </c>
      <c r="D2206" t="s">
        <v>2909</v>
      </c>
      <c r="E2206">
        <v>955</v>
      </c>
    </row>
    <row r="2207" spans="1:5">
      <c r="A2207" s="1">
        <v>45873</v>
      </c>
      <c r="B2207" t="s">
        <v>2905</v>
      </c>
      <c r="C2207" t="s">
        <v>20</v>
      </c>
      <c r="D2207" t="s">
        <v>2910</v>
      </c>
      <c r="E2207">
        <v>690</v>
      </c>
    </row>
    <row r="2208" spans="1:5">
      <c r="A2208" s="1">
        <v>45873</v>
      </c>
      <c r="B2208" t="s">
        <v>43</v>
      </c>
      <c r="C2208" t="s">
        <v>20</v>
      </c>
      <c r="D2208" t="s">
        <v>2911</v>
      </c>
      <c r="E2208">
        <v>520</v>
      </c>
    </row>
    <row r="2209" spans="1:5">
      <c r="A2209" s="1">
        <v>45873</v>
      </c>
      <c r="B2209" t="s">
        <v>1397</v>
      </c>
      <c r="C2209" t="s">
        <v>20</v>
      </c>
      <c r="D2209" t="s">
        <v>2912</v>
      </c>
      <c r="E2209">
        <v>12500</v>
      </c>
    </row>
    <row r="2210" spans="1:5">
      <c r="A2210" s="1">
        <v>45873</v>
      </c>
      <c r="B2210" t="s">
        <v>496</v>
      </c>
      <c r="C2210" t="s">
        <v>20</v>
      </c>
      <c r="D2210" t="s">
        <v>2913</v>
      </c>
      <c r="E2210">
        <v>12567</v>
      </c>
    </row>
    <row r="2211" spans="1:5">
      <c r="A2211" s="1">
        <v>45873</v>
      </c>
      <c r="B2211" t="s">
        <v>496</v>
      </c>
      <c r="C2211" t="s">
        <v>20</v>
      </c>
      <c r="D2211" t="s">
        <v>2914</v>
      </c>
      <c r="E2211">
        <v>435</v>
      </c>
    </row>
    <row r="2212" spans="1:5">
      <c r="A2212" s="1">
        <v>45873</v>
      </c>
      <c r="B2212" t="s">
        <v>370</v>
      </c>
      <c r="C2212" t="s">
        <v>20</v>
      </c>
      <c r="D2212" t="s">
        <v>2915</v>
      </c>
      <c r="E2212">
        <v>670</v>
      </c>
    </row>
    <row r="2213" spans="1:5">
      <c r="A2213" s="1">
        <v>45873</v>
      </c>
      <c r="B2213" t="s">
        <v>2916</v>
      </c>
      <c r="C2213" t="s">
        <v>20</v>
      </c>
      <c r="D2213" t="s">
        <v>2917</v>
      </c>
      <c r="E2213">
        <v>8918</v>
      </c>
    </row>
    <row r="2214" spans="1:5">
      <c r="A2214" s="1">
        <v>45874</v>
      </c>
      <c r="B2214" t="s">
        <v>2417</v>
      </c>
      <c r="C2214" t="s">
        <v>19</v>
      </c>
      <c r="D2214" t="s">
        <v>2918</v>
      </c>
      <c r="E2214">
        <v>96440</v>
      </c>
    </row>
    <row r="2215" spans="1:5">
      <c r="A2215" s="1">
        <v>45874</v>
      </c>
      <c r="B2215" t="s">
        <v>509</v>
      </c>
      <c r="C2215" t="s">
        <v>19</v>
      </c>
      <c r="D2215" t="s">
        <v>2919</v>
      </c>
      <c r="E2215">
        <v>14946</v>
      </c>
    </row>
    <row r="2216" spans="1:5">
      <c r="A2216" s="1">
        <v>45874</v>
      </c>
      <c r="B2216" t="s">
        <v>1810</v>
      </c>
      <c r="C2216" t="s">
        <v>19</v>
      </c>
      <c r="D2216" t="s">
        <v>2920</v>
      </c>
      <c r="E2216">
        <v>17233</v>
      </c>
    </row>
    <row r="2217" spans="1:5">
      <c r="A2217" s="1">
        <v>45874</v>
      </c>
      <c r="B2217" t="s">
        <v>1075</v>
      </c>
      <c r="C2217" t="s">
        <v>20</v>
      </c>
      <c r="D2217" t="s">
        <v>2921</v>
      </c>
      <c r="E2217">
        <v>11100</v>
      </c>
    </row>
    <row r="2218" spans="1:5">
      <c r="A2218" s="1">
        <v>45874</v>
      </c>
      <c r="B2218" t="s">
        <v>2922</v>
      </c>
      <c r="C2218" t="s">
        <v>20</v>
      </c>
      <c r="D2218" t="s">
        <v>2923</v>
      </c>
      <c r="E2218">
        <v>740</v>
      </c>
    </row>
    <row r="2219" spans="1:5">
      <c r="A2219" s="1">
        <v>45874</v>
      </c>
      <c r="B2219" t="s">
        <v>193</v>
      </c>
      <c r="C2219" t="s">
        <v>20</v>
      </c>
      <c r="D2219" t="s">
        <v>2924</v>
      </c>
      <c r="E2219">
        <v>22100</v>
      </c>
    </row>
    <row r="2220" spans="1:5">
      <c r="A2220" s="1">
        <v>45874</v>
      </c>
      <c r="B2220" t="s">
        <v>68</v>
      </c>
      <c r="C2220" t="s">
        <v>20</v>
      </c>
      <c r="D2220" t="s">
        <v>2925</v>
      </c>
      <c r="E2220">
        <v>130</v>
      </c>
    </row>
    <row r="2221" spans="1:5">
      <c r="A2221" s="1">
        <v>45874</v>
      </c>
      <c r="B2221" t="s">
        <v>412</v>
      </c>
      <c r="C2221" t="s">
        <v>20</v>
      </c>
      <c r="D2221" t="s">
        <v>2926</v>
      </c>
      <c r="E2221">
        <v>720</v>
      </c>
    </row>
    <row r="2222" spans="1:5">
      <c r="A2222" s="1">
        <v>45874</v>
      </c>
      <c r="B2222" t="s">
        <v>2927</v>
      </c>
      <c r="C2222" t="s">
        <v>20</v>
      </c>
      <c r="D2222" t="s">
        <v>2928</v>
      </c>
      <c r="E2222">
        <v>65</v>
      </c>
    </row>
    <row r="2223" spans="1:5">
      <c r="A2223" s="1">
        <v>45874</v>
      </c>
      <c r="B2223" t="s">
        <v>50</v>
      </c>
      <c r="C2223" t="s">
        <v>20</v>
      </c>
      <c r="D2223" t="s">
        <v>2929</v>
      </c>
      <c r="E2223">
        <v>25</v>
      </c>
    </row>
    <row r="2224" spans="1:5">
      <c r="A2224" s="1">
        <v>45875</v>
      </c>
      <c r="B2224" t="s">
        <v>1049</v>
      </c>
      <c r="C2224" t="s">
        <v>19</v>
      </c>
      <c r="D2224" t="s">
        <v>2930</v>
      </c>
      <c r="E2224">
        <v>5344</v>
      </c>
    </row>
    <row r="2225" spans="1:5">
      <c r="A2225" s="1">
        <v>45875</v>
      </c>
      <c r="B2225" t="s">
        <v>2931</v>
      </c>
      <c r="C2225" t="s">
        <v>19</v>
      </c>
      <c r="D2225" t="s">
        <v>2932</v>
      </c>
      <c r="E2225">
        <v>2125</v>
      </c>
    </row>
    <row r="2226" spans="1:5">
      <c r="A2226" s="1">
        <v>45875</v>
      </c>
      <c r="B2226" t="s">
        <v>543</v>
      </c>
      <c r="C2226" t="s">
        <v>19</v>
      </c>
      <c r="D2226" t="s">
        <v>2933</v>
      </c>
      <c r="E2226">
        <v>74080</v>
      </c>
    </row>
    <row r="2227" spans="1:5">
      <c r="A2227" s="1">
        <v>45875</v>
      </c>
      <c r="B2227" t="s">
        <v>927</v>
      </c>
      <c r="C2227" t="s">
        <v>19</v>
      </c>
      <c r="D2227" t="s">
        <v>2934</v>
      </c>
      <c r="E2227">
        <v>16540</v>
      </c>
    </row>
    <row r="2228" spans="1:5">
      <c r="A2228" s="1">
        <v>45875</v>
      </c>
      <c r="B2228" t="s">
        <v>1628</v>
      </c>
      <c r="C2228" t="s">
        <v>19</v>
      </c>
      <c r="D2228" t="s">
        <v>2935</v>
      </c>
      <c r="E2228">
        <v>84910</v>
      </c>
    </row>
    <row r="2229" spans="1:5">
      <c r="A2229" s="1">
        <v>45875</v>
      </c>
      <c r="B2229" t="s">
        <v>2329</v>
      </c>
      <c r="C2229" t="s">
        <v>19</v>
      </c>
      <c r="D2229" t="s">
        <v>2936</v>
      </c>
      <c r="E2229">
        <v>15132</v>
      </c>
    </row>
    <row r="2230" spans="1:5">
      <c r="A2230" s="1">
        <v>45875</v>
      </c>
      <c r="B2230" t="s">
        <v>2854</v>
      </c>
      <c r="C2230" t="s">
        <v>19</v>
      </c>
      <c r="D2230" t="s">
        <v>2937</v>
      </c>
      <c r="E2230">
        <v>59234</v>
      </c>
    </row>
    <row r="2231" spans="1:5">
      <c r="A2231" s="1">
        <v>45875</v>
      </c>
      <c r="B2231" t="s">
        <v>316</v>
      </c>
      <c r="C2231" t="s">
        <v>20</v>
      </c>
      <c r="D2231" t="s">
        <v>2938</v>
      </c>
      <c r="E2231">
        <v>128</v>
      </c>
    </row>
    <row r="2232" spans="1:5">
      <c r="A2232" s="1">
        <v>45875</v>
      </c>
      <c r="B2232" t="s">
        <v>763</v>
      </c>
      <c r="C2232" t="s">
        <v>20</v>
      </c>
      <c r="D2232" t="s">
        <v>2939</v>
      </c>
      <c r="E2232">
        <v>5227</v>
      </c>
    </row>
    <row r="2233" spans="1:5">
      <c r="A2233" s="1">
        <v>45875</v>
      </c>
      <c r="B2233" t="s">
        <v>2059</v>
      </c>
      <c r="C2233" t="s">
        <v>20</v>
      </c>
      <c r="D2233" t="s">
        <v>2940</v>
      </c>
      <c r="E2233">
        <v>1850</v>
      </c>
    </row>
    <row r="2234" spans="1:5">
      <c r="A2234" s="1">
        <v>45875</v>
      </c>
      <c r="B2234" t="s">
        <v>1377</v>
      </c>
      <c r="C2234" t="s">
        <v>20</v>
      </c>
      <c r="D2234" t="s">
        <v>2941</v>
      </c>
      <c r="E2234">
        <v>1730</v>
      </c>
    </row>
    <row r="2235" spans="1:5">
      <c r="A2235" s="1">
        <v>45875</v>
      </c>
      <c r="B2235" t="s">
        <v>52</v>
      </c>
      <c r="C2235" t="s">
        <v>20</v>
      </c>
      <c r="D2235" t="s">
        <v>2942</v>
      </c>
      <c r="E2235">
        <v>4184</v>
      </c>
    </row>
    <row r="2236" spans="1:5">
      <c r="A2236" s="1">
        <v>45875</v>
      </c>
      <c r="B2236" t="s">
        <v>460</v>
      </c>
      <c r="C2236" t="s">
        <v>20</v>
      </c>
      <c r="D2236" t="s">
        <v>2943</v>
      </c>
      <c r="E2236">
        <v>370</v>
      </c>
    </row>
    <row r="2237" spans="1:5">
      <c r="A2237" s="1">
        <v>45875</v>
      </c>
      <c r="B2237" t="s">
        <v>1964</v>
      </c>
      <c r="C2237" t="s">
        <v>20</v>
      </c>
      <c r="D2237" t="s">
        <v>2944</v>
      </c>
      <c r="E2237">
        <v>5687</v>
      </c>
    </row>
    <row r="2238" spans="1:5">
      <c r="A2238" s="1">
        <v>45875</v>
      </c>
      <c r="B2238" t="s">
        <v>195</v>
      </c>
      <c r="C2238" t="s">
        <v>20</v>
      </c>
      <c r="D2238" t="s">
        <v>2945</v>
      </c>
      <c r="E2238">
        <v>12800</v>
      </c>
    </row>
    <row r="2239" spans="1:5">
      <c r="A2239" s="1">
        <v>45875</v>
      </c>
      <c r="B2239" t="s">
        <v>1275</v>
      </c>
      <c r="C2239" t="s">
        <v>20</v>
      </c>
      <c r="D2239" t="s">
        <v>2946</v>
      </c>
      <c r="E2239">
        <v>2820</v>
      </c>
    </row>
    <row r="2240" spans="1:5">
      <c r="A2240" s="1">
        <v>45875</v>
      </c>
      <c r="B2240" t="s">
        <v>1173</v>
      </c>
      <c r="C2240" t="s">
        <v>20</v>
      </c>
      <c r="D2240" t="s">
        <v>2947</v>
      </c>
      <c r="E2240">
        <v>641</v>
      </c>
    </row>
    <row r="2241" spans="1:5">
      <c r="A2241" s="1">
        <v>45875</v>
      </c>
      <c r="B2241" t="s">
        <v>50</v>
      </c>
      <c r="C2241" t="s">
        <v>20</v>
      </c>
      <c r="D2241" t="s">
        <v>2948</v>
      </c>
      <c r="E2241">
        <v>3229</v>
      </c>
    </row>
    <row r="2242" spans="1:5">
      <c r="A2242" s="1">
        <v>45875</v>
      </c>
      <c r="B2242" t="s">
        <v>50</v>
      </c>
      <c r="C2242" t="s">
        <v>20</v>
      </c>
      <c r="D2242" t="s">
        <v>2949</v>
      </c>
      <c r="E2242">
        <v>8</v>
      </c>
    </row>
    <row r="2243" spans="1:5">
      <c r="A2243" s="1">
        <v>45875</v>
      </c>
      <c r="B2243" t="s">
        <v>81</v>
      </c>
      <c r="C2243" t="s">
        <v>20</v>
      </c>
      <c r="D2243" t="s">
        <v>2950</v>
      </c>
      <c r="E2243">
        <v>1110</v>
      </c>
    </row>
    <row r="2244" spans="1:5">
      <c r="A2244" s="1">
        <v>45875</v>
      </c>
      <c r="B2244" t="s">
        <v>512</v>
      </c>
      <c r="C2244" t="s">
        <v>20</v>
      </c>
      <c r="D2244" t="s">
        <v>2951</v>
      </c>
      <c r="E2244">
        <v>1850</v>
      </c>
    </row>
    <row r="2245" spans="1:5">
      <c r="A2245" s="1">
        <v>45875</v>
      </c>
      <c r="B2245" t="s">
        <v>50</v>
      </c>
      <c r="C2245" t="s">
        <v>20</v>
      </c>
      <c r="D2245" t="s">
        <v>2952</v>
      </c>
      <c r="E2245">
        <v>12</v>
      </c>
    </row>
    <row r="2246" spans="1:5">
      <c r="A2246" s="1">
        <v>45875</v>
      </c>
      <c r="B2246" t="s">
        <v>50</v>
      </c>
      <c r="C2246" t="s">
        <v>20</v>
      </c>
      <c r="D2246" t="s">
        <v>2953</v>
      </c>
      <c r="E2246">
        <v>1121</v>
      </c>
    </row>
    <row r="2247" spans="1:5">
      <c r="A2247" s="1">
        <v>45875</v>
      </c>
      <c r="B2247" t="s">
        <v>1350</v>
      </c>
      <c r="C2247" t="s">
        <v>20</v>
      </c>
      <c r="D2247" t="s">
        <v>2954</v>
      </c>
      <c r="E2247">
        <v>359</v>
      </c>
    </row>
    <row r="2248" spans="1:5">
      <c r="A2248" s="1">
        <v>45875</v>
      </c>
      <c r="B2248" t="s">
        <v>50</v>
      </c>
      <c r="C2248" t="s">
        <v>20</v>
      </c>
      <c r="D2248" t="s">
        <v>2955</v>
      </c>
      <c r="E2248">
        <v>370</v>
      </c>
    </row>
    <row r="2249" spans="1:5">
      <c r="A2249" s="1">
        <v>45875</v>
      </c>
      <c r="B2249" t="s">
        <v>2956</v>
      </c>
      <c r="C2249" t="s">
        <v>20</v>
      </c>
      <c r="D2249" t="s">
        <v>2957</v>
      </c>
      <c r="E2249">
        <v>2631</v>
      </c>
    </row>
    <row r="2250" spans="1:5">
      <c r="A2250" s="1">
        <v>45875</v>
      </c>
      <c r="B2250" t="s">
        <v>2958</v>
      </c>
      <c r="C2250" t="s">
        <v>20</v>
      </c>
      <c r="D2250" t="s">
        <v>2959</v>
      </c>
      <c r="E2250">
        <v>51700</v>
      </c>
    </row>
    <row r="2251" spans="1:5">
      <c r="A2251" s="1">
        <v>45875</v>
      </c>
      <c r="B2251" t="s">
        <v>50</v>
      </c>
      <c r="C2251" t="s">
        <v>20</v>
      </c>
      <c r="D2251" t="s">
        <v>2960</v>
      </c>
      <c r="E2251">
        <v>2194</v>
      </c>
    </row>
    <row r="2252" spans="1:5">
      <c r="A2252" s="1">
        <v>45875</v>
      </c>
      <c r="B2252" t="s">
        <v>2961</v>
      </c>
      <c r="C2252" t="s">
        <v>20</v>
      </c>
      <c r="D2252" t="s">
        <v>2962</v>
      </c>
      <c r="E2252">
        <v>3847</v>
      </c>
    </row>
    <row r="2253" spans="1:5">
      <c r="A2253" s="1">
        <v>45875</v>
      </c>
      <c r="B2253" t="s">
        <v>2963</v>
      </c>
      <c r="C2253" t="s">
        <v>20</v>
      </c>
      <c r="D2253" t="s">
        <v>2964</v>
      </c>
      <c r="E2253">
        <v>49721</v>
      </c>
    </row>
    <row r="2254" spans="1:5">
      <c r="A2254" s="1">
        <v>45875</v>
      </c>
      <c r="B2254" t="s">
        <v>131</v>
      </c>
      <c r="C2254" t="s">
        <v>20</v>
      </c>
      <c r="D2254" t="s">
        <v>2965</v>
      </c>
      <c r="E2254">
        <v>740</v>
      </c>
    </row>
    <row r="2255" spans="1:5">
      <c r="A2255" s="1">
        <v>45875</v>
      </c>
      <c r="B2255" t="s">
        <v>2966</v>
      </c>
      <c r="C2255" t="s">
        <v>20</v>
      </c>
      <c r="D2255" t="s">
        <v>2967</v>
      </c>
      <c r="E2255">
        <v>3350</v>
      </c>
    </row>
    <row r="2256" spans="1:5">
      <c r="A2256" s="1">
        <v>45876</v>
      </c>
      <c r="B2256" t="s">
        <v>2854</v>
      </c>
      <c r="C2256" t="s">
        <v>19</v>
      </c>
      <c r="D2256" t="s">
        <v>2968</v>
      </c>
      <c r="E2256">
        <v>2790</v>
      </c>
    </row>
    <row r="2257" spans="1:5">
      <c r="A2257" s="1">
        <v>45876</v>
      </c>
      <c r="B2257" t="s">
        <v>50</v>
      </c>
      <c r="C2257" t="s">
        <v>20</v>
      </c>
      <c r="D2257" t="s">
        <v>2969</v>
      </c>
      <c r="E2257">
        <v>370</v>
      </c>
    </row>
    <row r="2258" spans="1:5">
      <c r="A2258" s="1">
        <v>45876</v>
      </c>
      <c r="B2258" t="s">
        <v>124</v>
      </c>
      <c r="C2258" t="s">
        <v>20</v>
      </c>
      <c r="D2258" t="s">
        <v>2970</v>
      </c>
      <c r="E2258">
        <v>16625</v>
      </c>
    </row>
    <row r="2259" spans="1:5">
      <c r="A2259" s="1">
        <v>45876</v>
      </c>
      <c r="B2259" t="s">
        <v>2786</v>
      </c>
      <c r="C2259" t="s">
        <v>20</v>
      </c>
      <c r="D2259" t="s">
        <v>2971</v>
      </c>
      <c r="E2259">
        <v>107415</v>
      </c>
    </row>
    <row r="2260" spans="1:5">
      <c r="A2260" s="1">
        <v>45876</v>
      </c>
      <c r="B2260" t="s">
        <v>1275</v>
      </c>
      <c r="C2260" t="s">
        <v>20</v>
      </c>
      <c r="D2260" t="s">
        <v>2972</v>
      </c>
      <c r="E2260">
        <v>90</v>
      </c>
    </row>
    <row r="2261" spans="1:5">
      <c r="A2261" s="1">
        <v>45876</v>
      </c>
      <c r="B2261" t="s">
        <v>76</v>
      </c>
      <c r="C2261" t="s">
        <v>20</v>
      </c>
      <c r="D2261" t="s">
        <v>2973</v>
      </c>
      <c r="E2261">
        <v>60</v>
      </c>
    </row>
    <row r="2262" spans="1:5">
      <c r="A2262" s="1">
        <v>45876</v>
      </c>
      <c r="B2262" t="s">
        <v>526</v>
      </c>
      <c r="C2262" t="s">
        <v>20</v>
      </c>
      <c r="D2262" t="s">
        <v>2974</v>
      </c>
      <c r="E2262">
        <v>130</v>
      </c>
    </row>
    <row r="2263" spans="1:5">
      <c r="A2263" s="1">
        <v>45876</v>
      </c>
      <c r="B2263" t="s">
        <v>100</v>
      </c>
      <c r="C2263" t="s">
        <v>20</v>
      </c>
      <c r="D2263" t="s">
        <v>2975</v>
      </c>
      <c r="E2263">
        <v>23875</v>
      </c>
    </row>
    <row r="2264" spans="1:5">
      <c r="A2264" s="1">
        <v>45876</v>
      </c>
      <c r="B2264" t="s">
        <v>50</v>
      </c>
      <c r="C2264" t="s">
        <v>20</v>
      </c>
      <c r="D2264" t="s">
        <v>2976</v>
      </c>
      <c r="E2264">
        <v>1012</v>
      </c>
    </row>
    <row r="2265" spans="1:5">
      <c r="A2265" s="1">
        <v>45876</v>
      </c>
      <c r="B2265" t="s">
        <v>2977</v>
      </c>
      <c r="C2265" t="s">
        <v>20</v>
      </c>
      <c r="D2265" t="s">
        <v>2978</v>
      </c>
      <c r="E2265">
        <v>12326</v>
      </c>
    </row>
    <row r="2266" spans="1:5">
      <c r="A2266" s="1">
        <v>45876</v>
      </c>
      <c r="B2266" t="s">
        <v>2590</v>
      </c>
      <c r="C2266" t="s">
        <v>20</v>
      </c>
      <c r="D2266" t="s">
        <v>2979</v>
      </c>
      <c r="E2266">
        <v>5920</v>
      </c>
    </row>
    <row r="2267" spans="1:5">
      <c r="A2267" s="1">
        <v>45876</v>
      </c>
      <c r="B2267" t="s">
        <v>2980</v>
      </c>
      <c r="C2267" t="s">
        <v>20</v>
      </c>
      <c r="D2267" t="s">
        <v>2981</v>
      </c>
      <c r="E2267">
        <v>8720</v>
      </c>
    </row>
    <row r="2268" spans="1:5">
      <c r="A2268" s="1">
        <v>45876</v>
      </c>
      <c r="B2268" t="s">
        <v>512</v>
      </c>
      <c r="C2268" t="s">
        <v>20</v>
      </c>
      <c r="D2268" t="s">
        <v>2982</v>
      </c>
      <c r="E2268">
        <v>29624</v>
      </c>
    </row>
    <row r="2269" spans="1:5">
      <c r="A2269" s="1">
        <v>45876</v>
      </c>
      <c r="B2269" t="s">
        <v>2486</v>
      </c>
      <c r="C2269" t="s">
        <v>20</v>
      </c>
      <c r="D2269" t="s">
        <v>2983</v>
      </c>
      <c r="E2269">
        <v>6862</v>
      </c>
    </row>
    <row r="2270" spans="1:5">
      <c r="A2270" s="1">
        <v>45876</v>
      </c>
      <c r="B2270" t="s">
        <v>566</v>
      </c>
      <c r="C2270" t="s">
        <v>20</v>
      </c>
      <c r="D2270" t="s">
        <v>2984</v>
      </c>
      <c r="E2270">
        <v>1456</v>
      </c>
    </row>
    <row r="2271" spans="1:5">
      <c r="A2271" s="1">
        <v>45876</v>
      </c>
      <c r="B2271" t="s">
        <v>2308</v>
      </c>
      <c r="C2271" t="s">
        <v>20</v>
      </c>
      <c r="D2271" t="s">
        <v>2985</v>
      </c>
      <c r="E2271">
        <v>6840</v>
      </c>
    </row>
    <row r="2272" spans="1:5">
      <c r="A2272" s="1">
        <v>45876</v>
      </c>
      <c r="B2272" t="s">
        <v>50</v>
      </c>
      <c r="C2272" t="s">
        <v>20</v>
      </c>
      <c r="D2272" t="s">
        <v>2986</v>
      </c>
      <c r="E2272">
        <v>12</v>
      </c>
    </row>
    <row r="2273" spans="1:5">
      <c r="A2273" s="1">
        <v>45877</v>
      </c>
      <c r="B2273" t="s">
        <v>2987</v>
      </c>
      <c r="C2273" t="s">
        <v>19</v>
      </c>
      <c r="D2273" t="s">
        <v>2988</v>
      </c>
      <c r="E2273">
        <v>105798</v>
      </c>
    </row>
    <row r="2274" spans="1:5">
      <c r="A2274" s="1">
        <v>45877</v>
      </c>
      <c r="B2274" t="s">
        <v>2989</v>
      </c>
      <c r="C2274" t="s">
        <v>19</v>
      </c>
      <c r="D2274" t="s">
        <v>2990</v>
      </c>
      <c r="E2274">
        <v>15990</v>
      </c>
    </row>
    <row r="2275" spans="1:5">
      <c r="A2275" s="1">
        <v>45877</v>
      </c>
      <c r="B2275" t="s">
        <v>2780</v>
      </c>
      <c r="C2275" t="s">
        <v>19</v>
      </c>
      <c r="D2275" t="s">
        <v>2991</v>
      </c>
      <c r="E2275">
        <v>12452</v>
      </c>
    </row>
    <row r="2276" spans="1:5">
      <c r="A2276" s="1">
        <v>45877</v>
      </c>
      <c r="B2276" t="s">
        <v>2992</v>
      </c>
      <c r="C2276" t="s">
        <v>19</v>
      </c>
      <c r="D2276" t="s">
        <v>2993</v>
      </c>
      <c r="E2276">
        <v>1966</v>
      </c>
    </row>
    <row r="2277" spans="1:5">
      <c r="A2277" s="1">
        <v>45877</v>
      </c>
      <c r="B2277" t="s">
        <v>27</v>
      </c>
      <c r="C2277" t="s">
        <v>19</v>
      </c>
      <c r="D2277" t="s">
        <v>2994</v>
      </c>
      <c r="E2277">
        <v>1291</v>
      </c>
    </row>
    <row r="2278" spans="1:5">
      <c r="A2278" s="1">
        <v>45877</v>
      </c>
      <c r="B2278" t="s">
        <v>1049</v>
      </c>
      <c r="C2278" t="s">
        <v>19</v>
      </c>
      <c r="D2278" t="s">
        <v>2995</v>
      </c>
      <c r="E2278">
        <v>8971</v>
      </c>
    </row>
    <row r="2279" spans="1:5">
      <c r="A2279" s="1">
        <v>45877</v>
      </c>
      <c r="B2279" t="s">
        <v>50</v>
      </c>
      <c r="C2279" t="s">
        <v>20</v>
      </c>
      <c r="D2279" t="s">
        <v>2996</v>
      </c>
      <c r="E2279">
        <v>5550</v>
      </c>
    </row>
    <row r="2280" spans="1:5">
      <c r="A2280" s="1">
        <v>45877</v>
      </c>
      <c r="B2280" t="s">
        <v>744</v>
      </c>
      <c r="C2280" t="s">
        <v>20</v>
      </c>
      <c r="D2280" t="s">
        <v>2997</v>
      </c>
      <c r="E2280">
        <v>7448</v>
      </c>
    </row>
    <row r="2281" spans="1:5">
      <c r="A2281" s="1">
        <v>45877</v>
      </c>
      <c r="B2281" t="s">
        <v>2963</v>
      </c>
      <c r="C2281" t="s">
        <v>20</v>
      </c>
      <c r="D2281" t="s">
        <v>2998</v>
      </c>
      <c r="E2281">
        <v>3757</v>
      </c>
    </row>
    <row r="2282" spans="1:5">
      <c r="A2282" s="1">
        <v>45877</v>
      </c>
      <c r="B2282" t="s">
        <v>2999</v>
      </c>
      <c r="C2282" t="s">
        <v>20</v>
      </c>
      <c r="D2282" t="s">
        <v>3000</v>
      </c>
      <c r="E2282">
        <v>16514</v>
      </c>
    </row>
    <row r="2283" spans="1:5">
      <c r="A2283" s="1">
        <v>45877</v>
      </c>
      <c r="B2283" t="s">
        <v>378</v>
      </c>
      <c r="C2283" t="s">
        <v>20</v>
      </c>
      <c r="D2283" t="s">
        <v>3001</v>
      </c>
      <c r="E2283">
        <v>3700</v>
      </c>
    </row>
    <row r="2284" spans="1:5">
      <c r="A2284" s="1">
        <v>45877</v>
      </c>
      <c r="B2284" t="s">
        <v>52</v>
      </c>
      <c r="C2284" t="s">
        <v>20</v>
      </c>
      <c r="D2284" t="s">
        <v>3002</v>
      </c>
      <c r="E2284">
        <v>740</v>
      </c>
    </row>
    <row r="2285" spans="1:5">
      <c r="A2285" s="1">
        <v>45877</v>
      </c>
      <c r="B2285" t="s">
        <v>518</v>
      </c>
      <c r="C2285" t="s">
        <v>20</v>
      </c>
      <c r="D2285" t="s">
        <v>3003</v>
      </c>
      <c r="E2285">
        <v>740</v>
      </c>
    </row>
    <row r="2286" spans="1:5">
      <c r="A2286" s="1">
        <v>45877</v>
      </c>
      <c r="B2286" t="s">
        <v>2616</v>
      </c>
      <c r="C2286" t="s">
        <v>20</v>
      </c>
      <c r="D2286" t="s">
        <v>3004</v>
      </c>
      <c r="E2286">
        <v>2090</v>
      </c>
    </row>
    <row r="2287" spans="1:5">
      <c r="A2287" s="1">
        <v>45877</v>
      </c>
      <c r="B2287" t="s">
        <v>2634</v>
      </c>
      <c r="C2287" t="s">
        <v>20</v>
      </c>
      <c r="D2287" t="s">
        <v>3005</v>
      </c>
      <c r="E2287">
        <v>9195</v>
      </c>
    </row>
    <row r="2288" spans="1:5">
      <c r="A2288" s="1">
        <v>45877</v>
      </c>
      <c r="B2288" t="s">
        <v>3006</v>
      </c>
      <c r="C2288" t="s">
        <v>20</v>
      </c>
      <c r="D2288" t="s">
        <v>3007</v>
      </c>
      <c r="E2288">
        <v>5853</v>
      </c>
    </row>
    <row r="2289" spans="1:5">
      <c r="A2289" s="1">
        <v>45877</v>
      </c>
      <c r="B2289" t="s">
        <v>3008</v>
      </c>
      <c r="C2289" t="s">
        <v>20</v>
      </c>
      <c r="D2289" t="s">
        <v>3009</v>
      </c>
      <c r="E2289">
        <v>11402</v>
      </c>
    </row>
    <row r="2290" spans="1:5">
      <c r="A2290" s="1">
        <v>45877</v>
      </c>
      <c r="B2290" t="s">
        <v>43</v>
      </c>
      <c r="C2290" t="s">
        <v>20</v>
      </c>
      <c r="D2290" t="s">
        <v>3010</v>
      </c>
      <c r="E2290">
        <v>1612</v>
      </c>
    </row>
    <row r="2291" spans="1:5">
      <c r="A2291" s="1">
        <v>45877</v>
      </c>
      <c r="B2291" t="s">
        <v>1776</v>
      </c>
      <c r="C2291" t="s">
        <v>20</v>
      </c>
      <c r="D2291" t="s">
        <v>3011</v>
      </c>
      <c r="E2291">
        <v>8795</v>
      </c>
    </row>
    <row r="2292" spans="1:5">
      <c r="A2292" s="1">
        <v>45877</v>
      </c>
      <c r="B2292" t="s">
        <v>378</v>
      </c>
      <c r="C2292" t="s">
        <v>20</v>
      </c>
      <c r="D2292" t="s">
        <v>3012</v>
      </c>
      <c r="E2292">
        <v>18120</v>
      </c>
    </row>
    <row r="2293" spans="1:5">
      <c r="A2293" s="1">
        <v>45877</v>
      </c>
      <c r="B2293" t="s">
        <v>1666</v>
      </c>
      <c r="C2293" t="s">
        <v>20</v>
      </c>
      <c r="D2293" t="s">
        <v>3013</v>
      </c>
      <c r="E2293">
        <v>14230</v>
      </c>
    </row>
    <row r="2294" spans="1:5">
      <c r="A2294" s="1">
        <v>45877</v>
      </c>
      <c r="B2294" t="s">
        <v>566</v>
      </c>
      <c r="C2294" t="s">
        <v>20</v>
      </c>
      <c r="D2294" t="s">
        <v>3014</v>
      </c>
      <c r="E2294">
        <v>60</v>
      </c>
    </row>
    <row r="2295" spans="1:5">
      <c r="A2295" s="1">
        <v>45877</v>
      </c>
      <c r="B2295" t="s">
        <v>3015</v>
      </c>
      <c r="C2295" t="s">
        <v>20</v>
      </c>
      <c r="D2295" t="s">
        <v>3016</v>
      </c>
      <c r="E2295">
        <v>6623</v>
      </c>
    </row>
    <row r="2296" spans="1:5">
      <c r="A2296" s="1">
        <v>45877</v>
      </c>
      <c r="B2296" t="s">
        <v>1631</v>
      </c>
      <c r="C2296" t="s">
        <v>20</v>
      </c>
      <c r="D2296" t="s">
        <v>3017</v>
      </c>
      <c r="E2296">
        <v>370</v>
      </c>
    </row>
    <row r="2297" spans="1:5">
      <c r="A2297" s="1">
        <v>45878</v>
      </c>
      <c r="B2297" t="s">
        <v>1104</v>
      </c>
      <c r="C2297" t="s">
        <v>19</v>
      </c>
      <c r="D2297" t="s">
        <v>3018</v>
      </c>
      <c r="E2297">
        <v>44204</v>
      </c>
    </row>
    <row r="2298" spans="1:5">
      <c r="A2298" s="1">
        <v>45878</v>
      </c>
      <c r="B2298" t="s">
        <v>2987</v>
      </c>
      <c r="C2298" t="s">
        <v>19</v>
      </c>
      <c r="D2298" t="s">
        <v>3019</v>
      </c>
      <c r="E2298">
        <v>18500</v>
      </c>
    </row>
    <row r="2299" spans="1:5">
      <c r="A2299" s="1">
        <v>45878</v>
      </c>
      <c r="B2299" t="s">
        <v>2854</v>
      </c>
      <c r="C2299" t="s">
        <v>19</v>
      </c>
      <c r="D2299" t="s">
        <v>3020</v>
      </c>
      <c r="E2299">
        <v>12817</v>
      </c>
    </row>
    <row r="2300" spans="1:5">
      <c r="A2300" s="1">
        <v>45878</v>
      </c>
      <c r="B2300" t="s">
        <v>1049</v>
      </c>
      <c r="C2300" t="s">
        <v>19</v>
      </c>
      <c r="D2300" t="s">
        <v>3021</v>
      </c>
      <c r="E2300">
        <v>9250</v>
      </c>
    </row>
    <row r="2301" spans="1:5">
      <c r="A2301" s="1">
        <v>45878</v>
      </c>
      <c r="B2301" t="s">
        <v>60</v>
      </c>
      <c r="C2301" t="s">
        <v>19</v>
      </c>
      <c r="D2301" t="s">
        <v>3022</v>
      </c>
      <c r="E2301">
        <v>14025</v>
      </c>
    </row>
    <row r="2302" spans="1:5">
      <c r="A2302" s="1">
        <v>45878</v>
      </c>
      <c r="B2302" t="s">
        <v>1397</v>
      </c>
      <c r="C2302" t="s">
        <v>20</v>
      </c>
      <c r="D2302" t="s">
        <v>3023</v>
      </c>
      <c r="E2302">
        <v>1110</v>
      </c>
    </row>
    <row r="2303" spans="1:5">
      <c r="A2303" s="1">
        <v>45878</v>
      </c>
      <c r="B2303" t="s">
        <v>76</v>
      </c>
      <c r="C2303" t="s">
        <v>20</v>
      </c>
      <c r="D2303" t="s">
        <v>3024</v>
      </c>
      <c r="E2303">
        <v>2960</v>
      </c>
    </row>
    <row r="2304" spans="1:5">
      <c r="A2304" s="1">
        <v>45878</v>
      </c>
      <c r="B2304" t="s">
        <v>518</v>
      </c>
      <c r="C2304" t="s">
        <v>20</v>
      </c>
      <c r="D2304" t="s">
        <v>3025</v>
      </c>
      <c r="E2304">
        <v>370</v>
      </c>
    </row>
    <row r="2305" spans="1:5">
      <c r="A2305" s="1">
        <v>45878</v>
      </c>
      <c r="B2305" t="s">
        <v>2999</v>
      </c>
      <c r="C2305" t="s">
        <v>20</v>
      </c>
      <c r="D2305" t="s">
        <v>3026</v>
      </c>
      <c r="E2305">
        <v>20970</v>
      </c>
    </row>
    <row r="2306" spans="1:5">
      <c r="A2306" s="1">
        <v>45878</v>
      </c>
      <c r="B2306" t="s">
        <v>50</v>
      </c>
      <c r="C2306" t="s">
        <v>20</v>
      </c>
      <c r="D2306" t="s">
        <v>3027</v>
      </c>
      <c r="E2306">
        <v>12</v>
      </c>
    </row>
    <row r="2307" spans="1:5">
      <c r="A2307" s="1">
        <v>45878</v>
      </c>
      <c r="B2307" t="s">
        <v>557</v>
      </c>
      <c r="C2307" t="s">
        <v>20</v>
      </c>
      <c r="D2307" t="s">
        <v>3028</v>
      </c>
      <c r="E2307">
        <v>21620</v>
      </c>
    </row>
    <row r="2308" spans="1:5">
      <c r="A2308" s="1">
        <v>45878</v>
      </c>
      <c r="B2308" t="s">
        <v>50</v>
      </c>
      <c r="C2308" t="s">
        <v>20</v>
      </c>
      <c r="D2308" t="s">
        <v>3029</v>
      </c>
      <c r="E2308">
        <v>1110</v>
      </c>
    </row>
    <row r="2309" spans="1:5">
      <c r="A2309" s="1">
        <v>45878</v>
      </c>
      <c r="B2309" t="s">
        <v>2786</v>
      </c>
      <c r="C2309" t="s">
        <v>20</v>
      </c>
      <c r="D2309" t="s">
        <v>3030</v>
      </c>
      <c r="E2309">
        <v>3257</v>
      </c>
    </row>
    <row r="2310" spans="1:5">
      <c r="A2310" s="1">
        <v>45878</v>
      </c>
      <c r="B2310" t="s">
        <v>52</v>
      </c>
      <c r="C2310" t="s">
        <v>20</v>
      </c>
      <c r="D2310" t="s">
        <v>3031</v>
      </c>
      <c r="E2310">
        <v>740</v>
      </c>
    </row>
    <row r="2311" spans="1:5">
      <c r="A2311" s="1">
        <v>45878</v>
      </c>
      <c r="B2311" t="s">
        <v>2233</v>
      </c>
      <c r="C2311" t="s">
        <v>20</v>
      </c>
      <c r="D2311" t="s">
        <v>3032</v>
      </c>
      <c r="E2311">
        <v>2000</v>
      </c>
    </row>
    <row r="2312" spans="1:5">
      <c r="A2312" s="1">
        <v>45878</v>
      </c>
      <c r="B2312" t="s">
        <v>50</v>
      </c>
      <c r="C2312" t="s">
        <v>20</v>
      </c>
      <c r="D2312" t="s">
        <v>3033</v>
      </c>
      <c r="E2312">
        <v>675</v>
      </c>
    </row>
    <row r="2313" spans="1:5">
      <c r="A2313" s="1">
        <v>45878</v>
      </c>
      <c r="B2313" t="s">
        <v>2603</v>
      </c>
      <c r="C2313" t="s">
        <v>20</v>
      </c>
      <c r="D2313" t="s">
        <v>3034</v>
      </c>
      <c r="E2313">
        <v>3320</v>
      </c>
    </row>
    <row r="2314" spans="1:5">
      <c r="A2314" s="1">
        <v>45878</v>
      </c>
      <c r="B2314" t="s">
        <v>3008</v>
      </c>
      <c r="C2314" t="s">
        <v>20</v>
      </c>
      <c r="D2314" t="s">
        <v>3035</v>
      </c>
      <c r="E2314">
        <v>27333</v>
      </c>
    </row>
    <row r="2315" spans="1:5">
      <c r="A2315" s="1">
        <v>45878</v>
      </c>
      <c r="B2315" t="s">
        <v>193</v>
      </c>
      <c r="C2315" t="s">
        <v>20</v>
      </c>
      <c r="D2315" t="s">
        <v>3036</v>
      </c>
      <c r="E2315">
        <v>14403</v>
      </c>
    </row>
    <row r="2316" spans="1:5">
      <c r="A2316" s="1">
        <v>45878</v>
      </c>
      <c r="B2316" t="s">
        <v>3037</v>
      </c>
      <c r="C2316" t="s">
        <v>20</v>
      </c>
      <c r="D2316" t="s">
        <v>3038</v>
      </c>
      <c r="E2316">
        <v>24</v>
      </c>
    </row>
    <row r="2317" spans="1:5">
      <c r="A2317" s="1">
        <v>45878</v>
      </c>
      <c r="B2317" t="s">
        <v>254</v>
      </c>
      <c r="C2317" t="s">
        <v>20</v>
      </c>
      <c r="D2317" t="s">
        <v>3039</v>
      </c>
      <c r="E2317">
        <v>1850</v>
      </c>
    </row>
    <row r="2318" spans="1:5">
      <c r="A2318" s="1">
        <v>45878</v>
      </c>
      <c r="B2318" t="s">
        <v>3040</v>
      </c>
      <c r="C2318" t="s">
        <v>20</v>
      </c>
      <c r="D2318" t="s">
        <v>3041</v>
      </c>
      <c r="E2318">
        <v>50</v>
      </c>
    </row>
    <row r="2319" spans="1:5">
      <c r="A2319" s="1">
        <v>45878</v>
      </c>
      <c r="B2319" t="s">
        <v>2316</v>
      </c>
      <c r="C2319" t="s">
        <v>20</v>
      </c>
      <c r="D2319" t="s">
        <v>3042</v>
      </c>
      <c r="E2319">
        <v>12773</v>
      </c>
    </row>
    <row r="2320" spans="1:5">
      <c r="A2320" s="1">
        <v>45878</v>
      </c>
      <c r="B2320" t="s">
        <v>378</v>
      </c>
      <c r="C2320" t="s">
        <v>20</v>
      </c>
      <c r="D2320" t="s">
        <v>3043</v>
      </c>
      <c r="E2320">
        <v>3700</v>
      </c>
    </row>
    <row r="2321" spans="1:5">
      <c r="A2321" s="1">
        <v>45878</v>
      </c>
      <c r="B2321" t="s">
        <v>2059</v>
      </c>
      <c r="C2321" t="s">
        <v>20</v>
      </c>
      <c r="D2321" t="s">
        <v>3044</v>
      </c>
      <c r="E2321">
        <v>740</v>
      </c>
    </row>
    <row r="2322" spans="1:5">
      <c r="A2322" s="1">
        <v>45878</v>
      </c>
      <c r="B2322" t="s">
        <v>455</v>
      </c>
      <c r="C2322" t="s">
        <v>20</v>
      </c>
      <c r="D2322" t="s">
        <v>3045</v>
      </c>
      <c r="E2322">
        <v>32508</v>
      </c>
    </row>
    <row r="2323" spans="1:5">
      <c r="A2323" s="1">
        <v>45878</v>
      </c>
      <c r="B2323" t="s">
        <v>1397</v>
      </c>
      <c r="C2323" t="s">
        <v>20</v>
      </c>
      <c r="D2323" t="s">
        <v>3046</v>
      </c>
      <c r="E2323">
        <v>740</v>
      </c>
    </row>
    <row r="2324" spans="1:5">
      <c r="A2324" s="1">
        <v>45878</v>
      </c>
      <c r="B2324" t="s">
        <v>83</v>
      </c>
      <c r="C2324" t="s">
        <v>20</v>
      </c>
      <c r="D2324" t="s">
        <v>3047</v>
      </c>
      <c r="E2324">
        <v>180</v>
      </c>
    </row>
    <row r="2325" spans="1:5">
      <c r="A2325" s="1">
        <v>45880</v>
      </c>
      <c r="B2325" t="s">
        <v>1104</v>
      </c>
      <c r="C2325" t="s">
        <v>19</v>
      </c>
      <c r="D2325" t="s">
        <v>3048</v>
      </c>
      <c r="E2325">
        <v>18500</v>
      </c>
    </row>
    <row r="2326" spans="1:5">
      <c r="A2326" s="1">
        <v>45880</v>
      </c>
      <c r="B2326" t="s">
        <v>27</v>
      </c>
      <c r="C2326" t="s">
        <v>19</v>
      </c>
      <c r="D2326" t="s">
        <v>3049</v>
      </c>
      <c r="E2326">
        <v>3872</v>
      </c>
    </row>
    <row r="2327" spans="1:5">
      <c r="A2327" s="1">
        <v>45880</v>
      </c>
      <c r="B2327" t="s">
        <v>3050</v>
      </c>
      <c r="C2327" t="s">
        <v>19</v>
      </c>
      <c r="D2327" t="s">
        <v>3051</v>
      </c>
      <c r="E2327">
        <v>5622</v>
      </c>
    </row>
    <row r="2328" spans="1:5">
      <c r="A2328" s="1">
        <v>45880</v>
      </c>
      <c r="B2328" t="s">
        <v>1628</v>
      </c>
      <c r="C2328" t="s">
        <v>19</v>
      </c>
      <c r="D2328" t="s">
        <v>3052</v>
      </c>
      <c r="E2328">
        <v>1200</v>
      </c>
    </row>
    <row r="2329" spans="1:5">
      <c r="A2329" s="1">
        <v>45880</v>
      </c>
      <c r="B2329" t="s">
        <v>1104</v>
      </c>
      <c r="C2329" t="s">
        <v>19</v>
      </c>
      <c r="D2329" t="s">
        <v>3053</v>
      </c>
      <c r="E2329">
        <v>37202</v>
      </c>
    </row>
    <row r="2330" spans="1:5">
      <c r="A2330" s="1">
        <v>45880</v>
      </c>
      <c r="B2330" t="s">
        <v>3054</v>
      </c>
      <c r="C2330" t="s">
        <v>20</v>
      </c>
      <c r="D2330" t="s">
        <v>3055</v>
      </c>
      <c r="E2330">
        <v>1862</v>
      </c>
    </row>
    <row r="2331" spans="1:5">
      <c r="A2331" s="1">
        <v>45880</v>
      </c>
      <c r="B2331" t="s">
        <v>1666</v>
      </c>
      <c r="C2331" t="s">
        <v>20</v>
      </c>
      <c r="D2331" t="s">
        <v>3056</v>
      </c>
      <c r="E2331">
        <v>5012</v>
      </c>
    </row>
    <row r="2332" spans="1:5">
      <c r="A2332" s="1">
        <v>45880</v>
      </c>
      <c r="B2332" t="s">
        <v>50</v>
      </c>
      <c r="C2332" t="s">
        <v>20</v>
      </c>
      <c r="D2332" t="s">
        <v>3057</v>
      </c>
      <c r="E2332">
        <v>740</v>
      </c>
    </row>
    <row r="2333" spans="1:5">
      <c r="A2333" s="1">
        <v>45880</v>
      </c>
      <c r="B2333" t="s">
        <v>50</v>
      </c>
      <c r="C2333" t="s">
        <v>20</v>
      </c>
      <c r="D2333" t="s">
        <v>3058</v>
      </c>
      <c r="E2333">
        <v>370</v>
      </c>
    </row>
    <row r="2334" spans="1:5">
      <c r="A2334" s="1">
        <v>45880</v>
      </c>
      <c r="B2334" t="s">
        <v>756</v>
      </c>
      <c r="C2334" t="s">
        <v>20</v>
      </c>
      <c r="D2334" t="s">
        <v>3059</v>
      </c>
      <c r="E2334">
        <v>8240</v>
      </c>
    </row>
    <row r="2335" spans="1:5">
      <c r="A2335" s="1">
        <v>45880</v>
      </c>
      <c r="B2335" t="s">
        <v>35</v>
      </c>
      <c r="C2335" t="s">
        <v>20</v>
      </c>
      <c r="D2335" t="s">
        <v>3060</v>
      </c>
      <c r="E2335">
        <v>10048</v>
      </c>
    </row>
    <row r="2336" spans="1:5">
      <c r="A2336" s="1">
        <v>45880</v>
      </c>
      <c r="B2336" t="s">
        <v>3061</v>
      </c>
      <c r="C2336" t="s">
        <v>20</v>
      </c>
      <c r="D2336" t="s">
        <v>3062</v>
      </c>
      <c r="E2336">
        <v>1840</v>
      </c>
    </row>
    <row r="2337" spans="1:5">
      <c r="A2337" s="1">
        <v>45880</v>
      </c>
      <c r="B2337" t="s">
        <v>870</v>
      </c>
      <c r="C2337" t="s">
        <v>20</v>
      </c>
      <c r="D2337" t="s">
        <v>3063</v>
      </c>
      <c r="E2337">
        <v>24315</v>
      </c>
    </row>
    <row r="2338" spans="1:5">
      <c r="A2338" s="1">
        <v>45880</v>
      </c>
      <c r="B2338" t="s">
        <v>3064</v>
      </c>
      <c r="C2338" t="s">
        <v>20</v>
      </c>
      <c r="D2338" t="s">
        <v>3065</v>
      </c>
      <c r="E2338">
        <v>662</v>
      </c>
    </row>
    <row r="2339" spans="1:5">
      <c r="A2339" s="1">
        <v>45880</v>
      </c>
      <c r="B2339" t="s">
        <v>3066</v>
      </c>
      <c r="C2339" t="s">
        <v>20</v>
      </c>
      <c r="D2339" t="s">
        <v>3067</v>
      </c>
      <c r="E2339">
        <v>88972</v>
      </c>
    </row>
    <row r="2340" spans="1:5">
      <c r="A2340" s="1">
        <v>45880</v>
      </c>
      <c r="B2340" t="s">
        <v>50</v>
      </c>
      <c r="C2340" t="s">
        <v>20</v>
      </c>
      <c r="D2340" t="s">
        <v>3068</v>
      </c>
      <c r="E2340">
        <v>2220</v>
      </c>
    </row>
    <row r="2341" spans="1:5">
      <c r="A2341" s="1">
        <v>45880</v>
      </c>
      <c r="B2341" t="s">
        <v>647</v>
      </c>
      <c r="C2341" t="s">
        <v>20</v>
      </c>
      <c r="D2341" t="s">
        <v>3069</v>
      </c>
      <c r="E2341">
        <v>3700</v>
      </c>
    </row>
    <row r="2342" spans="1:5">
      <c r="A2342" s="1">
        <v>45880</v>
      </c>
      <c r="B2342" t="s">
        <v>3008</v>
      </c>
      <c r="C2342" t="s">
        <v>20</v>
      </c>
      <c r="D2342" t="s">
        <v>3070</v>
      </c>
      <c r="E2342">
        <v>10805</v>
      </c>
    </row>
    <row r="2343" spans="1:5">
      <c r="A2343" s="1">
        <v>45880</v>
      </c>
      <c r="B2343" t="s">
        <v>50</v>
      </c>
      <c r="C2343" t="s">
        <v>20</v>
      </c>
      <c r="D2343" t="s">
        <v>3071</v>
      </c>
      <c r="E2343">
        <v>12</v>
      </c>
    </row>
    <row r="2344" spans="1:5">
      <c r="A2344" s="1">
        <v>45880</v>
      </c>
      <c r="B2344" t="s">
        <v>412</v>
      </c>
      <c r="C2344" t="s">
        <v>20</v>
      </c>
      <c r="D2344" t="s">
        <v>3072</v>
      </c>
      <c r="E2344">
        <v>740</v>
      </c>
    </row>
    <row r="2345" spans="1:5">
      <c r="A2345" s="1">
        <v>45880</v>
      </c>
      <c r="B2345" t="s">
        <v>50</v>
      </c>
      <c r="C2345" t="s">
        <v>20</v>
      </c>
      <c r="D2345" t="s">
        <v>3073</v>
      </c>
      <c r="E2345">
        <v>281</v>
      </c>
    </row>
    <row r="2346" spans="1:5">
      <c r="A2346" s="1">
        <v>45880</v>
      </c>
      <c r="B2346" t="s">
        <v>3074</v>
      </c>
      <c r="C2346" t="s">
        <v>20</v>
      </c>
      <c r="D2346" t="s">
        <v>3075</v>
      </c>
      <c r="E2346">
        <v>17263</v>
      </c>
    </row>
    <row r="2347" spans="1:5">
      <c r="A2347" s="1">
        <v>45881</v>
      </c>
      <c r="B2347" t="s">
        <v>443</v>
      </c>
      <c r="C2347" t="s">
        <v>19</v>
      </c>
      <c r="D2347" t="s">
        <v>3076</v>
      </c>
      <c r="E2347">
        <v>10930</v>
      </c>
    </row>
    <row r="2348" spans="1:5">
      <c r="A2348" s="1">
        <v>45881</v>
      </c>
      <c r="B2348" t="s">
        <v>3077</v>
      </c>
      <c r="C2348" t="s">
        <v>20</v>
      </c>
      <c r="D2348" t="s">
        <v>3078</v>
      </c>
      <c r="E2348">
        <v>9438</v>
      </c>
    </row>
    <row r="2349" spans="1:5">
      <c r="A2349" s="1">
        <v>45881</v>
      </c>
      <c r="B2349" t="s">
        <v>709</v>
      </c>
      <c r="C2349" t="s">
        <v>20</v>
      </c>
      <c r="D2349" t="s">
        <v>3079</v>
      </c>
      <c r="E2349">
        <v>5550</v>
      </c>
    </row>
    <row r="2350" spans="1:5">
      <c r="A2350" s="1">
        <v>45881</v>
      </c>
      <c r="B2350" t="s">
        <v>50</v>
      </c>
      <c r="C2350" t="s">
        <v>20</v>
      </c>
      <c r="D2350" t="s">
        <v>3080</v>
      </c>
      <c r="E2350">
        <v>12</v>
      </c>
    </row>
    <row r="2351" spans="1:5">
      <c r="A2351" s="1">
        <v>45881</v>
      </c>
      <c r="B2351" t="s">
        <v>33</v>
      </c>
      <c r="C2351" t="s">
        <v>20</v>
      </c>
      <c r="D2351" t="s">
        <v>3081</v>
      </c>
      <c r="E2351">
        <v>10060</v>
      </c>
    </row>
    <row r="2352" spans="1:5">
      <c r="A2352" s="1">
        <v>45881</v>
      </c>
      <c r="B2352" t="s">
        <v>870</v>
      </c>
      <c r="C2352" t="s">
        <v>20</v>
      </c>
      <c r="D2352" t="s">
        <v>3082</v>
      </c>
      <c r="E2352">
        <v>175</v>
      </c>
    </row>
    <row r="2353" spans="1:5">
      <c r="A2353" s="1">
        <v>45881</v>
      </c>
      <c r="B2353" t="s">
        <v>52</v>
      </c>
      <c r="C2353" t="s">
        <v>20</v>
      </c>
      <c r="D2353" t="s">
        <v>3083</v>
      </c>
      <c r="E2353">
        <v>740</v>
      </c>
    </row>
    <row r="2354" spans="1:5">
      <c r="A2354" s="1">
        <v>45881</v>
      </c>
      <c r="B2354" t="s">
        <v>254</v>
      </c>
      <c r="C2354" t="s">
        <v>20</v>
      </c>
      <c r="D2354" t="s">
        <v>3084</v>
      </c>
      <c r="E2354">
        <v>740</v>
      </c>
    </row>
    <row r="2355" spans="1:5">
      <c r="A2355" s="1">
        <v>45881</v>
      </c>
      <c r="B2355" t="s">
        <v>526</v>
      </c>
      <c r="C2355" t="s">
        <v>20</v>
      </c>
      <c r="D2355" t="s">
        <v>3085</v>
      </c>
      <c r="E2355">
        <v>17687</v>
      </c>
    </row>
    <row r="2356" spans="1:5">
      <c r="A2356" s="1">
        <v>45881</v>
      </c>
      <c r="B2356" t="s">
        <v>526</v>
      </c>
      <c r="C2356" t="s">
        <v>20</v>
      </c>
      <c r="D2356" t="s">
        <v>3086</v>
      </c>
      <c r="E2356">
        <v>19900</v>
      </c>
    </row>
    <row r="2357" spans="1:5">
      <c r="A2357" s="1">
        <v>45881</v>
      </c>
      <c r="B2357" t="s">
        <v>3087</v>
      </c>
      <c r="C2357" t="s">
        <v>20</v>
      </c>
      <c r="D2357" t="s">
        <v>3088</v>
      </c>
      <c r="E2357">
        <v>530</v>
      </c>
    </row>
    <row r="2358" spans="1:5">
      <c r="A2358" s="1">
        <v>45881</v>
      </c>
      <c r="B2358" t="s">
        <v>3089</v>
      </c>
      <c r="C2358" t="s">
        <v>20</v>
      </c>
      <c r="D2358" t="s">
        <v>3090</v>
      </c>
      <c r="E2358">
        <v>40168</v>
      </c>
    </row>
    <row r="2359" spans="1:5">
      <c r="A2359" s="1">
        <v>45881</v>
      </c>
      <c r="B2359" t="s">
        <v>50</v>
      </c>
      <c r="C2359" t="s">
        <v>20</v>
      </c>
      <c r="D2359" t="s">
        <v>3091</v>
      </c>
      <c r="E2359">
        <v>370</v>
      </c>
    </row>
    <row r="2360" spans="1:5">
      <c r="A2360" s="1">
        <v>45881</v>
      </c>
      <c r="B2360" t="s">
        <v>870</v>
      </c>
      <c r="C2360" t="s">
        <v>20</v>
      </c>
      <c r="D2360" t="s">
        <v>3092</v>
      </c>
      <c r="E2360">
        <v>793</v>
      </c>
    </row>
    <row r="2361" spans="1:5">
      <c r="A2361" s="1">
        <v>45881</v>
      </c>
      <c r="B2361" t="s">
        <v>50</v>
      </c>
      <c r="C2361" t="s">
        <v>20</v>
      </c>
      <c r="D2361" t="s">
        <v>3093</v>
      </c>
      <c r="E2361">
        <v>12</v>
      </c>
    </row>
    <row r="2362" spans="1:5">
      <c r="A2362" s="1">
        <v>45881</v>
      </c>
      <c r="B2362" t="s">
        <v>3094</v>
      </c>
      <c r="C2362" t="s">
        <v>20</v>
      </c>
      <c r="D2362" t="s">
        <v>3095</v>
      </c>
      <c r="E2362">
        <v>1110</v>
      </c>
    </row>
    <row r="2363" spans="1:5">
      <c r="A2363" s="1">
        <v>45881</v>
      </c>
      <c r="B2363" t="s">
        <v>89</v>
      </c>
      <c r="C2363" t="s">
        <v>20</v>
      </c>
      <c r="D2363" t="s">
        <v>3096</v>
      </c>
      <c r="E2363">
        <v>5302</v>
      </c>
    </row>
    <row r="2364" spans="1:5">
      <c r="A2364" s="1">
        <v>45881</v>
      </c>
      <c r="B2364" t="s">
        <v>2059</v>
      </c>
      <c r="C2364" t="s">
        <v>20</v>
      </c>
      <c r="D2364" t="s">
        <v>3097</v>
      </c>
      <c r="E2364">
        <v>2397</v>
      </c>
    </row>
    <row r="2365" spans="1:5">
      <c r="A2365" s="1">
        <v>45881</v>
      </c>
      <c r="B2365" t="s">
        <v>35</v>
      </c>
      <c r="C2365" t="s">
        <v>20</v>
      </c>
      <c r="D2365" t="s">
        <v>3098</v>
      </c>
      <c r="E2365">
        <v>24761</v>
      </c>
    </row>
    <row r="2366" spans="1:5">
      <c r="A2366" s="1">
        <v>45881</v>
      </c>
      <c r="B2366" t="s">
        <v>3074</v>
      </c>
      <c r="C2366" t="s">
        <v>20</v>
      </c>
      <c r="D2366" t="s">
        <v>3099</v>
      </c>
      <c r="E2366">
        <v>25700</v>
      </c>
    </row>
    <row r="2367" spans="1:5">
      <c r="A2367" s="1">
        <v>45881</v>
      </c>
      <c r="B2367" t="s">
        <v>52</v>
      </c>
      <c r="C2367" t="s">
        <v>20</v>
      </c>
      <c r="D2367" t="s">
        <v>3100</v>
      </c>
      <c r="E2367">
        <v>1500</v>
      </c>
    </row>
    <row r="2368" spans="1:5">
      <c r="A2368" s="1">
        <v>45881</v>
      </c>
      <c r="B2368" t="s">
        <v>3101</v>
      </c>
      <c r="C2368" t="s">
        <v>20</v>
      </c>
      <c r="D2368" t="s">
        <v>3102</v>
      </c>
      <c r="E2368">
        <v>15412</v>
      </c>
    </row>
    <row r="2369" spans="1:5">
      <c r="A2369" s="1">
        <v>45881</v>
      </c>
      <c r="B2369" t="s">
        <v>3008</v>
      </c>
      <c r="C2369" t="s">
        <v>20</v>
      </c>
      <c r="D2369" t="s">
        <v>3103</v>
      </c>
      <c r="E2369">
        <v>740</v>
      </c>
    </row>
    <row r="2370" spans="1:5">
      <c r="A2370" s="1">
        <v>45881</v>
      </c>
      <c r="B2370" t="s">
        <v>3104</v>
      </c>
      <c r="C2370" t="s">
        <v>20</v>
      </c>
      <c r="D2370" t="s">
        <v>3105</v>
      </c>
      <c r="E2370">
        <v>39183</v>
      </c>
    </row>
    <row r="2371" spans="1:5">
      <c r="A2371" s="1">
        <v>45882</v>
      </c>
      <c r="B2371" t="s">
        <v>1104</v>
      </c>
      <c r="C2371" t="s">
        <v>19</v>
      </c>
      <c r="D2371" t="s">
        <v>3106</v>
      </c>
      <c r="E2371">
        <v>65753</v>
      </c>
    </row>
    <row r="2372" spans="1:5">
      <c r="A2372" s="1">
        <v>45882</v>
      </c>
      <c r="B2372" t="s">
        <v>180</v>
      </c>
      <c r="C2372" t="s">
        <v>19</v>
      </c>
      <c r="D2372" t="s">
        <v>3107</v>
      </c>
      <c r="E2372">
        <v>3337</v>
      </c>
    </row>
    <row r="2373" spans="1:5">
      <c r="A2373" s="1">
        <v>45882</v>
      </c>
      <c r="B2373" t="s">
        <v>1628</v>
      </c>
      <c r="C2373" t="s">
        <v>19</v>
      </c>
      <c r="D2373" t="s">
        <v>3108</v>
      </c>
      <c r="E2373">
        <v>20460</v>
      </c>
    </row>
    <row r="2374" spans="1:5">
      <c r="A2374" s="1">
        <v>45882</v>
      </c>
      <c r="B2374" t="s">
        <v>3109</v>
      </c>
      <c r="C2374" t="s">
        <v>19</v>
      </c>
      <c r="D2374" t="s">
        <v>3110</v>
      </c>
      <c r="E2374">
        <v>7920</v>
      </c>
    </row>
    <row r="2375" spans="1:5">
      <c r="A2375" s="1">
        <v>45882</v>
      </c>
      <c r="B2375" t="s">
        <v>2498</v>
      </c>
      <c r="C2375" t="s">
        <v>19</v>
      </c>
      <c r="D2375" t="s">
        <v>3111</v>
      </c>
      <c r="E2375">
        <v>370</v>
      </c>
    </row>
    <row r="2376" spans="1:5">
      <c r="A2376" s="1">
        <v>45882</v>
      </c>
      <c r="B2376" t="s">
        <v>176</v>
      </c>
      <c r="C2376" t="s">
        <v>19</v>
      </c>
      <c r="D2376" t="s">
        <v>3112</v>
      </c>
      <c r="E2376">
        <v>510</v>
      </c>
    </row>
    <row r="2377" spans="1:5">
      <c r="A2377" s="1">
        <v>45882</v>
      </c>
      <c r="B2377" t="s">
        <v>197</v>
      </c>
      <c r="C2377" t="s">
        <v>20</v>
      </c>
      <c r="D2377" t="s">
        <v>3113</v>
      </c>
      <c r="E2377">
        <v>740</v>
      </c>
    </row>
    <row r="2378" spans="1:5">
      <c r="A2378" s="1">
        <v>45882</v>
      </c>
      <c r="B2378" t="s">
        <v>968</v>
      </c>
      <c r="C2378" t="s">
        <v>20</v>
      </c>
      <c r="D2378" t="s">
        <v>3114</v>
      </c>
      <c r="E2378">
        <v>8900</v>
      </c>
    </row>
    <row r="2379" spans="1:5">
      <c r="A2379" s="1">
        <v>45882</v>
      </c>
      <c r="B2379" t="s">
        <v>1666</v>
      </c>
      <c r="C2379" t="s">
        <v>20</v>
      </c>
      <c r="D2379" t="s">
        <v>3115</v>
      </c>
      <c r="E2379">
        <v>684</v>
      </c>
    </row>
    <row r="2380" spans="1:5">
      <c r="A2380" s="1">
        <v>45882</v>
      </c>
      <c r="B2380" t="s">
        <v>222</v>
      </c>
      <c r="C2380" t="s">
        <v>20</v>
      </c>
      <c r="D2380" t="s">
        <v>3116</v>
      </c>
      <c r="E2380">
        <v>1850</v>
      </c>
    </row>
    <row r="2381" spans="1:5">
      <c r="A2381" s="1">
        <v>45882</v>
      </c>
      <c r="B2381" t="s">
        <v>50</v>
      </c>
      <c r="C2381" t="s">
        <v>20</v>
      </c>
      <c r="D2381" t="s">
        <v>3117</v>
      </c>
      <c r="E2381">
        <v>12</v>
      </c>
    </row>
    <row r="2382" spans="1:5">
      <c r="A2382" s="1">
        <v>45882</v>
      </c>
      <c r="B2382" t="s">
        <v>1275</v>
      </c>
      <c r="C2382" t="s">
        <v>20</v>
      </c>
      <c r="D2382" t="s">
        <v>3118</v>
      </c>
      <c r="E2382">
        <v>6592</v>
      </c>
    </row>
    <row r="2383" spans="1:5">
      <c r="A2383" s="1">
        <v>45882</v>
      </c>
      <c r="B2383" t="s">
        <v>43</v>
      </c>
      <c r="C2383" t="s">
        <v>20</v>
      </c>
      <c r="D2383" t="s">
        <v>3119</v>
      </c>
      <c r="E2383">
        <v>6873</v>
      </c>
    </row>
    <row r="2384" spans="1:5">
      <c r="A2384" s="1">
        <v>45882</v>
      </c>
      <c r="B2384" t="s">
        <v>50</v>
      </c>
      <c r="C2384" t="s">
        <v>20</v>
      </c>
      <c r="D2384" t="s">
        <v>3120</v>
      </c>
      <c r="E2384">
        <v>9</v>
      </c>
    </row>
    <row r="2385" spans="1:5">
      <c r="A2385" s="1">
        <v>45882</v>
      </c>
      <c r="B2385" t="s">
        <v>3121</v>
      </c>
      <c r="C2385" t="s">
        <v>20</v>
      </c>
      <c r="D2385" t="s">
        <v>3122</v>
      </c>
      <c r="E2385">
        <v>3700</v>
      </c>
    </row>
    <row r="2386" spans="1:5">
      <c r="A2386" s="1">
        <v>45882</v>
      </c>
      <c r="B2386" t="s">
        <v>1397</v>
      </c>
      <c r="C2386" t="s">
        <v>20</v>
      </c>
      <c r="D2386" t="s">
        <v>3123</v>
      </c>
      <c r="E2386">
        <v>47955</v>
      </c>
    </row>
    <row r="2387" spans="1:5">
      <c r="A2387" s="1">
        <v>45882</v>
      </c>
      <c r="B2387" t="s">
        <v>197</v>
      </c>
      <c r="C2387" t="s">
        <v>20</v>
      </c>
      <c r="D2387" t="s">
        <v>3124</v>
      </c>
      <c r="E2387">
        <v>370</v>
      </c>
    </row>
    <row r="2388" spans="1:5">
      <c r="A2388" s="1">
        <v>45882</v>
      </c>
      <c r="B2388" t="s">
        <v>3087</v>
      </c>
      <c r="C2388" t="s">
        <v>20</v>
      </c>
      <c r="D2388" t="s">
        <v>3125</v>
      </c>
      <c r="E2388">
        <v>1900</v>
      </c>
    </row>
    <row r="2389" spans="1:5">
      <c r="A2389" s="1">
        <v>45882</v>
      </c>
      <c r="B2389" t="s">
        <v>1666</v>
      </c>
      <c r="C2389" t="s">
        <v>20</v>
      </c>
      <c r="D2389" t="s">
        <v>3126</v>
      </c>
      <c r="E2389">
        <v>195</v>
      </c>
    </row>
    <row r="2390" spans="1:5">
      <c r="A2390" s="1">
        <v>45882</v>
      </c>
      <c r="B2390" t="s">
        <v>412</v>
      </c>
      <c r="C2390" t="s">
        <v>20</v>
      </c>
      <c r="D2390" t="s">
        <v>3127</v>
      </c>
      <c r="E2390">
        <v>370</v>
      </c>
    </row>
    <row r="2391" spans="1:5">
      <c r="A2391" s="1">
        <v>45883</v>
      </c>
      <c r="B2391" t="s">
        <v>180</v>
      </c>
      <c r="C2391" t="s">
        <v>19</v>
      </c>
      <c r="D2391" t="s">
        <v>3128</v>
      </c>
      <c r="E2391">
        <v>4412</v>
      </c>
    </row>
    <row r="2392" spans="1:5">
      <c r="A2392" s="1">
        <v>45883</v>
      </c>
      <c r="B2392" t="s">
        <v>543</v>
      </c>
      <c r="C2392" t="s">
        <v>19</v>
      </c>
      <c r="D2392" t="s">
        <v>3129</v>
      </c>
      <c r="E2392">
        <v>768</v>
      </c>
    </row>
    <row r="2393" spans="1:5">
      <c r="A2393" s="1">
        <v>45883</v>
      </c>
      <c r="B2393" t="s">
        <v>3130</v>
      </c>
      <c r="C2393" t="s">
        <v>20</v>
      </c>
      <c r="D2393" t="s">
        <v>3131</v>
      </c>
      <c r="E2393">
        <v>370</v>
      </c>
    </row>
    <row r="2394" spans="1:5">
      <c r="A2394" s="1">
        <v>45883</v>
      </c>
      <c r="B2394" t="s">
        <v>52</v>
      </c>
      <c r="C2394" t="s">
        <v>20</v>
      </c>
      <c r="D2394" t="s">
        <v>3132</v>
      </c>
      <c r="E2394">
        <v>740</v>
      </c>
    </row>
    <row r="2395" spans="1:5">
      <c r="A2395" s="1">
        <v>45883</v>
      </c>
      <c r="B2395" t="s">
        <v>3008</v>
      </c>
      <c r="C2395" t="s">
        <v>20</v>
      </c>
      <c r="D2395" t="s">
        <v>3133</v>
      </c>
      <c r="E2395">
        <v>14580</v>
      </c>
    </row>
    <row r="2396" spans="1:5">
      <c r="A2396" s="1">
        <v>45883</v>
      </c>
      <c r="B2396" t="s">
        <v>2143</v>
      </c>
      <c r="C2396" t="s">
        <v>20</v>
      </c>
      <c r="D2396" t="s">
        <v>3134</v>
      </c>
      <c r="E2396">
        <v>2600</v>
      </c>
    </row>
    <row r="2397" spans="1:5">
      <c r="A2397" s="1">
        <v>45883</v>
      </c>
      <c r="B2397" t="s">
        <v>3135</v>
      </c>
      <c r="C2397" t="s">
        <v>20</v>
      </c>
      <c r="D2397" t="s">
        <v>3136</v>
      </c>
      <c r="E2397">
        <v>2888</v>
      </c>
    </row>
    <row r="2398" spans="1:5">
      <c r="A2398" s="1">
        <v>45883</v>
      </c>
      <c r="B2398" t="s">
        <v>802</v>
      </c>
      <c r="C2398" t="s">
        <v>20</v>
      </c>
      <c r="D2398" t="s">
        <v>3137</v>
      </c>
      <c r="E2398">
        <v>285</v>
      </c>
    </row>
    <row r="2399" spans="1:5">
      <c r="A2399" s="1">
        <v>45883</v>
      </c>
      <c r="B2399" t="s">
        <v>3138</v>
      </c>
      <c r="C2399" t="s">
        <v>20</v>
      </c>
      <c r="D2399" t="s">
        <v>3139</v>
      </c>
      <c r="E2399">
        <v>825</v>
      </c>
    </row>
    <row r="2400" spans="1:5">
      <c r="A2400" s="1">
        <v>45883</v>
      </c>
      <c r="B2400" t="s">
        <v>2206</v>
      </c>
      <c r="C2400" t="s">
        <v>20</v>
      </c>
      <c r="D2400" t="s">
        <v>3140</v>
      </c>
      <c r="E2400">
        <v>3010</v>
      </c>
    </row>
    <row r="2401" spans="1:5">
      <c r="A2401" s="1">
        <v>45883</v>
      </c>
      <c r="B2401" t="s">
        <v>3074</v>
      </c>
      <c r="C2401" t="s">
        <v>20</v>
      </c>
      <c r="D2401" t="s">
        <v>3141</v>
      </c>
      <c r="E2401">
        <v>16615</v>
      </c>
    </row>
    <row r="2402" spans="1:5">
      <c r="A2402" s="1">
        <v>45883</v>
      </c>
      <c r="B2402" t="s">
        <v>87</v>
      </c>
      <c r="C2402" t="s">
        <v>20</v>
      </c>
      <c r="D2402" t="s">
        <v>3142</v>
      </c>
      <c r="E2402">
        <v>958</v>
      </c>
    </row>
    <row r="2403" spans="1:5">
      <c r="A2403" s="1">
        <v>45883</v>
      </c>
      <c r="B2403" t="s">
        <v>1377</v>
      </c>
      <c r="C2403" t="s">
        <v>20</v>
      </c>
      <c r="D2403" t="s">
        <v>3143</v>
      </c>
      <c r="E2403">
        <v>22334</v>
      </c>
    </row>
    <row r="2404" spans="1:5">
      <c r="A2404" s="1">
        <v>45883</v>
      </c>
      <c r="B2404" t="s">
        <v>526</v>
      </c>
      <c r="C2404" t="s">
        <v>20</v>
      </c>
      <c r="D2404" t="s">
        <v>3144</v>
      </c>
      <c r="E2404">
        <v>922</v>
      </c>
    </row>
    <row r="2405" spans="1:5">
      <c r="A2405" s="1">
        <v>45883</v>
      </c>
      <c r="B2405" t="s">
        <v>254</v>
      </c>
      <c r="C2405" t="s">
        <v>20</v>
      </c>
      <c r="D2405" t="s">
        <v>3145</v>
      </c>
      <c r="E2405">
        <v>370</v>
      </c>
    </row>
    <row r="2406" spans="1:5">
      <c r="A2406" s="1">
        <v>45883</v>
      </c>
      <c r="B2406" t="s">
        <v>1302</v>
      </c>
      <c r="C2406" t="s">
        <v>20</v>
      </c>
      <c r="D2406" t="s">
        <v>3146</v>
      </c>
      <c r="E2406">
        <v>633</v>
      </c>
    </row>
    <row r="2407" spans="1:5">
      <c r="A2407" s="1">
        <v>45883</v>
      </c>
      <c r="B2407" t="s">
        <v>709</v>
      </c>
      <c r="C2407" t="s">
        <v>20</v>
      </c>
      <c r="D2407" t="s">
        <v>3147</v>
      </c>
      <c r="E2407">
        <v>7400</v>
      </c>
    </row>
    <row r="2408" spans="1:5">
      <c r="A2408" s="1">
        <v>45883</v>
      </c>
      <c r="B2408" t="s">
        <v>100</v>
      </c>
      <c r="C2408" t="s">
        <v>20</v>
      </c>
      <c r="D2408" t="s">
        <v>3148</v>
      </c>
      <c r="E2408">
        <v>590</v>
      </c>
    </row>
    <row r="2409" spans="1:5">
      <c r="A2409" s="1">
        <v>45883</v>
      </c>
      <c r="B2409" t="s">
        <v>33</v>
      </c>
      <c r="C2409" t="s">
        <v>20</v>
      </c>
      <c r="D2409" t="s">
        <v>3149</v>
      </c>
      <c r="E2409">
        <v>540</v>
      </c>
    </row>
    <row r="2410" spans="1:5">
      <c r="A2410" s="1">
        <v>45883</v>
      </c>
      <c r="B2410" t="s">
        <v>3066</v>
      </c>
      <c r="C2410" t="s">
        <v>20</v>
      </c>
      <c r="D2410" t="s">
        <v>3150</v>
      </c>
      <c r="E2410">
        <v>2250</v>
      </c>
    </row>
    <row r="2411" spans="1:5">
      <c r="A2411" s="1">
        <v>45883</v>
      </c>
      <c r="B2411" t="s">
        <v>3151</v>
      </c>
      <c r="C2411" t="s">
        <v>20</v>
      </c>
      <c r="D2411" t="s">
        <v>3152</v>
      </c>
      <c r="E2411">
        <v>11456</v>
      </c>
    </row>
    <row r="2412" spans="1:5">
      <c r="A2412" s="1">
        <v>45883</v>
      </c>
      <c r="B2412" t="s">
        <v>203</v>
      </c>
      <c r="C2412" t="s">
        <v>20</v>
      </c>
      <c r="D2412" t="s">
        <v>3153</v>
      </c>
      <c r="E2412">
        <v>1110</v>
      </c>
    </row>
    <row r="2413" spans="1:5">
      <c r="A2413" s="1">
        <v>45883</v>
      </c>
      <c r="B2413" t="s">
        <v>50</v>
      </c>
      <c r="C2413" t="s">
        <v>20</v>
      </c>
      <c r="D2413" t="s">
        <v>3154</v>
      </c>
      <c r="E2413">
        <v>30</v>
      </c>
    </row>
    <row r="2414" spans="1:5">
      <c r="A2414" s="1">
        <v>45883</v>
      </c>
      <c r="B2414" t="s">
        <v>378</v>
      </c>
      <c r="C2414" t="s">
        <v>20</v>
      </c>
      <c r="D2414" t="s">
        <v>3155</v>
      </c>
      <c r="E2414">
        <v>3700</v>
      </c>
    </row>
    <row r="2415" spans="1:5">
      <c r="A2415" s="1">
        <v>45883</v>
      </c>
      <c r="B2415" t="s">
        <v>66</v>
      </c>
      <c r="C2415" t="s">
        <v>20</v>
      </c>
      <c r="D2415" t="s">
        <v>3156</v>
      </c>
      <c r="E2415">
        <v>125</v>
      </c>
    </row>
    <row r="2416" spans="1:5">
      <c r="A2416" s="1">
        <v>45883</v>
      </c>
      <c r="B2416" t="s">
        <v>3008</v>
      </c>
      <c r="C2416" t="s">
        <v>20</v>
      </c>
      <c r="D2416" t="s">
        <v>3157</v>
      </c>
      <c r="E2416">
        <v>375</v>
      </c>
    </row>
    <row r="2417" spans="1:5">
      <c r="A2417" s="1">
        <v>45883</v>
      </c>
      <c r="B2417" t="s">
        <v>50</v>
      </c>
      <c r="C2417" t="s">
        <v>20</v>
      </c>
      <c r="D2417" t="s">
        <v>3158</v>
      </c>
      <c r="E2417">
        <v>1034</v>
      </c>
    </row>
    <row r="2418" spans="1:5">
      <c r="A2418" s="1">
        <v>45883</v>
      </c>
      <c r="B2418" t="s">
        <v>3159</v>
      </c>
      <c r="C2418" t="s">
        <v>20</v>
      </c>
      <c r="D2418" t="s">
        <v>3160</v>
      </c>
      <c r="E2418">
        <v>370</v>
      </c>
    </row>
    <row r="2419" spans="1:5">
      <c r="A2419" s="1">
        <v>45884</v>
      </c>
      <c r="B2419" t="s">
        <v>2498</v>
      </c>
      <c r="C2419" t="s">
        <v>19</v>
      </c>
      <c r="D2419" t="s">
        <v>3161</v>
      </c>
      <c r="E2419">
        <v>170</v>
      </c>
    </row>
    <row r="2420" spans="1:5">
      <c r="A2420" s="1">
        <v>45884</v>
      </c>
      <c r="B2420" t="s">
        <v>2498</v>
      </c>
      <c r="C2420" t="s">
        <v>19</v>
      </c>
      <c r="D2420" t="s">
        <v>3162</v>
      </c>
      <c r="E2420">
        <v>425</v>
      </c>
    </row>
    <row r="2421" spans="1:5">
      <c r="A2421" s="1">
        <v>45884</v>
      </c>
      <c r="B2421" t="s">
        <v>3163</v>
      </c>
      <c r="C2421" t="s">
        <v>20</v>
      </c>
      <c r="D2421" t="s">
        <v>3164</v>
      </c>
      <c r="E2421">
        <v>360</v>
      </c>
    </row>
    <row r="2422" spans="1:5">
      <c r="A2422" s="1">
        <v>45884</v>
      </c>
      <c r="B2422" t="s">
        <v>2399</v>
      </c>
      <c r="C2422" t="s">
        <v>20</v>
      </c>
      <c r="D2422" t="s">
        <v>3165</v>
      </c>
      <c r="E2422">
        <v>745</v>
      </c>
    </row>
    <row r="2423" spans="1:5">
      <c r="A2423" s="1">
        <v>45884</v>
      </c>
      <c r="B2423" t="s">
        <v>3166</v>
      </c>
      <c r="C2423" t="s">
        <v>20</v>
      </c>
      <c r="D2423" t="s">
        <v>3167</v>
      </c>
      <c r="E2423">
        <v>370</v>
      </c>
    </row>
    <row r="2424" spans="1:5">
      <c r="A2424" s="1">
        <v>45884</v>
      </c>
      <c r="B2424" t="s">
        <v>1075</v>
      </c>
      <c r="C2424" t="s">
        <v>20</v>
      </c>
      <c r="D2424" t="s">
        <v>3168</v>
      </c>
      <c r="E2424">
        <v>11100</v>
      </c>
    </row>
    <row r="2425" spans="1:5">
      <c r="A2425" s="1">
        <v>45884</v>
      </c>
      <c r="B2425" t="s">
        <v>222</v>
      </c>
      <c r="C2425" t="s">
        <v>20</v>
      </c>
      <c r="D2425" t="s">
        <v>3169</v>
      </c>
      <c r="E2425">
        <v>12510</v>
      </c>
    </row>
    <row r="2426" spans="1:5">
      <c r="A2426" s="1">
        <v>45884</v>
      </c>
      <c r="B2426" t="s">
        <v>3008</v>
      </c>
      <c r="C2426" t="s">
        <v>20</v>
      </c>
      <c r="D2426" t="s">
        <v>3170</v>
      </c>
      <c r="E2426">
        <v>11070</v>
      </c>
    </row>
    <row r="2427" spans="1:5">
      <c r="A2427" s="1">
        <v>45884</v>
      </c>
      <c r="B2427" t="s">
        <v>2452</v>
      </c>
      <c r="C2427" t="s">
        <v>20</v>
      </c>
      <c r="D2427" t="s">
        <v>3171</v>
      </c>
      <c r="E2427">
        <v>22341</v>
      </c>
    </row>
    <row r="2428" spans="1:5">
      <c r="A2428" s="1">
        <v>45884</v>
      </c>
      <c r="B2428" t="s">
        <v>50</v>
      </c>
      <c r="C2428" t="s">
        <v>20</v>
      </c>
      <c r="D2428" t="s">
        <v>3172</v>
      </c>
      <c r="E2428">
        <v>12</v>
      </c>
    </row>
    <row r="2429" spans="1:5">
      <c r="A2429" s="1">
        <v>45884</v>
      </c>
      <c r="B2429" t="s">
        <v>3173</v>
      </c>
      <c r="C2429" t="s">
        <v>20</v>
      </c>
      <c r="D2429" t="s">
        <v>3174</v>
      </c>
      <c r="E2429">
        <v>370</v>
      </c>
    </row>
    <row r="2430" spans="1:5">
      <c r="A2430" s="1">
        <v>45884</v>
      </c>
      <c r="B2430" t="s">
        <v>2459</v>
      </c>
      <c r="C2430" t="s">
        <v>20</v>
      </c>
      <c r="D2430" t="s">
        <v>3175</v>
      </c>
      <c r="E2430">
        <v>3700</v>
      </c>
    </row>
    <row r="2431" spans="1:5">
      <c r="A2431" s="1">
        <v>45884</v>
      </c>
      <c r="B2431" t="s">
        <v>2316</v>
      </c>
      <c r="C2431" t="s">
        <v>20</v>
      </c>
      <c r="D2431" t="s">
        <v>3176</v>
      </c>
      <c r="E2431">
        <v>10721</v>
      </c>
    </row>
    <row r="2432" spans="1:5">
      <c r="A2432" s="1">
        <v>45884</v>
      </c>
      <c r="B2432" t="s">
        <v>50</v>
      </c>
      <c r="C2432" t="s">
        <v>20</v>
      </c>
      <c r="D2432" t="s">
        <v>3177</v>
      </c>
      <c r="E2432">
        <v>12</v>
      </c>
    </row>
    <row r="2433" spans="1:5">
      <c r="A2433" s="1">
        <v>45884</v>
      </c>
      <c r="B2433" t="s">
        <v>3074</v>
      </c>
      <c r="C2433" t="s">
        <v>20</v>
      </c>
      <c r="D2433" t="s">
        <v>3178</v>
      </c>
      <c r="E2433">
        <v>115</v>
      </c>
    </row>
    <row r="2434" spans="1:5">
      <c r="A2434" s="1">
        <v>45884</v>
      </c>
      <c r="B2434" t="s">
        <v>3173</v>
      </c>
      <c r="C2434" t="s">
        <v>20</v>
      </c>
      <c r="D2434" t="s">
        <v>3179</v>
      </c>
      <c r="E2434">
        <v>370</v>
      </c>
    </row>
    <row r="2435" spans="1:5">
      <c r="A2435" s="1">
        <v>45884</v>
      </c>
      <c r="B2435" t="s">
        <v>203</v>
      </c>
      <c r="C2435" t="s">
        <v>20</v>
      </c>
      <c r="D2435" t="s">
        <v>3180</v>
      </c>
      <c r="E2435">
        <v>1110</v>
      </c>
    </row>
    <row r="2436" spans="1:5">
      <c r="A2436" s="1">
        <v>45884</v>
      </c>
      <c r="B2436" t="s">
        <v>455</v>
      </c>
      <c r="C2436" t="s">
        <v>20</v>
      </c>
      <c r="D2436" t="s">
        <v>3181</v>
      </c>
      <c r="E2436">
        <v>1568</v>
      </c>
    </row>
    <row r="2437" spans="1:5">
      <c r="A2437" s="1">
        <v>45884</v>
      </c>
      <c r="B2437" t="s">
        <v>66</v>
      </c>
      <c r="C2437" t="s">
        <v>20</v>
      </c>
      <c r="D2437" t="s">
        <v>3182</v>
      </c>
      <c r="E2437">
        <v>450</v>
      </c>
    </row>
    <row r="2438" spans="1:5">
      <c r="A2438" s="1">
        <v>45884</v>
      </c>
      <c r="B2438" t="s">
        <v>3135</v>
      </c>
      <c r="C2438" t="s">
        <v>20</v>
      </c>
      <c r="D2438" t="s">
        <v>3183</v>
      </c>
      <c r="E2438">
        <v>757</v>
      </c>
    </row>
    <row r="2439" spans="1:5">
      <c r="A2439" s="1">
        <v>45884</v>
      </c>
      <c r="B2439" t="s">
        <v>3184</v>
      </c>
      <c r="C2439" t="s">
        <v>20</v>
      </c>
      <c r="D2439" t="s">
        <v>3185</v>
      </c>
      <c r="E2439">
        <v>370</v>
      </c>
    </row>
    <row r="2440" spans="1:5">
      <c r="A2440" s="1">
        <v>45884</v>
      </c>
      <c r="B2440" t="s">
        <v>1397</v>
      </c>
      <c r="C2440" t="s">
        <v>20</v>
      </c>
      <c r="D2440" t="s">
        <v>3186</v>
      </c>
      <c r="E2440">
        <v>5975</v>
      </c>
    </row>
    <row r="2441" spans="1:5">
      <c r="A2441" s="1">
        <v>45884</v>
      </c>
      <c r="B2441" t="s">
        <v>3187</v>
      </c>
      <c r="C2441" t="s">
        <v>20</v>
      </c>
      <c r="D2441" t="s">
        <v>3188</v>
      </c>
      <c r="E2441">
        <v>16777</v>
      </c>
    </row>
    <row r="2442" spans="1:5">
      <c r="A2442" s="1">
        <v>45884</v>
      </c>
      <c r="B2442" t="s">
        <v>1307</v>
      </c>
      <c r="C2442" t="s">
        <v>20</v>
      </c>
      <c r="D2442" t="s">
        <v>3189</v>
      </c>
      <c r="E2442">
        <v>1400</v>
      </c>
    </row>
    <row r="2443" spans="1:5">
      <c r="A2443" s="1">
        <v>45885</v>
      </c>
      <c r="B2443" t="s">
        <v>1628</v>
      </c>
      <c r="C2443" t="s">
        <v>19</v>
      </c>
      <c r="D2443" t="s">
        <v>3190</v>
      </c>
      <c r="E2443">
        <v>1050</v>
      </c>
    </row>
    <row r="2444" spans="1:5">
      <c r="A2444" s="1">
        <v>45885</v>
      </c>
      <c r="B2444" t="s">
        <v>733</v>
      </c>
      <c r="C2444" t="s">
        <v>19</v>
      </c>
      <c r="D2444" t="s">
        <v>3191</v>
      </c>
      <c r="E2444">
        <v>5850</v>
      </c>
    </row>
    <row r="2445" spans="1:5">
      <c r="A2445" s="1">
        <v>45885</v>
      </c>
      <c r="B2445" t="s">
        <v>2987</v>
      </c>
      <c r="C2445" t="s">
        <v>19</v>
      </c>
      <c r="D2445" t="s">
        <v>3192</v>
      </c>
      <c r="E2445">
        <v>9250</v>
      </c>
    </row>
    <row r="2446" spans="1:5">
      <c r="A2446" s="1">
        <v>45885</v>
      </c>
      <c r="B2446" t="s">
        <v>3193</v>
      </c>
      <c r="C2446" t="s">
        <v>19</v>
      </c>
      <c r="D2446" t="s">
        <v>3194</v>
      </c>
      <c r="E2446">
        <v>25920</v>
      </c>
    </row>
    <row r="2447" spans="1:5">
      <c r="A2447" s="1">
        <v>45885</v>
      </c>
      <c r="B2447" t="s">
        <v>2498</v>
      </c>
      <c r="C2447" t="s">
        <v>19</v>
      </c>
      <c r="D2447" t="s">
        <v>3195</v>
      </c>
      <c r="E2447">
        <v>10570</v>
      </c>
    </row>
    <row r="2448" spans="1:5">
      <c r="A2448" s="1">
        <v>45885</v>
      </c>
      <c r="B2448" t="s">
        <v>543</v>
      </c>
      <c r="C2448" t="s">
        <v>19</v>
      </c>
      <c r="D2448" t="s">
        <v>3196</v>
      </c>
      <c r="E2448">
        <v>580</v>
      </c>
    </row>
    <row r="2449" spans="1:5">
      <c r="A2449" s="1">
        <v>45885</v>
      </c>
      <c r="B2449" t="s">
        <v>1061</v>
      </c>
      <c r="C2449" t="s">
        <v>20</v>
      </c>
      <c r="D2449" t="s">
        <v>3197</v>
      </c>
      <c r="E2449">
        <v>2094</v>
      </c>
    </row>
    <row r="2450" spans="1:5">
      <c r="A2450" s="1">
        <v>45885</v>
      </c>
      <c r="B2450" t="s">
        <v>89</v>
      </c>
      <c r="C2450" t="s">
        <v>20</v>
      </c>
      <c r="D2450" t="s">
        <v>3198</v>
      </c>
      <c r="E2450">
        <v>740</v>
      </c>
    </row>
    <row r="2451" spans="1:5">
      <c r="A2451" s="1">
        <v>45885</v>
      </c>
      <c r="B2451" t="s">
        <v>3166</v>
      </c>
      <c r="C2451" t="s">
        <v>20</v>
      </c>
      <c r="D2451" t="s">
        <v>3199</v>
      </c>
      <c r="E2451">
        <v>740</v>
      </c>
    </row>
    <row r="2452" spans="1:5">
      <c r="A2452" s="1">
        <v>45885</v>
      </c>
      <c r="B2452" t="s">
        <v>802</v>
      </c>
      <c r="C2452" t="s">
        <v>20</v>
      </c>
      <c r="D2452" t="s">
        <v>3200</v>
      </c>
      <c r="E2452">
        <v>2923</v>
      </c>
    </row>
    <row r="2453" spans="1:5">
      <c r="A2453" s="1">
        <v>45885</v>
      </c>
      <c r="B2453" t="s">
        <v>2786</v>
      </c>
      <c r="C2453" t="s">
        <v>20</v>
      </c>
      <c r="D2453" t="s">
        <v>3201</v>
      </c>
      <c r="E2453">
        <v>68</v>
      </c>
    </row>
    <row r="2454" spans="1:5">
      <c r="A2454" s="1">
        <v>45885</v>
      </c>
      <c r="B2454" t="s">
        <v>2452</v>
      </c>
      <c r="C2454" t="s">
        <v>20</v>
      </c>
      <c r="D2454" t="s">
        <v>3202</v>
      </c>
      <c r="E2454">
        <v>13960</v>
      </c>
    </row>
    <row r="2455" spans="1:5">
      <c r="A2455" s="1">
        <v>45885</v>
      </c>
      <c r="B2455" t="s">
        <v>3008</v>
      </c>
      <c r="C2455" t="s">
        <v>20</v>
      </c>
      <c r="D2455" t="s">
        <v>3203</v>
      </c>
      <c r="E2455">
        <v>12477</v>
      </c>
    </row>
    <row r="2456" spans="1:5">
      <c r="A2456" s="1">
        <v>45885</v>
      </c>
      <c r="B2456" t="s">
        <v>3066</v>
      </c>
      <c r="C2456" t="s">
        <v>20</v>
      </c>
      <c r="D2456" t="s">
        <v>3204</v>
      </c>
      <c r="E2456">
        <v>5526</v>
      </c>
    </row>
    <row r="2457" spans="1:5">
      <c r="A2457" s="1">
        <v>45885</v>
      </c>
      <c r="B2457" t="s">
        <v>2316</v>
      </c>
      <c r="C2457" t="s">
        <v>20</v>
      </c>
      <c r="D2457" t="s">
        <v>3205</v>
      </c>
      <c r="E2457">
        <v>650</v>
      </c>
    </row>
    <row r="2458" spans="1:5">
      <c r="A2458" s="1">
        <v>45885</v>
      </c>
      <c r="B2458" t="s">
        <v>3159</v>
      </c>
      <c r="C2458" t="s">
        <v>20</v>
      </c>
      <c r="D2458" t="s">
        <v>3206</v>
      </c>
      <c r="E2458">
        <v>335</v>
      </c>
    </row>
    <row r="2459" spans="1:5">
      <c r="A2459" s="1">
        <v>45885</v>
      </c>
      <c r="B2459" t="s">
        <v>2099</v>
      </c>
      <c r="C2459" t="s">
        <v>20</v>
      </c>
      <c r="D2459" t="s">
        <v>3207</v>
      </c>
      <c r="E2459">
        <v>18248</v>
      </c>
    </row>
    <row r="2460" spans="1:5">
      <c r="A2460" s="1">
        <v>45885</v>
      </c>
      <c r="B2460" t="s">
        <v>293</v>
      </c>
      <c r="C2460" t="s">
        <v>20</v>
      </c>
      <c r="D2460" t="s">
        <v>3208</v>
      </c>
      <c r="E2460">
        <v>521</v>
      </c>
    </row>
    <row r="2461" spans="1:5">
      <c r="A2461" s="1">
        <v>45885</v>
      </c>
      <c r="B2461" t="s">
        <v>1196</v>
      </c>
      <c r="C2461" t="s">
        <v>20</v>
      </c>
      <c r="D2461" t="s">
        <v>3209</v>
      </c>
      <c r="E2461">
        <v>32</v>
      </c>
    </row>
    <row r="2462" spans="1:5">
      <c r="A2462" s="1">
        <v>45885</v>
      </c>
      <c r="B2462" t="s">
        <v>203</v>
      </c>
      <c r="C2462" t="s">
        <v>20</v>
      </c>
      <c r="D2462" t="s">
        <v>3210</v>
      </c>
      <c r="E2462">
        <v>3648</v>
      </c>
    </row>
    <row r="2463" spans="1:5">
      <c r="A2463" s="1">
        <v>45885</v>
      </c>
      <c r="B2463" t="s">
        <v>3008</v>
      </c>
      <c r="C2463" t="s">
        <v>20</v>
      </c>
      <c r="D2463" t="s">
        <v>3211</v>
      </c>
      <c r="E2463">
        <v>2220</v>
      </c>
    </row>
    <row r="2464" spans="1:5">
      <c r="A2464" s="1">
        <v>45885</v>
      </c>
      <c r="B2464" t="s">
        <v>536</v>
      </c>
      <c r="C2464" t="s">
        <v>20</v>
      </c>
      <c r="D2464" t="s">
        <v>3212</v>
      </c>
      <c r="E2464">
        <v>13038</v>
      </c>
    </row>
    <row r="2465" spans="1:5">
      <c r="A2465" s="1">
        <v>45885</v>
      </c>
      <c r="B2465" t="s">
        <v>3213</v>
      </c>
      <c r="C2465" t="s">
        <v>20</v>
      </c>
      <c r="D2465" t="s">
        <v>3214</v>
      </c>
      <c r="E2465">
        <v>324</v>
      </c>
    </row>
    <row r="2466" spans="1:5">
      <c r="A2466" s="1">
        <v>45885</v>
      </c>
      <c r="B2466" t="s">
        <v>557</v>
      </c>
      <c r="C2466" t="s">
        <v>20</v>
      </c>
      <c r="D2466" t="s">
        <v>3215</v>
      </c>
      <c r="E2466">
        <v>1110</v>
      </c>
    </row>
    <row r="2467" spans="1:5">
      <c r="A2467" s="1">
        <v>45885</v>
      </c>
      <c r="B2467" t="s">
        <v>184</v>
      </c>
      <c r="C2467" t="s">
        <v>20</v>
      </c>
      <c r="D2467" t="s">
        <v>3216</v>
      </c>
      <c r="E2467">
        <v>450</v>
      </c>
    </row>
    <row r="2468" spans="1:5">
      <c r="A2468" s="1">
        <v>45885</v>
      </c>
      <c r="B2468" t="s">
        <v>3101</v>
      </c>
      <c r="C2468" t="s">
        <v>20</v>
      </c>
      <c r="D2468" t="s">
        <v>3217</v>
      </c>
      <c r="E2468">
        <v>7640</v>
      </c>
    </row>
    <row r="2469" spans="1:5">
      <c r="A2469" s="1">
        <v>45885</v>
      </c>
      <c r="B2469" t="s">
        <v>203</v>
      </c>
      <c r="C2469" t="s">
        <v>20</v>
      </c>
      <c r="D2469" t="s">
        <v>3218</v>
      </c>
      <c r="E2469">
        <v>370</v>
      </c>
    </row>
    <row r="2470" spans="1:5">
      <c r="A2470" s="1">
        <v>45885</v>
      </c>
      <c r="B2470" t="s">
        <v>1776</v>
      </c>
      <c r="C2470" t="s">
        <v>20</v>
      </c>
      <c r="D2470" t="s">
        <v>3219</v>
      </c>
      <c r="E2470">
        <v>510</v>
      </c>
    </row>
    <row r="2471" spans="1:5">
      <c r="A2471" s="1">
        <v>45887</v>
      </c>
      <c r="B2471" t="s">
        <v>3193</v>
      </c>
      <c r="C2471" t="s">
        <v>19</v>
      </c>
      <c r="D2471" t="s">
        <v>3220</v>
      </c>
      <c r="E2471">
        <v>6528</v>
      </c>
    </row>
    <row r="2472" spans="1:5">
      <c r="A2472" s="1">
        <v>45887</v>
      </c>
      <c r="B2472" t="s">
        <v>2987</v>
      </c>
      <c r="C2472" t="s">
        <v>19</v>
      </c>
      <c r="D2472" t="s">
        <v>3221</v>
      </c>
      <c r="E2472">
        <v>157534</v>
      </c>
    </row>
    <row r="2473" spans="1:5">
      <c r="A2473" s="1">
        <v>45887</v>
      </c>
      <c r="B2473" t="s">
        <v>1049</v>
      </c>
      <c r="C2473" t="s">
        <v>19</v>
      </c>
      <c r="D2473" t="s">
        <v>3222</v>
      </c>
      <c r="E2473">
        <v>3995</v>
      </c>
    </row>
    <row r="2474" spans="1:5">
      <c r="A2474" s="1">
        <v>45887</v>
      </c>
      <c r="B2474" t="s">
        <v>1106</v>
      </c>
      <c r="C2474" t="s">
        <v>19</v>
      </c>
      <c r="D2474" t="s">
        <v>3223</v>
      </c>
      <c r="E2474">
        <v>221346</v>
      </c>
    </row>
    <row r="2475" spans="1:5">
      <c r="A2475" s="1">
        <v>45887</v>
      </c>
      <c r="B2475" t="s">
        <v>378</v>
      </c>
      <c r="C2475" t="s">
        <v>20</v>
      </c>
      <c r="D2475" t="s">
        <v>3224</v>
      </c>
      <c r="E2475">
        <v>1850</v>
      </c>
    </row>
    <row r="2476" spans="1:5">
      <c r="A2476" s="1">
        <v>45887</v>
      </c>
      <c r="B2476" t="s">
        <v>3008</v>
      </c>
      <c r="C2476" t="s">
        <v>20</v>
      </c>
      <c r="D2476" t="s">
        <v>3225</v>
      </c>
      <c r="E2476">
        <v>1850</v>
      </c>
    </row>
    <row r="2477" spans="1:5">
      <c r="A2477" s="1">
        <v>45887</v>
      </c>
      <c r="B2477" t="s">
        <v>50</v>
      </c>
      <c r="C2477" t="s">
        <v>20</v>
      </c>
      <c r="D2477" t="s">
        <v>3226</v>
      </c>
      <c r="E2477">
        <v>12</v>
      </c>
    </row>
    <row r="2478" spans="1:5">
      <c r="A2478" s="1">
        <v>45887</v>
      </c>
      <c r="B2478" t="s">
        <v>1428</v>
      </c>
      <c r="C2478" t="s">
        <v>20</v>
      </c>
      <c r="D2478" t="s">
        <v>3227</v>
      </c>
      <c r="E2478">
        <v>33355</v>
      </c>
    </row>
    <row r="2479" spans="1:5">
      <c r="A2479" s="1">
        <v>45887</v>
      </c>
      <c r="B2479" t="s">
        <v>203</v>
      </c>
      <c r="C2479" t="s">
        <v>20</v>
      </c>
      <c r="D2479" t="s">
        <v>3228</v>
      </c>
      <c r="E2479">
        <v>1110</v>
      </c>
    </row>
    <row r="2480" spans="1:5">
      <c r="A2480" s="1">
        <v>45887</v>
      </c>
      <c r="B2480" t="s">
        <v>3166</v>
      </c>
      <c r="C2480" t="s">
        <v>20</v>
      </c>
      <c r="D2480" t="s">
        <v>3229</v>
      </c>
      <c r="E2480">
        <v>740</v>
      </c>
    </row>
    <row r="2481" spans="1:5">
      <c r="A2481" s="1">
        <v>45887</v>
      </c>
      <c r="B2481" t="s">
        <v>2956</v>
      </c>
      <c r="C2481" t="s">
        <v>20</v>
      </c>
      <c r="D2481" t="s">
        <v>3230</v>
      </c>
      <c r="E2481">
        <v>825</v>
      </c>
    </row>
    <row r="2482" spans="1:5">
      <c r="A2482" s="1">
        <v>45887</v>
      </c>
      <c r="B2482" t="s">
        <v>3231</v>
      </c>
      <c r="C2482" t="s">
        <v>20</v>
      </c>
      <c r="D2482" t="s">
        <v>3232</v>
      </c>
      <c r="E2482">
        <v>5650</v>
      </c>
    </row>
    <row r="2483" spans="1:5">
      <c r="A2483" s="1">
        <v>45887</v>
      </c>
      <c r="B2483" t="s">
        <v>557</v>
      </c>
      <c r="C2483" t="s">
        <v>20</v>
      </c>
      <c r="D2483" t="s">
        <v>3233</v>
      </c>
      <c r="E2483">
        <v>10471</v>
      </c>
    </row>
    <row r="2484" spans="1:5">
      <c r="A2484" s="1">
        <v>45887</v>
      </c>
      <c r="B2484" t="s">
        <v>3234</v>
      </c>
      <c r="C2484" t="s">
        <v>20</v>
      </c>
      <c r="D2484" t="s">
        <v>3235</v>
      </c>
      <c r="E2484">
        <v>10742</v>
      </c>
    </row>
    <row r="2485" spans="1:5">
      <c r="A2485" s="1">
        <v>45887</v>
      </c>
      <c r="B2485" t="s">
        <v>50</v>
      </c>
      <c r="C2485" t="s">
        <v>20</v>
      </c>
      <c r="D2485" t="s">
        <v>3236</v>
      </c>
      <c r="E2485">
        <v>1850</v>
      </c>
    </row>
    <row r="2486" spans="1:5">
      <c r="A2486" s="1">
        <v>45887</v>
      </c>
      <c r="B2486" t="s">
        <v>184</v>
      </c>
      <c r="C2486" t="s">
        <v>20</v>
      </c>
      <c r="D2486" t="s">
        <v>3237</v>
      </c>
      <c r="E2486">
        <v>900</v>
      </c>
    </row>
    <row r="2487" spans="1:5">
      <c r="A2487" s="1">
        <v>45887</v>
      </c>
      <c r="B2487" t="s">
        <v>298</v>
      </c>
      <c r="C2487" t="s">
        <v>20</v>
      </c>
      <c r="D2487" t="s">
        <v>3238</v>
      </c>
      <c r="E2487">
        <v>2223</v>
      </c>
    </row>
    <row r="2488" spans="1:5">
      <c r="A2488" s="1">
        <v>45887</v>
      </c>
      <c r="B2488" t="s">
        <v>197</v>
      </c>
      <c r="C2488" t="s">
        <v>20</v>
      </c>
      <c r="D2488" t="s">
        <v>3239</v>
      </c>
      <c r="E2488">
        <v>25</v>
      </c>
    </row>
    <row r="2489" spans="1:5">
      <c r="A2489" s="1">
        <v>45887</v>
      </c>
      <c r="B2489" t="s">
        <v>2143</v>
      </c>
      <c r="C2489" t="s">
        <v>20</v>
      </c>
      <c r="D2489" t="s">
        <v>3240</v>
      </c>
      <c r="E2489">
        <v>29700</v>
      </c>
    </row>
    <row r="2490" spans="1:5">
      <c r="A2490" s="1">
        <v>45887</v>
      </c>
      <c r="B2490" t="s">
        <v>2958</v>
      </c>
      <c r="C2490" t="s">
        <v>20</v>
      </c>
      <c r="D2490" t="s">
        <v>3241</v>
      </c>
      <c r="E2490">
        <v>69112</v>
      </c>
    </row>
    <row r="2491" spans="1:5">
      <c r="A2491" s="1">
        <v>45887</v>
      </c>
      <c r="B2491" t="s">
        <v>3008</v>
      </c>
      <c r="C2491" t="s">
        <v>20</v>
      </c>
      <c r="D2491" t="s">
        <v>3242</v>
      </c>
      <c r="E2491">
        <v>590</v>
      </c>
    </row>
    <row r="2492" spans="1:5">
      <c r="A2492" s="1">
        <v>45887</v>
      </c>
      <c r="B2492" t="s">
        <v>89</v>
      </c>
      <c r="C2492" t="s">
        <v>20</v>
      </c>
      <c r="D2492" t="s">
        <v>3243</v>
      </c>
      <c r="E2492">
        <v>3202</v>
      </c>
    </row>
    <row r="2493" spans="1:5">
      <c r="A2493" s="1">
        <v>45887</v>
      </c>
      <c r="B2493" t="s">
        <v>1428</v>
      </c>
      <c r="C2493" t="s">
        <v>20</v>
      </c>
      <c r="D2493" t="s">
        <v>3244</v>
      </c>
      <c r="E2493">
        <v>28374</v>
      </c>
    </row>
    <row r="2494" spans="1:5">
      <c r="A2494" s="1">
        <v>45887</v>
      </c>
      <c r="B2494" t="s">
        <v>50</v>
      </c>
      <c r="C2494" t="s">
        <v>20</v>
      </c>
      <c r="D2494" t="s">
        <v>3245</v>
      </c>
      <c r="E2494">
        <v>8</v>
      </c>
    </row>
    <row r="2495" spans="1:5">
      <c r="A2495" s="1">
        <v>45888</v>
      </c>
      <c r="B2495" t="s">
        <v>1104</v>
      </c>
      <c r="C2495" t="s">
        <v>19</v>
      </c>
      <c r="D2495" t="s">
        <v>3246</v>
      </c>
      <c r="E2495">
        <v>7751</v>
      </c>
    </row>
    <row r="2496" spans="1:5">
      <c r="A2496" s="1">
        <v>45888</v>
      </c>
      <c r="B2496" t="s">
        <v>2498</v>
      </c>
      <c r="C2496" t="s">
        <v>19</v>
      </c>
      <c r="D2496" t="s">
        <v>3247</v>
      </c>
      <c r="E2496">
        <v>4050</v>
      </c>
    </row>
    <row r="2497" spans="1:5">
      <c r="A2497" s="1">
        <v>45888</v>
      </c>
      <c r="B2497" t="s">
        <v>927</v>
      </c>
      <c r="C2497" t="s">
        <v>19</v>
      </c>
      <c r="D2497" t="s">
        <v>3248</v>
      </c>
      <c r="E2497">
        <v>11100</v>
      </c>
    </row>
    <row r="2498" spans="1:5">
      <c r="A2498" s="1">
        <v>45888</v>
      </c>
      <c r="B2498" t="s">
        <v>2987</v>
      </c>
      <c r="C2498" t="s">
        <v>19</v>
      </c>
      <c r="D2498" t="s">
        <v>3249</v>
      </c>
      <c r="E2498">
        <v>77843</v>
      </c>
    </row>
    <row r="2499" spans="1:5">
      <c r="A2499" s="1">
        <v>45888</v>
      </c>
      <c r="B2499" t="s">
        <v>2459</v>
      </c>
      <c r="C2499" t="s">
        <v>20</v>
      </c>
      <c r="D2499" t="s">
        <v>3250</v>
      </c>
      <c r="E2499">
        <v>17300</v>
      </c>
    </row>
    <row r="2500" spans="1:5">
      <c r="A2500" s="1">
        <v>45888</v>
      </c>
      <c r="B2500" t="s">
        <v>50</v>
      </c>
      <c r="C2500" t="s">
        <v>20</v>
      </c>
      <c r="D2500" t="s">
        <v>3251</v>
      </c>
      <c r="E2500">
        <v>20</v>
      </c>
    </row>
    <row r="2501" spans="1:5">
      <c r="A2501" s="1">
        <v>45888</v>
      </c>
      <c r="B2501" t="s">
        <v>3008</v>
      </c>
      <c r="C2501" t="s">
        <v>20</v>
      </c>
      <c r="D2501" t="s">
        <v>3252</v>
      </c>
      <c r="E2501">
        <v>2767</v>
      </c>
    </row>
    <row r="2502" spans="1:5">
      <c r="A2502" s="1">
        <v>45888</v>
      </c>
      <c r="B2502" t="s">
        <v>2786</v>
      </c>
      <c r="C2502" t="s">
        <v>20</v>
      </c>
      <c r="D2502" t="s">
        <v>3253</v>
      </c>
      <c r="E2502">
        <v>1268</v>
      </c>
    </row>
    <row r="2503" spans="1:5">
      <c r="A2503" s="1">
        <v>45888</v>
      </c>
      <c r="B2503" t="s">
        <v>45</v>
      </c>
      <c r="C2503" t="s">
        <v>20</v>
      </c>
      <c r="D2503" t="s">
        <v>3254</v>
      </c>
      <c r="E2503">
        <v>4257</v>
      </c>
    </row>
    <row r="2504" spans="1:5">
      <c r="A2504" s="1">
        <v>45888</v>
      </c>
      <c r="B2504" t="s">
        <v>2206</v>
      </c>
      <c r="C2504" t="s">
        <v>20</v>
      </c>
      <c r="D2504" t="s">
        <v>3255</v>
      </c>
      <c r="E2504">
        <v>1920</v>
      </c>
    </row>
    <row r="2505" spans="1:5">
      <c r="A2505" s="1">
        <v>45888</v>
      </c>
      <c r="B2505" t="s">
        <v>1428</v>
      </c>
      <c r="C2505" t="s">
        <v>20</v>
      </c>
      <c r="D2505" t="s">
        <v>3256</v>
      </c>
      <c r="E2505">
        <v>520</v>
      </c>
    </row>
    <row r="2506" spans="1:5">
      <c r="A2506" s="1">
        <v>45888</v>
      </c>
      <c r="B2506" t="s">
        <v>3257</v>
      </c>
      <c r="C2506" t="s">
        <v>20</v>
      </c>
      <c r="D2506" t="s">
        <v>3258</v>
      </c>
      <c r="E2506">
        <v>12530</v>
      </c>
    </row>
    <row r="2507" spans="1:5">
      <c r="A2507" s="1">
        <v>45888</v>
      </c>
      <c r="B2507" t="s">
        <v>68</v>
      </c>
      <c r="C2507" t="s">
        <v>20</v>
      </c>
      <c r="D2507" t="s">
        <v>3259</v>
      </c>
      <c r="E2507">
        <v>3875</v>
      </c>
    </row>
    <row r="2508" spans="1:5">
      <c r="A2508" s="1">
        <v>45888</v>
      </c>
      <c r="B2508" t="s">
        <v>76</v>
      </c>
      <c r="C2508" t="s">
        <v>20</v>
      </c>
      <c r="D2508" t="s">
        <v>3260</v>
      </c>
      <c r="E2508">
        <v>223</v>
      </c>
    </row>
    <row r="2509" spans="1:5">
      <c r="A2509" s="1">
        <v>45888</v>
      </c>
      <c r="B2509" t="s">
        <v>124</v>
      </c>
      <c r="C2509" t="s">
        <v>20</v>
      </c>
      <c r="D2509" t="s">
        <v>3261</v>
      </c>
      <c r="E2509">
        <v>9250</v>
      </c>
    </row>
    <row r="2510" spans="1:5">
      <c r="A2510" s="1">
        <v>45888</v>
      </c>
      <c r="B2510" t="s">
        <v>222</v>
      </c>
      <c r="C2510" t="s">
        <v>20</v>
      </c>
      <c r="D2510" t="s">
        <v>3262</v>
      </c>
      <c r="E2510">
        <v>1110</v>
      </c>
    </row>
    <row r="2511" spans="1:5">
      <c r="A2511" s="1">
        <v>45888</v>
      </c>
      <c r="B2511" t="s">
        <v>50</v>
      </c>
      <c r="C2511" t="s">
        <v>20</v>
      </c>
      <c r="D2511" t="s">
        <v>3263</v>
      </c>
      <c r="E2511">
        <v>1155</v>
      </c>
    </row>
    <row r="2512" spans="1:5">
      <c r="A2512" s="1">
        <v>45888</v>
      </c>
      <c r="B2512" t="s">
        <v>43</v>
      </c>
      <c r="C2512" t="s">
        <v>20</v>
      </c>
      <c r="D2512" t="s">
        <v>3264</v>
      </c>
      <c r="E2512">
        <v>3060</v>
      </c>
    </row>
    <row r="2513" spans="1:5">
      <c r="A2513" s="1">
        <v>45888</v>
      </c>
      <c r="B2513" t="s">
        <v>455</v>
      </c>
      <c r="C2513" t="s">
        <v>20</v>
      </c>
      <c r="D2513" t="s">
        <v>3265</v>
      </c>
      <c r="E2513">
        <v>7867</v>
      </c>
    </row>
    <row r="2514" spans="1:5">
      <c r="A2514" s="1">
        <v>45888</v>
      </c>
      <c r="B2514" t="s">
        <v>3266</v>
      </c>
      <c r="C2514" t="s">
        <v>20</v>
      </c>
      <c r="D2514" t="s">
        <v>3267</v>
      </c>
      <c r="E2514">
        <v>1590</v>
      </c>
    </row>
    <row r="2515" spans="1:5">
      <c r="A2515" s="1">
        <v>45888</v>
      </c>
      <c r="B2515" t="s">
        <v>3008</v>
      </c>
      <c r="C2515" t="s">
        <v>20</v>
      </c>
      <c r="D2515" t="s">
        <v>3268</v>
      </c>
      <c r="E2515">
        <v>4860</v>
      </c>
    </row>
    <row r="2516" spans="1:5">
      <c r="A2516" s="1">
        <v>45888</v>
      </c>
      <c r="B2516" t="s">
        <v>1529</v>
      </c>
      <c r="C2516" t="s">
        <v>20</v>
      </c>
      <c r="D2516" t="s">
        <v>3269</v>
      </c>
      <c r="E2516">
        <v>5517</v>
      </c>
    </row>
    <row r="2517" spans="1:5">
      <c r="A2517" s="1">
        <v>45888</v>
      </c>
      <c r="B2517" t="s">
        <v>3270</v>
      </c>
      <c r="C2517" t="s">
        <v>20</v>
      </c>
      <c r="D2517" t="s">
        <v>3271</v>
      </c>
      <c r="E2517">
        <v>1535</v>
      </c>
    </row>
    <row r="2518" spans="1:5">
      <c r="A2518" s="1">
        <v>45889</v>
      </c>
      <c r="B2518" t="s">
        <v>58</v>
      </c>
      <c r="C2518" t="s">
        <v>19</v>
      </c>
      <c r="D2518" t="s">
        <v>3272</v>
      </c>
      <c r="E2518">
        <v>787</v>
      </c>
    </row>
    <row r="2519" spans="1:5">
      <c r="A2519" s="1">
        <v>45889</v>
      </c>
      <c r="B2519" t="s">
        <v>3193</v>
      </c>
      <c r="C2519" t="s">
        <v>19</v>
      </c>
      <c r="D2519" t="s">
        <v>3273</v>
      </c>
      <c r="E2519">
        <v>42189</v>
      </c>
    </row>
    <row r="2520" spans="1:5">
      <c r="A2520" s="1">
        <v>45889</v>
      </c>
      <c r="B2520" t="s">
        <v>96</v>
      </c>
      <c r="C2520" t="s">
        <v>19</v>
      </c>
      <c r="D2520" t="s">
        <v>3274</v>
      </c>
      <c r="E2520">
        <v>3426</v>
      </c>
    </row>
    <row r="2521" spans="1:5">
      <c r="A2521" s="1">
        <v>45889</v>
      </c>
      <c r="B2521" t="s">
        <v>2987</v>
      </c>
      <c r="C2521" t="s">
        <v>19</v>
      </c>
      <c r="D2521" t="s">
        <v>3275</v>
      </c>
      <c r="E2521">
        <v>9250</v>
      </c>
    </row>
    <row r="2522" spans="1:5">
      <c r="A2522" s="1">
        <v>45889</v>
      </c>
      <c r="B2522" t="s">
        <v>543</v>
      </c>
      <c r="C2522" t="s">
        <v>19</v>
      </c>
      <c r="D2522" t="s">
        <v>3276</v>
      </c>
      <c r="E2522">
        <v>13573</v>
      </c>
    </row>
    <row r="2523" spans="1:5">
      <c r="A2523" s="1">
        <v>45889</v>
      </c>
      <c r="B2523" t="s">
        <v>96</v>
      </c>
      <c r="C2523" t="s">
        <v>19</v>
      </c>
      <c r="D2523" t="s">
        <v>3277</v>
      </c>
      <c r="E2523">
        <v>667</v>
      </c>
    </row>
    <row r="2524" spans="1:5">
      <c r="A2524" s="1">
        <v>45889</v>
      </c>
      <c r="B2524" t="s">
        <v>3278</v>
      </c>
      <c r="C2524" t="s">
        <v>20</v>
      </c>
      <c r="D2524" t="s">
        <v>3279</v>
      </c>
      <c r="E2524">
        <v>370</v>
      </c>
    </row>
    <row r="2525" spans="1:5">
      <c r="A2525" s="1">
        <v>45889</v>
      </c>
      <c r="B2525" t="s">
        <v>33</v>
      </c>
      <c r="C2525" t="s">
        <v>20</v>
      </c>
      <c r="D2525" t="s">
        <v>3280</v>
      </c>
      <c r="E2525">
        <v>256</v>
      </c>
    </row>
    <row r="2526" spans="1:5">
      <c r="A2526" s="1">
        <v>45889</v>
      </c>
      <c r="B2526" t="s">
        <v>33</v>
      </c>
      <c r="C2526" t="s">
        <v>20</v>
      </c>
      <c r="D2526" t="s">
        <v>3281</v>
      </c>
      <c r="E2526">
        <v>740</v>
      </c>
    </row>
    <row r="2527" spans="1:5">
      <c r="A2527" s="1">
        <v>45889</v>
      </c>
      <c r="B2527" t="s">
        <v>2728</v>
      </c>
      <c r="C2527" t="s">
        <v>20</v>
      </c>
      <c r="D2527" t="s">
        <v>3282</v>
      </c>
      <c r="E2527">
        <v>22300</v>
      </c>
    </row>
    <row r="2528" spans="1:5">
      <c r="A2528" s="1">
        <v>45889</v>
      </c>
      <c r="B2528" t="s">
        <v>3166</v>
      </c>
      <c r="C2528" t="s">
        <v>20</v>
      </c>
      <c r="D2528" t="s">
        <v>3283</v>
      </c>
      <c r="E2528">
        <v>1110</v>
      </c>
    </row>
    <row r="2529" spans="1:5">
      <c r="A2529" s="1">
        <v>45889</v>
      </c>
      <c r="B2529" t="s">
        <v>2786</v>
      </c>
      <c r="C2529" t="s">
        <v>20</v>
      </c>
      <c r="D2529" t="s">
        <v>3284</v>
      </c>
      <c r="E2529">
        <v>171</v>
      </c>
    </row>
    <row r="2530" spans="1:5">
      <c r="A2530" s="1">
        <v>45889</v>
      </c>
      <c r="B2530" t="s">
        <v>3064</v>
      </c>
      <c r="C2530" t="s">
        <v>20</v>
      </c>
      <c r="D2530" t="s">
        <v>3285</v>
      </c>
      <c r="E2530">
        <v>200</v>
      </c>
    </row>
    <row r="2531" spans="1:5">
      <c r="A2531" s="1">
        <v>45889</v>
      </c>
      <c r="B2531" t="s">
        <v>709</v>
      </c>
      <c r="C2531" t="s">
        <v>20</v>
      </c>
      <c r="D2531" t="s">
        <v>3286</v>
      </c>
      <c r="E2531">
        <v>3303</v>
      </c>
    </row>
    <row r="2532" spans="1:5">
      <c r="A2532" s="1">
        <v>45889</v>
      </c>
      <c r="B2532" t="s">
        <v>35</v>
      </c>
      <c r="C2532" t="s">
        <v>20</v>
      </c>
      <c r="D2532" t="s">
        <v>3287</v>
      </c>
      <c r="E2532">
        <v>9080</v>
      </c>
    </row>
    <row r="2533" spans="1:5">
      <c r="A2533" s="1">
        <v>45889</v>
      </c>
      <c r="B2533" t="s">
        <v>50</v>
      </c>
      <c r="C2533" t="s">
        <v>20</v>
      </c>
      <c r="D2533" t="s">
        <v>3288</v>
      </c>
      <c r="E2533">
        <v>12</v>
      </c>
    </row>
    <row r="2534" spans="1:5">
      <c r="A2534" s="1">
        <v>45889</v>
      </c>
      <c r="B2534" t="s">
        <v>135</v>
      </c>
      <c r="C2534" t="s">
        <v>20</v>
      </c>
      <c r="D2534" t="s">
        <v>3289</v>
      </c>
      <c r="E2534">
        <v>6893</v>
      </c>
    </row>
    <row r="2535" spans="1:5">
      <c r="A2535" s="1">
        <v>45889</v>
      </c>
      <c r="B2535" t="s">
        <v>50</v>
      </c>
      <c r="C2535" t="s">
        <v>20</v>
      </c>
      <c r="D2535" t="s">
        <v>3290</v>
      </c>
      <c r="E2535">
        <v>12</v>
      </c>
    </row>
    <row r="2536" spans="1:5">
      <c r="A2536" s="1">
        <v>45889</v>
      </c>
      <c r="B2536" t="s">
        <v>50</v>
      </c>
      <c r="C2536" t="s">
        <v>20</v>
      </c>
      <c r="D2536" t="s">
        <v>3291</v>
      </c>
      <c r="E2536">
        <v>12</v>
      </c>
    </row>
    <row r="2537" spans="1:5">
      <c r="A2537" s="1">
        <v>45889</v>
      </c>
      <c r="B2537" t="s">
        <v>932</v>
      </c>
      <c r="C2537" t="s">
        <v>20</v>
      </c>
      <c r="D2537" t="s">
        <v>3292</v>
      </c>
      <c r="E2537">
        <v>5550</v>
      </c>
    </row>
    <row r="2538" spans="1:5">
      <c r="A2538" s="1">
        <v>45889</v>
      </c>
      <c r="B2538" t="s">
        <v>3231</v>
      </c>
      <c r="C2538" t="s">
        <v>20</v>
      </c>
      <c r="D2538" t="s">
        <v>3293</v>
      </c>
      <c r="E2538">
        <v>7778</v>
      </c>
    </row>
    <row r="2539" spans="1:5">
      <c r="A2539" s="1">
        <v>45889</v>
      </c>
      <c r="B2539" t="s">
        <v>526</v>
      </c>
      <c r="C2539" t="s">
        <v>20</v>
      </c>
      <c r="D2539" t="s">
        <v>3294</v>
      </c>
      <c r="E2539">
        <v>80</v>
      </c>
    </row>
    <row r="2540" spans="1:5">
      <c r="A2540" s="1">
        <v>45889</v>
      </c>
      <c r="B2540" t="s">
        <v>3295</v>
      </c>
      <c r="C2540" t="s">
        <v>20</v>
      </c>
      <c r="D2540" t="s">
        <v>3296</v>
      </c>
      <c r="E2540">
        <v>10633</v>
      </c>
    </row>
    <row r="2541" spans="1:5">
      <c r="A2541" s="1">
        <v>45889</v>
      </c>
      <c r="B2541" t="s">
        <v>474</v>
      </c>
      <c r="C2541" t="s">
        <v>20</v>
      </c>
      <c r="D2541" t="s">
        <v>3297</v>
      </c>
      <c r="E2541">
        <v>1216</v>
      </c>
    </row>
    <row r="2542" spans="1:5">
      <c r="A2542" s="1">
        <v>45889</v>
      </c>
      <c r="B2542" t="s">
        <v>3008</v>
      </c>
      <c r="C2542" t="s">
        <v>20</v>
      </c>
      <c r="D2542" t="s">
        <v>3298</v>
      </c>
      <c r="E2542">
        <v>1224</v>
      </c>
    </row>
    <row r="2543" spans="1:5">
      <c r="A2543" s="1">
        <v>45889</v>
      </c>
      <c r="B2543" t="s">
        <v>3299</v>
      </c>
      <c r="C2543" t="s">
        <v>20</v>
      </c>
      <c r="D2543" t="s">
        <v>3300</v>
      </c>
      <c r="E2543">
        <v>2100</v>
      </c>
    </row>
    <row r="2544" spans="1:5">
      <c r="A2544" s="1">
        <v>45889</v>
      </c>
      <c r="B2544" t="s">
        <v>1400</v>
      </c>
      <c r="C2544" t="s">
        <v>20</v>
      </c>
      <c r="D2544" t="s">
        <v>3301</v>
      </c>
      <c r="E2544">
        <v>1110</v>
      </c>
    </row>
    <row r="2545" spans="1:5">
      <c r="A2545" s="1">
        <v>45889</v>
      </c>
      <c r="B2545" t="s">
        <v>802</v>
      </c>
      <c r="C2545" t="s">
        <v>20</v>
      </c>
      <c r="D2545" t="s">
        <v>3302</v>
      </c>
      <c r="E2545">
        <v>606</v>
      </c>
    </row>
    <row r="2546" spans="1:5">
      <c r="A2546" s="1">
        <v>45889</v>
      </c>
      <c r="B2546" t="s">
        <v>33</v>
      </c>
      <c r="C2546" t="s">
        <v>20</v>
      </c>
      <c r="D2546" t="s">
        <v>3303</v>
      </c>
      <c r="E2546">
        <v>740</v>
      </c>
    </row>
    <row r="2547" spans="1:5">
      <c r="A2547" s="1">
        <v>45889</v>
      </c>
      <c r="B2547" t="s">
        <v>3064</v>
      </c>
      <c r="C2547" t="s">
        <v>20</v>
      </c>
      <c r="D2547" t="s">
        <v>3304</v>
      </c>
      <c r="E2547">
        <v>42</v>
      </c>
    </row>
    <row r="2548" spans="1:5">
      <c r="A2548" s="1">
        <v>45889</v>
      </c>
      <c r="B2548" t="s">
        <v>197</v>
      </c>
      <c r="C2548" t="s">
        <v>20</v>
      </c>
      <c r="D2548" t="s">
        <v>3305</v>
      </c>
      <c r="E2548">
        <v>30</v>
      </c>
    </row>
    <row r="2549" spans="1:5">
      <c r="A2549" s="1">
        <v>45889</v>
      </c>
      <c r="B2549" t="s">
        <v>3306</v>
      </c>
      <c r="C2549" t="s">
        <v>20</v>
      </c>
      <c r="D2549" t="s">
        <v>3307</v>
      </c>
      <c r="E2549">
        <v>24580</v>
      </c>
    </row>
    <row r="2550" spans="1:5">
      <c r="A2550" s="1">
        <v>45889</v>
      </c>
      <c r="B2550" t="s">
        <v>3308</v>
      </c>
      <c r="C2550" t="s">
        <v>20</v>
      </c>
      <c r="D2550" t="s">
        <v>3309</v>
      </c>
      <c r="E2550">
        <v>370</v>
      </c>
    </row>
    <row r="2551" spans="1:5">
      <c r="A2551" s="1">
        <v>45890</v>
      </c>
      <c r="B2551" t="s">
        <v>56</v>
      </c>
      <c r="C2551" t="s">
        <v>19</v>
      </c>
      <c r="D2551" t="s">
        <v>3310</v>
      </c>
      <c r="E2551">
        <v>13880</v>
      </c>
    </row>
    <row r="2552" spans="1:5">
      <c r="A2552" s="1">
        <v>45890</v>
      </c>
      <c r="B2552" t="s">
        <v>1422</v>
      </c>
      <c r="C2552" t="s">
        <v>19</v>
      </c>
      <c r="D2552" t="s">
        <v>3311</v>
      </c>
      <c r="E2552">
        <v>22153</v>
      </c>
    </row>
    <row r="2553" spans="1:5">
      <c r="A2553" s="1">
        <v>45890</v>
      </c>
      <c r="B2553" t="s">
        <v>1422</v>
      </c>
      <c r="C2553" t="s">
        <v>19</v>
      </c>
      <c r="D2553" t="s">
        <v>3312</v>
      </c>
      <c r="E2553">
        <v>2625</v>
      </c>
    </row>
    <row r="2554" spans="1:5">
      <c r="A2554" s="1">
        <v>45890</v>
      </c>
      <c r="B2554" t="s">
        <v>3313</v>
      </c>
      <c r="C2554" t="s">
        <v>20</v>
      </c>
      <c r="D2554" t="s">
        <v>3314</v>
      </c>
      <c r="E2554">
        <v>146057</v>
      </c>
    </row>
    <row r="2555" spans="1:5">
      <c r="A2555" s="1">
        <v>45890</v>
      </c>
      <c r="B2555" t="s">
        <v>2486</v>
      </c>
      <c r="C2555" t="s">
        <v>20</v>
      </c>
      <c r="D2555" t="s">
        <v>3315</v>
      </c>
      <c r="E2555">
        <v>57003</v>
      </c>
    </row>
    <row r="2556" spans="1:5">
      <c r="A2556" s="1">
        <v>45890</v>
      </c>
      <c r="B2556" t="s">
        <v>254</v>
      </c>
      <c r="C2556" t="s">
        <v>20</v>
      </c>
      <c r="D2556" t="s">
        <v>3316</v>
      </c>
      <c r="E2556">
        <v>1480</v>
      </c>
    </row>
    <row r="2557" spans="1:5">
      <c r="A2557" s="1">
        <v>45890</v>
      </c>
      <c r="B2557" t="s">
        <v>3317</v>
      </c>
      <c r="C2557" t="s">
        <v>20</v>
      </c>
      <c r="D2557" t="s">
        <v>3318</v>
      </c>
      <c r="E2557">
        <v>16982</v>
      </c>
    </row>
    <row r="2558" spans="1:5">
      <c r="A2558" s="1">
        <v>45890</v>
      </c>
      <c r="B2558" t="s">
        <v>3278</v>
      </c>
      <c r="C2558" t="s">
        <v>20</v>
      </c>
      <c r="D2558" t="s">
        <v>3319</v>
      </c>
      <c r="E2558">
        <v>370</v>
      </c>
    </row>
    <row r="2559" spans="1:5">
      <c r="A2559" s="1">
        <v>45890</v>
      </c>
      <c r="B2559" t="s">
        <v>52</v>
      </c>
      <c r="C2559" t="s">
        <v>20</v>
      </c>
      <c r="D2559" t="s">
        <v>3320</v>
      </c>
      <c r="E2559">
        <v>8362</v>
      </c>
    </row>
    <row r="2560" spans="1:5">
      <c r="A2560" s="1">
        <v>45890</v>
      </c>
      <c r="B2560" t="s">
        <v>3308</v>
      </c>
      <c r="C2560" t="s">
        <v>20</v>
      </c>
      <c r="D2560" t="s">
        <v>3321</v>
      </c>
      <c r="E2560">
        <v>370</v>
      </c>
    </row>
    <row r="2561" spans="1:5">
      <c r="A2561" s="1">
        <v>45890</v>
      </c>
      <c r="B2561" t="s">
        <v>3008</v>
      </c>
      <c r="C2561" t="s">
        <v>20</v>
      </c>
      <c r="D2561" t="s">
        <v>3322</v>
      </c>
      <c r="E2561">
        <v>782</v>
      </c>
    </row>
    <row r="2562" spans="1:5">
      <c r="A2562" s="1">
        <v>45890</v>
      </c>
      <c r="B2562" t="s">
        <v>526</v>
      </c>
      <c r="C2562" t="s">
        <v>20</v>
      </c>
      <c r="D2562" t="s">
        <v>3323</v>
      </c>
      <c r="E2562">
        <v>455</v>
      </c>
    </row>
    <row r="2563" spans="1:5">
      <c r="A2563" s="1">
        <v>45890</v>
      </c>
      <c r="B2563" t="s">
        <v>193</v>
      </c>
      <c r="C2563" t="s">
        <v>20</v>
      </c>
      <c r="D2563" t="s">
        <v>3324</v>
      </c>
      <c r="E2563">
        <v>22687</v>
      </c>
    </row>
    <row r="2564" spans="1:5">
      <c r="A2564" s="1">
        <v>45890</v>
      </c>
      <c r="B2564" t="s">
        <v>68</v>
      </c>
      <c r="C2564" t="s">
        <v>20</v>
      </c>
      <c r="D2564" t="s">
        <v>3325</v>
      </c>
      <c r="E2564">
        <v>1188</v>
      </c>
    </row>
    <row r="2565" spans="1:5">
      <c r="A2565" s="1">
        <v>45890</v>
      </c>
      <c r="B2565" t="s">
        <v>254</v>
      </c>
      <c r="C2565" t="s">
        <v>20</v>
      </c>
      <c r="D2565" t="s">
        <v>3326</v>
      </c>
      <c r="E2565">
        <v>1110</v>
      </c>
    </row>
    <row r="2566" spans="1:5">
      <c r="A2566" s="1">
        <v>45890</v>
      </c>
      <c r="B2566" t="s">
        <v>2059</v>
      </c>
      <c r="C2566" t="s">
        <v>20</v>
      </c>
      <c r="D2566" t="s">
        <v>3327</v>
      </c>
      <c r="E2566">
        <v>1850</v>
      </c>
    </row>
    <row r="2567" spans="1:5">
      <c r="A2567" s="1">
        <v>45890</v>
      </c>
      <c r="B2567" t="s">
        <v>2143</v>
      </c>
      <c r="C2567" t="s">
        <v>20</v>
      </c>
      <c r="D2567" t="s">
        <v>3328</v>
      </c>
      <c r="E2567">
        <v>3778</v>
      </c>
    </row>
    <row r="2568" spans="1:5">
      <c r="A2568" s="1">
        <v>45890</v>
      </c>
      <c r="B2568" t="s">
        <v>3329</v>
      </c>
      <c r="C2568" t="s">
        <v>20</v>
      </c>
      <c r="D2568" t="s">
        <v>3330</v>
      </c>
      <c r="E2568">
        <v>15366</v>
      </c>
    </row>
    <row r="2569" spans="1:5">
      <c r="A2569" s="1">
        <v>45890</v>
      </c>
      <c r="B2569" t="s">
        <v>2786</v>
      </c>
      <c r="C2569" t="s">
        <v>20</v>
      </c>
      <c r="D2569" t="s">
        <v>3331</v>
      </c>
      <c r="E2569">
        <v>300</v>
      </c>
    </row>
    <row r="2570" spans="1:5">
      <c r="A2570" s="1">
        <v>45890</v>
      </c>
      <c r="B2570" t="s">
        <v>557</v>
      </c>
      <c r="C2570" t="s">
        <v>20</v>
      </c>
      <c r="D2570" t="s">
        <v>3332</v>
      </c>
      <c r="E2570">
        <v>194</v>
      </c>
    </row>
    <row r="2571" spans="1:5">
      <c r="A2571" s="1">
        <v>45890</v>
      </c>
      <c r="B2571" t="s">
        <v>3333</v>
      </c>
      <c r="C2571" t="s">
        <v>20</v>
      </c>
      <c r="D2571" t="s">
        <v>3334</v>
      </c>
      <c r="E2571">
        <v>59672</v>
      </c>
    </row>
    <row r="2572" spans="1:5">
      <c r="A2572" s="1">
        <v>45890</v>
      </c>
      <c r="B2572" t="s">
        <v>1307</v>
      </c>
      <c r="C2572" t="s">
        <v>20</v>
      </c>
      <c r="D2572" t="s">
        <v>3335</v>
      </c>
      <c r="E2572">
        <v>400</v>
      </c>
    </row>
    <row r="2573" spans="1:5">
      <c r="A2573" s="1">
        <v>45890</v>
      </c>
      <c r="B2573" t="s">
        <v>203</v>
      </c>
      <c r="C2573" t="s">
        <v>20</v>
      </c>
      <c r="D2573" t="s">
        <v>3336</v>
      </c>
      <c r="E2573">
        <v>5670</v>
      </c>
    </row>
    <row r="2574" spans="1:5">
      <c r="A2574" s="1">
        <v>45890</v>
      </c>
      <c r="B2574" t="s">
        <v>197</v>
      </c>
      <c r="C2574" t="s">
        <v>20</v>
      </c>
      <c r="D2574" t="s">
        <v>3337</v>
      </c>
      <c r="E2574">
        <v>740</v>
      </c>
    </row>
    <row r="2575" spans="1:5">
      <c r="A2575" s="1">
        <v>45890</v>
      </c>
      <c r="B2575" t="s">
        <v>3257</v>
      </c>
      <c r="C2575" t="s">
        <v>20</v>
      </c>
      <c r="D2575" t="s">
        <v>3338</v>
      </c>
      <c r="E2575">
        <v>900</v>
      </c>
    </row>
    <row r="2576" spans="1:5">
      <c r="A2576" s="1">
        <v>45890</v>
      </c>
      <c r="B2576" t="s">
        <v>50</v>
      </c>
      <c r="C2576" t="s">
        <v>20</v>
      </c>
      <c r="D2576" t="s">
        <v>3339</v>
      </c>
      <c r="E2576">
        <v>5</v>
      </c>
    </row>
    <row r="2577" spans="1:5">
      <c r="A2577" s="1">
        <v>45890</v>
      </c>
      <c r="B2577" t="s">
        <v>518</v>
      </c>
      <c r="C2577" t="s">
        <v>20</v>
      </c>
      <c r="D2577" t="s">
        <v>3340</v>
      </c>
      <c r="E2577">
        <v>12</v>
      </c>
    </row>
    <row r="2578" spans="1:5">
      <c r="A2578" s="1">
        <v>45890</v>
      </c>
      <c r="B2578" t="s">
        <v>203</v>
      </c>
      <c r="C2578" t="s">
        <v>20</v>
      </c>
      <c r="D2578" t="s">
        <v>3341</v>
      </c>
      <c r="E2578">
        <v>3867</v>
      </c>
    </row>
    <row r="2579" spans="1:5">
      <c r="A2579" s="1">
        <v>45890</v>
      </c>
      <c r="B2579" t="s">
        <v>3295</v>
      </c>
      <c r="C2579" t="s">
        <v>20</v>
      </c>
      <c r="D2579" t="s">
        <v>3342</v>
      </c>
      <c r="E2579">
        <v>7898</v>
      </c>
    </row>
    <row r="2580" spans="1:5">
      <c r="A2580" s="1">
        <v>45890</v>
      </c>
      <c r="B2580" t="s">
        <v>781</v>
      </c>
      <c r="C2580" t="s">
        <v>20</v>
      </c>
      <c r="D2580" t="s">
        <v>3343</v>
      </c>
      <c r="E2580">
        <v>1480</v>
      </c>
    </row>
    <row r="2581" spans="1:5">
      <c r="A2581" s="1">
        <v>45891</v>
      </c>
      <c r="B2581" t="s">
        <v>58</v>
      </c>
      <c r="C2581" t="s">
        <v>19</v>
      </c>
      <c r="D2581" t="s">
        <v>3344</v>
      </c>
      <c r="E2581">
        <v>982</v>
      </c>
    </row>
    <row r="2582" spans="1:5">
      <c r="A2582" s="1">
        <v>45891</v>
      </c>
      <c r="B2582" t="s">
        <v>56</v>
      </c>
      <c r="C2582" t="s">
        <v>19</v>
      </c>
      <c r="D2582" t="s">
        <v>3345</v>
      </c>
      <c r="E2582">
        <v>915</v>
      </c>
    </row>
    <row r="2583" spans="1:5">
      <c r="A2583" s="1">
        <v>45891</v>
      </c>
      <c r="B2583" t="s">
        <v>1106</v>
      </c>
      <c r="C2583" t="s">
        <v>19</v>
      </c>
      <c r="D2583" t="s">
        <v>3346</v>
      </c>
      <c r="E2583">
        <v>30577</v>
      </c>
    </row>
    <row r="2584" spans="1:5">
      <c r="A2584" s="1">
        <v>45891</v>
      </c>
      <c r="B2584" t="s">
        <v>3347</v>
      </c>
      <c r="C2584" t="s">
        <v>19</v>
      </c>
      <c r="D2584" t="s">
        <v>3348</v>
      </c>
      <c r="E2584">
        <v>28000</v>
      </c>
    </row>
    <row r="2585" spans="1:5">
      <c r="A2585" s="1">
        <v>45891</v>
      </c>
      <c r="B2585" t="s">
        <v>180</v>
      </c>
      <c r="C2585" t="s">
        <v>19</v>
      </c>
      <c r="D2585" t="s">
        <v>3349</v>
      </c>
      <c r="E2585">
        <v>45870</v>
      </c>
    </row>
    <row r="2586" spans="1:5">
      <c r="A2586" s="1">
        <v>45891</v>
      </c>
      <c r="B2586" t="s">
        <v>50</v>
      </c>
      <c r="C2586" t="s">
        <v>20</v>
      </c>
      <c r="D2586" t="s">
        <v>3350</v>
      </c>
      <c r="E2586">
        <v>12</v>
      </c>
    </row>
    <row r="2587" spans="1:5">
      <c r="A2587" s="1">
        <v>45891</v>
      </c>
      <c r="B2587" t="s">
        <v>100</v>
      </c>
      <c r="C2587" t="s">
        <v>20</v>
      </c>
      <c r="D2587" t="s">
        <v>3351</v>
      </c>
      <c r="E2587">
        <v>8868</v>
      </c>
    </row>
    <row r="2588" spans="1:5">
      <c r="A2588" s="1">
        <v>45891</v>
      </c>
      <c r="B2588" t="s">
        <v>52</v>
      </c>
      <c r="C2588" t="s">
        <v>20</v>
      </c>
      <c r="D2588" t="s">
        <v>3352</v>
      </c>
      <c r="E2588">
        <v>200</v>
      </c>
    </row>
    <row r="2589" spans="1:5">
      <c r="A2589" s="1">
        <v>45891</v>
      </c>
      <c r="B2589" t="s">
        <v>2786</v>
      </c>
      <c r="C2589" t="s">
        <v>20</v>
      </c>
      <c r="D2589" t="s">
        <v>3353</v>
      </c>
      <c r="E2589">
        <v>4347</v>
      </c>
    </row>
    <row r="2590" spans="1:5">
      <c r="A2590" s="1">
        <v>45891</v>
      </c>
      <c r="B2590" t="s">
        <v>2470</v>
      </c>
      <c r="C2590" t="s">
        <v>20</v>
      </c>
      <c r="D2590" t="s">
        <v>3354</v>
      </c>
      <c r="E2590">
        <v>2416</v>
      </c>
    </row>
    <row r="2591" spans="1:5">
      <c r="A2591" s="1">
        <v>45891</v>
      </c>
      <c r="B2591" t="s">
        <v>3355</v>
      </c>
      <c r="C2591" t="s">
        <v>20</v>
      </c>
      <c r="D2591" t="s">
        <v>3356</v>
      </c>
      <c r="E2591">
        <v>6920</v>
      </c>
    </row>
    <row r="2592" spans="1:5">
      <c r="A2592" s="1">
        <v>45891</v>
      </c>
      <c r="B2592" t="s">
        <v>3231</v>
      </c>
      <c r="C2592" t="s">
        <v>20</v>
      </c>
      <c r="D2592" t="s">
        <v>3357</v>
      </c>
      <c r="E2592">
        <v>2700</v>
      </c>
    </row>
    <row r="2593" spans="1:5">
      <c r="A2593" s="1">
        <v>45891</v>
      </c>
      <c r="B2593" t="s">
        <v>50</v>
      </c>
      <c r="C2593" t="s">
        <v>20</v>
      </c>
      <c r="D2593" t="s">
        <v>3358</v>
      </c>
      <c r="E2593">
        <v>12</v>
      </c>
    </row>
    <row r="2594" spans="1:5">
      <c r="A2594" s="1">
        <v>45891</v>
      </c>
      <c r="B2594" t="s">
        <v>566</v>
      </c>
      <c r="C2594" t="s">
        <v>20</v>
      </c>
      <c r="D2594" t="s">
        <v>3359</v>
      </c>
      <c r="E2594">
        <v>1737</v>
      </c>
    </row>
    <row r="2595" spans="1:5">
      <c r="A2595" s="1">
        <v>45891</v>
      </c>
      <c r="B2595" t="s">
        <v>3360</v>
      </c>
      <c r="C2595" t="s">
        <v>20</v>
      </c>
      <c r="D2595" t="s">
        <v>3361</v>
      </c>
      <c r="E2595">
        <v>121</v>
      </c>
    </row>
    <row r="2596" spans="1:5">
      <c r="A2596" s="1">
        <v>45891</v>
      </c>
      <c r="B2596" t="s">
        <v>50</v>
      </c>
      <c r="C2596" t="s">
        <v>20</v>
      </c>
      <c r="D2596" t="s">
        <v>3362</v>
      </c>
      <c r="E2596">
        <v>1174</v>
      </c>
    </row>
    <row r="2597" spans="1:5">
      <c r="A2597" s="1">
        <v>45891</v>
      </c>
      <c r="B2597" t="s">
        <v>2958</v>
      </c>
      <c r="C2597" t="s">
        <v>20</v>
      </c>
      <c r="D2597" t="s">
        <v>3363</v>
      </c>
      <c r="E2597">
        <v>2377</v>
      </c>
    </row>
    <row r="2598" spans="1:5">
      <c r="A2598" s="1">
        <v>45891</v>
      </c>
      <c r="B2598" t="s">
        <v>35</v>
      </c>
      <c r="C2598" t="s">
        <v>20</v>
      </c>
      <c r="D2598" t="s">
        <v>3364</v>
      </c>
      <c r="E2598">
        <v>3848</v>
      </c>
    </row>
    <row r="2599" spans="1:5">
      <c r="A2599" s="1">
        <v>45891</v>
      </c>
      <c r="B2599" t="s">
        <v>1075</v>
      </c>
      <c r="C2599" t="s">
        <v>20</v>
      </c>
      <c r="D2599" t="s">
        <v>3365</v>
      </c>
      <c r="E2599">
        <v>3700</v>
      </c>
    </row>
    <row r="2600" spans="1:5">
      <c r="A2600" s="1">
        <v>45891</v>
      </c>
      <c r="B2600" t="s">
        <v>723</v>
      </c>
      <c r="C2600" t="s">
        <v>20</v>
      </c>
      <c r="D2600" t="s">
        <v>3366</v>
      </c>
      <c r="E2600">
        <v>942</v>
      </c>
    </row>
    <row r="2601" spans="1:5">
      <c r="A2601" s="1">
        <v>45891</v>
      </c>
      <c r="B2601" t="s">
        <v>526</v>
      </c>
      <c r="C2601" t="s">
        <v>20</v>
      </c>
      <c r="D2601" t="s">
        <v>3367</v>
      </c>
      <c r="E2601">
        <v>2252</v>
      </c>
    </row>
    <row r="2602" spans="1:5">
      <c r="A2602" s="1">
        <v>45891</v>
      </c>
      <c r="B2602" t="s">
        <v>52</v>
      </c>
      <c r="C2602" t="s">
        <v>20</v>
      </c>
      <c r="D2602" t="s">
        <v>3368</v>
      </c>
      <c r="E2602">
        <v>195</v>
      </c>
    </row>
    <row r="2603" spans="1:5">
      <c r="A2603" s="1">
        <v>45891</v>
      </c>
      <c r="B2603" t="s">
        <v>321</v>
      </c>
      <c r="C2603" t="s">
        <v>20</v>
      </c>
      <c r="D2603" t="s">
        <v>3369</v>
      </c>
      <c r="E2603">
        <v>7540</v>
      </c>
    </row>
    <row r="2604" spans="1:5">
      <c r="A2604" s="1">
        <v>45891</v>
      </c>
      <c r="B2604" t="s">
        <v>52</v>
      </c>
      <c r="C2604" t="s">
        <v>20</v>
      </c>
      <c r="D2604" t="s">
        <v>3370</v>
      </c>
      <c r="E2604">
        <v>1270</v>
      </c>
    </row>
    <row r="2605" spans="1:5">
      <c r="A2605" s="1">
        <v>45891</v>
      </c>
      <c r="B2605" t="s">
        <v>3371</v>
      </c>
      <c r="C2605" t="s">
        <v>20</v>
      </c>
      <c r="D2605" t="s">
        <v>3372</v>
      </c>
      <c r="E2605">
        <v>4032</v>
      </c>
    </row>
    <row r="2606" spans="1:5">
      <c r="A2606" s="1">
        <v>45891</v>
      </c>
      <c r="B2606" t="s">
        <v>293</v>
      </c>
      <c r="C2606" t="s">
        <v>20</v>
      </c>
      <c r="D2606" t="s">
        <v>3373</v>
      </c>
      <c r="E2606">
        <v>531</v>
      </c>
    </row>
    <row r="2607" spans="1:5">
      <c r="A2607" s="1">
        <v>45891</v>
      </c>
      <c r="B2607" t="s">
        <v>50</v>
      </c>
      <c r="C2607" t="s">
        <v>20</v>
      </c>
      <c r="D2607" t="s">
        <v>3374</v>
      </c>
      <c r="E2607">
        <v>12</v>
      </c>
    </row>
    <row r="2608" spans="1:5">
      <c r="A2608" s="1">
        <v>45891</v>
      </c>
      <c r="B2608" t="s">
        <v>3375</v>
      </c>
      <c r="C2608" t="s">
        <v>20</v>
      </c>
      <c r="D2608" t="s">
        <v>3376</v>
      </c>
      <c r="E2608">
        <v>4880</v>
      </c>
    </row>
    <row r="2609" spans="1:5">
      <c r="A2609" s="1">
        <v>45891</v>
      </c>
      <c r="B2609" t="s">
        <v>33</v>
      </c>
      <c r="C2609" t="s">
        <v>20</v>
      </c>
      <c r="D2609" t="s">
        <v>3377</v>
      </c>
      <c r="E2609">
        <v>332</v>
      </c>
    </row>
    <row r="2610" spans="1:5">
      <c r="A2610" s="1">
        <v>45891</v>
      </c>
      <c r="B2610" t="s">
        <v>68</v>
      </c>
      <c r="C2610" t="s">
        <v>20</v>
      </c>
      <c r="D2610" t="s">
        <v>3378</v>
      </c>
      <c r="E2610">
        <v>1034</v>
      </c>
    </row>
    <row r="2611" spans="1:5">
      <c r="A2611" s="1">
        <v>45891</v>
      </c>
      <c r="B2611" t="s">
        <v>1075</v>
      </c>
      <c r="C2611" t="s">
        <v>20</v>
      </c>
      <c r="D2611" t="s">
        <v>3379</v>
      </c>
      <c r="E2611">
        <v>1850</v>
      </c>
    </row>
    <row r="2612" spans="1:5">
      <c r="A2612" s="1">
        <v>45891</v>
      </c>
      <c r="B2612" t="s">
        <v>50</v>
      </c>
      <c r="C2612" t="s">
        <v>20</v>
      </c>
      <c r="D2612" t="s">
        <v>3380</v>
      </c>
      <c r="E2612">
        <v>12</v>
      </c>
    </row>
    <row r="2613" spans="1:5">
      <c r="A2613" s="1">
        <v>45892</v>
      </c>
      <c r="B2613" t="s">
        <v>1104</v>
      </c>
      <c r="C2613" t="s">
        <v>19</v>
      </c>
      <c r="D2613" t="s">
        <v>3381</v>
      </c>
      <c r="E2613">
        <v>19070</v>
      </c>
    </row>
    <row r="2614" spans="1:5">
      <c r="A2614" s="1">
        <v>45892</v>
      </c>
      <c r="B2614" t="s">
        <v>2498</v>
      </c>
      <c r="C2614" t="s">
        <v>19</v>
      </c>
      <c r="D2614" t="s">
        <v>3382</v>
      </c>
      <c r="E2614">
        <v>19500</v>
      </c>
    </row>
    <row r="2615" spans="1:5">
      <c r="A2615" s="1">
        <v>45892</v>
      </c>
      <c r="B2615" t="s">
        <v>1106</v>
      </c>
      <c r="C2615" t="s">
        <v>19</v>
      </c>
      <c r="D2615" t="s">
        <v>3383</v>
      </c>
      <c r="E2615">
        <v>24510</v>
      </c>
    </row>
    <row r="2616" spans="1:5">
      <c r="A2616" s="1">
        <v>45892</v>
      </c>
      <c r="B2616" t="s">
        <v>76</v>
      </c>
      <c r="C2616" t="s">
        <v>20</v>
      </c>
      <c r="D2616" t="s">
        <v>3384</v>
      </c>
      <c r="E2616">
        <v>1480</v>
      </c>
    </row>
    <row r="2617" spans="1:5">
      <c r="A2617" s="1">
        <v>45892</v>
      </c>
      <c r="B2617" t="s">
        <v>709</v>
      </c>
      <c r="C2617" t="s">
        <v>20</v>
      </c>
      <c r="D2617" t="s">
        <v>3385</v>
      </c>
      <c r="E2617">
        <v>10562</v>
      </c>
    </row>
    <row r="2618" spans="1:5">
      <c r="A2618" s="1">
        <v>45892</v>
      </c>
      <c r="B2618" t="s">
        <v>378</v>
      </c>
      <c r="C2618" t="s">
        <v>20</v>
      </c>
      <c r="D2618" t="s">
        <v>3386</v>
      </c>
      <c r="E2618">
        <v>5550</v>
      </c>
    </row>
    <row r="2619" spans="1:5">
      <c r="A2619" s="1">
        <v>45892</v>
      </c>
      <c r="B2619" t="s">
        <v>2786</v>
      </c>
      <c r="C2619" t="s">
        <v>20</v>
      </c>
      <c r="D2619" t="s">
        <v>3387</v>
      </c>
      <c r="E2619">
        <v>1080</v>
      </c>
    </row>
    <row r="2620" spans="1:5">
      <c r="A2620" s="1">
        <v>45892</v>
      </c>
      <c r="B2620" t="s">
        <v>50</v>
      </c>
      <c r="C2620" t="s">
        <v>20</v>
      </c>
      <c r="D2620" t="s">
        <v>3388</v>
      </c>
      <c r="E2620">
        <v>84</v>
      </c>
    </row>
    <row r="2621" spans="1:5">
      <c r="A2621" s="1">
        <v>45892</v>
      </c>
      <c r="B2621" t="s">
        <v>50</v>
      </c>
      <c r="C2621" t="s">
        <v>20</v>
      </c>
      <c r="D2621" t="s">
        <v>3389</v>
      </c>
      <c r="E2621">
        <v>12</v>
      </c>
    </row>
    <row r="2622" spans="1:5">
      <c r="A2622" s="1">
        <v>45892</v>
      </c>
      <c r="B2622" t="s">
        <v>2634</v>
      </c>
      <c r="C2622" t="s">
        <v>20</v>
      </c>
      <c r="D2622" t="s">
        <v>3390</v>
      </c>
      <c r="E2622">
        <v>22075</v>
      </c>
    </row>
    <row r="2623" spans="1:5">
      <c r="A2623" s="1">
        <v>45892</v>
      </c>
      <c r="B2623" t="s">
        <v>1410</v>
      </c>
      <c r="C2623" t="s">
        <v>20</v>
      </c>
      <c r="D2623" t="s">
        <v>3391</v>
      </c>
      <c r="E2623">
        <v>2478</v>
      </c>
    </row>
    <row r="2624" spans="1:5">
      <c r="A2624" s="1">
        <v>45892</v>
      </c>
      <c r="B2624" t="s">
        <v>3392</v>
      </c>
      <c r="C2624" t="s">
        <v>20</v>
      </c>
      <c r="D2624" t="s">
        <v>3393</v>
      </c>
      <c r="E2624">
        <v>4326</v>
      </c>
    </row>
    <row r="2625" spans="1:5">
      <c r="A2625" s="1">
        <v>45892</v>
      </c>
      <c r="B2625" t="s">
        <v>33</v>
      </c>
      <c r="C2625" t="s">
        <v>20</v>
      </c>
      <c r="D2625" t="s">
        <v>3394</v>
      </c>
      <c r="E2625">
        <v>370</v>
      </c>
    </row>
    <row r="2626" spans="1:5">
      <c r="A2626" s="1">
        <v>45892</v>
      </c>
      <c r="B2626" t="s">
        <v>50</v>
      </c>
      <c r="C2626" t="s">
        <v>20</v>
      </c>
      <c r="D2626" t="s">
        <v>3395</v>
      </c>
      <c r="E2626">
        <v>580</v>
      </c>
    </row>
    <row r="2627" spans="1:5">
      <c r="A2627" s="1">
        <v>45892</v>
      </c>
      <c r="B2627" t="s">
        <v>68</v>
      </c>
      <c r="C2627" t="s">
        <v>20</v>
      </c>
      <c r="D2627" t="s">
        <v>3396</v>
      </c>
      <c r="E2627">
        <v>330</v>
      </c>
    </row>
    <row r="2628" spans="1:5">
      <c r="A2628" s="1">
        <v>45892</v>
      </c>
      <c r="B2628" t="s">
        <v>2958</v>
      </c>
      <c r="C2628" t="s">
        <v>20</v>
      </c>
      <c r="D2628" t="s">
        <v>3397</v>
      </c>
      <c r="E2628">
        <v>443</v>
      </c>
    </row>
    <row r="2629" spans="1:5">
      <c r="A2629" s="1">
        <v>45892</v>
      </c>
      <c r="B2629" t="s">
        <v>3398</v>
      </c>
      <c r="C2629" t="s">
        <v>20</v>
      </c>
      <c r="D2629" t="s">
        <v>3399</v>
      </c>
      <c r="E2629">
        <v>27191</v>
      </c>
    </row>
    <row r="2630" spans="1:5">
      <c r="A2630" s="1">
        <v>45892</v>
      </c>
      <c r="B2630" t="s">
        <v>100</v>
      </c>
      <c r="C2630" t="s">
        <v>20</v>
      </c>
      <c r="D2630" t="s">
        <v>3400</v>
      </c>
      <c r="E2630">
        <v>1920</v>
      </c>
    </row>
    <row r="2631" spans="1:5">
      <c r="A2631" s="1">
        <v>45892</v>
      </c>
      <c r="B2631" t="s">
        <v>3401</v>
      </c>
      <c r="C2631" t="s">
        <v>20</v>
      </c>
      <c r="D2631" t="s">
        <v>3402</v>
      </c>
      <c r="E2631">
        <v>1702</v>
      </c>
    </row>
    <row r="2632" spans="1:5">
      <c r="A2632" s="1">
        <v>45892</v>
      </c>
      <c r="B2632" t="s">
        <v>2316</v>
      </c>
      <c r="C2632" t="s">
        <v>20</v>
      </c>
      <c r="D2632" t="s">
        <v>3403</v>
      </c>
      <c r="E2632">
        <v>6997</v>
      </c>
    </row>
    <row r="2633" spans="1:5">
      <c r="A2633" s="1">
        <v>45892</v>
      </c>
      <c r="B2633" t="s">
        <v>2459</v>
      </c>
      <c r="C2633" t="s">
        <v>20</v>
      </c>
      <c r="D2633" t="s">
        <v>3404</v>
      </c>
      <c r="E2633">
        <v>5613</v>
      </c>
    </row>
    <row r="2634" spans="1:5">
      <c r="A2634" s="1">
        <v>45892</v>
      </c>
      <c r="B2634" t="s">
        <v>50</v>
      </c>
      <c r="C2634" t="s">
        <v>20</v>
      </c>
      <c r="D2634" t="s">
        <v>3405</v>
      </c>
      <c r="E2634">
        <v>12</v>
      </c>
    </row>
    <row r="2635" spans="1:5">
      <c r="A2635" s="1">
        <v>45892</v>
      </c>
      <c r="B2635" t="s">
        <v>3089</v>
      </c>
      <c r="C2635" t="s">
        <v>20</v>
      </c>
      <c r="D2635" t="s">
        <v>3406</v>
      </c>
      <c r="E2635">
        <v>27208</v>
      </c>
    </row>
    <row r="2636" spans="1:5">
      <c r="A2636" s="1">
        <v>45892</v>
      </c>
      <c r="B2636" t="s">
        <v>68</v>
      </c>
      <c r="C2636" t="s">
        <v>20</v>
      </c>
      <c r="D2636" t="s">
        <v>3407</v>
      </c>
      <c r="E2636">
        <v>2572</v>
      </c>
    </row>
    <row r="2637" spans="1:5">
      <c r="A2637" s="1">
        <v>45892</v>
      </c>
      <c r="B2637" t="s">
        <v>3408</v>
      </c>
      <c r="C2637" t="s">
        <v>20</v>
      </c>
      <c r="D2637" t="s">
        <v>3409</v>
      </c>
      <c r="E2637">
        <v>69050</v>
      </c>
    </row>
    <row r="2638" spans="1:5">
      <c r="A2638" s="1">
        <v>45892</v>
      </c>
      <c r="B2638" t="s">
        <v>557</v>
      </c>
      <c r="C2638" t="s">
        <v>20</v>
      </c>
      <c r="D2638" t="s">
        <v>3410</v>
      </c>
      <c r="E2638">
        <v>5000</v>
      </c>
    </row>
    <row r="2639" spans="1:5">
      <c r="A2639" s="1">
        <v>45892</v>
      </c>
      <c r="B2639" t="s">
        <v>50</v>
      </c>
      <c r="C2639" t="s">
        <v>20</v>
      </c>
      <c r="D2639" t="s">
        <v>3411</v>
      </c>
      <c r="E2639">
        <v>476</v>
      </c>
    </row>
    <row r="2640" spans="1:5">
      <c r="A2640" s="1">
        <v>45892</v>
      </c>
      <c r="B2640" t="s">
        <v>33</v>
      </c>
      <c r="C2640" t="s">
        <v>20</v>
      </c>
      <c r="D2640" t="s">
        <v>3412</v>
      </c>
      <c r="E2640">
        <v>1480</v>
      </c>
    </row>
    <row r="2641" spans="1:5">
      <c r="A2641" s="1">
        <v>45892</v>
      </c>
      <c r="B2641" t="s">
        <v>463</v>
      </c>
      <c r="C2641" t="s">
        <v>20</v>
      </c>
      <c r="D2641" t="s">
        <v>3413</v>
      </c>
      <c r="E2641">
        <v>16530</v>
      </c>
    </row>
    <row r="2642" spans="1:5">
      <c r="A2642" s="1">
        <v>45892</v>
      </c>
      <c r="B2642" t="s">
        <v>3414</v>
      </c>
      <c r="C2642" t="s">
        <v>20</v>
      </c>
      <c r="D2642" t="s">
        <v>3415</v>
      </c>
      <c r="E2642">
        <v>370</v>
      </c>
    </row>
    <row r="2643" spans="1:5">
      <c r="A2643" s="1">
        <v>45894</v>
      </c>
      <c r="B2643" t="s">
        <v>1106</v>
      </c>
      <c r="C2643" t="s">
        <v>19</v>
      </c>
      <c r="D2643" t="s">
        <v>3416</v>
      </c>
      <c r="E2643">
        <v>5413</v>
      </c>
    </row>
    <row r="2644" spans="1:5">
      <c r="A2644" s="1">
        <v>45894</v>
      </c>
      <c r="B2644" t="s">
        <v>27</v>
      </c>
      <c r="C2644" t="s">
        <v>19</v>
      </c>
      <c r="D2644" t="s">
        <v>3417</v>
      </c>
      <c r="E2644">
        <v>1000</v>
      </c>
    </row>
    <row r="2645" spans="1:5">
      <c r="A2645" s="1">
        <v>45894</v>
      </c>
      <c r="B2645" t="s">
        <v>3418</v>
      </c>
      <c r="C2645" t="s">
        <v>19</v>
      </c>
      <c r="D2645" t="s">
        <v>3419</v>
      </c>
      <c r="E2645">
        <v>59765</v>
      </c>
    </row>
    <row r="2646" spans="1:5">
      <c r="A2646" s="1">
        <v>45894</v>
      </c>
      <c r="B2646" t="s">
        <v>60</v>
      </c>
      <c r="C2646" t="s">
        <v>19</v>
      </c>
      <c r="D2646" t="s">
        <v>3420</v>
      </c>
      <c r="E2646">
        <v>2984</v>
      </c>
    </row>
    <row r="2647" spans="1:5">
      <c r="A2647" s="1">
        <v>45894</v>
      </c>
      <c r="B2647" t="s">
        <v>147</v>
      </c>
      <c r="C2647" t="s">
        <v>19</v>
      </c>
      <c r="D2647" t="s">
        <v>3421</v>
      </c>
      <c r="E2647">
        <v>31235</v>
      </c>
    </row>
    <row r="2648" spans="1:5">
      <c r="A2648" s="1">
        <v>45894</v>
      </c>
      <c r="B2648" t="s">
        <v>68</v>
      </c>
      <c r="C2648" t="s">
        <v>20</v>
      </c>
      <c r="D2648" t="s">
        <v>3422</v>
      </c>
      <c r="E2648">
        <v>80</v>
      </c>
    </row>
    <row r="2649" spans="1:5">
      <c r="A2649" s="1">
        <v>45894</v>
      </c>
      <c r="B2649" t="s">
        <v>1075</v>
      </c>
      <c r="C2649" t="s">
        <v>20</v>
      </c>
      <c r="D2649" t="s">
        <v>3423</v>
      </c>
      <c r="E2649">
        <v>10886</v>
      </c>
    </row>
    <row r="2650" spans="1:5">
      <c r="A2650" s="1">
        <v>45894</v>
      </c>
      <c r="B2650" t="s">
        <v>50</v>
      </c>
      <c r="C2650" t="s">
        <v>20</v>
      </c>
      <c r="D2650" t="s">
        <v>3424</v>
      </c>
      <c r="E2650">
        <v>28</v>
      </c>
    </row>
    <row r="2651" spans="1:5">
      <c r="A2651" s="1">
        <v>45894</v>
      </c>
      <c r="B2651" t="s">
        <v>3425</v>
      </c>
      <c r="C2651" t="s">
        <v>20</v>
      </c>
      <c r="D2651" t="s">
        <v>3426</v>
      </c>
      <c r="E2651">
        <v>4437</v>
      </c>
    </row>
    <row r="2652" spans="1:5">
      <c r="A2652" s="1">
        <v>45894</v>
      </c>
      <c r="B2652" t="s">
        <v>566</v>
      </c>
      <c r="C2652" t="s">
        <v>20</v>
      </c>
      <c r="D2652" t="s">
        <v>3427</v>
      </c>
      <c r="E2652">
        <v>3472</v>
      </c>
    </row>
    <row r="2653" spans="1:5">
      <c r="A2653" s="1">
        <v>45894</v>
      </c>
      <c r="B2653" t="s">
        <v>89</v>
      </c>
      <c r="C2653" t="s">
        <v>20</v>
      </c>
      <c r="D2653" t="s">
        <v>3428</v>
      </c>
      <c r="E2653">
        <v>370</v>
      </c>
    </row>
    <row r="2654" spans="1:5">
      <c r="A2654" s="1">
        <v>45894</v>
      </c>
      <c r="B2654" t="s">
        <v>2206</v>
      </c>
      <c r="C2654" t="s">
        <v>20</v>
      </c>
      <c r="D2654" t="s">
        <v>3429</v>
      </c>
      <c r="E2654">
        <v>84</v>
      </c>
    </row>
    <row r="2655" spans="1:5">
      <c r="A2655" s="1">
        <v>45894</v>
      </c>
      <c r="B2655" t="s">
        <v>100</v>
      </c>
      <c r="C2655" t="s">
        <v>20</v>
      </c>
      <c r="D2655" t="s">
        <v>3430</v>
      </c>
      <c r="E2655">
        <v>111</v>
      </c>
    </row>
    <row r="2656" spans="1:5">
      <c r="A2656" s="1">
        <v>45894</v>
      </c>
      <c r="B2656" t="s">
        <v>50</v>
      </c>
      <c r="C2656" t="s">
        <v>20</v>
      </c>
      <c r="D2656" t="s">
        <v>3431</v>
      </c>
      <c r="E2656">
        <v>12</v>
      </c>
    </row>
    <row r="2657" spans="1:5">
      <c r="A2657" s="1">
        <v>45894</v>
      </c>
      <c r="B2657" t="s">
        <v>50</v>
      </c>
      <c r="C2657" t="s">
        <v>20</v>
      </c>
      <c r="D2657" t="s">
        <v>3432</v>
      </c>
      <c r="E2657">
        <v>1236</v>
      </c>
    </row>
    <row r="2658" spans="1:5">
      <c r="A2658" s="1">
        <v>45894</v>
      </c>
      <c r="B2658" t="s">
        <v>1083</v>
      </c>
      <c r="C2658" t="s">
        <v>20</v>
      </c>
      <c r="D2658" t="s">
        <v>3433</v>
      </c>
      <c r="E2658">
        <v>1121</v>
      </c>
    </row>
    <row r="2659" spans="1:5">
      <c r="A2659" s="1">
        <v>45894</v>
      </c>
      <c r="B2659" t="s">
        <v>135</v>
      </c>
      <c r="C2659" t="s">
        <v>20</v>
      </c>
      <c r="D2659" t="s">
        <v>3434</v>
      </c>
      <c r="E2659">
        <v>2410</v>
      </c>
    </row>
    <row r="2660" spans="1:5">
      <c r="A2660" s="1">
        <v>45894</v>
      </c>
      <c r="B2660" t="s">
        <v>2634</v>
      </c>
      <c r="C2660" t="s">
        <v>20</v>
      </c>
      <c r="D2660" t="s">
        <v>3435</v>
      </c>
      <c r="E2660">
        <v>2198</v>
      </c>
    </row>
    <row r="2661" spans="1:5">
      <c r="A2661" s="1">
        <v>45894</v>
      </c>
      <c r="B2661" t="s">
        <v>557</v>
      </c>
      <c r="C2661" t="s">
        <v>20</v>
      </c>
      <c r="D2661" t="s">
        <v>3436</v>
      </c>
      <c r="E2661">
        <v>1143</v>
      </c>
    </row>
    <row r="2662" spans="1:5">
      <c r="A2662" s="1">
        <v>45894</v>
      </c>
      <c r="B2662" t="s">
        <v>557</v>
      </c>
      <c r="C2662" t="s">
        <v>20</v>
      </c>
      <c r="D2662" t="s">
        <v>3437</v>
      </c>
      <c r="E2662">
        <v>1558</v>
      </c>
    </row>
    <row r="2663" spans="1:5">
      <c r="A2663" s="1">
        <v>45894</v>
      </c>
      <c r="B2663" t="s">
        <v>2786</v>
      </c>
      <c r="C2663" t="s">
        <v>20</v>
      </c>
      <c r="D2663" t="s">
        <v>3438</v>
      </c>
      <c r="E2663">
        <v>298</v>
      </c>
    </row>
    <row r="2664" spans="1:5">
      <c r="A2664" s="1">
        <v>45894</v>
      </c>
      <c r="B2664" t="s">
        <v>3439</v>
      </c>
      <c r="C2664" t="s">
        <v>20</v>
      </c>
      <c r="D2664" t="s">
        <v>3440</v>
      </c>
      <c r="E2664">
        <v>6258</v>
      </c>
    </row>
    <row r="2665" spans="1:5">
      <c r="A2665" s="1">
        <v>45894</v>
      </c>
      <c r="B2665" t="s">
        <v>2059</v>
      </c>
      <c r="C2665" t="s">
        <v>20</v>
      </c>
      <c r="D2665" t="s">
        <v>3441</v>
      </c>
      <c r="E2665">
        <v>1228</v>
      </c>
    </row>
    <row r="2666" spans="1:5">
      <c r="A2666" s="1">
        <v>45894</v>
      </c>
      <c r="B2666" t="s">
        <v>566</v>
      </c>
      <c r="C2666" t="s">
        <v>20</v>
      </c>
      <c r="D2666" t="s">
        <v>3442</v>
      </c>
      <c r="E2666">
        <v>30</v>
      </c>
    </row>
    <row r="2667" spans="1:5">
      <c r="A2667" s="1">
        <v>45894</v>
      </c>
      <c r="B2667" t="s">
        <v>3443</v>
      </c>
      <c r="C2667" t="s">
        <v>20</v>
      </c>
      <c r="D2667" t="s">
        <v>3444</v>
      </c>
      <c r="E2667">
        <v>1593</v>
      </c>
    </row>
    <row r="2668" spans="1:5">
      <c r="A2668" s="1">
        <v>45894</v>
      </c>
      <c r="B2668" t="s">
        <v>1350</v>
      </c>
      <c r="C2668" t="s">
        <v>20</v>
      </c>
      <c r="D2668" t="s">
        <v>3445</v>
      </c>
      <c r="E2668">
        <v>2924</v>
      </c>
    </row>
    <row r="2669" spans="1:5">
      <c r="A2669" s="1">
        <v>45894</v>
      </c>
      <c r="B2669" t="s">
        <v>1075</v>
      </c>
      <c r="C2669" t="s">
        <v>20</v>
      </c>
      <c r="D2669" t="s">
        <v>3446</v>
      </c>
      <c r="E2669">
        <v>17365</v>
      </c>
    </row>
    <row r="2670" spans="1:5">
      <c r="A2670" s="1">
        <v>45894</v>
      </c>
      <c r="B2670" t="s">
        <v>3447</v>
      </c>
      <c r="C2670" t="s">
        <v>20</v>
      </c>
      <c r="D2670" t="s">
        <v>3448</v>
      </c>
      <c r="E2670">
        <v>7029</v>
      </c>
    </row>
    <row r="2671" spans="1:5">
      <c r="A2671" s="1">
        <v>45895</v>
      </c>
      <c r="B2671" t="s">
        <v>927</v>
      </c>
      <c r="C2671" t="s">
        <v>19</v>
      </c>
      <c r="D2671" t="s">
        <v>3449</v>
      </c>
      <c r="E2671">
        <v>11100</v>
      </c>
    </row>
    <row r="2672" spans="1:5">
      <c r="A2672" s="1">
        <v>45895</v>
      </c>
      <c r="B2672" t="s">
        <v>1628</v>
      </c>
      <c r="C2672" t="s">
        <v>19</v>
      </c>
      <c r="D2672" t="s">
        <v>3450</v>
      </c>
      <c r="E2672">
        <v>11798</v>
      </c>
    </row>
    <row r="2673" spans="1:5">
      <c r="A2673" s="1">
        <v>45895</v>
      </c>
      <c r="B2673" t="s">
        <v>927</v>
      </c>
      <c r="C2673" t="s">
        <v>19</v>
      </c>
      <c r="D2673" t="s">
        <v>3451</v>
      </c>
      <c r="E2673">
        <v>7400</v>
      </c>
    </row>
    <row r="2674" spans="1:5">
      <c r="A2674" s="1">
        <v>45895</v>
      </c>
      <c r="B2674" t="s">
        <v>1422</v>
      </c>
      <c r="C2674" t="s">
        <v>19</v>
      </c>
      <c r="D2674" t="s">
        <v>3452</v>
      </c>
      <c r="E2674">
        <v>2526</v>
      </c>
    </row>
    <row r="2675" spans="1:5">
      <c r="A2675" s="1">
        <v>45895</v>
      </c>
      <c r="B2675" t="s">
        <v>1721</v>
      </c>
      <c r="C2675" t="s">
        <v>19</v>
      </c>
      <c r="D2675" t="s">
        <v>3453</v>
      </c>
      <c r="E2675">
        <v>102750</v>
      </c>
    </row>
    <row r="2676" spans="1:5">
      <c r="A2676" s="1">
        <v>45895</v>
      </c>
      <c r="B2676" t="s">
        <v>2987</v>
      </c>
      <c r="C2676" t="s">
        <v>19</v>
      </c>
      <c r="D2676" t="s">
        <v>3454</v>
      </c>
      <c r="E2676">
        <v>69004</v>
      </c>
    </row>
    <row r="2677" spans="1:5">
      <c r="A2677" s="1">
        <v>45895</v>
      </c>
      <c r="B2677" t="s">
        <v>76</v>
      </c>
      <c r="C2677" t="s">
        <v>20</v>
      </c>
      <c r="D2677" t="s">
        <v>3455</v>
      </c>
      <c r="E2677">
        <v>1850</v>
      </c>
    </row>
    <row r="2678" spans="1:5">
      <c r="A2678" s="1">
        <v>45895</v>
      </c>
      <c r="B2678" t="s">
        <v>907</v>
      </c>
      <c r="C2678" t="s">
        <v>20</v>
      </c>
      <c r="D2678" t="s">
        <v>3456</v>
      </c>
      <c r="E2678">
        <v>9100</v>
      </c>
    </row>
    <row r="2679" spans="1:5">
      <c r="A2679" s="1">
        <v>45895</v>
      </c>
      <c r="B2679" t="s">
        <v>3408</v>
      </c>
      <c r="C2679" t="s">
        <v>20</v>
      </c>
      <c r="D2679" t="s">
        <v>3457</v>
      </c>
      <c r="E2679">
        <v>4990</v>
      </c>
    </row>
    <row r="2680" spans="1:5">
      <c r="A2680" s="1">
        <v>45895</v>
      </c>
      <c r="B2680" t="s">
        <v>321</v>
      </c>
      <c r="C2680" t="s">
        <v>20</v>
      </c>
      <c r="D2680" t="s">
        <v>3458</v>
      </c>
      <c r="E2680">
        <v>515</v>
      </c>
    </row>
    <row r="2681" spans="1:5">
      <c r="A2681" s="1">
        <v>45895</v>
      </c>
      <c r="B2681" t="s">
        <v>76</v>
      </c>
      <c r="C2681" t="s">
        <v>20</v>
      </c>
      <c r="D2681" t="s">
        <v>3459</v>
      </c>
      <c r="E2681">
        <v>51274</v>
      </c>
    </row>
    <row r="2682" spans="1:5">
      <c r="A2682" s="1">
        <v>45895</v>
      </c>
      <c r="B2682" t="s">
        <v>89</v>
      </c>
      <c r="C2682" t="s">
        <v>20</v>
      </c>
      <c r="D2682" t="s">
        <v>3460</v>
      </c>
      <c r="E2682">
        <v>523</v>
      </c>
    </row>
    <row r="2683" spans="1:5">
      <c r="A2683" s="1">
        <v>45895</v>
      </c>
      <c r="B2683" t="s">
        <v>135</v>
      </c>
      <c r="C2683" t="s">
        <v>20</v>
      </c>
      <c r="D2683" t="s">
        <v>3461</v>
      </c>
      <c r="E2683">
        <v>22684</v>
      </c>
    </row>
    <row r="2684" spans="1:5">
      <c r="A2684" s="1">
        <v>45895</v>
      </c>
      <c r="B2684" t="s">
        <v>254</v>
      </c>
      <c r="C2684" t="s">
        <v>20</v>
      </c>
      <c r="D2684" t="s">
        <v>3462</v>
      </c>
      <c r="E2684">
        <v>370</v>
      </c>
    </row>
    <row r="2685" spans="1:5">
      <c r="A2685" s="1">
        <v>45895</v>
      </c>
      <c r="B2685" t="s">
        <v>3463</v>
      </c>
      <c r="C2685" t="s">
        <v>20</v>
      </c>
      <c r="D2685" t="s">
        <v>3464</v>
      </c>
      <c r="E2685">
        <v>7800</v>
      </c>
    </row>
    <row r="2686" spans="1:5">
      <c r="A2686" s="1">
        <v>45895</v>
      </c>
      <c r="B2686" t="s">
        <v>43</v>
      </c>
      <c r="C2686" t="s">
        <v>20</v>
      </c>
      <c r="D2686" t="s">
        <v>3465</v>
      </c>
      <c r="E2686">
        <v>61624</v>
      </c>
    </row>
    <row r="2687" spans="1:5">
      <c r="A2687" s="1">
        <v>45895</v>
      </c>
      <c r="B2687" t="s">
        <v>50</v>
      </c>
      <c r="C2687" t="s">
        <v>20</v>
      </c>
      <c r="D2687" t="s">
        <v>3466</v>
      </c>
      <c r="E2687">
        <v>12</v>
      </c>
    </row>
    <row r="2688" spans="1:5">
      <c r="A2688" s="1">
        <v>45895</v>
      </c>
      <c r="B2688" t="s">
        <v>50</v>
      </c>
      <c r="C2688" t="s">
        <v>20</v>
      </c>
      <c r="D2688" t="s">
        <v>3467</v>
      </c>
      <c r="E2688">
        <v>12</v>
      </c>
    </row>
    <row r="2689" spans="1:5">
      <c r="A2689" s="1">
        <v>45895</v>
      </c>
      <c r="B2689" t="s">
        <v>33</v>
      </c>
      <c r="C2689" t="s">
        <v>20</v>
      </c>
      <c r="D2689" t="s">
        <v>3468</v>
      </c>
      <c r="E2689">
        <v>7400</v>
      </c>
    </row>
    <row r="2690" spans="1:5">
      <c r="A2690" s="1">
        <v>45895</v>
      </c>
      <c r="B2690" t="s">
        <v>3469</v>
      </c>
      <c r="C2690" t="s">
        <v>20</v>
      </c>
      <c r="D2690" t="s">
        <v>3470</v>
      </c>
      <c r="E2690">
        <v>8297</v>
      </c>
    </row>
    <row r="2691" spans="1:5">
      <c r="A2691" s="1">
        <v>45895</v>
      </c>
      <c r="B2691" t="s">
        <v>3469</v>
      </c>
      <c r="C2691" t="s">
        <v>20</v>
      </c>
      <c r="D2691" t="s">
        <v>3471</v>
      </c>
      <c r="E2691">
        <v>370</v>
      </c>
    </row>
    <row r="2692" spans="1:5">
      <c r="A2692" s="1">
        <v>45895</v>
      </c>
      <c r="B2692" t="s">
        <v>50</v>
      </c>
      <c r="C2692" t="s">
        <v>20</v>
      </c>
      <c r="D2692" t="s">
        <v>3472</v>
      </c>
      <c r="E2692">
        <v>6794</v>
      </c>
    </row>
    <row r="2693" spans="1:5">
      <c r="A2693" s="1">
        <v>45895</v>
      </c>
      <c r="B2693" t="s">
        <v>3306</v>
      </c>
      <c r="C2693" t="s">
        <v>20</v>
      </c>
      <c r="D2693" t="s">
        <v>3473</v>
      </c>
      <c r="E2693">
        <v>6151</v>
      </c>
    </row>
    <row r="2694" spans="1:5">
      <c r="A2694" s="1">
        <v>45895</v>
      </c>
      <c r="B2694" t="s">
        <v>2202</v>
      </c>
      <c r="C2694" t="s">
        <v>20</v>
      </c>
      <c r="D2694" t="s">
        <v>3474</v>
      </c>
      <c r="E2694">
        <v>25950</v>
      </c>
    </row>
    <row r="2695" spans="1:5">
      <c r="A2695" s="1">
        <v>45895</v>
      </c>
      <c r="B2695" t="s">
        <v>2316</v>
      </c>
      <c r="C2695" t="s">
        <v>20</v>
      </c>
      <c r="D2695" t="s">
        <v>3475</v>
      </c>
      <c r="E2695">
        <v>25578</v>
      </c>
    </row>
    <row r="2696" spans="1:5">
      <c r="A2696" s="1">
        <v>45895</v>
      </c>
      <c r="B2696" t="s">
        <v>135</v>
      </c>
      <c r="C2696" t="s">
        <v>20</v>
      </c>
      <c r="D2696" t="s">
        <v>3476</v>
      </c>
      <c r="E2696">
        <v>874</v>
      </c>
    </row>
    <row r="2697" spans="1:5">
      <c r="A2697" s="1">
        <v>45895</v>
      </c>
      <c r="B2697" t="s">
        <v>50</v>
      </c>
      <c r="C2697" t="s">
        <v>20</v>
      </c>
      <c r="D2697" t="s">
        <v>3477</v>
      </c>
      <c r="E2697">
        <v>12</v>
      </c>
    </row>
    <row r="2698" spans="1:5">
      <c r="A2698" s="1">
        <v>45895</v>
      </c>
      <c r="B2698" t="s">
        <v>1776</v>
      </c>
      <c r="C2698" t="s">
        <v>20</v>
      </c>
      <c r="D2698" t="s">
        <v>3478</v>
      </c>
      <c r="E2698">
        <v>461</v>
      </c>
    </row>
    <row r="2699" spans="1:5">
      <c r="A2699" s="1">
        <v>45895</v>
      </c>
      <c r="B2699" t="s">
        <v>3479</v>
      </c>
      <c r="C2699" t="s">
        <v>20</v>
      </c>
      <c r="D2699" t="s">
        <v>3480</v>
      </c>
      <c r="E2699">
        <v>2472</v>
      </c>
    </row>
    <row r="2700" spans="1:5">
      <c r="A2700" s="1">
        <v>45896</v>
      </c>
      <c r="B2700" t="s">
        <v>1424</v>
      </c>
      <c r="C2700" t="s">
        <v>19</v>
      </c>
      <c r="D2700" t="s">
        <v>3481</v>
      </c>
      <c r="E2700">
        <v>2420</v>
      </c>
    </row>
    <row r="2701" spans="1:5">
      <c r="A2701" s="1">
        <v>45896</v>
      </c>
      <c r="B2701" t="s">
        <v>3482</v>
      </c>
      <c r="C2701" t="s">
        <v>20</v>
      </c>
      <c r="D2701" t="s">
        <v>3483</v>
      </c>
      <c r="E2701">
        <v>9074</v>
      </c>
    </row>
    <row r="2702" spans="1:5">
      <c r="A2702" s="1">
        <v>45896</v>
      </c>
      <c r="B2702" t="s">
        <v>76</v>
      </c>
      <c r="C2702" t="s">
        <v>20</v>
      </c>
      <c r="D2702" t="s">
        <v>3484</v>
      </c>
      <c r="E2702">
        <v>1480</v>
      </c>
    </row>
    <row r="2703" spans="1:5">
      <c r="A2703" s="1">
        <v>45896</v>
      </c>
      <c r="B2703" t="s">
        <v>50</v>
      </c>
      <c r="C2703" t="s">
        <v>20</v>
      </c>
      <c r="D2703" t="s">
        <v>3485</v>
      </c>
      <c r="E2703">
        <v>21</v>
      </c>
    </row>
    <row r="2704" spans="1:5">
      <c r="A2704" s="1">
        <v>45896</v>
      </c>
      <c r="B2704" t="s">
        <v>3486</v>
      </c>
      <c r="C2704" t="s">
        <v>20</v>
      </c>
      <c r="D2704" t="s">
        <v>3487</v>
      </c>
      <c r="E2704">
        <v>3700</v>
      </c>
    </row>
    <row r="2705" spans="1:5">
      <c r="A2705" s="1">
        <v>45896</v>
      </c>
      <c r="B2705" t="s">
        <v>321</v>
      </c>
      <c r="C2705" t="s">
        <v>20</v>
      </c>
      <c r="D2705" t="s">
        <v>3488</v>
      </c>
      <c r="E2705">
        <v>515</v>
      </c>
    </row>
    <row r="2706" spans="1:5">
      <c r="A2706" s="1">
        <v>45896</v>
      </c>
      <c r="B2706" t="s">
        <v>3489</v>
      </c>
      <c r="C2706" t="s">
        <v>20</v>
      </c>
      <c r="D2706" t="s">
        <v>3490</v>
      </c>
      <c r="E2706">
        <v>20</v>
      </c>
    </row>
    <row r="2707" spans="1:5">
      <c r="A2707" s="1">
        <v>45896</v>
      </c>
      <c r="B2707" t="s">
        <v>2202</v>
      </c>
      <c r="C2707" t="s">
        <v>20</v>
      </c>
      <c r="D2707" t="s">
        <v>3491</v>
      </c>
      <c r="E2707">
        <v>6670</v>
      </c>
    </row>
    <row r="2708" spans="1:5">
      <c r="A2708" s="1">
        <v>45896</v>
      </c>
      <c r="B2708" t="s">
        <v>50</v>
      </c>
      <c r="C2708" t="s">
        <v>20</v>
      </c>
      <c r="D2708" t="s">
        <v>3492</v>
      </c>
      <c r="E2708">
        <v>10</v>
      </c>
    </row>
    <row r="2709" spans="1:5">
      <c r="A2709" s="1">
        <v>45896</v>
      </c>
      <c r="B2709" t="s">
        <v>2355</v>
      </c>
      <c r="C2709" t="s">
        <v>20</v>
      </c>
      <c r="D2709" t="s">
        <v>3493</v>
      </c>
      <c r="E2709">
        <v>1110</v>
      </c>
    </row>
    <row r="2710" spans="1:5">
      <c r="A2710" s="1">
        <v>45896</v>
      </c>
      <c r="B2710" t="s">
        <v>412</v>
      </c>
      <c r="C2710" t="s">
        <v>20</v>
      </c>
      <c r="D2710" t="s">
        <v>3494</v>
      </c>
      <c r="E2710">
        <v>370</v>
      </c>
    </row>
    <row r="2711" spans="1:5">
      <c r="A2711" s="1">
        <v>45896</v>
      </c>
      <c r="B2711" t="s">
        <v>1362</v>
      </c>
      <c r="C2711" t="s">
        <v>20</v>
      </c>
      <c r="D2711" t="s">
        <v>3495</v>
      </c>
      <c r="E2711">
        <v>2588</v>
      </c>
    </row>
    <row r="2712" spans="1:5">
      <c r="A2712" s="1">
        <v>45896</v>
      </c>
      <c r="B2712" t="s">
        <v>222</v>
      </c>
      <c r="C2712" t="s">
        <v>20</v>
      </c>
      <c r="D2712" t="s">
        <v>3496</v>
      </c>
      <c r="E2712">
        <v>11118</v>
      </c>
    </row>
    <row r="2713" spans="1:5">
      <c r="A2713" s="1">
        <v>45896</v>
      </c>
      <c r="B2713" t="s">
        <v>3408</v>
      </c>
      <c r="C2713" t="s">
        <v>20</v>
      </c>
      <c r="D2713" t="s">
        <v>3497</v>
      </c>
      <c r="E2713">
        <v>550</v>
      </c>
    </row>
    <row r="2714" spans="1:5">
      <c r="A2714" s="1">
        <v>45896</v>
      </c>
      <c r="B2714" t="s">
        <v>378</v>
      </c>
      <c r="C2714" t="s">
        <v>20</v>
      </c>
      <c r="D2714" t="s">
        <v>3498</v>
      </c>
      <c r="E2714">
        <v>7400</v>
      </c>
    </row>
    <row r="2715" spans="1:5">
      <c r="A2715" s="1">
        <v>45896</v>
      </c>
      <c r="B2715" t="s">
        <v>566</v>
      </c>
      <c r="C2715" t="s">
        <v>20</v>
      </c>
      <c r="D2715" t="s">
        <v>3499</v>
      </c>
      <c r="E2715">
        <v>150</v>
      </c>
    </row>
    <row r="2716" spans="1:5">
      <c r="A2716" s="1">
        <v>45896</v>
      </c>
      <c r="B2716" t="s">
        <v>3500</v>
      </c>
      <c r="C2716" t="s">
        <v>20</v>
      </c>
      <c r="D2716" t="s">
        <v>3501</v>
      </c>
      <c r="E2716">
        <v>510</v>
      </c>
    </row>
    <row r="2717" spans="1:5">
      <c r="A2717" s="1">
        <v>45896</v>
      </c>
      <c r="B2717" t="s">
        <v>870</v>
      </c>
      <c r="C2717" t="s">
        <v>20</v>
      </c>
      <c r="D2717" t="s">
        <v>3502</v>
      </c>
      <c r="E2717">
        <v>3725</v>
      </c>
    </row>
    <row r="2718" spans="1:5">
      <c r="A2718" s="1">
        <v>45896</v>
      </c>
      <c r="B2718" t="s">
        <v>50</v>
      </c>
      <c r="C2718" t="s">
        <v>20</v>
      </c>
      <c r="D2718" t="s">
        <v>3503</v>
      </c>
      <c r="E2718">
        <v>920</v>
      </c>
    </row>
    <row r="2719" spans="1:5">
      <c r="A2719" s="1">
        <v>45896</v>
      </c>
      <c r="B2719" t="s">
        <v>50</v>
      </c>
      <c r="C2719" t="s">
        <v>20</v>
      </c>
      <c r="D2719" t="s">
        <v>3504</v>
      </c>
      <c r="E2719">
        <v>6841</v>
      </c>
    </row>
    <row r="2720" spans="1:5">
      <c r="A2720" s="1">
        <v>45897</v>
      </c>
      <c r="B2720" t="s">
        <v>3505</v>
      </c>
      <c r="C2720" t="s">
        <v>19</v>
      </c>
      <c r="D2720" t="s">
        <v>3506</v>
      </c>
      <c r="E2720">
        <v>17030</v>
      </c>
    </row>
    <row r="2721" spans="1:5">
      <c r="A2721" s="1">
        <v>45897</v>
      </c>
      <c r="B2721" t="s">
        <v>2634</v>
      </c>
      <c r="C2721" t="s">
        <v>20</v>
      </c>
      <c r="D2721" t="s">
        <v>3507</v>
      </c>
      <c r="E2721">
        <v>39100</v>
      </c>
    </row>
    <row r="2722" spans="1:5">
      <c r="A2722" s="1">
        <v>45897</v>
      </c>
      <c r="B2722" t="s">
        <v>360</v>
      </c>
      <c r="C2722" t="s">
        <v>20</v>
      </c>
      <c r="D2722" t="s">
        <v>3508</v>
      </c>
      <c r="E2722">
        <v>5515</v>
      </c>
    </row>
    <row r="2723" spans="1:5">
      <c r="A2723" s="1">
        <v>45897</v>
      </c>
      <c r="B2723" t="s">
        <v>1428</v>
      </c>
      <c r="C2723" t="s">
        <v>20</v>
      </c>
      <c r="D2723" t="s">
        <v>3509</v>
      </c>
      <c r="E2723">
        <v>37922</v>
      </c>
    </row>
    <row r="2724" spans="1:5">
      <c r="A2724" s="1">
        <v>45897</v>
      </c>
      <c r="B2724" t="s">
        <v>2459</v>
      </c>
      <c r="C2724" t="s">
        <v>20</v>
      </c>
      <c r="D2724" t="s">
        <v>3510</v>
      </c>
      <c r="E2724">
        <v>30284</v>
      </c>
    </row>
    <row r="2725" spans="1:5">
      <c r="A2725" s="1">
        <v>45897</v>
      </c>
      <c r="B2725" t="s">
        <v>50</v>
      </c>
      <c r="C2725" t="s">
        <v>20</v>
      </c>
      <c r="D2725" t="s">
        <v>3511</v>
      </c>
      <c r="E2725">
        <v>12</v>
      </c>
    </row>
    <row r="2726" spans="1:5">
      <c r="A2726" s="1">
        <v>45897</v>
      </c>
      <c r="B2726" t="s">
        <v>3392</v>
      </c>
      <c r="C2726" t="s">
        <v>20</v>
      </c>
      <c r="D2726" t="s">
        <v>3512</v>
      </c>
      <c r="E2726">
        <v>23414</v>
      </c>
    </row>
    <row r="2727" spans="1:5">
      <c r="A2727" s="1">
        <v>45897</v>
      </c>
      <c r="B2727" t="s">
        <v>1776</v>
      </c>
      <c r="C2727" t="s">
        <v>20</v>
      </c>
      <c r="D2727" t="s">
        <v>3513</v>
      </c>
      <c r="E2727">
        <v>1410</v>
      </c>
    </row>
    <row r="2728" spans="1:5">
      <c r="A2728" s="1">
        <v>45897</v>
      </c>
      <c r="B2728" t="s">
        <v>35</v>
      </c>
      <c r="C2728" t="s">
        <v>20</v>
      </c>
      <c r="D2728" t="s">
        <v>3514</v>
      </c>
      <c r="E2728">
        <v>2948</v>
      </c>
    </row>
    <row r="2729" spans="1:5">
      <c r="A2729" s="1">
        <v>45897</v>
      </c>
      <c r="B2729" t="s">
        <v>907</v>
      </c>
      <c r="C2729" t="s">
        <v>20</v>
      </c>
      <c r="D2729" t="s">
        <v>3515</v>
      </c>
      <c r="E2729">
        <v>160</v>
      </c>
    </row>
    <row r="2730" spans="1:5">
      <c r="A2730" s="1">
        <v>45897</v>
      </c>
      <c r="B2730" t="s">
        <v>3516</v>
      </c>
      <c r="C2730" t="s">
        <v>20</v>
      </c>
      <c r="D2730" t="s">
        <v>3517</v>
      </c>
      <c r="E2730">
        <v>1227</v>
      </c>
    </row>
    <row r="2731" spans="1:5">
      <c r="A2731" s="1">
        <v>45897</v>
      </c>
      <c r="B2731" t="s">
        <v>35</v>
      </c>
      <c r="C2731" t="s">
        <v>20</v>
      </c>
      <c r="D2731" t="s">
        <v>3518</v>
      </c>
      <c r="E2731">
        <v>9720</v>
      </c>
    </row>
    <row r="2732" spans="1:5">
      <c r="A2732" s="1">
        <v>45897</v>
      </c>
      <c r="B2732" t="s">
        <v>3519</v>
      </c>
      <c r="C2732" t="s">
        <v>20</v>
      </c>
      <c r="D2732" t="s">
        <v>3520</v>
      </c>
      <c r="E2732">
        <v>13052</v>
      </c>
    </row>
    <row r="2733" spans="1:5">
      <c r="A2733" s="1">
        <v>45897</v>
      </c>
      <c r="B2733" t="s">
        <v>43</v>
      </c>
      <c r="C2733" t="s">
        <v>20</v>
      </c>
      <c r="D2733" t="s">
        <v>3521</v>
      </c>
      <c r="E2733">
        <v>3354</v>
      </c>
    </row>
    <row r="2734" spans="1:5">
      <c r="A2734" s="1">
        <v>45897</v>
      </c>
      <c r="B2734" t="s">
        <v>1350</v>
      </c>
      <c r="C2734" t="s">
        <v>20</v>
      </c>
      <c r="D2734" t="s">
        <v>3522</v>
      </c>
      <c r="E2734">
        <v>286</v>
      </c>
    </row>
    <row r="2735" spans="1:5">
      <c r="A2735" s="1">
        <v>45897</v>
      </c>
      <c r="B2735" t="s">
        <v>3074</v>
      </c>
      <c r="C2735" t="s">
        <v>20</v>
      </c>
      <c r="D2735" t="s">
        <v>3523</v>
      </c>
      <c r="E2735">
        <v>459</v>
      </c>
    </row>
    <row r="2736" spans="1:5">
      <c r="A2736" s="1">
        <v>45897</v>
      </c>
      <c r="B2736" t="s">
        <v>1428</v>
      </c>
      <c r="C2736" t="s">
        <v>20</v>
      </c>
      <c r="D2736" t="s">
        <v>3524</v>
      </c>
      <c r="E2736">
        <v>432</v>
      </c>
    </row>
    <row r="2737" spans="1:5">
      <c r="A2737" s="1">
        <v>45897</v>
      </c>
      <c r="B2737" t="s">
        <v>3525</v>
      </c>
      <c r="C2737" t="s">
        <v>20</v>
      </c>
      <c r="D2737" t="s">
        <v>3526</v>
      </c>
      <c r="E2737">
        <v>20003</v>
      </c>
    </row>
    <row r="2738" spans="1:5">
      <c r="A2738" s="1">
        <v>45898</v>
      </c>
      <c r="B2738" t="s">
        <v>1104</v>
      </c>
      <c r="C2738" t="s">
        <v>19</v>
      </c>
      <c r="D2738" t="s">
        <v>3527</v>
      </c>
      <c r="E2738">
        <v>11610</v>
      </c>
    </row>
    <row r="2739" spans="1:5">
      <c r="A2739" s="1">
        <v>45898</v>
      </c>
      <c r="B2739" t="s">
        <v>733</v>
      </c>
      <c r="C2739" t="s">
        <v>19</v>
      </c>
      <c r="D2739" t="s">
        <v>3528</v>
      </c>
      <c r="E2739">
        <v>9750</v>
      </c>
    </row>
    <row r="2740" spans="1:5">
      <c r="A2740" s="1">
        <v>45898</v>
      </c>
      <c r="B2740" t="s">
        <v>448</v>
      </c>
      <c r="C2740" t="s">
        <v>19</v>
      </c>
      <c r="D2740" t="s">
        <v>3529</v>
      </c>
    </row>
    <row r="2741" spans="1:5">
      <c r="A2741" s="1">
        <v>45898</v>
      </c>
      <c r="B2741" t="s">
        <v>3505</v>
      </c>
      <c r="C2741" t="s">
        <v>19</v>
      </c>
      <c r="D2741" t="s">
        <v>3530</v>
      </c>
      <c r="E2741">
        <v>2960</v>
      </c>
    </row>
    <row r="2742" spans="1:5">
      <c r="A2742" s="1">
        <v>45898</v>
      </c>
      <c r="B2742" t="s">
        <v>56</v>
      </c>
      <c r="C2742" t="s">
        <v>19</v>
      </c>
      <c r="D2742" t="s">
        <v>3531</v>
      </c>
      <c r="E2742">
        <v>22023</v>
      </c>
    </row>
    <row r="2743" spans="1:5">
      <c r="A2743" s="1">
        <v>45898</v>
      </c>
      <c r="B2743" t="s">
        <v>3532</v>
      </c>
      <c r="C2743" t="s">
        <v>20</v>
      </c>
      <c r="D2743" t="s">
        <v>3533</v>
      </c>
      <c r="E2743">
        <v>370</v>
      </c>
    </row>
    <row r="2744" spans="1:5">
      <c r="A2744" s="1">
        <v>45898</v>
      </c>
      <c r="B2744" t="s">
        <v>3333</v>
      </c>
      <c r="C2744" t="s">
        <v>20</v>
      </c>
      <c r="D2744" t="s">
        <v>3534</v>
      </c>
      <c r="E2744">
        <v>5550</v>
      </c>
    </row>
    <row r="2745" spans="1:5">
      <c r="A2745" s="1">
        <v>45898</v>
      </c>
      <c r="B2745" t="s">
        <v>844</v>
      </c>
      <c r="C2745" t="s">
        <v>20</v>
      </c>
      <c r="D2745" t="s">
        <v>3535</v>
      </c>
      <c r="E2745">
        <v>4380</v>
      </c>
    </row>
    <row r="2746" spans="1:5">
      <c r="A2746" s="1">
        <v>45898</v>
      </c>
      <c r="B2746" t="s">
        <v>3536</v>
      </c>
      <c r="C2746" t="s">
        <v>20</v>
      </c>
      <c r="D2746" t="s">
        <v>3537</v>
      </c>
      <c r="E2746">
        <v>360</v>
      </c>
    </row>
    <row r="2747" spans="1:5">
      <c r="A2747" s="1">
        <v>45898</v>
      </c>
      <c r="B2747" t="s">
        <v>2786</v>
      </c>
      <c r="C2747" t="s">
        <v>20</v>
      </c>
      <c r="D2747" t="s">
        <v>3538</v>
      </c>
      <c r="E2747">
        <v>35922</v>
      </c>
    </row>
    <row r="2748" spans="1:5">
      <c r="A2748" s="1">
        <v>45898</v>
      </c>
      <c r="B2748" t="s">
        <v>3392</v>
      </c>
      <c r="C2748" t="s">
        <v>20</v>
      </c>
      <c r="D2748" t="s">
        <v>3539</v>
      </c>
      <c r="E2748">
        <v>2027</v>
      </c>
    </row>
    <row r="2749" spans="1:5">
      <c r="A2749" s="1">
        <v>45898</v>
      </c>
      <c r="B2749" t="s">
        <v>1776</v>
      </c>
      <c r="C2749" t="s">
        <v>20</v>
      </c>
      <c r="D2749" t="s">
        <v>3540</v>
      </c>
      <c r="E2749">
        <v>1780</v>
      </c>
    </row>
    <row r="2750" spans="1:5">
      <c r="A2750" s="1">
        <v>45898</v>
      </c>
      <c r="B2750" t="s">
        <v>3541</v>
      </c>
      <c r="C2750" t="s">
        <v>20</v>
      </c>
      <c r="D2750" t="s">
        <v>3542</v>
      </c>
      <c r="E2750">
        <v>1157</v>
      </c>
    </row>
    <row r="2751" spans="1:5">
      <c r="A2751" s="1">
        <v>45898</v>
      </c>
      <c r="B2751" t="s">
        <v>76</v>
      </c>
      <c r="C2751" t="s">
        <v>20</v>
      </c>
      <c r="D2751" t="s">
        <v>3543</v>
      </c>
      <c r="E2751">
        <v>5518</v>
      </c>
    </row>
    <row r="2752" spans="1:5">
      <c r="A2752" s="1">
        <v>45898</v>
      </c>
      <c r="B2752" t="s">
        <v>3544</v>
      </c>
      <c r="C2752" t="s">
        <v>20</v>
      </c>
      <c r="D2752" t="s">
        <v>3545</v>
      </c>
      <c r="E2752">
        <v>50</v>
      </c>
    </row>
    <row r="2753" spans="1:5">
      <c r="A2753" s="1">
        <v>45898</v>
      </c>
      <c r="B2753" t="s">
        <v>135</v>
      </c>
      <c r="C2753" t="s">
        <v>20</v>
      </c>
      <c r="D2753" t="s">
        <v>3546</v>
      </c>
      <c r="E2753">
        <v>2425</v>
      </c>
    </row>
    <row r="2754" spans="1:5">
      <c r="A2754" s="1">
        <v>45898</v>
      </c>
      <c r="B2754" t="s">
        <v>1428</v>
      </c>
      <c r="C2754" t="s">
        <v>20</v>
      </c>
      <c r="D2754" t="s">
        <v>3547</v>
      </c>
      <c r="E2754">
        <v>6091</v>
      </c>
    </row>
    <row r="2755" spans="1:5">
      <c r="A2755" s="1">
        <v>45899</v>
      </c>
      <c r="B2755" t="s">
        <v>60</v>
      </c>
      <c r="C2755" t="s">
        <v>19</v>
      </c>
      <c r="D2755" t="s">
        <v>3548</v>
      </c>
      <c r="E2755">
        <v>29406</v>
      </c>
    </row>
    <row r="2756" spans="1:5">
      <c r="A2756" s="1">
        <v>45899</v>
      </c>
      <c r="B2756" t="s">
        <v>2854</v>
      </c>
      <c r="C2756" t="s">
        <v>19</v>
      </c>
      <c r="D2756" t="s">
        <v>3549</v>
      </c>
      <c r="E2756">
        <v>82004</v>
      </c>
    </row>
    <row r="2757" spans="1:5">
      <c r="A2757" s="1">
        <v>45899</v>
      </c>
      <c r="B2757" t="s">
        <v>147</v>
      </c>
      <c r="C2757" t="s">
        <v>19</v>
      </c>
      <c r="D2757" t="s">
        <v>3550</v>
      </c>
      <c r="E2757">
        <v>35405</v>
      </c>
    </row>
    <row r="2758" spans="1:5">
      <c r="A2758" s="1">
        <v>45899</v>
      </c>
      <c r="B2758" t="s">
        <v>1628</v>
      </c>
      <c r="C2758" t="s">
        <v>19</v>
      </c>
      <c r="D2758" t="s">
        <v>3551</v>
      </c>
      <c r="E2758">
        <v>4920</v>
      </c>
    </row>
    <row r="2759" spans="1:5">
      <c r="A2759" s="1">
        <v>45899</v>
      </c>
      <c r="B2759" t="s">
        <v>2059</v>
      </c>
      <c r="C2759" t="s">
        <v>20</v>
      </c>
      <c r="D2759" t="s">
        <v>3552</v>
      </c>
      <c r="E2759">
        <v>2027</v>
      </c>
    </row>
    <row r="2760" spans="1:5">
      <c r="A2760" s="1">
        <v>45899</v>
      </c>
      <c r="B2760" t="s">
        <v>778</v>
      </c>
      <c r="C2760" t="s">
        <v>20</v>
      </c>
      <c r="D2760" t="s">
        <v>3553</v>
      </c>
      <c r="E2760">
        <v>5226</v>
      </c>
    </row>
    <row r="2761" spans="1:5">
      <c r="A2761" s="1">
        <v>45899</v>
      </c>
      <c r="B2761" t="s">
        <v>76</v>
      </c>
      <c r="C2761" t="s">
        <v>20</v>
      </c>
      <c r="D2761" t="s">
        <v>3554</v>
      </c>
      <c r="E2761">
        <v>3700</v>
      </c>
    </row>
    <row r="2762" spans="1:5">
      <c r="A2762" s="1">
        <v>45899</v>
      </c>
      <c r="B2762" t="s">
        <v>3555</v>
      </c>
      <c r="C2762" t="s">
        <v>20</v>
      </c>
      <c r="D2762" t="s">
        <v>3556</v>
      </c>
      <c r="E2762">
        <v>2847</v>
      </c>
    </row>
    <row r="2763" spans="1:5">
      <c r="A2763" s="1">
        <v>45899</v>
      </c>
      <c r="B2763" t="s">
        <v>50</v>
      </c>
      <c r="C2763" t="s">
        <v>20</v>
      </c>
      <c r="D2763" t="s">
        <v>3557</v>
      </c>
      <c r="E2763">
        <v>12</v>
      </c>
    </row>
    <row r="2764" spans="1:5">
      <c r="A2764" s="1">
        <v>45899</v>
      </c>
      <c r="B2764" t="s">
        <v>3392</v>
      </c>
      <c r="C2764" t="s">
        <v>20</v>
      </c>
      <c r="D2764" t="s">
        <v>3558</v>
      </c>
      <c r="E2764">
        <v>588</v>
      </c>
    </row>
    <row r="2765" spans="1:5">
      <c r="A2765" s="1">
        <v>45899</v>
      </c>
      <c r="B2765" t="s">
        <v>526</v>
      </c>
      <c r="C2765" t="s">
        <v>20</v>
      </c>
      <c r="D2765" t="s">
        <v>3559</v>
      </c>
      <c r="E2765">
        <v>25</v>
      </c>
    </row>
    <row r="2766" spans="1:5">
      <c r="A2766" s="1">
        <v>45899</v>
      </c>
      <c r="B2766" t="s">
        <v>3532</v>
      </c>
      <c r="C2766" t="s">
        <v>20</v>
      </c>
      <c r="D2766" t="s">
        <v>3560</v>
      </c>
      <c r="E2766">
        <v>370</v>
      </c>
    </row>
    <row r="2767" spans="1:5">
      <c r="A2767" s="1">
        <v>45899</v>
      </c>
      <c r="B2767" t="s">
        <v>3089</v>
      </c>
      <c r="C2767" t="s">
        <v>20</v>
      </c>
      <c r="D2767" t="s">
        <v>3561</v>
      </c>
      <c r="E2767">
        <v>9205</v>
      </c>
    </row>
    <row r="2768" spans="1:5">
      <c r="A2768" s="1">
        <v>45899</v>
      </c>
      <c r="B2768" t="s">
        <v>50</v>
      </c>
      <c r="C2768" t="s">
        <v>20</v>
      </c>
      <c r="D2768" t="s">
        <v>3562</v>
      </c>
      <c r="E2768">
        <v>370</v>
      </c>
    </row>
    <row r="2769" spans="1:5">
      <c r="A2769" s="1">
        <v>45899</v>
      </c>
      <c r="B2769" t="s">
        <v>50</v>
      </c>
      <c r="C2769" t="s">
        <v>20</v>
      </c>
      <c r="D2769" t="s">
        <v>3563</v>
      </c>
      <c r="E2769">
        <v>8</v>
      </c>
    </row>
    <row r="2770" spans="1:5">
      <c r="A2770" s="1">
        <v>45899</v>
      </c>
      <c r="B2770" t="s">
        <v>1428</v>
      </c>
      <c r="C2770" t="s">
        <v>20</v>
      </c>
      <c r="D2770" t="s">
        <v>3564</v>
      </c>
      <c r="E2770">
        <v>60</v>
      </c>
    </row>
    <row r="2771" spans="1:5">
      <c r="A2771" s="1">
        <v>45899</v>
      </c>
      <c r="B2771" t="s">
        <v>50</v>
      </c>
      <c r="C2771" t="s">
        <v>20</v>
      </c>
      <c r="D2771" t="s">
        <v>3565</v>
      </c>
      <c r="E2771">
        <v>318</v>
      </c>
    </row>
    <row r="2772" spans="1:5">
      <c r="A2772" s="1">
        <v>45899</v>
      </c>
      <c r="B2772" t="s">
        <v>50</v>
      </c>
      <c r="C2772" t="s">
        <v>20</v>
      </c>
      <c r="D2772" t="s">
        <v>3566</v>
      </c>
      <c r="E2772">
        <v>370</v>
      </c>
    </row>
    <row r="2773" spans="1:5">
      <c r="A2773" s="1">
        <v>45899</v>
      </c>
      <c r="B2773" t="s">
        <v>76</v>
      </c>
      <c r="C2773" t="s">
        <v>20</v>
      </c>
      <c r="D2773" t="s">
        <v>3567</v>
      </c>
      <c r="E2773">
        <v>150</v>
      </c>
    </row>
    <row r="2774" spans="1:5">
      <c r="A2774" s="1">
        <v>45899</v>
      </c>
      <c r="B2774" t="s">
        <v>3568</v>
      </c>
      <c r="C2774" t="s">
        <v>20</v>
      </c>
      <c r="D2774" t="s">
        <v>3569</v>
      </c>
      <c r="E2774">
        <v>37518</v>
      </c>
    </row>
    <row r="2775" spans="1:5">
      <c r="A2775" s="1">
        <v>45899</v>
      </c>
      <c r="B2775" t="s">
        <v>2693</v>
      </c>
      <c r="C2775" t="s">
        <v>20</v>
      </c>
      <c r="D2775" t="s">
        <v>3570</v>
      </c>
      <c r="E2775">
        <v>390</v>
      </c>
    </row>
    <row r="2776" spans="1:5">
      <c r="A2776" s="1">
        <v>45899</v>
      </c>
      <c r="B2776" t="s">
        <v>50</v>
      </c>
      <c r="C2776" t="s">
        <v>20</v>
      </c>
      <c r="D2776" t="s">
        <v>3571</v>
      </c>
      <c r="E2776">
        <v>810</v>
      </c>
    </row>
    <row r="2777" spans="1:5">
      <c r="A2777" s="1">
        <v>45899</v>
      </c>
      <c r="B2777" t="s">
        <v>2059</v>
      </c>
      <c r="C2777" t="s">
        <v>20</v>
      </c>
      <c r="D2777" t="s">
        <v>3572</v>
      </c>
      <c r="E2777">
        <v>799</v>
      </c>
    </row>
    <row r="2778" spans="1:5">
      <c r="A2778" s="1">
        <v>45899</v>
      </c>
      <c r="B2778" t="s">
        <v>3573</v>
      </c>
      <c r="C2778" t="s">
        <v>20</v>
      </c>
      <c r="D2778" t="s">
        <v>3574</v>
      </c>
      <c r="E2778">
        <v>30550</v>
      </c>
    </row>
    <row r="2779" spans="1:5">
      <c r="A2779" s="1">
        <v>45899</v>
      </c>
      <c r="B2779" t="s">
        <v>68</v>
      </c>
      <c r="C2779" t="s">
        <v>20</v>
      </c>
      <c r="D2779" t="s">
        <v>3575</v>
      </c>
      <c r="E2779">
        <v>6163</v>
      </c>
    </row>
    <row r="2780" spans="1:5">
      <c r="A2780" s="1">
        <v>45899</v>
      </c>
      <c r="B2780" t="s">
        <v>3576</v>
      </c>
      <c r="C2780" t="s">
        <v>20</v>
      </c>
      <c r="D2780" t="s">
        <v>3577</v>
      </c>
      <c r="E2780">
        <v>2220</v>
      </c>
    </row>
    <row r="2781" spans="1:5">
      <c r="A2781" s="1">
        <v>45899</v>
      </c>
      <c r="B2781" t="s">
        <v>33</v>
      </c>
      <c r="C2781" t="s">
        <v>20</v>
      </c>
      <c r="D2781" t="s">
        <v>3578</v>
      </c>
      <c r="E2781">
        <v>3780</v>
      </c>
    </row>
    <row r="2782" spans="1:5">
      <c r="A2782" s="1">
        <v>45899</v>
      </c>
      <c r="B2782" t="s">
        <v>3579</v>
      </c>
      <c r="C2782" t="s">
        <v>20</v>
      </c>
      <c r="D2782" t="s">
        <v>3580</v>
      </c>
      <c r="E2782">
        <v>72</v>
      </c>
    </row>
    <row r="2783" spans="1:5">
      <c r="A2783" s="1">
        <v>45899</v>
      </c>
      <c r="B2783" t="s">
        <v>1428</v>
      </c>
      <c r="C2783" t="s">
        <v>20</v>
      </c>
      <c r="D2783" t="s">
        <v>3581</v>
      </c>
      <c r="E2783">
        <v>1182</v>
      </c>
    </row>
    <row r="2784" spans="1:5">
      <c r="A2784" s="1">
        <v>45899</v>
      </c>
      <c r="B2784" t="s">
        <v>3582</v>
      </c>
      <c r="C2784" t="s">
        <v>20</v>
      </c>
      <c r="D2784" t="s">
        <v>3583</v>
      </c>
      <c r="E2784">
        <v>310</v>
      </c>
    </row>
    <row r="2785" spans="1:5">
      <c r="A2785" s="1">
        <v>45901</v>
      </c>
      <c r="B2785" t="s">
        <v>2854</v>
      </c>
      <c r="C2785" t="s">
        <v>19</v>
      </c>
      <c r="D2785" t="s">
        <v>3584</v>
      </c>
      <c r="E2785">
        <v>7400</v>
      </c>
    </row>
    <row r="2786" spans="1:5">
      <c r="A2786" s="1">
        <v>45901</v>
      </c>
      <c r="B2786" t="s">
        <v>3585</v>
      </c>
      <c r="C2786" t="s">
        <v>19</v>
      </c>
      <c r="D2786" t="s">
        <v>3586</v>
      </c>
      <c r="E2786">
        <v>2128</v>
      </c>
    </row>
    <row r="2787" spans="1:5">
      <c r="A2787" s="1">
        <v>45901</v>
      </c>
      <c r="B2787" t="s">
        <v>1104</v>
      </c>
      <c r="C2787" t="s">
        <v>19</v>
      </c>
      <c r="D2787" t="s">
        <v>3587</v>
      </c>
      <c r="E2787">
        <v>3700</v>
      </c>
    </row>
    <row r="2788" spans="1:5">
      <c r="A2788" s="1">
        <v>45901</v>
      </c>
      <c r="B2788" t="s">
        <v>2329</v>
      </c>
      <c r="C2788" t="s">
        <v>19</v>
      </c>
      <c r="D2788" t="s">
        <v>3588</v>
      </c>
      <c r="E2788">
        <v>8977</v>
      </c>
    </row>
    <row r="2789" spans="1:5">
      <c r="A2789" s="1">
        <v>45901</v>
      </c>
      <c r="B2789" t="s">
        <v>254</v>
      </c>
      <c r="C2789" t="s">
        <v>20</v>
      </c>
      <c r="D2789" t="s">
        <v>3589</v>
      </c>
      <c r="E2789">
        <v>1850</v>
      </c>
    </row>
    <row r="2790" spans="1:5">
      <c r="A2790" s="1">
        <v>45901</v>
      </c>
      <c r="B2790" t="s">
        <v>402</v>
      </c>
      <c r="C2790" t="s">
        <v>20</v>
      </c>
      <c r="D2790" t="s">
        <v>3590</v>
      </c>
      <c r="E2790">
        <v>16830</v>
      </c>
    </row>
    <row r="2791" spans="1:5">
      <c r="A2791" s="1">
        <v>45901</v>
      </c>
      <c r="B2791" t="s">
        <v>3591</v>
      </c>
      <c r="C2791" t="s">
        <v>20</v>
      </c>
      <c r="D2791" t="s">
        <v>3592</v>
      </c>
      <c r="E2791">
        <v>370</v>
      </c>
    </row>
    <row r="2792" spans="1:5">
      <c r="A2792" s="1">
        <v>45901</v>
      </c>
      <c r="B2792" t="s">
        <v>3593</v>
      </c>
      <c r="C2792" t="s">
        <v>20</v>
      </c>
      <c r="D2792" t="s">
        <v>3594</v>
      </c>
      <c r="E2792">
        <v>1110</v>
      </c>
    </row>
    <row r="2793" spans="1:5">
      <c r="A2793" s="1">
        <v>45901</v>
      </c>
      <c r="B2793" t="s">
        <v>68</v>
      </c>
      <c r="C2793" t="s">
        <v>20</v>
      </c>
      <c r="D2793" t="s">
        <v>3595</v>
      </c>
      <c r="E2793">
        <v>1214</v>
      </c>
    </row>
    <row r="2794" spans="1:5">
      <c r="A2794" s="1">
        <v>45901</v>
      </c>
      <c r="B2794" t="s">
        <v>3408</v>
      </c>
      <c r="C2794" t="s">
        <v>20</v>
      </c>
      <c r="D2794" t="s">
        <v>3596</v>
      </c>
      <c r="E2794">
        <v>1282</v>
      </c>
    </row>
    <row r="2795" spans="1:5">
      <c r="A2795" s="1">
        <v>45901</v>
      </c>
      <c r="B2795" t="s">
        <v>50</v>
      </c>
      <c r="C2795" t="s">
        <v>20</v>
      </c>
      <c r="D2795" t="s">
        <v>3597</v>
      </c>
      <c r="E2795">
        <v>21</v>
      </c>
    </row>
    <row r="2796" spans="1:5">
      <c r="A2796" s="1">
        <v>45901</v>
      </c>
      <c r="B2796" t="s">
        <v>481</v>
      </c>
      <c r="C2796" t="s">
        <v>20</v>
      </c>
      <c r="D2796" t="s">
        <v>3598</v>
      </c>
      <c r="E2796">
        <v>1182</v>
      </c>
    </row>
    <row r="2797" spans="1:5">
      <c r="A2797" s="1">
        <v>45901</v>
      </c>
      <c r="B2797" t="s">
        <v>870</v>
      </c>
      <c r="C2797" t="s">
        <v>20</v>
      </c>
      <c r="D2797" t="s">
        <v>3599</v>
      </c>
      <c r="E2797">
        <v>1038</v>
      </c>
    </row>
    <row r="2798" spans="1:5">
      <c r="A2798" s="1">
        <v>45901</v>
      </c>
      <c r="B2798" t="s">
        <v>50</v>
      </c>
      <c r="C2798" t="s">
        <v>20</v>
      </c>
      <c r="D2798" t="s">
        <v>3600</v>
      </c>
      <c r="E2798">
        <v>962</v>
      </c>
    </row>
    <row r="2799" spans="1:5">
      <c r="A2799" s="1">
        <v>45901</v>
      </c>
      <c r="B2799" t="s">
        <v>3601</v>
      </c>
      <c r="C2799" t="s">
        <v>20</v>
      </c>
      <c r="D2799" t="s">
        <v>3602</v>
      </c>
      <c r="E2799">
        <v>9757</v>
      </c>
    </row>
    <row r="2800" spans="1:5">
      <c r="A2800" s="1">
        <v>45901</v>
      </c>
      <c r="B2800" t="s">
        <v>3603</v>
      </c>
      <c r="C2800" t="s">
        <v>20</v>
      </c>
      <c r="D2800" t="s">
        <v>3604</v>
      </c>
      <c r="E2800">
        <v>370</v>
      </c>
    </row>
    <row r="2801" spans="1:5">
      <c r="A2801" s="1">
        <v>45901</v>
      </c>
      <c r="B2801" t="s">
        <v>52</v>
      </c>
      <c r="C2801" t="s">
        <v>20</v>
      </c>
      <c r="D2801" t="s">
        <v>3605</v>
      </c>
      <c r="E2801">
        <v>370</v>
      </c>
    </row>
    <row r="2802" spans="1:5">
      <c r="A2802" s="1">
        <v>45901</v>
      </c>
      <c r="B2802" t="s">
        <v>1631</v>
      </c>
      <c r="C2802" t="s">
        <v>20</v>
      </c>
      <c r="D2802" t="s">
        <v>3606</v>
      </c>
      <c r="E2802">
        <v>2894</v>
      </c>
    </row>
    <row r="2803" spans="1:5">
      <c r="A2803" s="1">
        <v>45901</v>
      </c>
      <c r="B2803" t="s">
        <v>1428</v>
      </c>
      <c r="C2803" t="s">
        <v>20</v>
      </c>
      <c r="D2803" t="s">
        <v>3607</v>
      </c>
      <c r="E2803">
        <v>605</v>
      </c>
    </row>
    <row r="2804" spans="1:5">
      <c r="A2804" s="1">
        <v>45901</v>
      </c>
      <c r="B2804" t="s">
        <v>1362</v>
      </c>
      <c r="C2804" t="s">
        <v>20</v>
      </c>
      <c r="D2804" t="s">
        <v>3608</v>
      </c>
      <c r="E2804">
        <v>740</v>
      </c>
    </row>
    <row r="2805" spans="1:5">
      <c r="A2805" s="1">
        <v>45901</v>
      </c>
      <c r="B2805" t="s">
        <v>619</v>
      </c>
      <c r="C2805" t="s">
        <v>20</v>
      </c>
      <c r="D2805" t="s">
        <v>3609</v>
      </c>
      <c r="E2805">
        <v>470</v>
      </c>
    </row>
    <row r="2806" spans="1:5">
      <c r="A2806" s="1">
        <v>45902</v>
      </c>
      <c r="B2806" t="s">
        <v>1104</v>
      </c>
      <c r="C2806" t="s">
        <v>19</v>
      </c>
      <c r="D2806" t="s">
        <v>3610</v>
      </c>
      <c r="E2806">
        <v>18900</v>
      </c>
    </row>
    <row r="2807" spans="1:5">
      <c r="A2807" s="1">
        <v>45902</v>
      </c>
      <c r="B2807" t="s">
        <v>2987</v>
      </c>
      <c r="C2807" t="s">
        <v>19</v>
      </c>
      <c r="D2807" t="s">
        <v>3611</v>
      </c>
      <c r="E2807">
        <v>56935</v>
      </c>
    </row>
    <row r="2808" spans="1:5">
      <c r="A2808" s="1">
        <v>45902</v>
      </c>
      <c r="B2808" t="s">
        <v>927</v>
      </c>
      <c r="C2808" t="s">
        <v>19</v>
      </c>
      <c r="D2808" t="s">
        <v>3612</v>
      </c>
      <c r="E2808">
        <v>7180</v>
      </c>
    </row>
    <row r="2809" spans="1:5">
      <c r="A2809" s="1">
        <v>45902</v>
      </c>
      <c r="B2809" t="s">
        <v>1901</v>
      </c>
      <c r="C2809" t="s">
        <v>19</v>
      </c>
      <c r="D2809" t="s">
        <v>3613</v>
      </c>
      <c r="E2809">
        <v>1105</v>
      </c>
    </row>
    <row r="2810" spans="1:5">
      <c r="A2810" s="1">
        <v>45902</v>
      </c>
      <c r="B2810" t="s">
        <v>2459</v>
      </c>
      <c r="C2810" t="s">
        <v>20</v>
      </c>
      <c r="D2810" t="s">
        <v>3614</v>
      </c>
      <c r="E2810">
        <v>13750</v>
      </c>
    </row>
    <row r="2811" spans="1:5">
      <c r="A2811" s="1">
        <v>45902</v>
      </c>
      <c r="B2811" t="s">
        <v>50</v>
      </c>
      <c r="C2811" t="s">
        <v>20</v>
      </c>
      <c r="D2811" t="s">
        <v>3615</v>
      </c>
      <c r="E2811">
        <v>370</v>
      </c>
    </row>
    <row r="2812" spans="1:5">
      <c r="A2812" s="1">
        <v>45902</v>
      </c>
      <c r="B2812" t="s">
        <v>3616</v>
      </c>
      <c r="C2812" t="s">
        <v>20</v>
      </c>
      <c r="D2812" t="s">
        <v>3617</v>
      </c>
      <c r="E2812">
        <v>11893</v>
      </c>
    </row>
    <row r="2813" spans="1:5">
      <c r="A2813" s="1">
        <v>45902</v>
      </c>
      <c r="B2813" t="s">
        <v>3618</v>
      </c>
      <c r="C2813" t="s">
        <v>20</v>
      </c>
      <c r="D2813" t="s">
        <v>3619</v>
      </c>
      <c r="E2813">
        <v>740</v>
      </c>
    </row>
    <row r="2814" spans="1:5">
      <c r="A2814" s="1">
        <v>45902</v>
      </c>
      <c r="B2814" t="s">
        <v>3593</v>
      </c>
      <c r="C2814" t="s">
        <v>20</v>
      </c>
      <c r="D2814" t="s">
        <v>3620</v>
      </c>
      <c r="E2814">
        <v>1110</v>
      </c>
    </row>
    <row r="2815" spans="1:5">
      <c r="A2815" s="1">
        <v>45902</v>
      </c>
      <c r="B2815" t="s">
        <v>1916</v>
      </c>
      <c r="C2815" t="s">
        <v>20</v>
      </c>
      <c r="D2815" t="s">
        <v>3621</v>
      </c>
      <c r="E2815">
        <v>7955</v>
      </c>
    </row>
    <row r="2816" spans="1:5">
      <c r="A2816" s="1">
        <v>45902</v>
      </c>
      <c r="B2816" t="s">
        <v>316</v>
      </c>
      <c r="C2816" t="s">
        <v>20</v>
      </c>
      <c r="D2816" t="s">
        <v>3622</v>
      </c>
      <c r="E2816">
        <v>315</v>
      </c>
    </row>
    <row r="2817" spans="1:5">
      <c r="A2817" s="1">
        <v>45902</v>
      </c>
      <c r="B2817" t="s">
        <v>135</v>
      </c>
      <c r="C2817" t="s">
        <v>20</v>
      </c>
      <c r="D2817" t="s">
        <v>3623</v>
      </c>
      <c r="E2817">
        <v>6990</v>
      </c>
    </row>
    <row r="2818" spans="1:5">
      <c r="A2818" s="1">
        <v>45902</v>
      </c>
      <c r="B2818" t="s">
        <v>2202</v>
      </c>
      <c r="C2818" t="s">
        <v>20</v>
      </c>
      <c r="D2818" t="s">
        <v>3624</v>
      </c>
      <c r="E2818">
        <v>25350</v>
      </c>
    </row>
    <row r="2819" spans="1:5">
      <c r="A2819" s="1">
        <v>45902</v>
      </c>
      <c r="B2819" t="s">
        <v>709</v>
      </c>
      <c r="C2819" t="s">
        <v>20</v>
      </c>
      <c r="D2819" t="s">
        <v>3625</v>
      </c>
      <c r="E2819">
        <v>9250</v>
      </c>
    </row>
    <row r="2820" spans="1:5">
      <c r="A2820" s="1">
        <v>45902</v>
      </c>
      <c r="B2820" t="s">
        <v>3333</v>
      </c>
      <c r="C2820" t="s">
        <v>20</v>
      </c>
      <c r="D2820" t="s">
        <v>3626</v>
      </c>
      <c r="E2820">
        <v>3700</v>
      </c>
    </row>
    <row r="2821" spans="1:5">
      <c r="A2821" s="1">
        <v>45902</v>
      </c>
      <c r="B2821" t="s">
        <v>50</v>
      </c>
      <c r="C2821" t="s">
        <v>20</v>
      </c>
      <c r="D2821" t="s">
        <v>3627</v>
      </c>
      <c r="E2821">
        <v>3076</v>
      </c>
    </row>
    <row r="2822" spans="1:5">
      <c r="A2822" s="1">
        <v>45902</v>
      </c>
      <c r="B2822" t="s">
        <v>2399</v>
      </c>
      <c r="C2822" t="s">
        <v>20</v>
      </c>
      <c r="D2822" t="s">
        <v>3628</v>
      </c>
      <c r="E2822">
        <v>740</v>
      </c>
    </row>
    <row r="2823" spans="1:5">
      <c r="A2823" s="1">
        <v>45902</v>
      </c>
      <c r="B2823" t="s">
        <v>76</v>
      </c>
      <c r="C2823" t="s">
        <v>20</v>
      </c>
      <c r="D2823" t="s">
        <v>3629</v>
      </c>
      <c r="E2823">
        <v>519</v>
      </c>
    </row>
    <row r="2824" spans="1:5">
      <c r="A2824" s="1">
        <v>45902</v>
      </c>
      <c r="B2824" t="s">
        <v>3231</v>
      </c>
      <c r="C2824" t="s">
        <v>20</v>
      </c>
      <c r="D2824" t="s">
        <v>3630</v>
      </c>
      <c r="E2824">
        <v>370</v>
      </c>
    </row>
    <row r="2825" spans="1:5">
      <c r="A2825" s="1">
        <v>45902</v>
      </c>
      <c r="B2825" t="s">
        <v>3631</v>
      </c>
      <c r="C2825" t="s">
        <v>20</v>
      </c>
      <c r="D2825" t="s">
        <v>3632</v>
      </c>
      <c r="E2825">
        <v>2080</v>
      </c>
    </row>
    <row r="2826" spans="1:5">
      <c r="A2826" s="1">
        <v>45902</v>
      </c>
      <c r="B2826" t="s">
        <v>2143</v>
      </c>
      <c r="C2826" t="s">
        <v>20</v>
      </c>
      <c r="D2826" t="s">
        <v>3633</v>
      </c>
      <c r="E2826">
        <v>28443</v>
      </c>
    </row>
    <row r="2827" spans="1:5">
      <c r="A2827" s="1">
        <v>45902</v>
      </c>
      <c r="B2827" t="s">
        <v>2786</v>
      </c>
      <c r="C2827" t="s">
        <v>20</v>
      </c>
      <c r="D2827" t="s">
        <v>3634</v>
      </c>
      <c r="E2827">
        <v>130</v>
      </c>
    </row>
    <row r="2828" spans="1:5">
      <c r="A2828" s="1">
        <v>45902</v>
      </c>
      <c r="B2828" t="s">
        <v>3635</v>
      </c>
      <c r="C2828" t="s">
        <v>20</v>
      </c>
      <c r="D2828" t="s">
        <v>3636</v>
      </c>
      <c r="E2828">
        <v>920</v>
      </c>
    </row>
    <row r="2829" spans="1:5">
      <c r="A2829" s="1">
        <v>45902</v>
      </c>
      <c r="B2829" t="s">
        <v>3601</v>
      </c>
      <c r="C2829" t="s">
        <v>20</v>
      </c>
      <c r="D2829" t="s">
        <v>3637</v>
      </c>
      <c r="E2829">
        <v>253</v>
      </c>
    </row>
    <row r="2830" spans="1:5">
      <c r="A2830" s="1">
        <v>45902</v>
      </c>
      <c r="B2830" t="s">
        <v>932</v>
      </c>
      <c r="C2830" t="s">
        <v>20</v>
      </c>
      <c r="D2830" t="s">
        <v>3638</v>
      </c>
      <c r="E2830">
        <v>70925</v>
      </c>
    </row>
    <row r="2831" spans="1:5">
      <c r="A2831" s="1">
        <v>45902</v>
      </c>
      <c r="B2831" t="s">
        <v>89</v>
      </c>
      <c r="C2831" t="s">
        <v>20</v>
      </c>
      <c r="D2831" t="s">
        <v>3639</v>
      </c>
      <c r="E2831">
        <v>2220</v>
      </c>
    </row>
    <row r="2832" spans="1:5">
      <c r="A2832" s="1">
        <v>45902</v>
      </c>
      <c r="B2832" t="s">
        <v>76</v>
      </c>
      <c r="C2832" t="s">
        <v>20</v>
      </c>
      <c r="D2832" t="s">
        <v>3640</v>
      </c>
      <c r="E2832">
        <v>730</v>
      </c>
    </row>
    <row r="2833" spans="1:5">
      <c r="A2833" s="1">
        <v>45902</v>
      </c>
      <c r="B2833" t="s">
        <v>68</v>
      </c>
      <c r="C2833" t="s">
        <v>20</v>
      </c>
      <c r="D2833" t="s">
        <v>3641</v>
      </c>
      <c r="E2833">
        <v>6130</v>
      </c>
    </row>
    <row r="2834" spans="1:5">
      <c r="A2834" s="1">
        <v>45902</v>
      </c>
      <c r="B2834" t="s">
        <v>50</v>
      </c>
      <c r="C2834" t="s">
        <v>20</v>
      </c>
      <c r="D2834" t="s">
        <v>3642</v>
      </c>
      <c r="E2834">
        <v>12</v>
      </c>
    </row>
    <row r="2835" spans="1:5">
      <c r="A2835" s="1">
        <v>45903</v>
      </c>
      <c r="B2835" t="s">
        <v>2329</v>
      </c>
      <c r="C2835" t="s">
        <v>19</v>
      </c>
      <c r="D2835" t="s">
        <v>3643</v>
      </c>
      <c r="E2835">
        <v>9943</v>
      </c>
    </row>
    <row r="2836" spans="1:5">
      <c r="A2836" s="1">
        <v>45903</v>
      </c>
      <c r="B2836" t="s">
        <v>2329</v>
      </c>
      <c r="C2836" t="s">
        <v>19</v>
      </c>
      <c r="D2836" t="s">
        <v>3644</v>
      </c>
      <c r="E2836">
        <v>791</v>
      </c>
    </row>
    <row r="2837" spans="1:5">
      <c r="A2837" s="1">
        <v>45903</v>
      </c>
      <c r="B2837" t="s">
        <v>1104</v>
      </c>
      <c r="C2837" t="s">
        <v>19</v>
      </c>
      <c r="D2837" t="s">
        <v>3645</v>
      </c>
      <c r="E2837">
        <v>1020</v>
      </c>
    </row>
    <row r="2838" spans="1:5">
      <c r="A2838" s="1">
        <v>45903</v>
      </c>
      <c r="B2838" t="s">
        <v>543</v>
      </c>
      <c r="C2838" t="s">
        <v>19</v>
      </c>
      <c r="D2838" t="s">
        <v>3646</v>
      </c>
      <c r="E2838">
        <v>3035</v>
      </c>
    </row>
    <row r="2839" spans="1:5">
      <c r="A2839" s="1">
        <v>45903</v>
      </c>
      <c r="B2839" t="s">
        <v>222</v>
      </c>
      <c r="C2839" t="s">
        <v>20</v>
      </c>
      <c r="D2839" t="s">
        <v>3647</v>
      </c>
      <c r="E2839">
        <v>5630</v>
      </c>
    </row>
    <row r="2840" spans="1:5">
      <c r="A2840" s="1">
        <v>45903</v>
      </c>
      <c r="B2840" t="s">
        <v>747</v>
      </c>
      <c r="C2840" t="s">
        <v>20</v>
      </c>
      <c r="D2840" t="s">
        <v>3648</v>
      </c>
      <c r="E2840">
        <v>4224</v>
      </c>
    </row>
    <row r="2841" spans="1:5">
      <c r="A2841" s="1">
        <v>45903</v>
      </c>
      <c r="B2841" t="s">
        <v>48</v>
      </c>
      <c r="C2841" t="s">
        <v>20</v>
      </c>
      <c r="D2841" t="s">
        <v>3649</v>
      </c>
      <c r="E2841">
        <v>16793</v>
      </c>
    </row>
    <row r="2842" spans="1:5">
      <c r="A2842" s="1">
        <v>45903</v>
      </c>
      <c r="B2842" t="s">
        <v>100</v>
      </c>
      <c r="C2842" t="s">
        <v>20</v>
      </c>
      <c r="D2842" t="s">
        <v>3650</v>
      </c>
      <c r="E2842">
        <v>210</v>
      </c>
    </row>
    <row r="2843" spans="1:5">
      <c r="A2843" s="1">
        <v>45903</v>
      </c>
      <c r="B2843" t="s">
        <v>3392</v>
      </c>
      <c r="C2843" t="s">
        <v>20</v>
      </c>
      <c r="D2843" t="s">
        <v>3651</v>
      </c>
      <c r="E2843">
        <v>4985</v>
      </c>
    </row>
    <row r="2844" spans="1:5">
      <c r="A2844" s="1">
        <v>45903</v>
      </c>
      <c r="B2844" t="s">
        <v>870</v>
      </c>
      <c r="C2844" t="s">
        <v>20</v>
      </c>
      <c r="D2844" t="s">
        <v>3652</v>
      </c>
      <c r="E2844">
        <v>370</v>
      </c>
    </row>
    <row r="2845" spans="1:5">
      <c r="A2845" s="1">
        <v>45903</v>
      </c>
      <c r="B2845" t="s">
        <v>254</v>
      </c>
      <c r="C2845" t="s">
        <v>20</v>
      </c>
      <c r="D2845" t="s">
        <v>3653</v>
      </c>
      <c r="E2845">
        <v>1480</v>
      </c>
    </row>
    <row r="2846" spans="1:5">
      <c r="A2846" s="1">
        <v>45903</v>
      </c>
      <c r="B2846" t="s">
        <v>907</v>
      </c>
      <c r="C2846" t="s">
        <v>20</v>
      </c>
      <c r="D2846" t="s">
        <v>3654</v>
      </c>
      <c r="E2846">
        <v>7783</v>
      </c>
    </row>
    <row r="2847" spans="1:5">
      <c r="A2847" s="1">
        <v>45903</v>
      </c>
      <c r="B2847" t="s">
        <v>3631</v>
      </c>
      <c r="C2847" t="s">
        <v>20</v>
      </c>
      <c r="D2847" t="s">
        <v>3655</v>
      </c>
      <c r="E2847">
        <v>1345</v>
      </c>
    </row>
    <row r="2848" spans="1:5">
      <c r="A2848" s="1">
        <v>45903</v>
      </c>
      <c r="B2848" t="s">
        <v>50</v>
      </c>
      <c r="C2848" t="s">
        <v>20</v>
      </c>
      <c r="D2848" t="s">
        <v>3656</v>
      </c>
      <c r="E2848">
        <v>846</v>
      </c>
    </row>
    <row r="2849" spans="1:5">
      <c r="A2849" s="1">
        <v>45903</v>
      </c>
      <c r="B2849" t="s">
        <v>290</v>
      </c>
      <c r="C2849" t="s">
        <v>20</v>
      </c>
      <c r="D2849" t="s">
        <v>3657</v>
      </c>
      <c r="E2849">
        <v>280</v>
      </c>
    </row>
    <row r="2850" spans="1:5">
      <c r="A2850" s="1">
        <v>45903</v>
      </c>
      <c r="B2850" t="s">
        <v>76</v>
      </c>
      <c r="C2850" t="s">
        <v>20</v>
      </c>
      <c r="D2850" t="s">
        <v>3658</v>
      </c>
      <c r="E2850">
        <v>54386</v>
      </c>
    </row>
    <row r="2851" spans="1:5">
      <c r="A2851" s="1">
        <v>45903</v>
      </c>
      <c r="B2851" t="s">
        <v>135</v>
      </c>
      <c r="C2851" t="s">
        <v>20</v>
      </c>
      <c r="D2851" t="s">
        <v>3659</v>
      </c>
      <c r="E2851">
        <v>4862</v>
      </c>
    </row>
    <row r="2852" spans="1:5">
      <c r="A2852" s="1">
        <v>45903</v>
      </c>
      <c r="B2852" t="s">
        <v>3660</v>
      </c>
      <c r="C2852" t="s">
        <v>20</v>
      </c>
      <c r="D2852" t="s">
        <v>3661</v>
      </c>
      <c r="E2852">
        <v>12118</v>
      </c>
    </row>
    <row r="2853" spans="1:5">
      <c r="A2853" s="1">
        <v>45903</v>
      </c>
      <c r="B2853" t="s">
        <v>156</v>
      </c>
      <c r="C2853" t="s">
        <v>20</v>
      </c>
      <c r="D2853" t="s">
        <v>3662</v>
      </c>
      <c r="E2853">
        <v>4691</v>
      </c>
    </row>
    <row r="2854" spans="1:5">
      <c r="A2854" s="1">
        <v>45903</v>
      </c>
      <c r="B2854" t="s">
        <v>191</v>
      </c>
      <c r="C2854" t="s">
        <v>20</v>
      </c>
      <c r="D2854" t="s">
        <v>3663</v>
      </c>
      <c r="E2854">
        <v>162</v>
      </c>
    </row>
    <row r="2855" spans="1:5">
      <c r="A2855" s="1">
        <v>45903</v>
      </c>
      <c r="B2855" t="s">
        <v>50</v>
      </c>
      <c r="C2855" t="s">
        <v>20</v>
      </c>
      <c r="D2855" t="s">
        <v>3664</v>
      </c>
      <c r="E2855">
        <v>20</v>
      </c>
    </row>
    <row r="2856" spans="1:5">
      <c r="A2856" s="1">
        <v>45903</v>
      </c>
      <c r="B2856" t="s">
        <v>557</v>
      </c>
      <c r="C2856" t="s">
        <v>20</v>
      </c>
      <c r="D2856" t="s">
        <v>3665</v>
      </c>
      <c r="E2856">
        <v>8476</v>
      </c>
    </row>
    <row r="2857" spans="1:5">
      <c r="A2857" s="1">
        <v>45903</v>
      </c>
      <c r="B2857" t="s">
        <v>463</v>
      </c>
      <c r="C2857" t="s">
        <v>20</v>
      </c>
      <c r="D2857" t="s">
        <v>3666</v>
      </c>
      <c r="E2857">
        <v>1110</v>
      </c>
    </row>
    <row r="2858" spans="1:5">
      <c r="A2858" s="1">
        <v>45903</v>
      </c>
      <c r="B2858" t="s">
        <v>52</v>
      </c>
      <c r="C2858" t="s">
        <v>20</v>
      </c>
      <c r="D2858" t="s">
        <v>3667</v>
      </c>
      <c r="E2858">
        <v>740</v>
      </c>
    </row>
    <row r="2859" spans="1:5">
      <c r="A2859" s="1">
        <v>45903</v>
      </c>
      <c r="B2859" t="s">
        <v>747</v>
      </c>
      <c r="C2859" t="s">
        <v>20</v>
      </c>
      <c r="D2859" t="s">
        <v>3668</v>
      </c>
      <c r="E2859">
        <v>5530</v>
      </c>
    </row>
    <row r="2860" spans="1:5">
      <c r="A2860" s="1">
        <v>45903</v>
      </c>
      <c r="B2860" t="s">
        <v>378</v>
      </c>
      <c r="C2860" t="s">
        <v>20</v>
      </c>
      <c r="D2860" t="s">
        <v>3669</v>
      </c>
      <c r="E2860">
        <v>5550</v>
      </c>
    </row>
    <row r="2861" spans="1:5">
      <c r="A2861" s="1">
        <v>45903</v>
      </c>
      <c r="B2861" t="s">
        <v>3670</v>
      </c>
      <c r="C2861" t="s">
        <v>20</v>
      </c>
      <c r="D2861" t="s">
        <v>3671</v>
      </c>
      <c r="E2861">
        <v>4485</v>
      </c>
    </row>
    <row r="2862" spans="1:5">
      <c r="A2862" s="1">
        <v>45903</v>
      </c>
      <c r="B2862" t="s">
        <v>455</v>
      </c>
      <c r="C2862" t="s">
        <v>20</v>
      </c>
      <c r="D2862" t="s">
        <v>3672</v>
      </c>
      <c r="E2862">
        <v>6290</v>
      </c>
    </row>
    <row r="2863" spans="1:5">
      <c r="A2863" s="1">
        <v>45903</v>
      </c>
      <c r="B2863" t="s">
        <v>1075</v>
      </c>
      <c r="C2863" t="s">
        <v>20</v>
      </c>
      <c r="D2863" t="s">
        <v>3673</v>
      </c>
      <c r="E2863">
        <v>1850</v>
      </c>
    </row>
    <row r="2864" spans="1:5">
      <c r="A2864" s="1">
        <v>45903</v>
      </c>
      <c r="B2864" t="s">
        <v>3674</v>
      </c>
      <c r="C2864" t="s">
        <v>20</v>
      </c>
      <c r="D2864" t="s">
        <v>3675</v>
      </c>
      <c r="E2864">
        <v>2435</v>
      </c>
    </row>
    <row r="2865" spans="1:5">
      <c r="A2865" s="1">
        <v>45903</v>
      </c>
      <c r="B2865" t="s">
        <v>3576</v>
      </c>
      <c r="C2865" t="s">
        <v>20</v>
      </c>
      <c r="D2865" t="s">
        <v>3676</v>
      </c>
      <c r="E2865">
        <v>2590</v>
      </c>
    </row>
    <row r="2866" spans="1:5">
      <c r="A2866" s="1">
        <v>45903</v>
      </c>
      <c r="B2866" t="s">
        <v>3677</v>
      </c>
      <c r="C2866" t="s">
        <v>20</v>
      </c>
      <c r="D2866" t="s">
        <v>3678</v>
      </c>
      <c r="E2866">
        <v>25160</v>
      </c>
    </row>
    <row r="2867" spans="1:5">
      <c r="A2867" s="1">
        <v>45903</v>
      </c>
      <c r="B2867" t="s">
        <v>3679</v>
      </c>
      <c r="C2867" t="s">
        <v>20</v>
      </c>
      <c r="D2867" t="s">
        <v>3680</v>
      </c>
      <c r="E2867">
        <v>540</v>
      </c>
    </row>
    <row r="2868" spans="1:5">
      <c r="A2868" s="1">
        <v>45904</v>
      </c>
      <c r="B2868" t="s">
        <v>932</v>
      </c>
      <c r="C2868" t="s">
        <v>20</v>
      </c>
      <c r="D2868" t="s">
        <v>3681</v>
      </c>
      <c r="E2868">
        <v>9750</v>
      </c>
    </row>
    <row r="2869" spans="1:5">
      <c r="A2869" s="1">
        <v>45904</v>
      </c>
      <c r="B2869" t="s">
        <v>100</v>
      </c>
      <c r="C2869" t="s">
        <v>20</v>
      </c>
      <c r="D2869" t="s">
        <v>3682</v>
      </c>
      <c r="E2869">
        <v>190</v>
      </c>
    </row>
    <row r="2870" spans="1:5">
      <c r="A2870" s="1">
        <v>45904</v>
      </c>
      <c r="B2870" t="s">
        <v>3683</v>
      </c>
      <c r="C2870" t="s">
        <v>20</v>
      </c>
      <c r="D2870" t="s">
        <v>3684</v>
      </c>
      <c r="E2870">
        <v>10550</v>
      </c>
    </row>
    <row r="2871" spans="1:5">
      <c r="A2871" s="1">
        <v>45904</v>
      </c>
      <c r="B2871" t="s">
        <v>3685</v>
      </c>
      <c r="C2871" t="s">
        <v>20</v>
      </c>
      <c r="D2871" t="s">
        <v>3686</v>
      </c>
      <c r="E2871">
        <v>1850</v>
      </c>
    </row>
    <row r="2872" spans="1:5">
      <c r="A2872" s="1">
        <v>45904</v>
      </c>
      <c r="B2872" t="s">
        <v>3087</v>
      </c>
      <c r="C2872" t="s">
        <v>20</v>
      </c>
      <c r="D2872" t="s">
        <v>3687</v>
      </c>
      <c r="E2872">
        <v>1770</v>
      </c>
    </row>
    <row r="2873" spans="1:5">
      <c r="A2873" s="1">
        <v>45904</v>
      </c>
      <c r="B2873" t="s">
        <v>3688</v>
      </c>
      <c r="C2873" t="s">
        <v>20</v>
      </c>
      <c r="D2873" t="s">
        <v>3689</v>
      </c>
      <c r="E2873">
        <v>1326</v>
      </c>
    </row>
    <row r="2874" spans="1:5">
      <c r="A2874" s="1">
        <v>45904</v>
      </c>
      <c r="B2874" t="s">
        <v>3690</v>
      </c>
      <c r="C2874" t="s">
        <v>20</v>
      </c>
      <c r="D2874" t="s">
        <v>3691</v>
      </c>
      <c r="E2874">
        <v>14643</v>
      </c>
    </row>
    <row r="2875" spans="1:5">
      <c r="A2875" s="1">
        <v>45904</v>
      </c>
      <c r="B2875" t="s">
        <v>100</v>
      </c>
      <c r="C2875" t="s">
        <v>20</v>
      </c>
      <c r="D2875" t="s">
        <v>3692</v>
      </c>
      <c r="E2875">
        <v>1680</v>
      </c>
    </row>
    <row r="2876" spans="1:5">
      <c r="A2876" s="1">
        <v>45904</v>
      </c>
      <c r="B2876" t="s">
        <v>3693</v>
      </c>
      <c r="C2876" t="s">
        <v>20</v>
      </c>
      <c r="D2876" t="s">
        <v>3694</v>
      </c>
      <c r="E2876">
        <v>410</v>
      </c>
    </row>
    <row r="2877" spans="1:5">
      <c r="A2877" s="1">
        <v>45904</v>
      </c>
      <c r="B2877" t="s">
        <v>48</v>
      </c>
      <c r="C2877" t="s">
        <v>20</v>
      </c>
      <c r="D2877" t="s">
        <v>3695</v>
      </c>
      <c r="E2877">
        <v>17406</v>
      </c>
    </row>
    <row r="2878" spans="1:5">
      <c r="A2878" s="1">
        <v>45904</v>
      </c>
      <c r="B2878" t="s">
        <v>575</v>
      </c>
      <c r="C2878" t="s">
        <v>20</v>
      </c>
      <c r="D2878" t="s">
        <v>3696</v>
      </c>
      <c r="E2878">
        <v>315</v>
      </c>
    </row>
    <row r="2879" spans="1:5">
      <c r="A2879" s="1">
        <v>45904</v>
      </c>
      <c r="B2879" t="s">
        <v>3697</v>
      </c>
      <c r="C2879" t="s">
        <v>20</v>
      </c>
      <c r="D2879" t="s">
        <v>3698</v>
      </c>
      <c r="E2879">
        <v>7590</v>
      </c>
    </row>
    <row r="2880" spans="1:5">
      <c r="A2880" s="1">
        <v>45906</v>
      </c>
      <c r="B2880" t="s">
        <v>1104</v>
      </c>
      <c r="C2880" t="s">
        <v>19</v>
      </c>
      <c r="D2880" t="s">
        <v>3699</v>
      </c>
      <c r="E2880">
        <v>2255</v>
      </c>
    </row>
    <row r="2881" spans="1:5">
      <c r="A2881" s="1">
        <v>45906</v>
      </c>
      <c r="B2881" t="s">
        <v>747</v>
      </c>
      <c r="C2881" t="s">
        <v>20</v>
      </c>
      <c r="D2881" t="s">
        <v>3700</v>
      </c>
      <c r="E2881">
        <v>7730</v>
      </c>
    </row>
    <row r="2882" spans="1:5">
      <c r="A2882" s="1">
        <v>45906</v>
      </c>
      <c r="B2882" t="s">
        <v>3701</v>
      </c>
      <c r="C2882" t="s">
        <v>20</v>
      </c>
      <c r="D2882" t="s">
        <v>3702</v>
      </c>
      <c r="E2882">
        <v>1850</v>
      </c>
    </row>
    <row r="2883" spans="1:5">
      <c r="A2883" s="1">
        <v>45906</v>
      </c>
      <c r="B2883" t="s">
        <v>3703</v>
      </c>
      <c r="C2883" t="s">
        <v>20</v>
      </c>
      <c r="D2883" t="s">
        <v>3704</v>
      </c>
      <c r="E2883">
        <v>14594</v>
      </c>
    </row>
    <row r="2884" spans="1:5">
      <c r="A2884" s="1">
        <v>45906</v>
      </c>
      <c r="B2884" t="s">
        <v>3705</v>
      </c>
      <c r="C2884" t="s">
        <v>20</v>
      </c>
      <c r="D2884" t="s">
        <v>3706</v>
      </c>
      <c r="E2884">
        <v>8250</v>
      </c>
    </row>
    <row r="2885" spans="1:5">
      <c r="A2885" s="1">
        <v>45906</v>
      </c>
      <c r="B2885" t="s">
        <v>3697</v>
      </c>
      <c r="C2885" t="s">
        <v>20</v>
      </c>
      <c r="D2885" t="s">
        <v>3707</v>
      </c>
      <c r="E2885">
        <v>65</v>
      </c>
    </row>
    <row r="2886" spans="1:5">
      <c r="A2886" s="1">
        <v>45906</v>
      </c>
      <c r="B2886" t="s">
        <v>3708</v>
      </c>
      <c r="C2886" t="s">
        <v>20</v>
      </c>
      <c r="D2886" t="s">
        <v>3709</v>
      </c>
      <c r="E2886">
        <v>550</v>
      </c>
    </row>
    <row r="2887" spans="1:5">
      <c r="A2887" s="1">
        <v>45906</v>
      </c>
      <c r="B2887" t="s">
        <v>43</v>
      </c>
      <c r="C2887" t="s">
        <v>20</v>
      </c>
      <c r="D2887" t="s">
        <v>3710</v>
      </c>
      <c r="E2887">
        <v>435</v>
      </c>
    </row>
    <row r="2888" spans="1:5">
      <c r="A2888" s="1">
        <v>45906</v>
      </c>
      <c r="B2888" t="s">
        <v>3711</v>
      </c>
      <c r="C2888" t="s">
        <v>20</v>
      </c>
      <c r="D2888" t="s">
        <v>3712</v>
      </c>
      <c r="E2888">
        <v>50</v>
      </c>
    </row>
    <row r="2889" spans="1:5">
      <c r="A2889" s="1">
        <v>45906</v>
      </c>
      <c r="B2889" t="s">
        <v>984</v>
      </c>
      <c r="C2889" t="s">
        <v>20</v>
      </c>
      <c r="D2889" t="s">
        <v>3713</v>
      </c>
      <c r="E2889">
        <v>525</v>
      </c>
    </row>
    <row r="2890" spans="1:5">
      <c r="A2890" s="1">
        <v>45906</v>
      </c>
      <c r="B2890" t="s">
        <v>3714</v>
      </c>
      <c r="C2890" t="s">
        <v>20</v>
      </c>
      <c r="D2890" t="s">
        <v>3715</v>
      </c>
      <c r="E2890">
        <v>2114</v>
      </c>
    </row>
    <row r="2891" spans="1:5">
      <c r="A2891" s="1">
        <v>45906</v>
      </c>
      <c r="B2891" t="s">
        <v>3690</v>
      </c>
      <c r="C2891" t="s">
        <v>20</v>
      </c>
      <c r="D2891" t="s">
        <v>3716</v>
      </c>
      <c r="E2891">
        <v>18328</v>
      </c>
    </row>
    <row r="2892" spans="1:5">
      <c r="A2892" s="1">
        <v>45906</v>
      </c>
      <c r="B2892" t="s">
        <v>50</v>
      </c>
      <c r="C2892" t="s">
        <v>20</v>
      </c>
      <c r="D2892" t="s">
        <v>3717</v>
      </c>
      <c r="E2892">
        <v>21</v>
      </c>
    </row>
    <row r="2893" spans="1:5">
      <c r="A2893" s="1">
        <v>45906</v>
      </c>
      <c r="B2893" t="s">
        <v>595</v>
      </c>
      <c r="C2893" t="s">
        <v>20</v>
      </c>
      <c r="D2893" t="s">
        <v>3718</v>
      </c>
      <c r="E2893">
        <v>3730</v>
      </c>
    </row>
    <row r="2894" spans="1:5">
      <c r="A2894" s="1">
        <v>45906</v>
      </c>
      <c r="B2894" t="s">
        <v>3719</v>
      </c>
      <c r="C2894" t="s">
        <v>20</v>
      </c>
      <c r="D2894" t="s">
        <v>3720</v>
      </c>
      <c r="E2894">
        <v>370</v>
      </c>
    </row>
    <row r="2895" spans="1:5">
      <c r="A2895" s="1">
        <v>45906</v>
      </c>
      <c r="B2895" t="s">
        <v>3721</v>
      </c>
      <c r="C2895" t="s">
        <v>20</v>
      </c>
      <c r="D2895" t="s">
        <v>3722</v>
      </c>
      <c r="E2895">
        <v>425</v>
      </c>
    </row>
    <row r="2896" spans="1:5">
      <c r="A2896" s="1">
        <v>45906</v>
      </c>
      <c r="B2896" t="s">
        <v>3670</v>
      </c>
      <c r="C2896" t="s">
        <v>20</v>
      </c>
      <c r="D2896" t="s">
        <v>3723</v>
      </c>
      <c r="E2896">
        <v>448</v>
      </c>
    </row>
    <row r="2897" spans="1:5">
      <c r="A2897" s="1">
        <v>45906</v>
      </c>
      <c r="B2897" t="s">
        <v>747</v>
      </c>
      <c r="C2897" t="s">
        <v>20</v>
      </c>
      <c r="D2897" t="s">
        <v>3724</v>
      </c>
      <c r="E2897">
        <v>2032</v>
      </c>
    </row>
    <row r="2898" spans="1:5">
      <c r="A2898" s="1">
        <v>45906</v>
      </c>
      <c r="B2898" t="s">
        <v>3725</v>
      </c>
      <c r="C2898" t="s">
        <v>20</v>
      </c>
      <c r="D2898" t="s">
        <v>3726</v>
      </c>
      <c r="E2898">
        <v>1607</v>
      </c>
    </row>
    <row r="2899" spans="1:5">
      <c r="A2899" s="1">
        <v>45906</v>
      </c>
      <c r="B2899" t="s">
        <v>254</v>
      </c>
      <c r="C2899" t="s">
        <v>20</v>
      </c>
      <c r="D2899" t="s">
        <v>3727</v>
      </c>
      <c r="E2899">
        <v>370</v>
      </c>
    </row>
    <row r="2900" spans="1:5">
      <c r="A2900" s="1">
        <v>45906</v>
      </c>
      <c r="B2900" t="s">
        <v>3728</v>
      </c>
      <c r="C2900" t="s">
        <v>20</v>
      </c>
      <c r="D2900" t="s">
        <v>3729</v>
      </c>
      <c r="E2900">
        <v>2220</v>
      </c>
    </row>
    <row r="2901" spans="1:5">
      <c r="A2901" s="1">
        <v>45906</v>
      </c>
      <c r="B2901" t="s">
        <v>2586</v>
      </c>
      <c r="C2901" t="s">
        <v>20</v>
      </c>
      <c r="D2901" t="s">
        <v>3730</v>
      </c>
      <c r="E2901">
        <v>9895</v>
      </c>
    </row>
    <row r="2902" spans="1:5">
      <c r="A2902" s="1">
        <v>45906</v>
      </c>
      <c r="B2902" t="s">
        <v>2059</v>
      </c>
      <c r="C2902" t="s">
        <v>20</v>
      </c>
      <c r="D2902" t="s">
        <v>3731</v>
      </c>
      <c r="E2902">
        <v>2086</v>
      </c>
    </row>
    <row r="2903" spans="1:5">
      <c r="A2903" s="1">
        <v>45908</v>
      </c>
      <c r="B2903" t="s">
        <v>3505</v>
      </c>
      <c r="C2903" t="s">
        <v>19</v>
      </c>
      <c r="D2903" t="s">
        <v>3732</v>
      </c>
      <c r="E2903">
        <v>5550</v>
      </c>
    </row>
    <row r="2904" spans="1:5">
      <c r="A2904" s="1">
        <v>45908</v>
      </c>
      <c r="B2904" t="s">
        <v>2329</v>
      </c>
      <c r="C2904" t="s">
        <v>19</v>
      </c>
      <c r="D2904" t="s">
        <v>3733</v>
      </c>
      <c r="E2904">
        <v>4904</v>
      </c>
    </row>
    <row r="2905" spans="1:5">
      <c r="A2905" s="1">
        <v>45908</v>
      </c>
      <c r="B2905" t="s">
        <v>1628</v>
      </c>
      <c r="C2905" t="s">
        <v>19</v>
      </c>
      <c r="D2905" t="s">
        <v>3734</v>
      </c>
      <c r="E2905">
        <v>810</v>
      </c>
    </row>
    <row r="2906" spans="1:5">
      <c r="A2906" s="1">
        <v>45908</v>
      </c>
      <c r="B2906" t="s">
        <v>955</v>
      </c>
      <c r="C2906" t="s">
        <v>19</v>
      </c>
      <c r="D2906" t="s">
        <v>3735</v>
      </c>
      <c r="E2906">
        <v>8340</v>
      </c>
    </row>
    <row r="2907" spans="1:5">
      <c r="A2907" s="1">
        <v>45908</v>
      </c>
      <c r="B2907" t="s">
        <v>2329</v>
      </c>
      <c r="C2907" t="s">
        <v>19</v>
      </c>
      <c r="D2907" t="s">
        <v>3736</v>
      </c>
      <c r="E2907">
        <v>2474</v>
      </c>
    </row>
    <row r="2908" spans="1:5">
      <c r="A2908" s="1">
        <v>45908</v>
      </c>
      <c r="B2908" t="s">
        <v>955</v>
      </c>
      <c r="C2908" t="s">
        <v>19</v>
      </c>
      <c r="D2908" t="s">
        <v>3737</v>
      </c>
      <c r="E2908">
        <v>520</v>
      </c>
    </row>
    <row r="2909" spans="1:5">
      <c r="A2909" s="1">
        <v>45908</v>
      </c>
      <c r="B2909" t="s">
        <v>2498</v>
      </c>
      <c r="C2909" t="s">
        <v>19</v>
      </c>
      <c r="D2909" t="s">
        <v>3738</v>
      </c>
      <c r="E2909">
        <v>20193</v>
      </c>
    </row>
    <row r="2910" spans="1:5">
      <c r="A2910" s="1">
        <v>45908</v>
      </c>
      <c r="B2910" t="s">
        <v>27</v>
      </c>
      <c r="C2910" t="s">
        <v>19</v>
      </c>
      <c r="D2910" t="s">
        <v>3739</v>
      </c>
      <c r="E2910">
        <v>8355</v>
      </c>
    </row>
    <row r="2911" spans="1:5">
      <c r="A2911" s="1">
        <v>45908</v>
      </c>
      <c r="B2911" t="s">
        <v>1424</v>
      </c>
      <c r="C2911" t="s">
        <v>19</v>
      </c>
      <c r="D2911" t="s">
        <v>3740</v>
      </c>
      <c r="E2911">
        <v>9098</v>
      </c>
    </row>
    <row r="2912" spans="1:5">
      <c r="A2912" s="1">
        <v>45908</v>
      </c>
      <c r="B2912" t="s">
        <v>2987</v>
      </c>
      <c r="C2912" t="s">
        <v>19</v>
      </c>
      <c r="D2912" t="s">
        <v>3741</v>
      </c>
      <c r="E2912">
        <v>44350</v>
      </c>
    </row>
    <row r="2913" spans="1:5">
      <c r="A2913" s="1">
        <v>45908</v>
      </c>
      <c r="B2913" t="s">
        <v>3089</v>
      </c>
      <c r="C2913" t="s">
        <v>20</v>
      </c>
      <c r="D2913" t="s">
        <v>3742</v>
      </c>
      <c r="E2913">
        <v>7400</v>
      </c>
    </row>
    <row r="2914" spans="1:5">
      <c r="A2914" s="1">
        <v>45908</v>
      </c>
      <c r="B2914" t="s">
        <v>3743</v>
      </c>
      <c r="C2914" t="s">
        <v>20</v>
      </c>
      <c r="D2914" t="s">
        <v>3744</v>
      </c>
      <c r="E2914">
        <v>83591</v>
      </c>
    </row>
    <row r="2915" spans="1:5">
      <c r="A2915" s="1">
        <v>45908</v>
      </c>
      <c r="B2915" t="s">
        <v>197</v>
      </c>
      <c r="C2915" t="s">
        <v>20</v>
      </c>
      <c r="D2915" t="s">
        <v>3745</v>
      </c>
      <c r="E2915">
        <v>8310</v>
      </c>
    </row>
    <row r="2916" spans="1:5">
      <c r="A2916" s="1">
        <v>45908</v>
      </c>
      <c r="B2916" t="s">
        <v>203</v>
      </c>
      <c r="C2916" t="s">
        <v>20</v>
      </c>
      <c r="D2916" t="s">
        <v>3746</v>
      </c>
      <c r="E2916">
        <v>740</v>
      </c>
    </row>
    <row r="2917" spans="1:5">
      <c r="A2917" s="1">
        <v>45908</v>
      </c>
      <c r="B2917" t="s">
        <v>76</v>
      </c>
      <c r="C2917" t="s">
        <v>20</v>
      </c>
      <c r="D2917" t="s">
        <v>3747</v>
      </c>
      <c r="E2917">
        <v>2220</v>
      </c>
    </row>
    <row r="2918" spans="1:5">
      <c r="A2918" s="1">
        <v>45908</v>
      </c>
      <c r="B2918" t="s">
        <v>3748</v>
      </c>
      <c r="C2918" t="s">
        <v>20</v>
      </c>
      <c r="D2918" t="s">
        <v>3749</v>
      </c>
      <c r="E2918">
        <v>21173</v>
      </c>
    </row>
    <row r="2919" spans="1:5">
      <c r="A2919" s="1">
        <v>45908</v>
      </c>
      <c r="B2919" t="s">
        <v>3750</v>
      </c>
      <c r="C2919" t="s">
        <v>20</v>
      </c>
      <c r="D2919" t="s">
        <v>3751</v>
      </c>
      <c r="E2919">
        <v>370</v>
      </c>
    </row>
    <row r="2920" spans="1:5">
      <c r="A2920" s="1">
        <v>45908</v>
      </c>
      <c r="B2920" t="s">
        <v>455</v>
      </c>
      <c r="C2920" t="s">
        <v>20</v>
      </c>
      <c r="D2920" t="s">
        <v>3752</v>
      </c>
      <c r="E2920">
        <v>8615</v>
      </c>
    </row>
    <row r="2921" spans="1:5">
      <c r="A2921" s="1">
        <v>45908</v>
      </c>
      <c r="B2921" t="s">
        <v>526</v>
      </c>
      <c r="C2921" t="s">
        <v>20</v>
      </c>
      <c r="D2921" t="s">
        <v>3753</v>
      </c>
      <c r="E2921">
        <v>60</v>
      </c>
    </row>
    <row r="2922" spans="1:5">
      <c r="A2922" s="1">
        <v>45908</v>
      </c>
      <c r="B2922" t="s">
        <v>76</v>
      </c>
      <c r="C2922" t="s">
        <v>20</v>
      </c>
      <c r="D2922" t="s">
        <v>3754</v>
      </c>
      <c r="E2922">
        <v>9711</v>
      </c>
    </row>
    <row r="2923" spans="1:5">
      <c r="A2923" s="1">
        <v>45908</v>
      </c>
      <c r="B2923" t="s">
        <v>907</v>
      </c>
      <c r="C2923" t="s">
        <v>20</v>
      </c>
      <c r="D2923" t="s">
        <v>3755</v>
      </c>
      <c r="E2923">
        <v>688</v>
      </c>
    </row>
    <row r="2924" spans="1:5">
      <c r="A2924" s="1">
        <v>45908</v>
      </c>
      <c r="B2924" t="s">
        <v>50</v>
      </c>
      <c r="C2924" t="s">
        <v>20</v>
      </c>
      <c r="D2924" t="s">
        <v>3756</v>
      </c>
      <c r="E2924">
        <v>8</v>
      </c>
    </row>
    <row r="2925" spans="1:5">
      <c r="A2925" s="1">
        <v>45908</v>
      </c>
      <c r="B2925" t="s">
        <v>2059</v>
      </c>
      <c r="C2925" t="s">
        <v>20</v>
      </c>
      <c r="D2925" t="s">
        <v>3757</v>
      </c>
      <c r="E2925">
        <v>2826</v>
      </c>
    </row>
    <row r="2926" spans="1:5">
      <c r="A2926" s="1">
        <v>45908</v>
      </c>
      <c r="B2926" t="s">
        <v>2634</v>
      </c>
      <c r="C2926" t="s">
        <v>20</v>
      </c>
      <c r="D2926" t="s">
        <v>3758</v>
      </c>
      <c r="E2926">
        <v>34215</v>
      </c>
    </row>
    <row r="2927" spans="1:5">
      <c r="A2927" s="1">
        <v>45908</v>
      </c>
      <c r="B2927" t="s">
        <v>3759</v>
      </c>
      <c r="C2927" t="s">
        <v>20</v>
      </c>
      <c r="D2927" t="s">
        <v>3760</v>
      </c>
      <c r="E2927">
        <v>13090</v>
      </c>
    </row>
    <row r="2928" spans="1:5">
      <c r="A2928" s="1">
        <v>45908</v>
      </c>
      <c r="B2928" t="s">
        <v>2444</v>
      </c>
      <c r="C2928" t="s">
        <v>20</v>
      </c>
      <c r="D2928" t="s">
        <v>3761</v>
      </c>
      <c r="E2928">
        <v>3752</v>
      </c>
    </row>
    <row r="2929" spans="1:5">
      <c r="A2929" s="1">
        <v>45908</v>
      </c>
      <c r="B2929" t="s">
        <v>3690</v>
      </c>
      <c r="C2929" t="s">
        <v>20</v>
      </c>
      <c r="D2929" t="s">
        <v>3762</v>
      </c>
      <c r="E2929">
        <v>6270</v>
      </c>
    </row>
    <row r="2930" spans="1:5">
      <c r="A2930" s="1">
        <v>45908</v>
      </c>
      <c r="B2930" t="s">
        <v>747</v>
      </c>
      <c r="C2930" t="s">
        <v>20</v>
      </c>
      <c r="D2930" t="s">
        <v>3763</v>
      </c>
      <c r="E2930">
        <v>375</v>
      </c>
    </row>
    <row r="2931" spans="1:5">
      <c r="A2931" s="1">
        <v>45908</v>
      </c>
      <c r="B2931" t="s">
        <v>2059</v>
      </c>
      <c r="C2931" t="s">
        <v>20</v>
      </c>
      <c r="D2931" t="s">
        <v>3764</v>
      </c>
      <c r="E2931">
        <v>1598</v>
      </c>
    </row>
    <row r="2932" spans="1:5">
      <c r="A2932" s="1">
        <v>45908</v>
      </c>
      <c r="B2932" t="s">
        <v>747</v>
      </c>
      <c r="C2932" t="s">
        <v>20</v>
      </c>
      <c r="D2932" t="s">
        <v>3765</v>
      </c>
      <c r="E2932">
        <v>540</v>
      </c>
    </row>
    <row r="2933" spans="1:5">
      <c r="A2933" s="1">
        <v>45908</v>
      </c>
      <c r="B2933" t="s">
        <v>1375</v>
      </c>
      <c r="C2933" t="s">
        <v>20</v>
      </c>
      <c r="D2933" t="s">
        <v>3766</v>
      </c>
      <c r="E2933">
        <v>282</v>
      </c>
    </row>
    <row r="2934" spans="1:5">
      <c r="A2934" s="1">
        <v>45909</v>
      </c>
      <c r="B2934" t="s">
        <v>58</v>
      </c>
      <c r="C2934" t="s">
        <v>19</v>
      </c>
      <c r="D2934" t="s">
        <v>3767</v>
      </c>
      <c r="E2934">
        <v>13193</v>
      </c>
    </row>
    <row r="2935" spans="1:5">
      <c r="A2935" s="1">
        <v>45909</v>
      </c>
      <c r="B2935" t="s">
        <v>35</v>
      </c>
      <c r="C2935" t="s">
        <v>20</v>
      </c>
      <c r="D2935" t="s">
        <v>3768</v>
      </c>
      <c r="E2935">
        <v>26235</v>
      </c>
    </row>
    <row r="2936" spans="1:5">
      <c r="A2936" s="1">
        <v>45909</v>
      </c>
      <c r="B2936" t="s">
        <v>2452</v>
      </c>
      <c r="C2936" t="s">
        <v>20</v>
      </c>
      <c r="D2936" t="s">
        <v>3769</v>
      </c>
      <c r="E2936">
        <v>4822</v>
      </c>
    </row>
    <row r="2937" spans="1:5">
      <c r="A2937" s="1">
        <v>45909</v>
      </c>
      <c r="B2937" t="s">
        <v>203</v>
      </c>
      <c r="C2937" t="s">
        <v>20</v>
      </c>
      <c r="D2937" t="s">
        <v>3770</v>
      </c>
      <c r="E2937">
        <v>740</v>
      </c>
    </row>
    <row r="2938" spans="1:5">
      <c r="A2938" s="1">
        <v>45909</v>
      </c>
      <c r="B2938" t="s">
        <v>137</v>
      </c>
      <c r="C2938" t="s">
        <v>20</v>
      </c>
      <c r="D2938" t="s">
        <v>3771</v>
      </c>
      <c r="E2938">
        <v>200</v>
      </c>
    </row>
    <row r="2939" spans="1:5">
      <c r="A2939" s="1">
        <v>45909</v>
      </c>
      <c r="B2939" t="s">
        <v>50</v>
      </c>
      <c r="C2939" t="s">
        <v>20</v>
      </c>
      <c r="D2939" t="s">
        <v>3772</v>
      </c>
      <c r="E2939">
        <v>12</v>
      </c>
    </row>
    <row r="2940" spans="1:5">
      <c r="A2940" s="1">
        <v>45909</v>
      </c>
      <c r="B2940" t="s">
        <v>50</v>
      </c>
      <c r="C2940" t="s">
        <v>20</v>
      </c>
      <c r="D2940" t="s">
        <v>3773</v>
      </c>
      <c r="E2940">
        <v>9404</v>
      </c>
    </row>
    <row r="2941" spans="1:5">
      <c r="A2941" s="1">
        <v>45909</v>
      </c>
      <c r="B2941" t="s">
        <v>52</v>
      </c>
      <c r="C2941" t="s">
        <v>20</v>
      </c>
      <c r="D2941" t="s">
        <v>3774</v>
      </c>
      <c r="E2941">
        <v>740</v>
      </c>
    </row>
    <row r="2942" spans="1:5">
      <c r="A2942" s="1">
        <v>45909</v>
      </c>
      <c r="B2942" t="s">
        <v>3775</v>
      </c>
      <c r="C2942" t="s">
        <v>20</v>
      </c>
      <c r="D2942" t="s">
        <v>3776</v>
      </c>
      <c r="E2942">
        <v>2158</v>
      </c>
    </row>
    <row r="2943" spans="1:5">
      <c r="A2943" s="1">
        <v>45909</v>
      </c>
      <c r="B2943" t="s">
        <v>802</v>
      </c>
      <c r="C2943" t="s">
        <v>20</v>
      </c>
      <c r="D2943" t="s">
        <v>3777</v>
      </c>
      <c r="E2943">
        <v>2220</v>
      </c>
    </row>
    <row r="2944" spans="1:5">
      <c r="A2944" s="1">
        <v>45909</v>
      </c>
      <c r="B2944" t="s">
        <v>3778</v>
      </c>
      <c r="C2944" t="s">
        <v>20</v>
      </c>
      <c r="D2944" t="s">
        <v>3779</v>
      </c>
      <c r="E2944">
        <v>120</v>
      </c>
    </row>
    <row r="2945" spans="1:5">
      <c r="A2945" s="1">
        <v>45909</v>
      </c>
      <c r="B2945" t="s">
        <v>197</v>
      </c>
      <c r="C2945" t="s">
        <v>20</v>
      </c>
      <c r="D2945" t="s">
        <v>3780</v>
      </c>
      <c r="E2945">
        <v>2097</v>
      </c>
    </row>
    <row r="2946" spans="1:5">
      <c r="A2946" s="1">
        <v>45909</v>
      </c>
      <c r="B2946" t="s">
        <v>76</v>
      </c>
      <c r="C2946" t="s">
        <v>20</v>
      </c>
      <c r="D2946" t="s">
        <v>3781</v>
      </c>
      <c r="E2946">
        <v>65</v>
      </c>
    </row>
    <row r="2947" spans="1:5">
      <c r="A2947" s="1">
        <v>45909</v>
      </c>
      <c r="B2947" t="s">
        <v>747</v>
      </c>
      <c r="C2947" t="s">
        <v>20</v>
      </c>
      <c r="D2947" t="s">
        <v>3782</v>
      </c>
      <c r="E2947">
        <v>4671</v>
      </c>
    </row>
    <row r="2948" spans="1:5">
      <c r="A2948" s="1">
        <v>45909</v>
      </c>
      <c r="B2948" t="s">
        <v>3783</v>
      </c>
      <c r="C2948" t="s">
        <v>20</v>
      </c>
      <c r="D2948" t="s">
        <v>3784</v>
      </c>
      <c r="E2948">
        <v>352</v>
      </c>
    </row>
    <row r="2949" spans="1:5">
      <c r="A2949" s="1">
        <v>45909</v>
      </c>
      <c r="B2949" t="s">
        <v>3785</v>
      </c>
      <c r="C2949" t="s">
        <v>20</v>
      </c>
      <c r="D2949" t="s">
        <v>3786</v>
      </c>
      <c r="E2949">
        <v>383</v>
      </c>
    </row>
    <row r="2950" spans="1:5">
      <c r="A2950" s="1">
        <v>45910</v>
      </c>
      <c r="B2950" t="s">
        <v>1104</v>
      </c>
      <c r="C2950" t="s">
        <v>19</v>
      </c>
      <c r="D2950" t="s">
        <v>3787</v>
      </c>
      <c r="E2950">
        <v>6926</v>
      </c>
    </row>
    <row r="2951" spans="1:5">
      <c r="A2951" s="1">
        <v>45910</v>
      </c>
      <c r="B2951" t="s">
        <v>3788</v>
      </c>
      <c r="C2951" t="s">
        <v>19</v>
      </c>
      <c r="D2951" t="s">
        <v>3789</v>
      </c>
      <c r="E2951">
        <v>34385</v>
      </c>
    </row>
    <row r="2952" spans="1:5">
      <c r="A2952" s="1">
        <v>45910</v>
      </c>
      <c r="B2952" t="s">
        <v>1810</v>
      </c>
      <c r="C2952" t="s">
        <v>19</v>
      </c>
      <c r="D2952" t="s">
        <v>3790</v>
      </c>
      <c r="E2952">
        <v>375</v>
      </c>
    </row>
    <row r="2953" spans="1:5">
      <c r="A2953" s="1">
        <v>45910</v>
      </c>
      <c r="B2953" t="s">
        <v>3791</v>
      </c>
      <c r="C2953" t="s">
        <v>20</v>
      </c>
      <c r="D2953" t="s">
        <v>3792</v>
      </c>
      <c r="E2953">
        <v>33435</v>
      </c>
    </row>
    <row r="2954" spans="1:5">
      <c r="A2954" s="1">
        <v>45910</v>
      </c>
      <c r="B2954" t="s">
        <v>455</v>
      </c>
      <c r="C2954" t="s">
        <v>20</v>
      </c>
      <c r="D2954" t="s">
        <v>3793</v>
      </c>
      <c r="E2954">
        <v>44330</v>
      </c>
    </row>
    <row r="2955" spans="1:5">
      <c r="A2955" s="1">
        <v>45910</v>
      </c>
      <c r="B2955" t="s">
        <v>3333</v>
      </c>
      <c r="C2955" t="s">
        <v>20</v>
      </c>
      <c r="D2955" t="s">
        <v>3794</v>
      </c>
      <c r="E2955">
        <v>6660</v>
      </c>
    </row>
    <row r="2956" spans="1:5">
      <c r="A2956" s="1">
        <v>45910</v>
      </c>
      <c r="B2956" t="s">
        <v>52</v>
      </c>
      <c r="C2956" t="s">
        <v>20</v>
      </c>
      <c r="D2956" t="s">
        <v>3795</v>
      </c>
      <c r="E2956">
        <v>740</v>
      </c>
    </row>
    <row r="2957" spans="1:5">
      <c r="A2957" s="1">
        <v>45910</v>
      </c>
      <c r="B2957" t="s">
        <v>68</v>
      </c>
      <c r="C2957" t="s">
        <v>20</v>
      </c>
      <c r="D2957" t="s">
        <v>3796</v>
      </c>
      <c r="E2957">
        <v>50</v>
      </c>
    </row>
    <row r="2958" spans="1:5">
      <c r="A2958" s="1">
        <v>45910</v>
      </c>
      <c r="B2958" t="s">
        <v>100</v>
      </c>
      <c r="C2958" t="s">
        <v>20</v>
      </c>
      <c r="D2958" t="s">
        <v>3797</v>
      </c>
      <c r="E2958">
        <v>6680</v>
      </c>
    </row>
    <row r="2959" spans="1:5">
      <c r="A2959" s="1">
        <v>45910</v>
      </c>
      <c r="B2959" t="s">
        <v>2444</v>
      </c>
      <c r="C2959" t="s">
        <v>20</v>
      </c>
      <c r="D2959" t="s">
        <v>3798</v>
      </c>
      <c r="E2959">
        <v>2960</v>
      </c>
    </row>
    <row r="2960" spans="1:5">
      <c r="A2960" s="1">
        <v>45910</v>
      </c>
      <c r="B2960" t="s">
        <v>50</v>
      </c>
      <c r="C2960" t="s">
        <v>20</v>
      </c>
      <c r="D2960" t="s">
        <v>3799</v>
      </c>
      <c r="E2960">
        <v>375</v>
      </c>
    </row>
    <row r="2961" spans="1:5">
      <c r="A2961" s="1">
        <v>45910</v>
      </c>
      <c r="B2961" t="s">
        <v>709</v>
      </c>
      <c r="C2961" t="s">
        <v>20</v>
      </c>
      <c r="D2961" t="s">
        <v>3800</v>
      </c>
      <c r="E2961">
        <v>5550</v>
      </c>
    </row>
    <row r="2962" spans="1:5">
      <c r="A2962" s="1">
        <v>45910</v>
      </c>
      <c r="B2962" t="s">
        <v>3801</v>
      </c>
      <c r="C2962" t="s">
        <v>20</v>
      </c>
      <c r="D2962" t="s">
        <v>3802</v>
      </c>
      <c r="E2962">
        <v>19954</v>
      </c>
    </row>
    <row r="2963" spans="1:5">
      <c r="A2963" s="1">
        <v>45910</v>
      </c>
      <c r="B2963" t="s">
        <v>3040</v>
      </c>
      <c r="C2963" t="s">
        <v>20</v>
      </c>
      <c r="D2963" t="s">
        <v>3803</v>
      </c>
      <c r="E2963">
        <v>370</v>
      </c>
    </row>
    <row r="2964" spans="1:5">
      <c r="A2964" s="1">
        <v>45910</v>
      </c>
      <c r="B2964" t="s">
        <v>3804</v>
      </c>
      <c r="C2964" t="s">
        <v>20</v>
      </c>
      <c r="D2964" t="s">
        <v>3805</v>
      </c>
      <c r="E2964">
        <v>1230</v>
      </c>
    </row>
    <row r="2965" spans="1:5">
      <c r="A2965" s="1">
        <v>45910</v>
      </c>
      <c r="B2965" t="s">
        <v>89</v>
      </c>
      <c r="C2965" t="s">
        <v>20</v>
      </c>
      <c r="D2965" t="s">
        <v>3806</v>
      </c>
      <c r="E2965">
        <v>2960</v>
      </c>
    </row>
    <row r="2966" spans="1:5">
      <c r="A2966" s="1">
        <v>45910</v>
      </c>
      <c r="B2966" t="s">
        <v>747</v>
      </c>
      <c r="C2966" t="s">
        <v>20</v>
      </c>
      <c r="D2966" t="s">
        <v>3807</v>
      </c>
      <c r="E2966">
        <v>330</v>
      </c>
    </row>
    <row r="2967" spans="1:5">
      <c r="A2967" s="1">
        <v>45910</v>
      </c>
      <c r="B2967" t="s">
        <v>197</v>
      </c>
      <c r="C2967" t="s">
        <v>20</v>
      </c>
      <c r="D2967" t="s">
        <v>3808</v>
      </c>
      <c r="E2967">
        <v>290</v>
      </c>
    </row>
    <row r="2968" spans="1:5">
      <c r="A2968" s="1">
        <v>45910</v>
      </c>
      <c r="B2968" t="s">
        <v>3809</v>
      </c>
      <c r="C2968" t="s">
        <v>20</v>
      </c>
      <c r="D2968" t="s">
        <v>3810</v>
      </c>
      <c r="E2968">
        <v>91</v>
      </c>
    </row>
    <row r="2969" spans="1:5">
      <c r="A2969" s="1">
        <v>45910</v>
      </c>
      <c r="B2969" t="s">
        <v>844</v>
      </c>
      <c r="C2969" t="s">
        <v>20</v>
      </c>
      <c r="D2969" t="s">
        <v>3811</v>
      </c>
      <c r="E2969">
        <v>14600</v>
      </c>
    </row>
    <row r="2970" spans="1:5">
      <c r="A2970" s="1">
        <v>45910</v>
      </c>
      <c r="B2970" t="s">
        <v>35</v>
      </c>
      <c r="C2970" t="s">
        <v>20</v>
      </c>
      <c r="D2970" t="s">
        <v>3812</v>
      </c>
      <c r="E2970">
        <v>18720</v>
      </c>
    </row>
    <row r="2971" spans="1:5">
      <c r="A2971" s="1">
        <v>45910</v>
      </c>
      <c r="B2971" t="s">
        <v>50</v>
      </c>
      <c r="C2971" t="s">
        <v>20</v>
      </c>
      <c r="D2971" t="s">
        <v>3813</v>
      </c>
      <c r="E2971">
        <v>3188</v>
      </c>
    </row>
    <row r="2972" spans="1:5">
      <c r="A2972" s="1">
        <v>45910</v>
      </c>
      <c r="B2972" t="s">
        <v>3814</v>
      </c>
      <c r="C2972" t="s">
        <v>20</v>
      </c>
      <c r="D2972" t="s">
        <v>3815</v>
      </c>
      <c r="E2972">
        <v>7313</v>
      </c>
    </row>
    <row r="2973" spans="1:5">
      <c r="A2973" s="1">
        <v>45911</v>
      </c>
      <c r="B2973" t="s">
        <v>3816</v>
      </c>
      <c r="C2973" t="s">
        <v>19</v>
      </c>
      <c r="D2973" t="s">
        <v>3817</v>
      </c>
      <c r="E2973">
        <v>513</v>
      </c>
    </row>
    <row r="2974" spans="1:5">
      <c r="A2974" s="1">
        <v>45911</v>
      </c>
      <c r="B2974" t="s">
        <v>3816</v>
      </c>
      <c r="C2974" t="s">
        <v>19</v>
      </c>
      <c r="D2974" t="s">
        <v>3818</v>
      </c>
      <c r="E2974">
        <v>200</v>
      </c>
    </row>
    <row r="2975" spans="1:5">
      <c r="A2975" s="1">
        <v>45911</v>
      </c>
      <c r="B2975" t="s">
        <v>222</v>
      </c>
      <c r="C2975" t="s">
        <v>20</v>
      </c>
      <c r="D2975" t="s">
        <v>3819</v>
      </c>
      <c r="E2975">
        <v>740</v>
      </c>
    </row>
    <row r="2976" spans="1:5">
      <c r="A2976" s="1">
        <v>45911</v>
      </c>
      <c r="B2976" t="s">
        <v>1004</v>
      </c>
      <c r="C2976" t="s">
        <v>20</v>
      </c>
      <c r="D2976" t="s">
        <v>3820</v>
      </c>
      <c r="E2976">
        <v>9250</v>
      </c>
    </row>
    <row r="2977" spans="1:5">
      <c r="A2977" s="1">
        <v>45911</v>
      </c>
      <c r="B2977" t="s">
        <v>100</v>
      </c>
      <c r="C2977" t="s">
        <v>20</v>
      </c>
      <c r="D2977" t="s">
        <v>3821</v>
      </c>
      <c r="E2977">
        <v>4406</v>
      </c>
    </row>
    <row r="2978" spans="1:5">
      <c r="A2978" s="1">
        <v>45911</v>
      </c>
      <c r="B2978" t="s">
        <v>52</v>
      </c>
      <c r="C2978" t="s">
        <v>20</v>
      </c>
      <c r="D2978" t="s">
        <v>3822</v>
      </c>
      <c r="E2978">
        <v>740</v>
      </c>
    </row>
    <row r="2979" spans="1:5">
      <c r="A2979" s="1">
        <v>45911</v>
      </c>
      <c r="B2979" t="s">
        <v>3823</v>
      </c>
      <c r="C2979" t="s">
        <v>20</v>
      </c>
      <c r="D2979" t="s">
        <v>3824</v>
      </c>
      <c r="E2979">
        <v>370</v>
      </c>
    </row>
    <row r="2980" spans="1:5">
      <c r="A2980" s="1">
        <v>45911</v>
      </c>
      <c r="B2980" t="s">
        <v>3728</v>
      </c>
      <c r="C2980" t="s">
        <v>20</v>
      </c>
      <c r="D2980" t="s">
        <v>3825</v>
      </c>
      <c r="E2980">
        <v>1110</v>
      </c>
    </row>
    <row r="2981" spans="1:5">
      <c r="A2981" s="1">
        <v>45911</v>
      </c>
      <c r="B2981" t="s">
        <v>378</v>
      </c>
      <c r="C2981" t="s">
        <v>20</v>
      </c>
      <c r="D2981" t="s">
        <v>3826</v>
      </c>
      <c r="E2981">
        <v>2826</v>
      </c>
    </row>
    <row r="2982" spans="1:5">
      <c r="A2982" s="1">
        <v>45911</v>
      </c>
      <c r="B2982" t="s">
        <v>2143</v>
      </c>
      <c r="C2982" t="s">
        <v>20</v>
      </c>
      <c r="D2982" t="s">
        <v>3827</v>
      </c>
      <c r="E2982">
        <v>2350</v>
      </c>
    </row>
    <row r="2983" spans="1:5">
      <c r="A2983" s="1">
        <v>45911</v>
      </c>
      <c r="B2983" t="s">
        <v>50</v>
      </c>
      <c r="C2983" t="s">
        <v>20</v>
      </c>
      <c r="D2983" t="s">
        <v>3828</v>
      </c>
      <c r="E2983">
        <v>1260</v>
      </c>
    </row>
    <row r="2984" spans="1:5">
      <c r="A2984" s="1">
        <v>45911</v>
      </c>
      <c r="B2984" t="s">
        <v>50</v>
      </c>
      <c r="C2984" t="s">
        <v>20</v>
      </c>
      <c r="D2984" t="s">
        <v>3829</v>
      </c>
      <c r="E2984">
        <v>3000</v>
      </c>
    </row>
    <row r="2985" spans="1:5">
      <c r="A2985" s="1">
        <v>45911</v>
      </c>
      <c r="B2985" t="s">
        <v>3830</v>
      </c>
      <c r="C2985" t="s">
        <v>20</v>
      </c>
      <c r="D2985" t="s">
        <v>3831</v>
      </c>
      <c r="E2985">
        <v>370</v>
      </c>
    </row>
    <row r="2986" spans="1:5">
      <c r="A2986" s="1">
        <v>45911</v>
      </c>
      <c r="B2986" t="s">
        <v>52</v>
      </c>
      <c r="C2986" t="s">
        <v>20</v>
      </c>
      <c r="D2986" t="s">
        <v>3832</v>
      </c>
      <c r="E2986">
        <v>4190</v>
      </c>
    </row>
    <row r="2987" spans="1:5">
      <c r="A2987" s="1">
        <v>45911</v>
      </c>
      <c r="B2987" t="s">
        <v>3833</v>
      </c>
      <c r="C2987" t="s">
        <v>20</v>
      </c>
      <c r="D2987" t="s">
        <v>3834</v>
      </c>
      <c r="E2987">
        <v>12255</v>
      </c>
    </row>
    <row r="2988" spans="1:5">
      <c r="A2988" s="1">
        <v>45911</v>
      </c>
      <c r="B2988" t="s">
        <v>52</v>
      </c>
      <c r="C2988" t="s">
        <v>20</v>
      </c>
      <c r="D2988" t="s">
        <v>3835</v>
      </c>
      <c r="E2988">
        <v>740</v>
      </c>
    </row>
    <row r="2989" spans="1:5">
      <c r="A2989" s="1">
        <v>45911</v>
      </c>
      <c r="B2989" t="s">
        <v>68</v>
      </c>
      <c r="C2989" t="s">
        <v>20</v>
      </c>
      <c r="D2989" t="s">
        <v>3836</v>
      </c>
      <c r="E2989">
        <v>650</v>
      </c>
    </row>
    <row r="2990" spans="1:5">
      <c r="A2990" s="1">
        <v>45911</v>
      </c>
      <c r="B2990" t="s">
        <v>3837</v>
      </c>
      <c r="C2990" t="s">
        <v>20</v>
      </c>
      <c r="D2990" t="s">
        <v>3838</v>
      </c>
      <c r="E2990">
        <v>9042</v>
      </c>
    </row>
    <row r="2991" spans="1:5">
      <c r="A2991" s="1">
        <v>45911</v>
      </c>
      <c r="B2991" t="s">
        <v>50</v>
      </c>
      <c r="C2991" t="s">
        <v>20</v>
      </c>
      <c r="D2991" t="s">
        <v>3839</v>
      </c>
      <c r="E2991">
        <v>9827</v>
      </c>
    </row>
    <row r="2992" spans="1:5">
      <c r="A2992" s="1">
        <v>45911</v>
      </c>
      <c r="B2992" t="s">
        <v>747</v>
      </c>
      <c r="C2992" t="s">
        <v>20</v>
      </c>
      <c r="D2992" t="s">
        <v>3840</v>
      </c>
      <c r="E2992">
        <v>964</v>
      </c>
    </row>
    <row r="2993" spans="1:5">
      <c r="A2993" s="1">
        <v>45911</v>
      </c>
      <c r="B2993" t="s">
        <v>50</v>
      </c>
      <c r="C2993" t="s">
        <v>20</v>
      </c>
      <c r="D2993" t="s">
        <v>3841</v>
      </c>
      <c r="E2993">
        <v>8758</v>
      </c>
    </row>
    <row r="2994" spans="1:5">
      <c r="A2994" s="1">
        <v>45911</v>
      </c>
      <c r="B2994" t="s">
        <v>3842</v>
      </c>
      <c r="C2994" t="s">
        <v>20</v>
      </c>
      <c r="D2994" t="s">
        <v>3843</v>
      </c>
      <c r="E2994">
        <v>2618</v>
      </c>
    </row>
    <row r="2995" spans="1:5">
      <c r="A2995" s="1">
        <v>45911</v>
      </c>
      <c r="B2995" t="s">
        <v>3844</v>
      </c>
      <c r="C2995" t="s">
        <v>20</v>
      </c>
      <c r="D2995" t="s">
        <v>3845</v>
      </c>
      <c r="E2995">
        <v>16430</v>
      </c>
    </row>
    <row r="2996" spans="1:5">
      <c r="A2996" s="1">
        <v>45912</v>
      </c>
      <c r="B2996" t="s">
        <v>3788</v>
      </c>
      <c r="C2996" t="s">
        <v>19</v>
      </c>
      <c r="D2996" t="s">
        <v>3846</v>
      </c>
      <c r="E2996">
        <v>2480</v>
      </c>
    </row>
    <row r="2997" spans="1:5">
      <c r="A2997" s="1">
        <v>45912</v>
      </c>
      <c r="B2997" t="s">
        <v>180</v>
      </c>
      <c r="C2997" t="s">
        <v>19</v>
      </c>
      <c r="D2997" t="s">
        <v>3847</v>
      </c>
      <c r="E2997">
        <v>24740</v>
      </c>
    </row>
    <row r="2998" spans="1:5">
      <c r="A2998" s="1">
        <v>45912</v>
      </c>
      <c r="B2998" t="s">
        <v>2329</v>
      </c>
      <c r="C2998" t="s">
        <v>19</v>
      </c>
      <c r="D2998" t="s">
        <v>3848</v>
      </c>
      <c r="E2998">
        <v>30808</v>
      </c>
    </row>
    <row r="2999" spans="1:5">
      <c r="A2999" s="1">
        <v>45912</v>
      </c>
      <c r="B2999" t="s">
        <v>1428</v>
      </c>
      <c r="C2999" t="s">
        <v>20</v>
      </c>
      <c r="D2999" t="s">
        <v>3849</v>
      </c>
      <c r="E2999">
        <v>370</v>
      </c>
    </row>
    <row r="3000" spans="1:5">
      <c r="A3000" s="1">
        <v>45912</v>
      </c>
      <c r="B3000" t="s">
        <v>100</v>
      </c>
      <c r="C3000" t="s">
        <v>20</v>
      </c>
      <c r="D3000" t="s">
        <v>3850</v>
      </c>
      <c r="E3000">
        <v>32952</v>
      </c>
    </row>
    <row r="3001" spans="1:5">
      <c r="A3001" s="1">
        <v>45912</v>
      </c>
      <c r="B3001" t="s">
        <v>3728</v>
      </c>
      <c r="C3001" t="s">
        <v>20</v>
      </c>
      <c r="D3001" t="s">
        <v>3851</v>
      </c>
      <c r="E3001">
        <v>1110</v>
      </c>
    </row>
    <row r="3002" spans="1:5">
      <c r="A3002" s="1">
        <v>45912</v>
      </c>
      <c r="B3002" t="s">
        <v>932</v>
      </c>
      <c r="C3002" t="s">
        <v>20</v>
      </c>
      <c r="D3002" t="s">
        <v>3852</v>
      </c>
      <c r="E3002">
        <v>1850</v>
      </c>
    </row>
    <row r="3003" spans="1:5">
      <c r="A3003" s="1">
        <v>45912</v>
      </c>
      <c r="B3003" t="s">
        <v>1075</v>
      </c>
      <c r="C3003" t="s">
        <v>20</v>
      </c>
      <c r="D3003" t="s">
        <v>3853</v>
      </c>
      <c r="E3003">
        <v>3700</v>
      </c>
    </row>
    <row r="3004" spans="1:5">
      <c r="A3004" s="1">
        <v>45912</v>
      </c>
      <c r="B3004" t="s">
        <v>2786</v>
      </c>
      <c r="C3004" t="s">
        <v>20</v>
      </c>
      <c r="D3004" t="s">
        <v>3854</v>
      </c>
      <c r="E3004">
        <v>25797</v>
      </c>
    </row>
    <row r="3005" spans="1:5">
      <c r="A3005" s="1">
        <v>45912</v>
      </c>
      <c r="B3005" t="s">
        <v>252</v>
      </c>
      <c r="C3005" t="s">
        <v>20</v>
      </c>
      <c r="D3005" t="s">
        <v>3855</v>
      </c>
      <c r="E3005">
        <v>740</v>
      </c>
    </row>
    <row r="3006" spans="1:5">
      <c r="A3006" s="1">
        <v>45912</v>
      </c>
      <c r="B3006" t="s">
        <v>3856</v>
      </c>
      <c r="C3006" t="s">
        <v>20</v>
      </c>
      <c r="D3006" t="s">
        <v>3857</v>
      </c>
      <c r="E3006">
        <v>5120</v>
      </c>
    </row>
    <row r="3007" spans="1:5">
      <c r="A3007" s="1">
        <v>45912</v>
      </c>
      <c r="B3007" t="s">
        <v>203</v>
      </c>
      <c r="C3007" t="s">
        <v>20</v>
      </c>
      <c r="D3007" t="s">
        <v>3858</v>
      </c>
      <c r="E3007">
        <v>198</v>
      </c>
    </row>
    <row r="3008" spans="1:5">
      <c r="A3008" s="1">
        <v>45912</v>
      </c>
      <c r="B3008" t="s">
        <v>50</v>
      </c>
      <c r="C3008" t="s">
        <v>20</v>
      </c>
      <c r="D3008" t="s">
        <v>3859</v>
      </c>
      <c r="E3008">
        <v>32</v>
      </c>
    </row>
    <row r="3009" spans="1:5">
      <c r="A3009" s="1">
        <v>45912</v>
      </c>
      <c r="B3009" t="s">
        <v>3860</v>
      </c>
      <c r="C3009" t="s">
        <v>20</v>
      </c>
      <c r="D3009" t="s">
        <v>3861</v>
      </c>
      <c r="E3009">
        <v>3420</v>
      </c>
    </row>
    <row r="3010" spans="1:5">
      <c r="A3010" s="1">
        <v>45912</v>
      </c>
      <c r="B3010" t="s">
        <v>2444</v>
      </c>
      <c r="C3010" t="s">
        <v>20</v>
      </c>
      <c r="D3010" t="s">
        <v>3862</v>
      </c>
      <c r="E3010">
        <v>1480</v>
      </c>
    </row>
    <row r="3011" spans="1:5">
      <c r="A3011" s="1">
        <v>45912</v>
      </c>
      <c r="B3011" t="s">
        <v>68</v>
      </c>
      <c r="C3011" t="s">
        <v>20</v>
      </c>
      <c r="D3011" t="s">
        <v>3863</v>
      </c>
      <c r="E3011">
        <v>3118</v>
      </c>
    </row>
    <row r="3012" spans="1:5">
      <c r="A3012" s="1">
        <v>45912</v>
      </c>
      <c r="B3012" t="s">
        <v>3856</v>
      </c>
      <c r="C3012" t="s">
        <v>20</v>
      </c>
      <c r="D3012" t="s">
        <v>3864</v>
      </c>
      <c r="E3012">
        <v>20</v>
      </c>
    </row>
    <row r="3013" spans="1:5">
      <c r="A3013" s="1">
        <v>45912</v>
      </c>
      <c r="B3013" t="s">
        <v>193</v>
      </c>
      <c r="C3013" t="s">
        <v>20</v>
      </c>
      <c r="D3013" t="s">
        <v>3865</v>
      </c>
      <c r="E3013">
        <v>25485</v>
      </c>
    </row>
    <row r="3014" spans="1:5">
      <c r="A3014" s="1">
        <v>45912</v>
      </c>
      <c r="B3014" t="s">
        <v>68</v>
      </c>
      <c r="C3014" t="s">
        <v>20</v>
      </c>
      <c r="D3014" t="s">
        <v>3866</v>
      </c>
      <c r="E3014">
        <v>3308</v>
      </c>
    </row>
    <row r="3015" spans="1:5">
      <c r="A3015" s="1">
        <v>45912</v>
      </c>
      <c r="B3015" t="s">
        <v>3804</v>
      </c>
      <c r="C3015" t="s">
        <v>20</v>
      </c>
      <c r="D3015" t="s">
        <v>3867</v>
      </c>
      <c r="E3015">
        <v>1542</v>
      </c>
    </row>
    <row r="3016" spans="1:5">
      <c r="A3016" s="1">
        <v>45912</v>
      </c>
      <c r="B3016" t="s">
        <v>35</v>
      </c>
      <c r="C3016" t="s">
        <v>20</v>
      </c>
      <c r="D3016" t="s">
        <v>3868</v>
      </c>
      <c r="E3016">
        <v>12416</v>
      </c>
    </row>
    <row r="3017" spans="1:5">
      <c r="A3017" s="1">
        <v>45912</v>
      </c>
      <c r="B3017" t="s">
        <v>35</v>
      </c>
      <c r="C3017" t="s">
        <v>20</v>
      </c>
      <c r="D3017" t="s">
        <v>3869</v>
      </c>
      <c r="E3017">
        <v>1320</v>
      </c>
    </row>
    <row r="3018" spans="1:5">
      <c r="A3018" s="1">
        <v>45912</v>
      </c>
      <c r="B3018" t="s">
        <v>778</v>
      </c>
      <c r="C3018" t="s">
        <v>20</v>
      </c>
      <c r="D3018" t="s">
        <v>3870</v>
      </c>
      <c r="E3018">
        <v>270</v>
      </c>
    </row>
    <row r="3019" spans="1:5">
      <c r="A3019" s="1">
        <v>45912</v>
      </c>
      <c r="B3019" t="s">
        <v>844</v>
      </c>
      <c r="C3019" t="s">
        <v>20</v>
      </c>
      <c r="D3019" t="s">
        <v>3871</v>
      </c>
      <c r="E3019">
        <v>475</v>
      </c>
    </row>
    <row r="3020" spans="1:5">
      <c r="A3020" s="1">
        <v>45912</v>
      </c>
      <c r="B3020" t="s">
        <v>3463</v>
      </c>
      <c r="C3020" t="s">
        <v>20</v>
      </c>
      <c r="D3020" t="s">
        <v>3872</v>
      </c>
      <c r="E3020">
        <v>7800</v>
      </c>
    </row>
    <row r="3021" spans="1:5">
      <c r="A3021" s="1">
        <v>45912</v>
      </c>
      <c r="B3021" t="s">
        <v>3873</v>
      </c>
      <c r="C3021" t="s">
        <v>20</v>
      </c>
      <c r="D3021" t="s">
        <v>3874</v>
      </c>
      <c r="E3021">
        <v>740</v>
      </c>
    </row>
    <row r="3022" spans="1:5">
      <c r="A3022" s="1">
        <v>45912</v>
      </c>
      <c r="B3022" t="s">
        <v>50</v>
      </c>
      <c r="C3022" t="s">
        <v>20</v>
      </c>
      <c r="D3022" t="s">
        <v>3875</v>
      </c>
      <c r="E3022">
        <v>10</v>
      </c>
    </row>
    <row r="3023" spans="1:5">
      <c r="A3023" s="1">
        <v>45912</v>
      </c>
      <c r="B3023" t="s">
        <v>3844</v>
      </c>
      <c r="C3023" t="s">
        <v>20</v>
      </c>
      <c r="D3023" t="s">
        <v>3876</v>
      </c>
      <c r="E3023">
        <v>11</v>
      </c>
    </row>
    <row r="3024" spans="1:5">
      <c r="A3024" s="1">
        <v>45912</v>
      </c>
      <c r="B3024" t="s">
        <v>844</v>
      </c>
      <c r="C3024" t="s">
        <v>20</v>
      </c>
      <c r="D3024" t="s">
        <v>3877</v>
      </c>
      <c r="E3024">
        <v>6936</v>
      </c>
    </row>
    <row r="3025" spans="1:5">
      <c r="A3025" s="1">
        <v>45912</v>
      </c>
      <c r="B3025" t="s">
        <v>3878</v>
      </c>
      <c r="C3025" t="s">
        <v>20</v>
      </c>
      <c r="D3025" t="s">
        <v>3879</v>
      </c>
      <c r="E3025">
        <v>14310</v>
      </c>
    </row>
    <row r="3026" spans="1:5">
      <c r="A3026" s="1">
        <v>45912</v>
      </c>
      <c r="B3026" t="s">
        <v>3880</v>
      </c>
      <c r="C3026" t="s">
        <v>20</v>
      </c>
      <c r="D3026" t="s">
        <v>3881</v>
      </c>
      <c r="E3026">
        <v>2340</v>
      </c>
    </row>
    <row r="3027" spans="1:5">
      <c r="A3027" s="1">
        <v>45912</v>
      </c>
      <c r="B3027" t="s">
        <v>100</v>
      </c>
      <c r="C3027" t="s">
        <v>20</v>
      </c>
      <c r="D3027" t="s">
        <v>3882</v>
      </c>
      <c r="E3027">
        <v>103310</v>
      </c>
    </row>
    <row r="3028" spans="1:5">
      <c r="A3028" s="1">
        <v>45912</v>
      </c>
      <c r="B3028" t="s">
        <v>203</v>
      </c>
      <c r="C3028" t="s">
        <v>20</v>
      </c>
      <c r="D3028" t="s">
        <v>3883</v>
      </c>
      <c r="E3028">
        <v>9067</v>
      </c>
    </row>
    <row r="3029" spans="1:5">
      <c r="A3029" s="1">
        <v>45912</v>
      </c>
      <c r="B3029" t="s">
        <v>3814</v>
      </c>
      <c r="C3029" t="s">
        <v>20</v>
      </c>
      <c r="D3029" t="s">
        <v>3884</v>
      </c>
      <c r="E3029">
        <v>1816</v>
      </c>
    </row>
    <row r="3030" spans="1:5">
      <c r="A3030" s="1">
        <v>45912</v>
      </c>
      <c r="B3030" t="s">
        <v>1196</v>
      </c>
      <c r="C3030" t="s">
        <v>20</v>
      </c>
      <c r="D3030" t="s">
        <v>3885</v>
      </c>
      <c r="E3030">
        <v>1046</v>
      </c>
    </row>
    <row r="3031" spans="1:5">
      <c r="A3031" s="1">
        <v>45913</v>
      </c>
      <c r="B3031" t="s">
        <v>3788</v>
      </c>
      <c r="C3031" t="s">
        <v>19</v>
      </c>
      <c r="D3031" t="s">
        <v>3886</v>
      </c>
      <c r="E3031">
        <v>1219</v>
      </c>
    </row>
    <row r="3032" spans="1:5">
      <c r="A3032" s="1">
        <v>45913</v>
      </c>
      <c r="B3032" t="s">
        <v>2987</v>
      </c>
      <c r="C3032" t="s">
        <v>19</v>
      </c>
      <c r="D3032" t="s">
        <v>3887</v>
      </c>
      <c r="E3032">
        <v>9250</v>
      </c>
    </row>
    <row r="3033" spans="1:5">
      <c r="A3033" s="1">
        <v>45913</v>
      </c>
      <c r="B3033" t="s">
        <v>1104</v>
      </c>
      <c r="C3033" t="s">
        <v>19</v>
      </c>
      <c r="D3033" t="s">
        <v>3888</v>
      </c>
      <c r="E3033">
        <v>13792</v>
      </c>
    </row>
    <row r="3034" spans="1:5">
      <c r="A3034" s="1">
        <v>45913</v>
      </c>
      <c r="B3034" t="s">
        <v>2399</v>
      </c>
      <c r="C3034" t="s">
        <v>20</v>
      </c>
      <c r="D3034" t="s">
        <v>3889</v>
      </c>
      <c r="E3034">
        <v>1110</v>
      </c>
    </row>
    <row r="3035" spans="1:5">
      <c r="A3035" s="1">
        <v>45913</v>
      </c>
      <c r="B3035" t="s">
        <v>135</v>
      </c>
      <c r="C3035" t="s">
        <v>20</v>
      </c>
      <c r="D3035" t="s">
        <v>3890</v>
      </c>
      <c r="E3035">
        <v>19897</v>
      </c>
    </row>
    <row r="3036" spans="1:5">
      <c r="A3036" s="1">
        <v>45913</v>
      </c>
      <c r="B3036" t="s">
        <v>68</v>
      </c>
      <c r="C3036" t="s">
        <v>20</v>
      </c>
      <c r="D3036" t="s">
        <v>3891</v>
      </c>
      <c r="E3036">
        <v>8763</v>
      </c>
    </row>
    <row r="3037" spans="1:5">
      <c r="A3037" s="1">
        <v>45913</v>
      </c>
      <c r="B3037" t="s">
        <v>3892</v>
      </c>
      <c r="C3037" t="s">
        <v>20</v>
      </c>
      <c r="D3037" t="s">
        <v>3893</v>
      </c>
      <c r="E3037">
        <v>400</v>
      </c>
    </row>
    <row r="3038" spans="1:5">
      <c r="A3038" s="1">
        <v>45913</v>
      </c>
      <c r="B3038" t="s">
        <v>2143</v>
      </c>
      <c r="C3038" t="s">
        <v>20</v>
      </c>
      <c r="D3038" t="s">
        <v>3894</v>
      </c>
      <c r="E3038">
        <v>400</v>
      </c>
    </row>
    <row r="3039" spans="1:5">
      <c r="A3039" s="1">
        <v>45913</v>
      </c>
      <c r="B3039" t="s">
        <v>89</v>
      </c>
      <c r="C3039" t="s">
        <v>20</v>
      </c>
      <c r="D3039" t="s">
        <v>3895</v>
      </c>
      <c r="E3039">
        <v>1480</v>
      </c>
    </row>
    <row r="3040" spans="1:5">
      <c r="A3040" s="1">
        <v>45913</v>
      </c>
      <c r="B3040" t="s">
        <v>378</v>
      </c>
      <c r="C3040" t="s">
        <v>20</v>
      </c>
      <c r="D3040" t="s">
        <v>3896</v>
      </c>
      <c r="E3040">
        <v>740</v>
      </c>
    </row>
    <row r="3041" spans="1:5">
      <c r="A3041" s="1">
        <v>45913</v>
      </c>
      <c r="B3041" t="s">
        <v>2206</v>
      </c>
      <c r="C3041" t="s">
        <v>20</v>
      </c>
      <c r="D3041" t="s">
        <v>3897</v>
      </c>
      <c r="E3041">
        <v>1905</v>
      </c>
    </row>
    <row r="3042" spans="1:5">
      <c r="A3042" s="1">
        <v>45913</v>
      </c>
      <c r="B3042" t="s">
        <v>2143</v>
      </c>
      <c r="C3042" t="s">
        <v>20</v>
      </c>
      <c r="D3042" t="s">
        <v>3898</v>
      </c>
      <c r="E3042">
        <v>450</v>
      </c>
    </row>
    <row r="3043" spans="1:5">
      <c r="A3043" s="1">
        <v>45913</v>
      </c>
      <c r="B3043" t="s">
        <v>3899</v>
      </c>
      <c r="C3043" t="s">
        <v>20</v>
      </c>
      <c r="D3043" t="s">
        <v>3900</v>
      </c>
      <c r="E3043">
        <v>21088</v>
      </c>
    </row>
    <row r="3044" spans="1:5">
      <c r="A3044" s="1">
        <v>45913</v>
      </c>
      <c r="B3044" t="s">
        <v>3899</v>
      </c>
      <c r="C3044" t="s">
        <v>20</v>
      </c>
      <c r="D3044" t="s">
        <v>3901</v>
      </c>
      <c r="E3044">
        <v>320</v>
      </c>
    </row>
    <row r="3045" spans="1:5">
      <c r="A3045" s="1">
        <v>45913</v>
      </c>
      <c r="B3045" t="s">
        <v>802</v>
      </c>
      <c r="C3045" t="s">
        <v>20</v>
      </c>
      <c r="D3045" t="s">
        <v>3902</v>
      </c>
      <c r="E3045">
        <v>9227</v>
      </c>
    </row>
    <row r="3046" spans="1:5">
      <c r="A3046" s="1">
        <v>45913</v>
      </c>
      <c r="B3046" t="s">
        <v>3903</v>
      </c>
      <c r="C3046" t="s">
        <v>20</v>
      </c>
      <c r="D3046" t="s">
        <v>3904</v>
      </c>
      <c r="E3046">
        <v>5760</v>
      </c>
    </row>
    <row r="3047" spans="1:5">
      <c r="A3047" s="1">
        <v>45913</v>
      </c>
      <c r="B3047" t="s">
        <v>1075</v>
      </c>
      <c r="C3047" t="s">
        <v>20</v>
      </c>
      <c r="D3047" t="s">
        <v>3905</v>
      </c>
      <c r="E3047">
        <v>3700</v>
      </c>
    </row>
    <row r="3048" spans="1:5">
      <c r="A3048" s="1">
        <v>45913</v>
      </c>
      <c r="B3048" t="s">
        <v>3809</v>
      </c>
      <c r="C3048" t="s">
        <v>20</v>
      </c>
      <c r="D3048" t="s">
        <v>3906</v>
      </c>
      <c r="E3048">
        <v>14960</v>
      </c>
    </row>
    <row r="3049" spans="1:5">
      <c r="A3049" s="1">
        <v>45913</v>
      </c>
      <c r="B3049" t="s">
        <v>778</v>
      </c>
      <c r="C3049" t="s">
        <v>20</v>
      </c>
      <c r="D3049" t="s">
        <v>3907</v>
      </c>
      <c r="E3049">
        <v>2237</v>
      </c>
    </row>
    <row r="3050" spans="1:5">
      <c r="A3050" s="1">
        <v>45913</v>
      </c>
      <c r="B3050" t="s">
        <v>135</v>
      </c>
      <c r="C3050" t="s">
        <v>20</v>
      </c>
      <c r="D3050" t="s">
        <v>3908</v>
      </c>
      <c r="E3050">
        <v>26854</v>
      </c>
    </row>
    <row r="3051" spans="1:5">
      <c r="A3051" s="1">
        <v>45913</v>
      </c>
      <c r="B3051" t="s">
        <v>375</v>
      </c>
      <c r="C3051" t="s">
        <v>20</v>
      </c>
      <c r="D3051" t="s">
        <v>3909</v>
      </c>
      <c r="E3051">
        <v>300</v>
      </c>
    </row>
    <row r="3052" spans="1:5">
      <c r="A3052" s="1">
        <v>45913</v>
      </c>
      <c r="B3052" t="s">
        <v>3910</v>
      </c>
      <c r="C3052" t="s">
        <v>20</v>
      </c>
      <c r="D3052" t="s">
        <v>3911</v>
      </c>
      <c r="E3052">
        <v>960</v>
      </c>
    </row>
    <row r="3053" spans="1:5">
      <c r="A3053" s="1">
        <v>45913</v>
      </c>
      <c r="B3053" t="s">
        <v>68</v>
      </c>
      <c r="C3053" t="s">
        <v>20</v>
      </c>
      <c r="D3053" t="s">
        <v>3912</v>
      </c>
      <c r="E3053">
        <v>9770</v>
      </c>
    </row>
    <row r="3054" spans="1:5">
      <c r="A3054" s="1">
        <v>45913</v>
      </c>
      <c r="B3054" t="s">
        <v>68</v>
      </c>
      <c r="C3054" t="s">
        <v>20</v>
      </c>
      <c r="D3054" t="s">
        <v>3913</v>
      </c>
      <c r="E3054">
        <v>85</v>
      </c>
    </row>
    <row r="3055" spans="1:5">
      <c r="A3055" s="1">
        <v>45913</v>
      </c>
      <c r="B3055" t="s">
        <v>3914</v>
      </c>
      <c r="C3055" t="s">
        <v>20</v>
      </c>
      <c r="D3055" t="s">
        <v>3915</v>
      </c>
      <c r="E3055">
        <v>1110</v>
      </c>
    </row>
    <row r="3056" spans="1:5">
      <c r="A3056" s="1">
        <v>45913</v>
      </c>
      <c r="B3056" t="s">
        <v>1196</v>
      </c>
      <c r="C3056" t="s">
        <v>20</v>
      </c>
      <c r="D3056" t="s">
        <v>3916</v>
      </c>
      <c r="E3056">
        <v>269</v>
      </c>
    </row>
    <row r="3057" spans="1:5">
      <c r="A3057" s="1">
        <v>45915</v>
      </c>
      <c r="B3057" t="s">
        <v>1104</v>
      </c>
      <c r="C3057" t="s">
        <v>19</v>
      </c>
      <c r="D3057" t="s">
        <v>3917</v>
      </c>
      <c r="E3057">
        <v>29524</v>
      </c>
    </row>
    <row r="3058" spans="1:5">
      <c r="A3058" s="1">
        <v>45915</v>
      </c>
      <c r="B3058" t="s">
        <v>733</v>
      </c>
      <c r="C3058" t="s">
        <v>19</v>
      </c>
      <c r="D3058" t="s">
        <v>3918</v>
      </c>
      <c r="E3058">
        <v>9750</v>
      </c>
    </row>
    <row r="3059" spans="1:5">
      <c r="A3059" s="1">
        <v>45915</v>
      </c>
      <c r="B3059" t="s">
        <v>3919</v>
      </c>
      <c r="C3059" t="s">
        <v>19</v>
      </c>
      <c r="D3059" t="s">
        <v>3920</v>
      </c>
      <c r="E3059">
        <v>3306</v>
      </c>
    </row>
    <row r="3060" spans="1:5">
      <c r="A3060" s="1">
        <v>45915</v>
      </c>
      <c r="B3060" t="s">
        <v>1106</v>
      </c>
      <c r="C3060" t="s">
        <v>19</v>
      </c>
      <c r="D3060" t="s">
        <v>3921</v>
      </c>
      <c r="E3060">
        <v>121554</v>
      </c>
    </row>
    <row r="3061" spans="1:5">
      <c r="A3061" s="1">
        <v>45915</v>
      </c>
      <c r="B3061" t="s">
        <v>955</v>
      </c>
      <c r="C3061" t="s">
        <v>19</v>
      </c>
      <c r="D3061" t="s">
        <v>3922</v>
      </c>
      <c r="E3061">
        <v>3843</v>
      </c>
    </row>
    <row r="3062" spans="1:5">
      <c r="A3062" s="1">
        <v>45915</v>
      </c>
      <c r="B3062" t="s">
        <v>50</v>
      </c>
      <c r="C3062" t="s">
        <v>20</v>
      </c>
      <c r="D3062" t="s">
        <v>3923</v>
      </c>
      <c r="E3062">
        <v>200</v>
      </c>
    </row>
    <row r="3063" spans="1:5">
      <c r="A3063" s="1">
        <v>45915</v>
      </c>
      <c r="B3063" t="s">
        <v>191</v>
      </c>
      <c r="C3063" t="s">
        <v>20</v>
      </c>
      <c r="D3063" t="s">
        <v>3924</v>
      </c>
      <c r="E3063">
        <v>370</v>
      </c>
    </row>
    <row r="3064" spans="1:5">
      <c r="A3064" s="1">
        <v>45915</v>
      </c>
      <c r="B3064" t="s">
        <v>2154</v>
      </c>
      <c r="C3064" t="s">
        <v>20</v>
      </c>
      <c r="D3064" t="s">
        <v>3925</v>
      </c>
      <c r="E3064">
        <v>2777</v>
      </c>
    </row>
    <row r="3065" spans="1:5">
      <c r="A3065" s="1">
        <v>45915</v>
      </c>
      <c r="B3065" t="s">
        <v>3926</v>
      </c>
      <c r="C3065" t="s">
        <v>20</v>
      </c>
      <c r="D3065" t="s">
        <v>3927</v>
      </c>
      <c r="E3065">
        <v>28986</v>
      </c>
    </row>
    <row r="3066" spans="1:5">
      <c r="A3066" s="1">
        <v>45915</v>
      </c>
      <c r="B3066" t="s">
        <v>1350</v>
      </c>
      <c r="C3066" t="s">
        <v>20</v>
      </c>
      <c r="D3066" t="s">
        <v>3928</v>
      </c>
      <c r="E3066">
        <v>38760</v>
      </c>
    </row>
    <row r="3067" spans="1:5">
      <c r="A3067" s="1">
        <v>45915</v>
      </c>
      <c r="B3067" t="s">
        <v>3750</v>
      </c>
      <c r="C3067" t="s">
        <v>20</v>
      </c>
      <c r="D3067" t="s">
        <v>3929</v>
      </c>
      <c r="E3067">
        <v>3701</v>
      </c>
    </row>
    <row r="3068" spans="1:5">
      <c r="A3068" s="1">
        <v>45915</v>
      </c>
      <c r="B3068" t="s">
        <v>3750</v>
      </c>
      <c r="C3068" t="s">
        <v>20</v>
      </c>
      <c r="D3068" t="s">
        <v>3930</v>
      </c>
      <c r="E3068">
        <v>740</v>
      </c>
    </row>
    <row r="3069" spans="1:5">
      <c r="A3069" s="1">
        <v>45915</v>
      </c>
      <c r="B3069" t="s">
        <v>68</v>
      </c>
      <c r="C3069" t="s">
        <v>20</v>
      </c>
      <c r="D3069" t="s">
        <v>3931</v>
      </c>
      <c r="E3069">
        <v>5353</v>
      </c>
    </row>
    <row r="3070" spans="1:5">
      <c r="A3070" s="1">
        <v>45915</v>
      </c>
      <c r="B3070" t="s">
        <v>76</v>
      </c>
      <c r="C3070" t="s">
        <v>20</v>
      </c>
      <c r="D3070" t="s">
        <v>3932</v>
      </c>
      <c r="E3070">
        <v>525</v>
      </c>
    </row>
    <row r="3071" spans="1:5">
      <c r="A3071" s="1">
        <v>45915</v>
      </c>
      <c r="B3071" t="s">
        <v>3933</v>
      </c>
      <c r="C3071" t="s">
        <v>20</v>
      </c>
      <c r="D3071" t="s">
        <v>3934</v>
      </c>
      <c r="E3071">
        <v>370</v>
      </c>
    </row>
    <row r="3072" spans="1:5">
      <c r="A3072" s="1">
        <v>45915</v>
      </c>
      <c r="B3072" t="s">
        <v>50</v>
      </c>
      <c r="C3072" t="s">
        <v>20</v>
      </c>
      <c r="D3072" t="s">
        <v>3935</v>
      </c>
      <c r="E3072">
        <v>11777</v>
      </c>
    </row>
    <row r="3073" spans="1:5">
      <c r="A3073" s="1">
        <v>45915</v>
      </c>
      <c r="B3073" t="s">
        <v>3936</v>
      </c>
      <c r="C3073" t="s">
        <v>20</v>
      </c>
      <c r="D3073" t="s">
        <v>3937</v>
      </c>
      <c r="E3073">
        <v>6830</v>
      </c>
    </row>
    <row r="3074" spans="1:5">
      <c r="A3074" s="1">
        <v>45915</v>
      </c>
      <c r="B3074" t="s">
        <v>3333</v>
      </c>
      <c r="C3074" t="s">
        <v>20</v>
      </c>
      <c r="D3074" t="s">
        <v>3938</v>
      </c>
      <c r="E3074">
        <v>48138</v>
      </c>
    </row>
    <row r="3075" spans="1:5">
      <c r="A3075" s="1">
        <v>45915</v>
      </c>
      <c r="B3075" t="s">
        <v>50</v>
      </c>
      <c r="C3075" t="s">
        <v>20</v>
      </c>
      <c r="D3075" t="s">
        <v>3939</v>
      </c>
      <c r="E3075">
        <v>3700</v>
      </c>
    </row>
    <row r="3076" spans="1:5">
      <c r="A3076" s="1">
        <v>45915</v>
      </c>
      <c r="B3076" t="s">
        <v>1196</v>
      </c>
      <c r="C3076" t="s">
        <v>20</v>
      </c>
      <c r="D3076" t="s">
        <v>3940</v>
      </c>
      <c r="E3076">
        <v>228</v>
      </c>
    </row>
    <row r="3077" spans="1:5">
      <c r="A3077" s="1">
        <v>45915</v>
      </c>
      <c r="B3077" t="s">
        <v>35</v>
      </c>
      <c r="C3077" t="s">
        <v>20</v>
      </c>
      <c r="D3077" t="s">
        <v>3941</v>
      </c>
      <c r="E3077">
        <v>13157</v>
      </c>
    </row>
    <row r="3078" spans="1:5">
      <c r="A3078" s="1">
        <v>45915</v>
      </c>
      <c r="B3078" t="s">
        <v>107</v>
      </c>
      <c r="C3078" t="s">
        <v>20</v>
      </c>
      <c r="D3078" t="s">
        <v>3942</v>
      </c>
      <c r="E3078">
        <v>11865</v>
      </c>
    </row>
    <row r="3079" spans="1:5">
      <c r="A3079" s="1">
        <v>45915</v>
      </c>
      <c r="B3079" t="s">
        <v>1916</v>
      </c>
      <c r="C3079" t="s">
        <v>20</v>
      </c>
      <c r="D3079" t="s">
        <v>3943</v>
      </c>
      <c r="E3079">
        <v>10291</v>
      </c>
    </row>
    <row r="3080" spans="1:5">
      <c r="A3080" s="1">
        <v>45915</v>
      </c>
      <c r="B3080" t="s">
        <v>892</v>
      </c>
      <c r="C3080" t="s">
        <v>20</v>
      </c>
      <c r="D3080" t="s">
        <v>3944</v>
      </c>
      <c r="E3080">
        <v>160</v>
      </c>
    </row>
    <row r="3081" spans="1:5">
      <c r="A3081" s="1">
        <v>45916</v>
      </c>
      <c r="B3081" t="s">
        <v>3505</v>
      </c>
      <c r="C3081" t="s">
        <v>19</v>
      </c>
      <c r="D3081" t="s">
        <v>3945</v>
      </c>
      <c r="E3081">
        <v>7400</v>
      </c>
    </row>
    <row r="3082" spans="1:5">
      <c r="A3082" s="1">
        <v>45916</v>
      </c>
      <c r="B3082" t="s">
        <v>1424</v>
      </c>
      <c r="C3082" t="s">
        <v>19</v>
      </c>
      <c r="D3082" t="s">
        <v>3946</v>
      </c>
      <c r="E3082">
        <v>20370</v>
      </c>
    </row>
    <row r="3083" spans="1:5">
      <c r="A3083" s="1">
        <v>45916</v>
      </c>
      <c r="B3083" t="s">
        <v>1049</v>
      </c>
      <c r="C3083" t="s">
        <v>19</v>
      </c>
      <c r="D3083" t="s">
        <v>3947</v>
      </c>
      <c r="E3083">
        <v>3995</v>
      </c>
    </row>
    <row r="3084" spans="1:5">
      <c r="A3084" s="1">
        <v>45916</v>
      </c>
      <c r="B3084" t="s">
        <v>733</v>
      </c>
      <c r="C3084" t="s">
        <v>19</v>
      </c>
      <c r="D3084" t="s">
        <v>3948</v>
      </c>
      <c r="E3084">
        <v>7800</v>
      </c>
    </row>
    <row r="3085" spans="1:5">
      <c r="A3085" s="1">
        <v>45916</v>
      </c>
      <c r="B3085" t="s">
        <v>50</v>
      </c>
      <c r="C3085" t="s">
        <v>20</v>
      </c>
      <c r="D3085" t="s">
        <v>3949</v>
      </c>
      <c r="E3085">
        <v>740</v>
      </c>
    </row>
    <row r="3086" spans="1:5">
      <c r="A3086" s="1">
        <v>45916</v>
      </c>
      <c r="B3086" t="s">
        <v>76</v>
      </c>
      <c r="C3086" t="s">
        <v>20</v>
      </c>
      <c r="D3086" t="s">
        <v>3950</v>
      </c>
      <c r="E3086">
        <v>2590</v>
      </c>
    </row>
    <row r="3087" spans="1:5">
      <c r="A3087" s="1">
        <v>45916</v>
      </c>
      <c r="B3087" t="s">
        <v>3951</v>
      </c>
      <c r="C3087" t="s">
        <v>20</v>
      </c>
      <c r="D3087" t="s">
        <v>3952</v>
      </c>
      <c r="E3087">
        <v>55596</v>
      </c>
    </row>
    <row r="3088" spans="1:5">
      <c r="A3088" s="1">
        <v>45916</v>
      </c>
      <c r="B3088" t="s">
        <v>66</v>
      </c>
      <c r="C3088" t="s">
        <v>20</v>
      </c>
      <c r="D3088" t="s">
        <v>3953</v>
      </c>
      <c r="E3088">
        <v>394</v>
      </c>
    </row>
    <row r="3089" spans="1:5">
      <c r="A3089" s="1">
        <v>45916</v>
      </c>
      <c r="B3089" t="s">
        <v>81</v>
      </c>
      <c r="C3089" t="s">
        <v>20</v>
      </c>
      <c r="D3089" t="s">
        <v>3954</v>
      </c>
      <c r="E3089">
        <v>16209</v>
      </c>
    </row>
    <row r="3090" spans="1:5">
      <c r="A3090" s="1">
        <v>45916</v>
      </c>
      <c r="B3090" t="s">
        <v>3955</v>
      </c>
      <c r="C3090" t="s">
        <v>20</v>
      </c>
      <c r="D3090" t="s">
        <v>3956</v>
      </c>
      <c r="E3090">
        <v>511</v>
      </c>
    </row>
    <row r="3091" spans="1:5">
      <c r="A3091" s="1">
        <v>45916</v>
      </c>
      <c r="B3091" t="s">
        <v>3957</v>
      </c>
      <c r="C3091" t="s">
        <v>20</v>
      </c>
      <c r="D3091" t="s">
        <v>3958</v>
      </c>
      <c r="E3091">
        <v>25181</v>
      </c>
    </row>
    <row r="3092" spans="1:5">
      <c r="A3092" s="1">
        <v>45916</v>
      </c>
      <c r="B3092" t="s">
        <v>3959</v>
      </c>
      <c r="C3092" t="s">
        <v>20</v>
      </c>
      <c r="D3092" t="s">
        <v>3960</v>
      </c>
      <c r="E3092">
        <v>370</v>
      </c>
    </row>
    <row r="3093" spans="1:5">
      <c r="A3093" s="1">
        <v>45916</v>
      </c>
      <c r="B3093" t="s">
        <v>50</v>
      </c>
      <c r="C3093" t="s">
        <v>20</v>
      </c>
      <c r="D3093" t="s">
        <v>3961</v>
      </c>
      <c r="E3093">
        <v>12</v>
      </c>
    </row>
    <row r="3094" spans="1:5">
      <c r="A3094" s="1">
        <v>45916</v>
      </c>
      <c r="B3094" t="s">
        <v>566</v>
      </c>
      <c r="C3094" t="s">
        <v>20</v>
      </c>
      <c r="D3094" t="s">
        <v>3962</v>
      </c>
      <c r="E3094">
        <v>120</v>
      </c>
    </row>
    <row r="3095" spans="1:5">
      <c r="A3095" s="1">
        <v>45916</v>
      </c>
      <c r="B3095" t="s">
        <v>265</v>
      </c>
      <c r="C3095" t="s">
        <v>20</v>
      </c>
      <c r="D3095" t="s">
        <v>3963</v>
      </c>
      <c r="E3095">
        <v>160272</v>
      </c>
    </row>
    <row r="3096" spans="1:5">
      <c r="A3096" s="1">
        <v>45916</v>
      </c>
      <c r="B3096" t="s">
        <v>681</v>
      </c>
      <c r="C3096" t="s">
        <v>20</v>
      </c>
      <c r="D3096" t="s">
        <v>3964</v>
      </c>
      <c r="E3096">
        <v>1850</v>
      </c>
    </row>
    <row r="3097" spans="1:5">
      <c r="A3097" s="1">
        <v>45916</v>
      </c>
      <c r="B3097" t="s">
        <v>135</v>
      </c>
      <c r="C3097" t="s">
        <v>20</v>
      </c>
      <c r="D3097" t="s">
        <v>3965</v>
      </c>
      <c r="E3097">
        <v>30</v>
      </c>
    </row>
    <row r="3098" spans="1:5">
      <c r="A3098" s="1">
        <v>45916</v>
      </c>
      <c r="B3098" t="s">
        <v>3966</v>
      </c>
      <c r="C3098" t="s">
        <v>20</v>
      </c>
      <c r="D3098" t="s">
        <v>3967</v>
      </c>
      <c r="E3098">
        <v>13715</v>
      </c>
    </row>
    <row r="3099" spans="1:5">
      <c r="A3099" s="1">
        <v>45916</v>
      </c>
      <c r="B3099" t="s">
        <v>100</v>
      </c>
      <c r="C3099" t="s">
        <v>20</v>
      </c>
      <c r="D3099" t="s">
        <v>3968</v>
      </c>
      <c r="E3099">
        <v>2510</v>
      </c>
    </row>
    <row r="3100" spans="1:5">
      <c r="A3100" s="1">
        <v>45917</v>
      </c>
      <c r="B3100" t="s">
        <v>2007</v>
      </c>
      <c r="C3100" t="s">
        <v>19</v>
      </c>
      <c r="D3100" t="s">
        <v>3969</v>
      </c>
      <c r="E3100">
        <v>4085</v>
      </c>
    </row>
    <row r="3101" spans="1:5">
      <c r="A3101" s="1">
        <v>45917</v>
      </c>
      <c r="B3101" t="s">
        <v>783</v>
      </c>
      <c r="C3101" t="s">
        <v>19</v>
      </c>
      <c r="D3101" t="s">
        <v>3970</v>
      </c>
      <c r="E3101">
        <v>15300</v>
      </c>
    </row>
    <row r="3102" spans="1:5">
      <c r="A3102" s="1">
        <v>45917</v>
      </c>
      <c r="B3102" t="s">
        <v>1104</v>
      </c>
      <c r="C3102" t="s">
        <v>19</v>
      </c>
      <c r="D3102" t="s">
        <v>3971</v>
      </c>
      <c r="E3102">
        <v>51000</v>
      </c>
    </row>
    <row r="3103" spans="1:5">
      <c r="A3103" s="1">
        <v>45917</v>
      </c>
      <c r="B3103" t="s">
        <v>709</v>
      </c>
      <c r="C3103" t="s">
        <v>20</v>
      </c>
      <c r="D3103" t="s">
        <v>3972</v>
      </c>
      <c r="E3103">
        <v>5023</v>
      </c>
    </row>
    <row r="3104" spans="1:5">
      <c r="A3104" s="1">
        <v>45917</v>
      </c>
      <c r="B3104" t="s">
        <v>2214</v>
      </c>
      <c r="C3104" t="s">
        <v>20</v>
      </c>
      <c r="D3104" t="s">
        <v>3973</v>
      </c>
      <c r="E3104">
        <v>3190</v>
      </c>
    </row>
    <row r="3105" spans="1:5">
      <c r="A3105" s="1">
        <v>45917</v>
      </c>
      <c r="B3105" t="s">
        <v>50</v>
      </c>
      <c r="C3105" t="s">
        <v>20</v>
      </c>
      <c r="D3105" t="s">
        <v>3974</v>
      </c>
      <c r="E3105">
        <v>1000</v>
      </c>
    </row>
    <row r="3106" spans="1:5">
      <c r="A3106" s="1">
        <v>45917</v>
      </c>
      <c r="B3106" t="s">
        <v>156</v>
      </c>
      <c r="C3106" t="s">
        <v>20</v>
      </c>
      <c r="D3106" t="s">
        <v>3975</v>
      </c>
      <c r="E3106">
        <v>543</v>
      </c>
    </row>
    <row r="3107" spans="1:5">
      <c r="A3107" s="1">
        <v>45917</v>
      </c>
      <c r="B3107" t="s">
        <v>3976</v>
      </c>
      <c r="C3107" t="s">
        <v>20</v>
      </c>
      <c r="D3107" t="s">
        <v>3977</v>
      </c>
      <c r="E3107">
        <v>12652</v>
      </c>
    </row>
    <row r="3108" spans="1:5">
      <c r="A3108" s="1">
        <v>45917</v>
      </c>
      <c r="B3108" t="s">
        <v>1275</v>
      </c>
      <c r="C3108" t="s">
        <v>20</v>
      </c>
      <c r="D3108" t="s">
        <v>3978</v>
      </c>
      <c r="E3108">
        <v>4112</v>
      </c>
    </row>
    <row r="3109" spans="1:5">
      <c r="A3109" s="1">
        <v>45917</v>
      </c>
      <c r="B3109" t="s">
        <v>68</v>
      </c>
      <c r="C3109" t="s">
        <v>20</v>
      </c>
      <c r="D3109" t="s">
        <v>3979</v>
      </c>
      <c r="E3109">
        <v>7205</v>
      </c>
    </row>
    <row r="3110" spans="1:5">
      <c r="A3110" s="1">
        <v>45917</v>
      </c>
      <c r="B3110" t="s">
        <v>1089</v>
      </c>
      <c r="C3110" t="s">
        <v>20</v>
      </c>
      <c r="D3110" t="s">
        <v>3980</v>
      </c>
      <c r="E3110">
        <v>25045</v>
      </c>
    </row>
    <row r="3111" spans="1:5">
      <c r="A3111" s="1">
        <v>45917</v>
      </c>
      <c r="B3111" t="s">
        <v>76</v>
      </c>
      <c r="C3111" t="s">
        <v>20</v>
      </c>
      <c r="D3111" t="s">
        <v>3981</v>
      </c>
      <c r="E3111">
        <v>5223</v>
      </c>
    </row>
    <row r="3112" spans="1:5">
      <c r="A3112" s="1">
        <v>45917</v>
      </c>
      <c r="B3112" t="s">
        <v>557</v>
      </c>
      <c r="C3112" t="s">
        <v>20</v>
      </c>
      <c r="D3112" t="s">
        <v>3982</v>
      </c>
      <c r="E3112">
        <v>6758</v>
      </c>
    </row>
    <row r="3113" spans="1:5">
      <c r="A3113" s="1">
        <v>45917</v>
      </c>
      <c r="B3113" t="s">
        <v>50</v>
      </c>
      <c r="C3113" t="s">
        <v>20</v>
      </c>
      <c r="D3113" t="s">
        <v>3983</v>
      </c>
      <c r="E3113">
        <v>11</v>
      </c>
    </row>
    <row r="3114" spans="1:5">
      <c r="A3114" s="1">
        <v>45917</v>
      </c>
      <c r="B3114" t="s">
        <v>156</v>
      </c>
      <c r="C3114" t="s">
        <v>20</v>
      </c>
      <c r="D3114" t="s">
        <v>3984</v>
      </c>
      <c r="E3114">
        <v>4756</v>
      </c>
    </row>
    <row r="3115" spans="1:5">
      <c r="A3115" s="1">
        <v>45917</v>
      </c>
      <c r="B3115" t="s">
        <v>370</v>
      </c>
      <c r="C3115" t="s">
        <v>20</v>
      </c>
      <c r="D3115" t="s">
        <v>3985</v>
      </c>
      <c r="E3115">
        <v>1970</v>
      </c>
    </row>
    <row r="3116" spans="1:5">
      <c r="A3116" s="1">
        <v>45917</v>
      </c>
      <c r="B3116" t="s">
        <v>3463</v>
      </c>
      <c r="C3116" t="s">
        <v>20</v>
      </c>
      <c r="D3116" t="s">
        <v>3986</v>
      </c>
      <c r="E3116">
        <v>5850</v>
      </c>
    </row>
    <row r="3117" spans="1:5">
      <c r="A3117" s="1">
        <v>45917</v>
      </c>
      <c r="B3117" t="s">
        <v>526</v>
      </c>
      <c r="C3117" t="s">
        <v>20</v>
      </c>
      <c r="D3117" t="s">
        <v>3987</v>
      </c>
      <c r="E3117">
        <v>600</v>
      </c>
    </row>
    <row r="3118" spans="1:5">
      <c r="A3118" s="1">
        <v>45917</v>
      </c>
      <c r="B3118" t="s">
        <v>50</v>
      </c>
      <c r="C3118" t="s">
        <v>20</v>
      </c>
      <c r="D3118" t="s">
        <v>3988</v>
      </c>
      <c r="E3118">
        <v>1310</v>
      </c>
    </row>
    <row r="3119" spans="1:5">
      <c r="A3119" s="1">
        <v>45917</v>
      </c>
      <c r="B3119" t="s">
        <v>512</v>
      </c>
      <c r="C3119" t="s">
        <v>20</v>
      </c>
      <c r="D3119" t="s">
        <v>3989</v>
      </c>
      <c r="E3119">
        <v>740</v>
      </c>
    </row>
    <row r="3120" spans="1:5">
      <c r="A3120" s="1">
        <v>45918</v>
      </c>
      <c r="B3120" t="s">
        <v>3505</v>
      </c>
      <c r="C3120" t="s">
        <v>19</v>
      </c>
      <c r="D3120" t="s">
        <v>3990</v>
      </c>
      <c r="E3120">
        <v>18520</v>
      </c>
    </row>
    <row r="3121" spans="1:5">
      <c r="A3121" s="1">
        <v>45918</v>
      </c>
      <c r="B3121" t="s">
        <v>3573</v>
      </c>
      <c r="C3121" t="s">
        <v>20</v>
      </c>
      <c r="D3121" t="s">
        <v>3991</v>
      </c>
      <c r="E3121">
        <v>2100</v>
      </c>
    </row>
    <row r="3122" spans="1:5">
      <c r="A3122" s="1">
        <v>45918</v>
      </c>
      <c r="B3122" t="s">
        <v>378</v>
      </c>
      <c r="C3122" t="s">
        <v>20</v>
      </c>
      <c r="D3122" t="s">
        <v>3992</v>
      </c>
      <c r="E3122">
        <v>5215</v>
      </c>
    </row>
    <row r="3123" spans="1:5">
      <c r="A3123" s="1">
        <v>45918</v>
      </c>
      <c r="B3123" t="s">
        <v>2958</v>
      </c>
      <c r="C3123" t="s">
        <v>20</v>
      </c>
      <c r="D3123" t="s">
        <v>3993</v>
      </c>
      <c r="E3123">
        <v>22373</v>
      </c>
    </row>
    <row r="3124" spans="1:5">
      <c r="A3124" s="1">
        <v>45918</v>
      </c>
      <c r="B3124" t="s">
        <v>50</v>
      </c>
      <c r="C3124" t="s">
        <v>20</v>
      </c>
      <c r="D3124" t="s">
        <v>3994</v>
      </c>
      <c r="E3124">
        <v>350</v>
      </c>
    </row>
    <row r="3125" spans="1:5">
      <c r="A3125" s="1">
        <v>45918</v>
      </c>
      <c r="B3125" t="s">
        <v>68</v>
      </c>
      <c r="C3125" t="s">
        <v>20</v>
      </c>
      <c r="D3125" t="s">
        <v>3995</v>
      </c>
      <c r="E3125">
        <v>18181</v>
      </c>
    </row>
    <row r="3126" spans="1:5">
      <c r="A3126" s="1">
        <v>45918</v>
      </c>
      <c r="B3126" t="s">
        <v>3996</v>
      </c>
      <c r="C3126" t="s">
        <v>20</v>
      </c>
      <c r="D3126" t="s">
        <v>3997</v>
      </c>
      <c r="E3126">
        <v>5722</v>
      </c>
    </row>
    <row r="3127" spans="1:5">
      <c r="A3127" s="1">
        <v>45918</v>
      </c>
      <c r="B3127" t="s">
        <v>3998</v>
      </c>
      <c r="C3127" t="s">
        <v>20</v>
      </c>
      <c r="D3127" t="s">
        <v>3999</v>
      </c>
      <c r="E3127">
        <v>827</v>
      </c>
    </row>
    <row r="3128" spans="1:5">
      <c r="A3128" s="1">
        <v>45918</v>
      </c>
      <c r="B3128" t="s">
        <v>4000</v>
      </c>
      <c r="C3128" t="s">
        <v>20</v>
      </c>
      <c r="D3128" t="s">
        <v>4001</v>
      </c>
      <c r="E3128">
        <v>11322</v>
      </c>
    </row>
    <row r="3129" spans="1:5">
      <c r="A3129" s="1">
        <v>45918</v>
      </c>
      <c r="B3129" t="s">
        <v>2214</v>
      </c>
      <c r="C3129" t="s">
        <v>20</v>
      </c>
      <c r="D3129" t="s">
        <v>4002</v>
      </c>
      <c r="E3129">
        <v>200</v>
      </c>
    </row>
    <row r="3130" spans="1:5">
      <c r="A3130" s="1">
        <v>45918</v>
      </c>
      <c r="B3130" t="s">
        <v>526</v>
      </c>
      <c r="C3130" t="s">
        <v>20</v>
      </c>
      <c r="D3130" t="s">
        <v>4003</v>
      </c>
      <c r="E3130">
        <v>17903</v>
      </c>
    </row>
    <row r="3131" spans="1:5">
      <c r="A3131" s="1">
        <v>45918</v>
      </c>
      <c r="B3131" t="s">
        <v>4004</v>
      </c>
      <c r="C3131" t="s">
        <v>20</v>
      </c>
      <c r="D3131" t="s">
        <v>4005</v>
      </c>
      <c r="E3131">
        <v>700</v>
      </c>
    </row>
    <row r="3132" spans="1:5">
      <c r="A3132" s="1">
        <v>45918</v>
      </c>
      <c r="B3132" t="s">
        <v>135</v>
      </c>
      <c r="C3132" t="s">
        <v>20</v>
      </c>
      <c r="D3132" t="s">
        <v>4006</v>
      </c>
      <c r="E3132">
        <v>10748</v>
      </c>
    </row>
    <row r="3133" spans="1:5">
      <c r="A3133" s="1">
        <v>45918</v>
      </c>
      <c r="B3133" t="s">
        <v>3976</v>
      </c>
      <c r="C3133" t="s">
        <v>20</v>
      </c>
      <c r="D3133" t="s">
        <v>4007</v>
      </c>
      <c r="E3133">
        <v>3850</v>
      </c>
    </row>
    <row r="3134" spans="1:5">
      <c r="A3134" s="1">
        <v>45918</v>
      </c>
      <c r="B3134" t="s">
        <v>2143</v>
      </c>
      <c r="C3134" t="s">
        <v>20</v>
      </c>
      <c r="D3134" t="s">
        <v>4008</v>
      </c>
      <c r="E3134">
        <v>1040</v>
      </c>
    </row>
    <row r="3135" spans="1:5">
      <c r="A3135" s="1">
        <v>45918</v>
      </c>
      <c r="B3135" t="s">
        <v>81</v>
      </c>
      <c r="C3135" t="s">
        <v>20</v>
      </c>
      <c r="D3135" t="s">
        <v>4009</v>
      </c>
      <c r="E3135">
        <v>1750</v>
      </c>
    </row>
    <row r="3136" spans="1:5">
      <c r="A3136" s="1">
        <v>45918</v>
      </c>
      <c r="B3136" t="s">
        <v>4010</v>
      </c>
      <c r="C3136" t="s">
        <v>20</v>
      </c>
      <c r="D3136" t="s">
        <v>4011</v>
      </c>
      <c r="E3136">
        <v>101</v>
      </c>
    </row>
    <row r="3137" spans="1:5">
      <c r="A3137" s="1">
        <v>45918</v>
      </c>
      <c r="B3137" t="s">
        <v>3996</v>
      </c>
      <c r="C3137" t="s">
        <v>20</v>
      </c>
      <c r="D3137" t="s">
        <v>4012</v>
      </c>
      <c r="E3137">
        <v>2686</v>
      </c>
    </row>
    <row r="3138" spans="1:5">
      <c r="A3138" s="1">
        <v>45918</v>
      </c>
      <c r="B3138" t="s">
        <v>4013</v>
      </c>
      <c r="C3138" t="s">
        <v>20</v>
      </c>
      <c r="D3138" t="s">
        <v>4014</v>
      </c>
      <c r="E3138">
        <v>37756</v>
      </c>
    </row>
    <row r="3139" spans="1:5">
      <c r="A3139" s="1">
        <v>45918</v>
      </c>
      <c r="B3139" t="s">
        <v>2078</v>
      </c>
      <c r="C3139" t="s">
        <v>20</v>
      </c>
      <c r="D3139" t="s">
        <v>4015</v>
      </c>
      <c r="E3139">
        <v>240</v>
      </c>
    </row>
    <row r="3140" spans="1:5">
      <c r="A3140" s="1">
        <v>45918</v>
      </c>
      <c r="B3140" t="s">
        <v>4000</v>
      </c>
      <c r="C3140" t="s">
        <v>20</v>
      </c>
      <c r="D3140" t="s">
        <v>4016</v>
      </c>
      <c r="E3140">
        <v>21877</v>
      </c>
    </row>
    <row r="3141" spans="1:5">
      <c r="A3141" s="1">
        <v>45918</v>
      </c>
      <c r="B3141" t="s">
        <v>68</v>
      </c>
      <c r="C3141" t="s">
        <v>20</v>
      </c>
      <c r="D3141" t="s">
        <v>4017</v>
      </c>
      <c r="E3141">
        <v>1912</v>
      </c>
    </row>
    <row r="3142" spans="1:5">
      <c r="A3142" s="1">
        <v>45918</v>
      </c>
      <c r="B3142" t="s">
        <v>2233</v>
      </c>
      <c r="C3142" t="s">
        <v>20</v>
      </c>
      <c r="D3142" t="s">
        <v>4018</v>
      </c>
      <c r="E3142">
        <v>22270</v>
      </c>
    </row>
    <row r="3143" spans="1:5">
      <c r="A3143" s="1">
        <v>45919</v>
      </c>
      <c r="B3143" t="s">
        <v>56</v>
      </c>
      <c r="C3143" t="s">
        <v>19</v>
      </c>
      <c r="D3143" t="s">
        <v>4019</v>
      </c>
      <c r="E3143">
        <v>3383</v>
      </c>
    </row>
    <row r="3144" spans="1:5">
      <c r="A3144" s="1">
        <v>45919</v>
      </c>
      <c r="B3144" t="s">
        <v>2498</v>
      </c>
      <c r="C3144" t="s">
        <v>19</v>
      </c>
      <c r="D3144" t="s">
        <v>4020</v>
      </c>
      <c r="E3144">
        <v>4370</v>
      </c>
    </row>
    <row r="3145" spans="1:5">
      <c r="A3145" s="1">
        <v>45919</v>
      </c>
      <c r="B3145" t="s">
        <v>1422</v>
      </c>
      <c r="C3145" t="s">
        <v>19</v>
      </c>
      <c r="D3145" t="s">
        <v>4021</v>
      </c>
      <c r="E3145">
        <v>416</v>
      </c>
    </row>
    <row r="3146" spans="1:5">
      <c r="A3146" s="1">
        <v>45919</v>
      </c>
      <c r="B3146" t="s">
        <v>216</v>
      </c>
      <c r="C3146" t="s">
        <v>19</v>
      </c>
      <c r="D3146" t="s">
        <v>4022</v>
      </c>
      <c r="E3146">
        <v>13024</v>
      </c>
    </row>
    <row r="3147" spans="1:5">
      <c r="A3147" s="1">
        <v>45919</v>
      </c>
      <c r="B3147" t="s">
        <v>50</v>
      </c>
      <c r="C3147" t="s">
        <v>20</v>
      </c>
      <c r="D3147" t="s">
        <v>4023</v>
      </c>
      <c r="E3147">
        <v>350</v>
      </c>
    </row>
    <row r="3148" spans="1:5">
      <c r="A3148" s="1">
        <v>45919</v>
      </c>
      <c r="B3148" t="s">
        <v>43</v>
      </c>
      <c r="C3148" t="s">
        <v>20</v>
      </c>
      <c r="D3148" t="s">
        <v>4024</v>
      </c>
      <c r="E3148">
        <v>69718</v>
      </c>
    </row>
    <row r="3149" spans="1:5">
      <c r="A3149" s="1">
        <v>45919</v>
      </c>
      <c r="B3149" t="s">
        <v>254</v>
      </c>
      <c r="C3149" t="s">
        <v>20</v>
      </c>
      <c r="D3149" t="s">
        <v>4025</v>
      </c>
      <c r="E3149">
        <v>700</v>
      </c>
    </row>
    <row r="3150" spans="1:5">
      <c r="A3150" s="1">
        <v>45919</v>
      </c>
      <c r="B3150" t="s">
        <v>2459</v>
      </c>
      <c r="C3150" t="s">
        <v>20</v>
      </c>
      <c r="D3150" t="s">
        <v>4026</v>
      </c>
      <c r="E3150">
        <v>3500</v>
      </c>
    </row>
    <row r="3151" spans="1:5">
      <c r="A3151" s="1">
        <v>45919</v>
      </c>
      <c r="B3151" t="s">
        <v>1179</v>
      </c>
      <c r="C3151" t="s">
        <v>20</v>
      </c>
      <c r="D3151" t="s">
        <v>4027</v>
      </c>
      <c r="E3151">
        <v>65405</v>
      </c>
    </row>
    <row r="3152" spans="1:5">
      <c r="A3152" s="1">
        <v>45919</v>
      </c>
      <c r="B3152" t="s">
        <v>3996</v>
      </c>
      <c r="C3152" t="s">
        <v>20</v>
      </c>
      <c r="D3152" t="s">
        <v>4028</v>
      </c>
      <c r="E3152">
        <v>1750</v>
      </c>
    </row>
    <row r="3153" spans="1:5">
      <c r="A3153" s="1">
        <v>45919</v>
      </c>
      <c r="B3153" t="s">
        <v>4004</v>
      </c>
      <c r="C3153" t="s">
        <v>20</v>
      </c>
      <c r="D3153" t="s">
        <v>4029</v>
      </c>
      <c r="E3153">
        <v>1050</v>
      </c>
    </row>
    <row r="3154" spans="1:5">
      <c r="A3154" s="1">
        <v>45919</v>
      </c>
      <c r="B3154" t="s">
        <v>135</v>
      </c>
      <c r="C3154" t="s">
        <v>20</v>
      </c>
      <c r="D3154" t="s">
        <v>4030</v>
      </c>
      <c r="E3154">
        <v>3044</v>
      </c>
    </row>
    <row r="3155" spans="1:5">
      <c r="A3155" s="1">
        <v>45919</v>
      </c>
      <c r="B3155" t="s">
        <v>50</v>
      </c>
      <c r="C3155" t="s">
        <v>20</v>
      </c>
      <c r="D3155" t="s">
        <v>4031</v>
      </c>
      <c r="E3155">
        <v>12</v>
      </c>
    </row>
    <row r="3156" spans="1:5">
      <c r="A3156" s="1">
        <v>45919</v>
      </c>
      <c r="B3156" t="s">
        <v>4032</v>
      </c>
      <c r="C3156" t="s">
        <v>20</v>
      </c>
      <c r="D3156" t="s">
        <v>4033</v>
      </c>
      <c r="E3156">
        <v>3500</v>
      </c>
    </row>
    <row r="3157" spans="1:5">
      <c r="A3157" s="1">
        <v>45919</v>
      </c>
      <c r="B3157" t="s">
        <v>43</v>
      </c>
      <c r="C3157" t="s">
        <v>20</v>
      </c>
      <c r="D3157" t="s">
        <v>4034</v>
      </c>
      <c r="E3157">
        <v>16126</v>
      </c>
    </row>
    <row r="3158" spans="1:5">
      <c r="A3158" s="1">
        <v>45919</v>
      </c>
      <c r="B3158" t="s">
        <v>193</v>
      </c>
      <c r="C3158" t="s">
        <v>20</v>
      </c>
      <c r="D3158" t="s">
        <v>4035</v>
      </c>
      <c r="E3158">
        <v>38287</v>
      </c>
    </row>
    <row r="3159" spans="1:5">
      <c r="A3159" s="1">
        <v>45919</v>
      </c>
      <c r="B3159" t="s">
        <v>3951</v>
      </c>
      <c r="C3159" t="s">
        <v>20</v>
      </c>
      <c r="D3159" t="s">
        <v>4036</v>
      </c>
      <c r="E3159">
        <v>4230</v>
      </c>
    </row>
    <row r="3160" spans="1:5">
      <c r="A3160" s="1">
        <v>45919</v>
      </c>
      <c r="B3160" t="s">
        <v>557</v>
      </c>
      <c r="C3160" t="s">
        <v>20</v>
      </c>
      <c r="D3160" t="s">
        <v>4037</v>
      </c>
      <c r="E3160">
        <v>2982</v>
      </c>
    </row>
    <row r="3161" spans="1:5">
      <c r="A3161" s="1">
        <v>45919</v>
      </c>
      <c r="B3161" t="s">
        <v>68</v>
      </c>
      <c r="C3161" t="s">
        <v>20</v>
      </c>
      <c r="D3161" t="s">
        <v>4038</v>
      </c>
      <c r="E3161">
        <v>10864</v>
      </c>
    </row>
    <row r="3162" spans="1:5">
      <c r="A3162" s="1">
        <v>45919</v>
      </c>
      <c r="B3162" t="s">
        <v>653</v>
      </c>
      <c r="C3162" t="s">
        <v>20</v>
      </c>
      <c r="D3162" t="s">
        <v>4039</v>
      </c>
      <c r="E3162">
        <v>7320</v>
      </c>
    </row>
    <row r="3163" spans="1:5">
      <c r="A3163" s="1">
        <v>45919</v>
      </c>
      <c r="B3163" t="s">
        <v>1302</v>
      </c>
      <c r="C3163" t="s">
        <v>20</v>
      </c>
      <c r="D3163" t="s">
        <v>4040</v>
      </c>
      <c r="E3163">
        <v>21635</v>
      </c>
    </row>
    <row r="3164" spans="1:5">
      <c r="A3164" s="1">
        <v>45919</v>
      </c>
      <c r="B3164" t="s">
        <v>2586</v>
      </c>
      <c r="C3164" t="s">
        <v>20</v>
      </c>
      <c r="D3164" t="s">
        <v>4041</v>
      </c>
      <c r="E3164">
        <v>50933</v>
      </c>
    </row>
    <row r="3165" spans="1:5">
      <c r="A3165" s="1">
        <v>45919</v>
      </c>
      <c r="B3165" t="s">
        <v>203</v>
      </c>
      <c r="C3165" t="s">
        <v>20</v>
      </c>
      <c r="D3165" t="s">
        <v>4042</v>
      </c>
      <c r="E3165">
        <v>350</v>
      </c>
    </row>
    <row r="3166" spans="1:5">
      <c r="A3166" s="1">
        <v>45920</v>
      </c>
      <c r="B3166" t="s">
        <v>3788</v>
      </c>
      <c r="C3166" t="s">
        <v>19</v>
      </c>
      <c r="D3166" t="s">
        <v>4043</v>
      </c>
      <c r="E3166">
        <v>26380</v>
      </c>
    </row>
    <row r="3167" spans="1:5">
      <c r="A3167" s="1">
        <v>45920</v>
      </c>
      <c r="B3167" t="s">
        <v>1569</v>
      </c>
      <c r="C3167" t="s">
        <v>19</v>
      </c>
      <c r="D3167" t="s">
        <v>4044</v>
      </c>
      <c r="E3167">
        <v>20253</v>
      </c>
    </row>
    <row r="3168" spans="1:5">
      <c r="A3168" s="1">
        <v>45920</v>
      </c>
      <c r="B3168" t="s">
        <v>60</v>
      </c>
      <c r="C3168" t="s">
        <v>19</v>
      </c>
      <c r="D3168" t="s">
        <v>4045</v>
      </c>
      <c r="E3168">
        <v>14961</v>
      </c>
    </row>
    <row r="3169" spans="1:5">
      <c r="A3169" s="1">
        <v>45920</v>
      </c>
      <c r="B3169" t="s">
        <v>2498</v>
      </c>
      <c r="C3169" t="s">
        <v>19</v>
      </c>
      <c r="D3169" t="s">
        <v>4046</v>
      </c>
      <c r="E3169">
        <v>1022</v>
      </c>
    </row>
    <row r="3170" spans="1:5">
      <c r="A3170" s="1">
        <v>45920</v>
      </c>
      <c r="B3170" t="s">
        <v>3816</v>
      </c>
      <c r="C3170" t="s">
        <v>19</v>
      </c>
      <c r="D3170" t="s">
        <v>4047</v>
      </c>
      <c r="E3170">
        <v>10683</v>
      </c>
    </row>
    <row r="3171" spans="1:5">
      <c r="A3171" s="1">
        <v>45920</v>
      </c>
      <c r="B3171" t="s">
        <v>927</v>
      </c>
      <c r="C3171" t="s">
        <v>19</v>
      </c>
      <c r="D3171" t="s">
        <v>4048</v>
      </c>
      <c r="E3171">
        <v>8752</v>
      </c>
    </row>
    <row r="3172" spans="1:5">
      <c r="A3172" s="1">
        <v>45920</v>
      </c>
      <c r="B3172" t="s">
        <v>100</v>
      </c>
      <c r="C3172" t="s">
        <v>20</v>
      </c>
      <c r="D3172" t="s">
        <v>4049</v>
      </c>
      <c r="E3172">
        <v>437</v>
      </c>
    </row>
    <row r="3173" spans="1:5">
      <c r="A3173" s="1">
        <v>45920</v>
      </c>
      <c r="B3173" t="s">
        <v>4050</v>
      </c>
      <c r="C3173" t="s">
        <v>20</v>
      </c>
      <c r="D3173" t="s">
        <v>4051</v>
      </c>
      <c r="E3173">
        <v>50052</v>
      </c>
    </row>
    <row r="3174" spans="1:5">
      <c r="A3174" s="1">
        <v>45920</v>
      </c>
      <c r="B3174" t="s">
        <v>2059</v>
      </c>
      <c r="C3174" t="s">
        <v>20</v>
      </c>
      <c r="D3174" t="s">
        <v>4052</v>
      </c>
      <c r="E3174">
        <v>6604</v>
      </c>
    </row>
    <row r="3175" spans="1:5">
      <c r="A3175" s="1">
        <v>45920</v>
      </c>
      <c r="B3175" t="s">
        <v>4053</v>
      </c>
      <c r="C3175" t="s">
        <v>20</v>
      </c>
      <c r="D3175" t="s">
        <v>4054</v>
      </c>
      <c r="E3175">
        <v>7354</v>
      </c>
    </row>
    <row r="3176" spans="1:5">
      <c r="A3176" s="1">
        <v>45920</v>
      </c>
      <c r="B3176" t="s">
        <v>2958</v>
      </c>
      <c r="C3176" t="s">
        <v>20</v>
      </c>
      <c r="D3176" t="s">
        <v>4055</v>
      </c>
      <c r="E3176">
        <v>4878</v>
      </c>
    </row>
    <row r="3177" spans="1:5">
      <c r="A3177" s="1">
        <v>45920</v>
      </c>
      <c r="B3177" t="s">
        <v>4056</v>
      </c>
      <c r="C3177" t="s">
        <v>20</v>
      </c>
      <c r="D3177" t="s">
        <v>4057</v>
      </c>
      <c r="E3177">
        <v>9099</v>
      </c>
    </row>
    <row r="3178" spans="1:5">
      <c r="A3178" s="1">
        <v>45920</v>
      </c>
      <c r="B3178" t="s">
        <v>76</v>
      </c>
      <c r="C3178" t="s">
        <v>20</v>
      </c>
      <c r="D3178" t="s">
        <v>4058</v>
      </c>
      <c r="E3178">
        <v>4734</v>
      </c>
    </row>
    <row r="3179" spans="1:5">
      <c r="A3179" s="1">
        <v>45920</v>
      </c>
      <c r="B3179" t="s">
        <v>3089</v>
      </c>
      <c r="C3179" t="s">
        <v>20</v>
      </c>
      <c r="D3179" t="s">
        <v>4059</v>
      </c>
      <c r="E3179">
        <v>7000</v>
      </c>
    </row>
    <row r="3180" spans="1:5">
      <c r="A3180" s="1">
        <v>45920</v>
      </c>
      <c r="B3180" t="s">
        <v>2308</v>
      </c>
      <c r="C3180" t="s">
        <v>20</v>
      </c>
      <c r="D3180" t="s">
        <v>4060</v>
      </c>
      <c r="E3180">
        <v>10588</v>
      </c>
    </row>
    <row r="3181" spans="1:5">
      <c r="A3181" s="1">
        <v>45920</v>
      </c>
      <c r="B3181" t="s">
        <v>628</v>
      </c>
      <c r="C3181" t="s">
        <v>20</v>
      </c>
      <c r="D3181" t="s">
        <v>4061</v>
      </c>
      <c r="E3181">
        <v>219</v>
      </c>
    </row>
    <row r="3182" spans="1:5">
      <c r="A3182" s="1">
        <v>45920</v>
      </c>
      <c r="B3182" t="s">
        <v>1075</v>
      </c>
      <c r="C3182" t="s">
        <v>20</v>
      </c>
      <c r="D3182" t="s">
        <v>4062</v>
      </c>
      <c r="E3182">
        <v>3500</v>
      </c>
    </row>
    <row r="3183" spans="1:5">
      <c r="A3183" s="1">
        <v>45920</v>
      </c>
      <c r="B3183" t="s">
        <v>50</v>
      </c>
      <c r="C3183" t="s">
        <v>20</v>
      </c>
      <c r="D3183" t="s">
        <v>4063</v>
      </c>
      <c r="E3183">
        <v>9224</v>
      </c>
    </row>
    <row r="3184" spans="1:5">
      <c r="A3184" s="1">
        <v>45920</v>
      </c>
      <c r="B3184" t="s">
        <v>4064</v>
      </c>
      <c r="C3184" t="s">
        <v>20</v>
      </c>
      <c r="D3184" t="s">
        <v>4065</v>
      </c>
      <c r="E3184">
        <v>1150</v>
      </c>
    </row>
    <row r="3185" spans="1:5">
      <c r="A3185" s="1">
        <v>45920</v>
      </c>
      <c r="B3185" t="s">
        <v>89</v>
      </c>
      <c r="C3185" t="s">
        <v>20</v>
      </c>
      <c r="D3185" t="s">
        <v>4066</v>
      </c>
      <c r="E3185">
        <v>3360</v>
      </c>
    </row>
    <row r="3186" spans="1:5">
      <c r="A3186" s="1">
        <v>45920</v>
      </c>
      <c r="B3186" t="s">
        <v>1196</v>
      </c>
      <c r="C3186" t="s">
        <v>20</v>
      </c>
      <c r="D3186" t="s">
        <v>4067</v>
      </c>
      <c r="E3186">
        <v>118</v>
      </c>
    </row>
    <row r="3187" spans="1:5">
      <c r="A3187" s="1">
        <v>45920</v>
      </c>
      <c r="B3187" t="s">
        <v>3996</v>
      </c>
      <c r="C3187" t="s">
        <v>20</v>
      </c>
      <c r="D3187" t="s">
        <v>4068</v>
      </c>
      <c r="E3187">
        <v>3500</v>
      </c>
    </row>
    <row r="3188" spans="1:5">
      <c r="A3188" s="1">
        <v>45920</v>
      </c>
      <c r="B3188" t="s">
        <v>50</v>
      </c>
      <c r="C3188" t="s">
        <v>20</v>
      </c>
      <c r="D3188" t="s">
        <v>4069</v>
      </c>
      <c r="E3188">
        <v>949</v>
      </c>
    </row>
    <row r="3189" spans="1:5">
      <c r="A3189" s="1">
        <v>45920</v>
      </c>
      <c r="B3189" t="s">
        <v>3899</v>
      </c>
      <c r="C3189" t="s">
        <v>20</v>
      </c>
      <c r="D3189" t="s">
        <v>4070</v>
      </c>
      <c r="E3189">
        <v>9045</v>
      </c>
    </row>
    <row r="3190" spans="1:5">
      <c r="A3190" s="1">
        <v>45920</v>
      </c>
      <c r="B3190" t="s">
        <v>4000</v>
      </c>
      <c r="C3190" t="s">
        <v>20</v>
      </c>
      <c r="D3190" t="s">
        <v>4071</v>
      </c>
      <c r="E3190">
        <v>1115</v>
      </c>
    </row>
    <row r="3191" spans="1:5">
      <c r="A3191" s="1">
        <v>45920</v>
      </c>
      <c r="B3191" t="s">
        <v>2308</v>
      </c>
      <c r="C3191" t="s">
        <v>20</v>
      </c>
      <c r="D3191" t="s">
        <v>4072</v>
      </c>
      <c r="E3191">
        <v>5460</v>
      </c>
    </row>
    <row r="3192" spans="1:5">
      <c r="A3192" s="1">
        <v>45920</v>
      </c>
      <c r="B3192" t="s">
        <v>254</v>
      </c>
      <c r="C3192" t="s">
        <v>20</v>
      </c>
      <c r="D3192" t="s">
        <v>4073</v>
      </c>
      <c r="E3192">
        <v>700</v>
      </c>
    </row>
    <row r="3193" spans="1:5">
      <c r="A3193" s="1">
        <v>45920</v>
      </c>
      <c r="B3193" t="s">
        <v>4050</v>
      </c>
      <c r="C3193" t="s">
        <v>20</v>
      </c>
      <c r="D3193" t="s">
        <v>4074</v>
      </c>
      <c r="E3193">
        <v>8666</v>
      </c>
    </row>
    <row r="3194" spans="1:5">
      <c r="A3194" s="1">
        <v>45920</v>
      </c>
      <c r="B3194" t="s">
        <v>4000</v>
      </c>
      <c r="C3194" t="s">
        <v>20</v>
      </c>
      <c r="D3194" t="s">
        <v>4075</v>
      </c>
      <c r="E3194">
        <v>2880</v>
      </c>
    </row>
    <row r="3195" spans="1:5">
      <c r="A3195" s="1">
        <v>45920</v>
      </c>
      <c r="B3195" t="s">
        <v>932</v>
      </c>
      <c r="C3195" t="s">
        <v>20</v>
      </c>
      <c r="D3195" t="s">
        <v>4076</v>
      </c>
      <c r="E3195">
        <v>691</v>
      </c>
    </row>
    <row r="3196" spans="1:5">
      <c r="A3196" s="1">
        <v>45920</v>
      </c>
      <c r="B3196" t="s">
        <v>3966</v>
      </c>
      <c r="C3196" t="s">
        <v>20</v>
      </c>
      <c r="D3196" t="s">
        <v>4077</v>
      </c>
      <c r="E3196">
        <v>2395</v>
      </c>
    </row>
    <row r="3197" spans="1:5">
      <c r="A3197" s="1">
        <v>45920</v>
      </c>
      <c r="B3197" t="s">
        <v>4056</v>
      </c>
      <c r="C3197" t="s">
        <v>20</v>
      </c>
      <c r="D3197" t="s">
        <v>4078</v>
      </c>
      <c r="E3197">
        <v>1202</v>
      </c>
    </row>
    <row r="3198" spans="1:5">
      <c r="A3198" s="1">
        <v>45920</v>
      </c>
      <c r="B3198" t="s">
        <v>2308</v>
      </c>
      <c r="C3198" t="s">
        <v>20</v>
      </c>
      <c r="D3198" t="s">
        <v>4079</v>
      </c>
      <c r="E3198">
        <v>8890</v>
      </c>
    </row>
    <row r="3199" spans="1:5">
      <c r="A3199" s="1">
        <v>45920</v>
      </c>
      <c r="B3199" t="s">
        <v>3809</v>
      </c>
      <c r="C3199" t="s">
        <v>20</v>
      </c>
      <c r="D3199" t="s">
        <v>4080</v>
      </c>
      <c r="E3199">
        <v>11960</v>
      </c>
    </row>
    <row r="3200" spans="1:5">
      <c r="A3200" s="1">
        <v>45920</v>
      </c>
      <c r="B3200" t="s">
        <v>50</v>
      </c>
      <c r="C3200" t="s">
        <v>20</v>
      </c>
      <c r="D3200" t="s">
        <v>4081</v>
      </c>
      <c r="E3200">
        <v>12</v>
      </c>
    </row>
    <row r="3201" spans="1:5">
      <c r="A3201" s="1">
        <v>45920</v>
      </c>
      <c r="B3201" t="s">
        <v>4082</v>
      </c>
      <c r="C3201" t="s">
        <v>20</v>
      </c>
      <c r="D3201" t="s">
        <v>4083</v>
      </c>
      <c r="E3201">
        <v>700</v>
      </c>
    </row>
    <row r="3202" spans="1:5">
      <c r="A3202" s="1">
        <v>45920</v>
      </c>
      <c r="B3202" t="s">
        <v>526</v>
      </c>
      <c r="C3202" t="s">
        <v>20</v>
      </c>
      <c r="D3202" t="s">
        <v>4084</v>
      </c>
      <c r="E3202">
        <v>30</v>
      </c>
    </row>
    <row r="3203" spans="1:5">
      <c r="A3203" s="1">
        <v>45920</v>
      </c>
      <c r="B3203" t="s">
        <v>771</v>
      </c>
      <c r="C3203" t="s">
        <v>20</v>
      </c>
      <c r="D3203" t="s">
        <v>4085</v>
      </c>
      <c r="E3203">
        <v>100</v>
      </c>
    </row>
    <row r="3204" spans="1:5">
      <c r="A3204" s="1">
        <v>45920</v>
      </c>
      <c r="B3204" t="s">
        <v>4086</v>
      </c>
      <c r="C3204" t="s">
        <v>20</v>
      </c>
      <c r="D3204" t="s">
        <v>4087</v>
      </c>
      <c r="E3204">
        <v>11831</v>
      </c>
    </row>
    <row r="3205" spans="1:5">
      <c r="A3205" s="1">
        <v>45920</v>
      </c>
      <c r="B3205" t="s">
        <v>1089</v>
      </c>
      <c r="C3205" t="s">
        <v>20</v>
      </c>
      <c r="D3205" t="s">
        <v>4088</v>
      </c>
      <c r="E3205">
        <v>306</v>
      </c>
    </row>
    <row r="3206" spans="1:5">
      <c r="A3206" s="1">
        <v>45920</v>
      </c>
      <c r="B3206" t="s">
        <v>4089</v>
      </c>
      <c r="C3206" t="s">
        <v>20</v>
      </c>
      <c r="D3206" t="s">
        <v>4090</v>
      </c>
      <c r="E3206">
        <v>2016</v>
      </c>
    </row>
    <row r="3207" spans="1:5">
      <c r="A3207" s="1">
        <v>45922</v>
      </c>
      <c r="B3207" t="s">
        <v>180</v>
      </c>
      <c r="C3207" t="s">
        <v>19</v>
      </c>
      <c r="D3207" t="s">
        <v>4091</v>
      </c>
      <c r="E3207">
        <v>39266</v>
      </c>
    </row>
    <row r="3208" spans="1:5">
      <c r="A3208" s="1">
        <v>45922</v>
      </c>
      <c r="B3208" t="s">
        <v>2498</v>
      </c>
      <c r="C3208" t="s">
        <v>19</v>
      </c>
      <c r="D3208" t="s">
        <v>4092</v>
      </c>
      <c r="E3208">
        <v>14554</v>
      </c>
    </row>
    <row r="3209" spans="1:5">
      <c r="A3209" s="1">
        <v>45922</v>
      </c>
      <c r="B3209" t="s">
        <v>4093</v>
      </c>
      <c r="C3209" t="s">
        <v>19</v>
      </c>
      <c r="D3209" t="s">
        <v>4094</v>
      </c>
      <c r="E3209">
        <v>3787</v>
      </c>
    </row>
    <row r="3210" spans="1:5">
      <c r="A3210" s="1">
        <v>45922</v>
      </c>
      <c r="B3210" t="s">
        <v>1422</v>
      </c>
      <c r="C3210" t="s">
        <v>19</v>
      </c>
      <c r="D3210" t="s">
        <v>4095</v>
      </c>
      <c r="E3210">
        <v>568</v>
      </c>
    </row>
    <row r="3211" spans="1:5">
      <c r="A3211" s="1">
        <v>45922</v>
      </c>
      <c r="B3211" t="s">
        <v>222</v>
      </c>
      <c r="C3211" t="s">
        <v>20</v>
      </c>
      <c r="D3211" t="s">
        <v>4096</v>
      </c>
      <c r="E3211">
        <v>7000</v>
      </c>
    </row>
    <row r="3212" spans="1:5">
      <c r="A3212" s="1">
        <v>45922</v>
      </c>
      <c r="B3212" t="s">
        <v>4097</v>
      </c>
      <c r="C3212" t="s">
        <v>20</v>
      </c>
      <c r="D3212" t="s">
        <v>4098</v>
      </c>
      <c r="E3212">
        <v>914</v>
      </c>
    </row>
    <row r="3213" spans="1:5">
      <c r="A3213" s="1">
        <v>45922</v>
      </c>
      <c r="B3213" t="s">
        <v>135</v>
      </c>
      <c r="C3213" t="s">
        <v>20</v>
      </c>
      <c r="D3213" t="s">
        <v>4099</v>
      </c>
      <c r="E3213">
        <v>18847</v>
      </c>
    </row>
    <row r="3214" spans="1:5">
      <c r="A3214" s="1">
        <v>45922</v>
      </c>
      <c r="B3214" t="s">
        <v>76</v>
      </c>
      <c r="C3214" t="s">
        <v>20</v>
      </c>
      <c r="D3214" t="s">
        <v>4100</v>
      </c>
      <c r="E3214">
        <v>1050</v>
      </c>
    </row>
    <row r="3215" spans="1:5">
      <c r="A3215" s="1">
        <v>45922</v>
      </c>
      <c r="B3215" t="s">
        <v>709</v>
      </c>
      <c r="C3215" t="s">
        <v>20</v>
      </c>
      <c r="D3215" t="s">
        <v>4101</v>
      </c>
      <c r="E3215">
        <v>3500</v>
      </c>
    </row>
    <row r="3216" spans="1:5">
      <c r="A3216" s="1">
        <v>45922</v>
      </c>
      <c r="B3216" t="s">
        <v>50</v>
      </c>
      <c r="C3216" t="s">
        <v>20</v>
      </c>
      <c r="D3216" t="s">
        <v>4102</v>
      </c>
      <c r="E3216">
        <v>12</v>
      </c>
    </row>
    <row r="3217" spans="1:5">
      <c r="A3217" s="1">
        <v>45922</v>
      </c>
      <c r="B3217" t="s">
        <v>360</v>
      </c>
      <c r="C3217" t="s">
        <v>20</v>
      </c>
      <c r="D3217" t="s">
        <v>4103</v>
      </c>
      <c r="E3217">
        <v>9222</v>
      </c>
    </row>
    <row r="3218" spans="1:5">
      <c r="A3218" s="1">
        <v>45922</v>
      </c>
      <c r="B3218" t="s">
        <v>50</v>
      </c>
      <c r="C3218" t="s">
        <v>20</v>
      </c>
      <c r="D3218" t="s">
        <v>4104</v>
      </c>
      <c r="E3218">
        <v>700</v>
      </c>
    </row>
    <row r="3219" spans="1:5">
      <c r="A3219" s="1">
        <v>45922</v>
      </c>
      <c r="B3219" t="s">
        <v>316</v>
      </c>
      <c r="C3219" t="s">
        <v>20</v>
      </c>
      <c r="D3219" t="s">
        <v>4105</v>
      </c>
      <c r="E3219">
        <v>425</v>
      </c>
    </row>
    <row r="3220" spans="1:5">
      <c r="A3220" s="1">
        <v>45922</v>
      </c>
      <c r="B3220" t="s">
        <v>3844</v>
      </c>
      <c r="C3220" t="s">
        <v>20</v>
      </c>
      <c r="D3220" t="s">
        <v>4106</v>
      </c>
      <c r="E3220">
        <v>1566</v>
      </c>
    </row>
    <row r="3221" spans="1:5">
      <c r="A3221" s="1">
        <v>45922</v>
      </c>
      <c r="B3221" t="s">
        <v>4107</v>
      </c>
      <c r="C3221" t="s">
        <v>20</v>
      </c>
      <c r="D3221" t="s">
        <v>4108</v>
      </c>
      <c r="E3221">
        <v>10120</v>
      </c>
    </row>
    <row r="3222" spans="1:5">
      <c r="A3222" s="1">
        <v>45922</v>
      </c>
      <c r="B3222" t="s">
        <v>1131</v>
      </c>
      <c r="C3222" t="s">
        <v>20</v>
      </c>
      <c r="D3222" t="s">
        <v>4109</v>
      </c>
      <c r="E3222">
        <v>5239</v>
      </c>
    </row>
    <row r="3223" spans="1:5">
      <c r="A3223" s="1">
        <v>45922</v>
      </c>
      <c r="B3223" t="s">
        <v>932</v>
      </c>
      <c r="C3223" t="s">
        <v>20</v>
      </c>
      <c r="D3223" t="s">
        <v>4110</v>
      </c>
      <c r="E3223">
        <v>1716</v>
      </c>
    </row>
    <row r="3224" spans="1:5">
      <c r="A3224" s="1">
        <v>45922</v>
      </c>
      <c r="B3224" t="s">
        <v>81</v>
      </c>
      <c r="C3224" t="s">
        <v>20</v>
      </c>
      <c r="D3224" t="s">
        <v>4111</v>
      </c>
      <c r="E3224">
        <v>384</v>
      </c>
    </row>
    <row r="3225" spans="1:5">
      <c r="A3225" s="1">
        <v>45922</v>
      </c>
      <c r="B3225" t="s">
        <v>35</v>
      </c>
      <c r="C3225" t="s">
        <v>20</v>
      </c>
      <c r="D3225" t="s">
        <v>4112</v>
      </c>
      <c r="E3225">
        <v>15983</v>
      </c>
    </row>
    <row r="3226" spans="1:5">
      <c r="A3226" s="1">
        <v>45922</v>
      </c>
      <c r="B3226" t="s">
        <v>35</v>
      </c>
      <c r="C3226" t="s">
        <v>20</v>
      </c>
      <c r="D3226" t="s">
        <v>4113</v>
      </c>
      <c r="E3226">
        <v>12060</v>
      </c>
    </row>
    <row r="3227" spans="1:5">
      <c r="A3227" s="1">
        <v>45922</v>
      </c>
      <c r="B3227" t="s">
        <v>4114</v>
      </c>
      <c r="C3227" t="s">
        <v>20</v>
      </c>
      <c r="D3227" t="s">
        <v>4115</v>
      </c>
      <c r="E3227">
        <v>4614</v>
      </c>
    </row>
    <row r="3228" spans="1:5">
      <c r="A3228" s="1">
        <v>45922</v>
      </c>
      <c r="B3228" t="s">
        <v>68</v>
      </c>
      <c r="C3228" t="s">
        <v>20</v>
      </c>
      <c r="D3228" t="s">
        <v>4116</v>
      </c>
      <c r="E3228">
        <v>2250</v>
      </c>
    </row>
    <row r="3229" spans="1:5">
      <c r="A3229" s="1">
        <v>45922</v>
      </c>
      <c r="B3229" t="s">
        <v>3951</v>
      </c>
      <c r="C3229" t="s">
        <v>20</v>
      </c>
      <c r="D3229" t="s">
        <v>4117</v>
      </c>
      <c r="E3229">
        <v>8396</v>
      </c>
    </row>
    <row r="3230" spans="1:5">
      <c r="A3230" s="1">
        <v>45922</v>
      </c>
      <c r="B3230" t="s">
        <v>566</v>
      </c>
      <c r="C3230" t="s">
        <v>20</v>
      </c>
      <c r="D3230" t="s">
        <v>4118</v>
      </c>
      <c r="E3230">
        <v>2447</v>
      </c>
    </row>
    <row r="3231" spans="1:5">
      <c r="A3231" s="1">
        <v>45922</v>
      </c>
      <c r="B3231" t="s">
        <v>4004</v>
      </c>
      <c r="C3231" t="s">
        <v>20</v>
      </c>
      <c r="D3231" t="s">
        <v>4119</v>
      </c>
      <c r="E3231">
        <v>700</v>
      </c>
    </row>
    <row r="3232" spans="1:5">
      <c r="A3232" s="1">
        <v>45922</v>
      </c>
      <c r="B3232" t="s">
        <v>3844</v>
      </c>
      <c r="C3232" t="s">
        <v>20</v>
      </c>
      <c r="D3232" t="s">
        <v>4120</v>
      </c>
      <c r="E3232">
        <v>350</v>
      </c>
    </row>
    <row r="3233" spans="1:5">
      <c r="A3233" s="1">
        <v>45923</v>
      </c>
      <c r="B3233" t="s">
        <v>1104</v>
      </c>
      <c r="C3233" t="s">
        <v>19</v>
      </c>
      <c r="D3233" t="s">
        <v>4121</v>
      </c>
      <c r="E3233">
        <v>39460</v>
      </c>
    </row>
    <row r="3234" spans="1:5">
      <c r="A3234" s="1">
        <v>45923</v>
      </c>
      <c r="B3234" t="s">
        <v>3788</v>
      </c>
      <c r="C3234" t="s">
        <v>19</v>
      </c>
      <c r="D3234" t="s">
        <v>4122</v>
      </c>
      <c r="E3234">
        <v>3240</v>
      </c>
    </row>
    <row r="3235" spans="1:5">
      <c r="A3235" s="1">
        <v>45923</v>
      </c>
      <c r="B3235" t="s">
        <v>2498</v>
      </c>
      <c r="C3235" t="s">
        <v>19</v>
      </c>
      <c r="D3235" t="s">
        <v>4123</v>
      </c>
      <c r="E3235">
        <v>3320</v>
      </c>
    </row>
    <row r="3236" spans="1:5">
      <c r="A3236" s="1">
        <v>45923</v>
      </c>
      <c r="B3236" t="s">
        <v>4124</v>
      </c>
      <c r="C3236" t="s">
        <v>20</v>
      </c>
      <c r="D3236" t="s">
        <v>4125</v>
      </c>
      <c r="E3236">
        <v>22910</v>
      </c>
    </row>
    <row r="3237" spans="1:5">
      <c r="A3237" s="1">
        <v>45923</v>
      </c>
      <c r="B3237" t="s">
        <v>50</v>
      </c>
      <c r="C3237" t="s">
        <v>20</v>
      </c>
      <c r="D3237" t="s">
        <v>4126</v>
      </c>
      <c r="E3237">
        <v>350</v>
      </c>
    </row>
    <row r="3238" spans="1:5">
      <c r="A3238" s="1">
        <v>45923</v>
      </c>
      <c r="B3238" t="s">
        <v>932</v>
      </c>
      <c r="C3238" t="s">
        <v>20</v>
      </c>
      <c r="D3238" t="s">
        <v>4127</v>
      </c>
      <c r="E3238">
        <v>18250</v>
      </c>
    </row>
    <row r="3239" spans="1:5">
      <c r="A3239" s="1">
        <v>45923</v>
      </c>
      <c r="B3239" t="s">
        <v>3910</v>
      </c>
      <c r="C3239" t="s">
        <v>20</v>
      </c>
      <c r="D3239" t="s">
        <v>4128</v>
      </c>
      <c r="E3239">
        <v>14356</v>
      </c>
    </row>
    <row r="3240" spans="1:5">
      <c r="A3240" s="1">
        <v>45923</v>
      </c>
      <c r="B3240" t="s">
        <v>1179</v>
      </c>
      <c r="C3240" t="s">
        <v>20</v>
      </c>
      <c r="D3240" t="s">
        <v>4129</v>
      </c>
      <c r="E3240">
        <v>17000</v>
      </c>
    </row>
    <row r="3241" spans="1:5">
      <c r="A3241" s="1">
        <v>45923</v>
      </c>
      <c r="B3241" t="s">
        <v>1075</v>
      </c>
      <c r="C3241" t="s">
        <v>20</v>
      </c>
      <c r="D3241" t="s">
        <v>4130</v>
      </c>
      <c r="E3241">
        <v>1750</v>
      </c>
    </row>
    <row r="3242" spans="1:5">
      <c r="A3242" s="1">
        <v>45923</v>
      </c>
      <c r="B3242" t="s">
        <v>68</v>
      </c>
      <c r="C3242" t="s">
        <v>20</v>
      </c>
      <c r="D3242" t="s">
        <v>4131</v>
      </c>
      <c r="E3242">
        <v>1173</v>
      </c>
    </row>
    <row r="3243" spans="1:5">
      <c r="A3243" s="1">
        <v>45923</v>
      </c>
      <c r="B3243" t="s">
        <v>4132</v>
      </c>
      <c r="C3243" t="s">
        <v>20</v>
      </c>
      <c r="D3243" t="s">
        <v>4133</v>
      </c>
      <c r="E3243">
        <v>12746</v>
      </c>
    </row>
    <row r="3244" spans="1:5">
      <c r="A3244" s="1">
        <v>45923</v>
      </c>
      <c r="B3244" t="s">
        <v>3957</v>
      </c>
      <c r="C3244" t="s">
        <v>20</v>
      </c>
      <c r="D3244" t="s">
        <v>4134</v>
      </c>
      <c r="E3244">
        <v>12436</v>
      </c>
    </row>
    <row r="3245" spans="1:5">
      <c r="A3245" s="1">
        <v>45923</v>
      </c>
      <c r="B3245" t="s">
        <v>4135</v>
      </c>
      <c r="C3245" t="s">
        <v>20</v>
      </c>
      <c r="D3245" t="s">
        <v>4136</v>
      </c>
      <c r="E3245">
        <v>1538</v>
      </c>
    </row>
    <row r="3246" spans="1:5">
      <c r="A3246" s="1">
        <v>45923</v>
      </c>
      <c r="B3246" t="s">
        <v>844</v>
      </c>
      <c r="C3246" t="s">
        <v>20</v>
      </c>
      <c r="D3246" t="s">
        <v>4137</v>
      </c>
      <c r="E3246">
        <v>3500</v>
      </c>
    </row>
    <row r="3247" spans="1:5">
      <c r="A3247" s="1">
        <v>45923</v>
      </c>
      <c r="B3247" t="s">
        <v>4138</v>
      </c>
      <c r="C3247" t="s">
        <v>20</v>
      </c>
      <c r="D3247" t="s">
        <v>4139</v>
      </c>
      <c r="E3247">
        <v>15795</v>
      </c>
    </row>
    <row r="3248" spans="1:5">
      <c r="A3248" s="1">
        <v>45923</v>
      </c>
      <c r="B3248" t="s">
        <v>4140</v>
      </c>
      <c r="C3248" t="s">
        <v>20</v>
      </c>
      <c r="D3248" t="s">
        <v>4141</v>
      </c>
      <c r="E3248">
        <v>700</v>
      </c>
    </row>
    <row r="3249" spans="1:5">
      <c r="A3249" s="1">
        <v>45923</v>
      </c>
      <c r="B3249" t="s">
        <v>2459</v>
      </c>
      <c r="C3249" t="s">
        <v>20</v>
      </c>
      <c r="D3249" t="s">
        <v>4142</v>
      </c>
      <c r="E3249">
        <v>9530</v>
      </c>
    </row>
    <row r="3250" spans="1:5">
      <c r="A3250" s="1">
        <v>45923</v>
      </c>
      <c r="B3250" t="s">
        <v>1881</v>
      </c>
      <c r="C3250" t="s">
        <v>20</v>
      </c>
      <c r="D3250" t="s">
        <v>4143</v>
      </c>
      <c r="E3250">
        <v>8250</v>
      </c>
    </row>
    <row r="3251" spans="1:5">
      <c r="A3251" s="1">
        <v>45923</v>
      </c>
      <c r="B3251" t="s">
        <v>4144</v>
      </c>
      <c r="C3251" t="s">
        <v>20</v>
      </c>
      <c r="D3251" t="s">
        <v>4145</v>
      </c>
      <c r="E3251">
        <v>59776</v>
      </c>
    </row>
    <row r="3252" spans="1:5">
      <c r="A3252" s="1">
        <v>45923</v>
      </c>
      <c r="B3252" t="s">
        <v>1075</v>
      </c>
      <c r="C3252" t="s">
        <v>20</v>
      </c>
      <c r="D3252" t="s">
        <v>4146</v>
      </c>
      <c r="E3252">
        <v>700</v>
      </c>
    </row>
    <row r="3253" spans="1:5">
      <c r="A3253" s="1">
        <v>45924</v>
      </c>
      <c r="B3253" t="s">
        <v>246</v>
      </c>
      <c r="C3253" t="s">
        <v>19</v>
      </c>
      <c r="D3253" t="s">
        <v>4147</v>
      </c>
      <c r="E3253">
        <v>3360</v>
      </c>
    </row>
    <row r="3254" spans="1:5">
      <c r="A3254" s="1">
        <v>45924</v>
      </c>
      <c r="B3254" t="s">
        <v>2329</v>
      </c>
      <c r="C3254" t="s">
        <v>19</v>
      </c>
      <c r="D3254" t="s">
        <v>4148</v>
      </c>
      <c r="E3254">
        <v>2740</v>
      </c>
    </row>
    <row r="3255" spans="1:5">
      <c r="A3255" s="1">
        <v>45924</v>
      </c>
      <c r="B3255" t="s">
        <v>4149</v>
      </c>
      <c r="C3255" t="s">
        <v>20</v>
      </c>
      <c r="D3255" t="s">
        <v>4150</v>
      </c>
      <c r="E3255">
        <v>540</v>
      </c>
    </row>
    <row r="3256" spans="1:5">
      <c r="A3256" s="1">
        <v>45924</v>
      </c>
      <c r="B3256" t="s">
        <v>4151</v>
      </c>
      <c r="C3256" t="s">
        <v>20</v>
      </c>
      <c r="D3256" t="s">
        <v>4152</v>
      </c>
      <c r="E3256">
        <v>1050</v>
      </c>
    </row>
    <row r="3257" spans="1:5">
      <c r="A3257" s="1">
        <v>45924</v>
      </c>
      <c r="B3257" t="s">
        <v>68</v>
      </c>
      <c r="C3257" t="s">
        <v>20</v>
      </c>
      <c r="D3257" t="s">
        <v>4153</v>
      </c>
      <c r="E3257">
        <v>3668</v>
      </c>
    </row>
    <row r="3258" spans="1:5">
      <c r="A3258" s="1">
        <v>45924</v>
      </c>
      <c r="B3258" t="s">
        <v>4154</v>
      </c>
      <c r="C3258" t="s">
        <v>20</v>
      </c>
      <c r="D3258" t="s">
        <v>4155</v>
      </c>
      <c r="E3258">
        <v>725</v>
      </c>
    </row>
    <row r="3259" spans="1:5">
      <c r="A3259" s="1">
        <v>45924</v>
      </c>
      <c r="B3259" t="s">
        <v>4156</v>
      </c>
      <c r="C3259" t="s">
        <v>20</v>
      </c>
      <c r="D3259" t="s">
        <v>4157</v>
      </c>
      <c r="E3259">
        <v>23593</v>
      </c>
    </row>
    <row r="3260" spans="1:5">
      <c r="A3260" s="1">
        <v>45924</v>
      </c>
      <c r="B3260" t="s">
        <v>3910</v>
      </c>
      <c r="C3260" t="s">
        <v>20</v>
      </c>
      <c r="D3260" t="s">
        <v>4158</v>
      </c>
      <c r="E3260">
        <v>551</v>
      </c>
    </row>
    <row r="3261" spans="1:5">
      <c r="A3261" s="1">
        <v>45924</v>
      </c>
      <c r="B3261" t="s">
        <v>4159</v>
      </c>
      <c r="C3261" t="s">
        <v>20</v>
      </c>
      <c r="D3261" t="s">
        <v>4160</v>
      </c>
      <c r="E3261">
        <v>10350</v>
      </c>
    </row>
    <row r="3262" spans="1:5">
      <c r="A3262" s="1">
        <v>45924</v>
      </c>
      <c r="B3262" t="s">
        <v>4161</v>
      </c>
      <c r="C3262" t="s">
        <v>20</v>
      </c>
      <c r="D3262" t="s">
        <v>4162</v>
      </c>
      <c r="E3262">
        <v>787</v>
      </c>
    </row>
    <row r="3263" spans="1:5">
      <c r="A3263" s="1">
        <v>45924</v>
      </c>
      <c r="B3263" t="s">
        <v>4161</v>
      </c>
      <c r="C3263" t="s">
        <v>20</v>
      </c>
      <c r="D3263" t="s">
        <v>4163</v>
      </c>
      <c r="E3263">
        <v>2336</v>
      </c>
    </row>
    <row r="3264" spans="1:5">
      <c r="A3264" s="1">
        <v>45924</v>
      </c>
      <c r="B3264" t="s">
        <v>2059</v>
      </c>
      <c r="C3264" t="s">
        <v>20</v>
      </c>
      <c r="D3264" t="s">
        <v>4164</v>
      </c>
      <c r="E3264">
        <v>1986</v>
      </c>
    </row>
    <row r="3265" spans="1:5">
      <c r="A3265" s="1">
        <v>45924</v>
      </c>
      <c r="B3265" t="s">
        <v>2586</v>
      </c>
      <c r="C3265" t="s">
        <v>20</v>
      </c>
      <c r="D3265" t="s">
        <v>4165</v>
      </c>
      <c r="E3265">
        <v>6440</v>
      </c>
    </row>
    <row r="3266" spans="1:5">
      <c r="A3266" s="1">
        <v>45924</v>
      </c>
      <c r="B3266" t="s">
        <v>4166</v>
      </c>
      <c r="C3266" t="s">
        <v>20</v>
      </c>
      <c r="D3266" t="s">
        <v>4167</v>
      </c>
      <c r="E3266">
        <v>50</v>
      </c>
    </row>
    <row r="3267" spans="1:5">
      <c r="A3267" s="1">
        <v>45925</v>
      </c>
      <c r="B3267" t="s">
        <v>927</v>
      </c>
      <c r="C3267" t="s">
        <v>19</v>
      </c>
      <c r="D3267" t="s">
        <v>4168</v>
      </c>
      <c r="E3267">
        <v>10000</v>
      </c>
    </row>
    <row r="3268" spans="1:5">
      <c r="A3268" s="1">
        <v>45925</v>
      </c>
      <c r="B3268" t="s">
        <v>1049</v>
      </c>
      <c r="C3268" t="s">
        <v>19</v>
      </c>
      <c r="D3268" t="s">
        <v>4169</v>
      </c>
      <c r="E3268">
        <v>3024</v>
      </c>
    </row>
    <row r="3269" spans="1:5">
      <c r="A3269" s="1">
        <v>45925</v>
      </c>
      <c r="B3269" t="s">
        <v>1104</v>
      </c>
      <c r="C3269" t="s">
        <v>19</v>
      </c>
      <c r="D3269" t="s">
        <v>4170</v>
      </c>
      <c r="E3269">
        <v>42138</v>
      </c>
    </row>
    <row r="3270" spans="1:5">
      <c r="A3270" s="1">
        <v>45925</v>
      </c>
      <c r="B3270" t="s">
        <v>96</v>
      </c>
      <c r="C3270" t="s">
        <v>19</v>
      </c>
      <c r="D3270" t="s">
        <v>4171</v>
      </c>
      <c r="E3270">
        <v>2720</v>
      </c>
    </row>
    <row r="3271" spans="1:5">
      <c r="A3271" s="1">
        <v>45925</v>
      </c>
      <c r="B3271" t="s">
        <v>4172</v>
      </c>
      <c r="C3271" t="s">
        <v>20</v>
      </c>
      <c r="D3271" t="s">
        <v>4173</v>
      </c>
      <c r="E3271">
        <v>350</v>
      </c>
    </row>
    <row r="3272" spans="1:5">
      <c r="A3272" s="1">
        <v>45925</v>
      </c>
      <c r="B3272" t="s">
        <v>2444</v>
      </c>
      <c r="C3272" t="s">
        <v>20</v>
      </c>
      <c r="D3272" t="s">
        <v>4174</v>
      </c>
      <c r="E3272">
        <v>700</v>
      </c>
    </row>
    <row r="3273" spans="1:5">
      <c r="A3273" s="1">
        <v>45925</v>
      </c>
      <c r="B3273" t="s">
        <v>3951</v>
      </c>
      <c r="C3273" t="s">
        <v>20</v>
      </c>
      <c r="D3273" t="s">
        <v>4175</v>
      </c>
      <c r="E3273">
        <v>64069</v>
      </c>
    </row>
    <row r="3274" spans="1:5">
      <c r="A3274" s="1">
        <v>45925</v>
      </c>
      <c r="B3274" t="s">
        <v>68</v>
      </c>
      <c r="C3274" t="s">
        <v>20</v>
      </c>
      <c r="D3274" t="s">
        <v>4176</v>
      </c>
      <c r="E3274">
        <v>5958</v>
      </c>
    </row>
    <row r="3275" spans="1:5">
      <c r="A3275" s="1">
        <v>45925</v>
      </c>
      <c r="B3275" t="s">
        <v>1503</v>
      </c>
      <c r="C3275" t="s">
        <v>20</v>
      </c>
      <c r="D3275" t="s">
        <v>4177</v>
      </c>
      <c r="E3275">
        <v>90</v>
      </c>
    </row>
    <row r="3276" spans="1:5">
      <c r="A3276" s="1">
        <v>45925</v>
      </c>
      <c r="B3276" t="s">
        <v>4178</v>
      </c>
      <c r="C3276" t="s">
        <v>20</v>
      </c>
      <c r="D3276" t="s">
        <v>4179</v>
      </c>
      <c r="E3276">
        <v>24252</v>
      </c>
    </row>
    <row r="3277" spans="1:5">
      <c r="A3277" s="1">
        <v>45925</v>
      </c>
      <c r="B3277" t="s">
        <v>3976</v>
      </c>
      <c r="C3277" t="s">
        <v>20</v>
      </c>
      <c r="D3277" t="s">
        <v>4180</v>
      </c>
      <c r="E3277">
        <v>5648</v>
      </c>
    </row>
    <row r="3278" spans="1:5">
      <c r="A3278" s="1">
        <v>45925</v>
      </c>
      <c r="B3278" t="s">
        <v>3976</v>
      </c>
      <c r="C3278" t="s">
        <v>20</v>
      </c>
      <c r="D3278" t="s">
        <v>4181</v>
      </c>
      <c r="E3278">
        <v>3198</v>
      </c>
    </row>
    <row r="3279" spans="1:5">
      <c r="A3279" s="1">
        <v>45925</v>
      </c>
      <c r="B3279" t="s">
        <v>4182</v>
      </c>
      <c r="C3279" t="s">
        <v>20</v>
      </c>
      <c r="D3279" t="s">
        <v>4183</v>
      </c>
      <c r="E3279">
        <v>2975</v>
      </c>
    </row>
    <row r="3280" spans="1:5">
      <c r="A3280" s="1">
        <v>45925</v>
      </c>
      <c r="B3280" t="s">
        <v>1881</v>
      </c>
      <c r="C3280" t="s">
        <v>20</v>
      </c>
      <c r="D3280" t="s">
        <v>4184</v>
      </c>
      <c r="E3280">
        <v>773</v>
      </c>
    </row>
    <row r="3281" spans="1:5">
      <c r="A3281" s="1">
        <v>45925</v>
      </c>
      <c r="B3281" t="s">
        <v>254</v>
      </c>
      <c r="C3281" t="s">
        <v>20</v>
      </c>
      <c r="D3281" t="s">
        <v>4185</v>
      </c>
      <c r="E3281">
        <v>350</v>
      </c>
    </row>
    <row r="3282" spans="1:5">
      <c r="A3282" s="1">
        <v>45925</v>
      </c>
      <c r="B3282" t="s">
        <v>35</v>
      </c>
      <c r="C3282" t="s">
        <v>20</v>
      </c>
      <c r="D3282" t="s">
        <v>4186</v>
      </c>
      <c r="E3282">
        <v>13220</v>
      </c>
    </row>
    <row r="3283" spans="1:5">
      <c r="A3283" s="1">
        <v>45925</v>
      </c>
      <c r="B3283" t="s">
        <v>4187</v>
      </c>
      <c r="C3283" t="s">
        <v>20</v>
      </c>
      <c r="D3283" t="s">
        <v>4188</v>
      </c>
      <c r="E3283">
        <v>1139</v>
      </c>
    </row>
    <row r="3284" spans="1:5">
      <c r="A3284" s="1">
        <v>45925</v>
      </c>
      <c r="B3284" t="s">
        <v>89</v>
      </c>
      <c r="C3284" t="s">
        <v>20</v>
      </c>
      <c r="D3284" t="s">
        <v>4189</v>
      </c>
      <c r="E3284">
        <v>700</v>
      </c>
    </row>
    <row r="3285" spans="1:5">
      <c r="A3285" s="1">
        <v>45925</v>
      </c>
      <c r="B3285" t="s">
        <v>50</v>
      </c>
      <c r="C3285" t="s">
        <v>20</v>
      </c>
      <c r="D3285" t="s">
        <v>4190</v>
      </c>
      <c r="E3285">
        <v>1050</v>
      </c>
    </row>
    <row r="3286" spans="1:5">
      <c r="A3286" s="1">
        <v>45925</v>
      </c>
      <c r="B3286" t="s">
        <v>4191</v>
      </c>
      <c r="C3286" t="s">
        <v>20</v>
      </c>
      <c r="D3286" t="s">
        <v>4192</v>
      </c>
      <c r="E3286">
        <v>86035</v>
      </c>
    </row>
    <row r="3287" spans="1:5">
      <c r="A3287" s="1">
        <v>45925</v>
      </c>
      <c r="B3287" t="s">
        <v>483</v>
      </c>
      <c r="C3287" t="s">
        <v>20</v>
      </c>
      <c r="D3287" t="s">
        <v>4193</v>
      </c>
      <c r="E3287">
        <v>12580</v>
      </c>
    </row>
    <row r="3288" spans="1:5">
      <c r="A3288" s="1">
        <v>45925</v>
      </c>
      <c r="B3288" t="s">
        <v>3957</v>
      </c>
      <c r="C3288" t="s">
        <v>20</v>
      </c>
      <c r="D3288" t="s">
        <v>4194</v>
      </c>
      <c r="E3288">
        <v>904</v>
      </c>
    </row>
    <row r="3289" spans="1:5">
      <c r="A3289" s="1">
        <v>45925</v>
      </c>
      <c r="B3289" t="s">
        <v>50</v>
      </c>
      <c r="C3289" t="s">
        <v>20</v>
      </c>
      <c r="D3289" t="s">
        <v>4195</v>
      </c>
      <c r="E3289">
        <v>1830</v>
      </c>
    </row>
    <row r="3290" spans="1:5">
      <c r="A3290" s="1">
        <v>45925</v>
      </c>
      <c r="B3290" t="s">
        <v>1529</v>
      </c>
      <c r="C3290" t="s">
        <v>20</v>
      </c>
      <c r="D3290" t="s">
        <v>4196</v>
      </c>
      <c r="E3290">
        <v>350</v>
      </c>
    </row>
    <row r="3291" spans="1:5">
      <c r="A3291" s="1">
        <v>45926</v>
      </c>
      <c r="B3291" t="s">
        <v>1049</v>
      </c>
      <c r="C3291" t="s">
        <v>19</v>
      </c>
      <c r="D3291" t="s">
        <v>4197</v>
      </c>
      <c r="E3291">
        <v>7200</v>
      </c>
    </row>
    <row r="3292" spans="1:5">
      <c r="A3292" s="1">
        <v>45926</v>
      </c>
      <c r="B3292" t="s">
        <v>246</v>
      </c>
      <c r="C3292" t="s">
        <v>19</v>
      </c>
      <c r="D3292" t="s">
        <v>4198</v>
      </c>
      <c r="E3292">
        <v>4027</v>
      </c>
    </row>
    <row r="3293" spans="1:5">
      <c r="A3293" s="1">
        <v>45926</v>
      </c>
      <c r="B3293" t="s">
        <v>246</v>
      </c>
      <c r="C3293" t="s">
        <v>19</v>
      </c>
      <c r="D3293" t="s">
        <v>4199</v>
      </c>
      <c r="E3293">
        <v>250</v>
      </c>
    </row>
    <row r="3294" spans="1:5">
      <c r="A3294" s="1">
        <v>45926</v>
      </c>
      <c r="B3294" t="s">
        <v>50</v>
      </c>
      <c r="C3294" t="s">
        <v>20</v>
      </c>
      <c r="D3294" t="s">
        <v>4200</v>
      </c>
      <c r="E3294">
        <v>700</v>
      </c>
    </row>
    <row r="3295" spans="1:5">
      <c r="A3295" s="1">
        <v>45926</v>
      </c>
      <c r="B3295" t="s">
        <v>4201</v>
      </c>
      <c r="C3295" t="s">
        <v>20</v>
      </c>
      <c r="D3295" t="s">
        <v>4202</v>
      </c>
      <c r="E3295">
        <v>34545</v>
      </c>
    </row>
    <row r="3296" spans="1:5">
      <c r="A3296" s="1">
        <v>45926</v>
      </c>
      <c r="B3296" t="s">
        <v>4203</v>
      </c>
      <c r="C3296" t="s">
        <v>20</v>
      </c>
      <c r="D3296" t="s">
        <v>4204</v>
      </c>
      <c r="E3296">
        <v>250</v>
      </c>
    </row>
    <row r="3297" spans="1:5">
      <c r="A3297" s="1">
        <v>45926</v>
      </c>
      <c r="B3297" t="s">
        <v>100</v>
      </c>
      <c r="C3297" t="s">
        <v>20</v>
      </c>
      <c r="D3297" t="s">
        <v>4205</v>
      </c>
      <c r="E3297">
        <v>4010</v>
      </c>
    </row>
    <row r="3298" spans="1:5">
      <c r="A3298" s="1">
        <v>45926</v>
      </c>
      <c r="B3298" t="s">
        <v>222</v>
      </c>
      <c r="C3298" t="s">
        <v>20</v>
      </c>
      <c r="D3298" t="s">
        <v>4206</v>
      </c>
      <c r="E3298">
        <v>1050</v>
      </c>
    </row>
    <row r="3299" spans="1:5">
      <c r="A3299" s="1">
        <v>45926</v>
      </c>
      <c r="B3299" t="s">
        <v>709</v>
      </c>
      <c r="C3299" t="s">
        <v>20</v>
      </c>
      <c r="D3299" t="s">
        <v>4207</v>
      </c>
      <c r="E3299">
        <v>3500</v>
      </c>
    </row>
    <row r="3300" spans="1:5">
      <c r="A3300" s="1">
        <v>45926</v>
      </c>
      <c r="B3300" t="s">
        <v>647</v>
      </c>
      <c r="C3300" t="s">
        <v>20</v>
      </c>
      <c r="D3300" t="s">
        <v>4208</v>
      </c>
      <c r="E3300">
        <v>5093</v>
      </c>
    </row>
    <row r="3301" spans="1:5">
      <c r="A3301" s="1">
        <v>45926</v>
      </c>
      <c r="B3301" t="s">
        <v>4209</v>
      </c>
      <c r="C3301" t="s">
        <v>20</v>
      </c>
      <c r="D3301" t="s">
        <v>4210</v>
      </c>
      <c r="E3301">
        <v>250</v>
      </c>
    </row>
    <row r="3302" spans="1:5">
      <c r="A3302" s="1">
        <v>45926</v>
      </c>
      <c r="B3302" t="s">
        <v>932</v>
      </c>
      <c r="C3302" t="s">
        <v>20</v>
      </c>
      <c r="D3302" t="s">
        <v>4211</v>
      </c>
      <c r="E3302">
        <v>41632</v>
      </c>
    </row>
    <row r="3303" spans="1:5">
      <c r="A3303" s="1">
        <v>45926</v>
      </c>
      <c r="B3303" t="s">
        <v>48</v>
      </c>
      <c r="C3303" t="s">
        <v>20</v>
      </c>
      <c r="D3303" t="s">
        <v>4212</v>
      </c>
      <c r="E3303">
        <v>67575</v>
      </c>
    </row>
    <row r="3304" spans="1:5">
      <c r="A3304" s="1">
        <v>45926</v>
      </c>
      <c r="B3304" t="s">
        <v>856</v>
      </c>
      <c r="C3304" t="s">
        <v>20</v>
      </c>
      <c r="D3304" t="s">
        <v>4213</v>
      </c>
      <c r="E3304">
        <v>2002</v>
      </c>
    </row>
    <row r="3305" spans="1:5">
      <c r="A3305" s="1">
        <v>45926</v>
      </c>
      <c r="B3305" t="s">
        <v>1075</v>
      </c>
      <c r="C3305" t="s">
        <v>20</v>
      </c>
      <c r="D3305" t="s">
        <v>4214</v>
      </c>
      <c r="E3305">
        <v>700</v>
      </c>
    </row>
    <row r="3306" spans="1:5">
      <c r="A3306" s="1">
        <v>45926</v>
      </c>
      <c r="B3306" t="s">
        <v>778</v>
      </c>
      <c r="C3306" t="s">
        <v>20</v>
      </c>
      <c r="D3306" t="s">
        <v>4215</v>
      </c>
      <c r="E3306">
        <v>1570</v>
      </c>
    </row>
    <row r="3307" spans="1:5">
      <c r="A3307" s="1">
        <v>45926</v>
      </c>
      <c r="B3307" t="s">
        <v>1881</v>
      </c>
      <c r="C3307" t="s">
        <v>20</v>
      </c>
      <c r="D3307" t="s">
        <v>4216</v>
      </c>
      <c r="E3307">
        <v>215</v>
      </c>
    </row>
    <row r="3308" spans="1:5">
      <c r="A3308" s="1">
        <v>45926</v>
      </c>
      <c r="B3308" t="s">
        <v>1457</v>
      </c>
      <c r="C3308" t="s">
        <v>20</v>
      </c>
      <c r="D3308" t="s">
        <v>4217</v>
      </c>
      <c r="E3308">
        <v>2190</v>
      </c>
    </row>
    <row r="3309" spans="1:5">
      <c r="A3309" s="1">
        <v>45926</v>
      </c>
      <c r="B3309" t="s">
        <v>4218</v>
      </c>
      <c r="C3309" t="s">
        <v>20</v>
      </c>
      <c r="D3309" t="s">
        <v>4219</v>
      </c>
      <c r="E3309">
        <v>1043</v>
      </c>
    </row>
    <row r="3310" spans="1:5">
      <c r="A3310" s="1">
        <v>45926</v>
      </c>
      <c r="B3310" t="s">
        <v>50</v>
      </c>
      <c r="C3310" t="s">
        <v>20</v>
      </c>
      <c r="D3310" t="s">
        <v>4220</v>
      </c>
      <c r="E3310">
        <v>25</v>
      </c>
    </row>
    <row r="3311" spans="1:5">
      <c r="A3311" s="1">
        <v>45926</v>
      </c>
      <c r="B3311" t="s">
        <v>222</v>
      </c>
      <c r="C3311" t="s">
        <v>20</v>
      </c>
      <c r="D3311" t="s">
        <v>4221</v>
      </c>
      <c r="E3311">
        <v>5530</v>
      </c>
    </row>
    <row r="3312" spans="1:5">
      <c r="A3312" s="1">
        <v>45926</v>
      </c>
      <c r="B3312" t="s">
        <v>2214</v>
      </c>
      <c r="C3312" t="s">
        <v>20</v>
      </c>
      <c r="D3312" t="s">
        <v>4222</v>
      </c>
      <c r="E3312">
        <v>2100</v>
      </c>
    </row>
    <row r="3313" spans="1:5">
      <c r="A3313" s="1">
        <v>45926</v>
      </c>
      <c r="B3313" t="s">
        <v>43</v>
      </c>
      <c r="C3313" t="s">
        <v>20</v>
      </c>
      <c r="D3313" t="s">
        <v>4223</v>
      </c>
      <c r="E3313">
        <v>3080</v>
      </c>
    </row>
    <row r="3314" spans="1:5">
      <c r="A3314" s="1">
        <v>45926</v>
      </c>
      <c r="B3314" t="s">
        <v>4138</v>
      </c>
      <c r="C3314" t="s">
        <v>20</v>
      </c>
      <c r="D3314" t="s">
        <v>4224</v>
      </c>
      <c r="E3314">
        <v>2815</v>
      </c>
    </row>
    <row r="3315" spans="1:5">
      <c r="A3315" s="1">
        <v>45926</v>
      </c>
      <c r="B3315" t="s">
        <v>4225</v>
      </c>
      <c r="C3315" t="s">
        <v>20</v>
      </c>
      <c r="D3315" t="s">
        <v>4226</v>
      </c>
      <c r="E3315">
        <v>785</v>
      </c>
    </row>
    <row r="3316" spans="1:5">
      <c r="A3316" s="1">
        <v>45926</v>
      </c>
      <c r="B3316" t="s">
        <v>3064</v>
      </c>
      <c r="C3316" t="s">
        <v>20</v>
      </c>
      <c r="D3316" t="s">
        <v>4227</v>
      </c>
      <c r="E3316">
        <v>290</v>
      </c>
    </row>
    <row r="3317" spans="1:5">
      <c r="A3317" s="1">
        <v>45926</v>
      </c>
      <c r="B3317" t="s">
        <v>856</v>
      </c>
      <c r="C3317" t="s">
        <v>20</v>
      </c>
      <c r="D3317" t="s">
        <v>4228</v>
      </c>
      <c r="E3317">
        <v>2037</v>
      </c>
    </row>
    <row r="3318" spans="1:5">
      <c r="A3318" s="1">
        <v>45926</v>
      </c>
      <c r="B3318" t="s">
        <v>2206</v>
      </c>
      <c r="C3318" t="s">
        <v>20</v>
      </c>
      <c r="D3318" t="s">
        <v>4229</v>
      </c>
      <c r="E3318">
        <v>5456</v>
      </c>
    </row>
    <row r="3319" spans="1:5">
      <c r="A3319" s="1">
        <v>45926</v>
      </c>
      <c r="B3319" t="s">
        <v>4230</v>
      </c>
      <c r="C3319" t="s">
        <v>20</v>
      </c>
      <c r="D3319" t="s">
        <v>4231</v>
      </c>
      <c r="E3319">
        <v>14367</v>
      </c>
    </row>
    <row r="3320" spans="1:5">
      <c r="A3320" s="1">
        <v>45926</v>
      </c>
      <c r="B3320" t="s">
        <v>2586</v>
      </c>
      <c r="C3320" t="s">
        <v>20</v>
      </c>
      <c r="D3320" t="s">
        <v>4232</v>
      </c>
      <c r="E3320">
        <v>64170</v>
      </c>
    </row>
    <row r="3321" spans="1:5">
      <c r="A3321" s="1">
        <v>45926</v>
      </c>
      <c r="B3321" t="s">
        <v>1529</v>
      </c>
      <c r="C3321" t="s">
        <v>20</v>
      </c>
      <c r="D3321" t="s">
        <v>4233</v>
      </c>
      <c r="E3321">
        <v>350</v>
      </c>
    </row>
    <row r="3322" spans="1:5">
      <c r="A3322" s="1">
        <v>45926</v>
      </c>
      <c r="B3322" t="s">
        <v>3976</v>
      </c>
      <c r="C3322" t="s">
        <v>20</v>
      </c>
      <c r="D3322" t="s">
        <v>4234</v>
      </c>
      <c r="E3322">
        <v>1543</v>
      </c>
    </row>
    <row r="3323" spans="1:5">
      <c r="A3323" s="1">
        <v>45927</v>
      </c>
      <c r="B3323" t="s">
        <v>3193</v>
      </c>
      <c r="C3323" t="s">
        <v>19</v>
      </c>
      <c r="D3323" t="s">
        <v>4235</v>
      </c>
      <c r="E3323">
        <v>22010</v>
      </c>
    </row>
    <row r="3324" spans="1:5">
      <c r="A3324" s="1">
        <v>45927</v>
      </c>
      <c r="B3324" t="s">
        <v>246</v>
      </c>
      <c r="C3324" t="s">
        <v>19</v>
      </c>
      <c r="D3324" t="s">
        <v>4236</v>
      </c>
      <c r="E3324">
        <v>350</v>
      </c>
    </row>
    <row r="3325" spans="1:5">
      <c r="A3325" s="1">
        <v>45927</v>
      </c>
      <c r="B3325" t="s">
        <v>246</v>
      </c>
      <c r="C3325" t="s">
        <v>19</v>
      </c>
      <c r="D3325" t="s">
        <v>4237</v>
      </c>
      <c r="E3325">
        <v>350</v>
      </c>
    </row>
    <row r="3326" spans="1:5">
      <c r="A3326" s="1">
        <v>45927</v>
      </c>
      <c r="B3326" t="s">
        <v>50</v>
      </c>
      <c r="C3326" t="s">
        <v>20</v>
      </c>
      <c r="D3326" t="s">
        <v>4238</v>
      </c>
      <c r="E3326">
        <v>12</v>
      </c>
    </row>
    <row r="3327" spans="1:5">
      <c r="A3327" s="1">
        <v>45927</v>
      </c>
      <c r="B3327" t="s">
        <v>4239</v>
      </c>
      <c r="C3327" t="s">
        <v>20</v>
      </c>
      <c r="D3327" t="s">
        <v>4240</v>
      </c>
      <c r="E3327">
        <v>700</v>
      </c>
    </row>
    <row r="3328" spans="1:5">
      <c r="A3328" s="1">
        <v>45927</v>
      </c>
      <c r="B3328" t="s">
        <v>1350</v>
      </c>
      <c r="C3328" t="s">
        <v>20</v>
      </c>
      <c r="D3328" t="s">
        <v>4241</v>
      </c>
      <c r="E3328">
        <v>7691</v>
      </c>
    </row>
    <row r="3329" spans="1:5">
      <c r="A3329" s="1">
        <v>45927</v>
      </c>
      <c r="B3329" t="s">
        <v>4242</v>
      </c>
      <c r="C3329" t="s">
        <v>20</v>
      </c>
      <c r="D3329" t="s">
        <v>4243</v>
      </c>
      <c r="E3329">
        <v>465</v>
      </c>
    </row>
    <row r="3330" spans="1:5">
      <c r="A3330" s="1">
        <v>45927</v>
      </c>
      <c r="B3330" t="s">
        <v>2059</v>
      </c>
      <c r="C3330" t="s">
        <v>20</v>
      </c>
      <c r="D3330" t="s">
        <v>4244</v>
      </c>
      <c r="E3330">
        <v>1168</v>
      </c>
    </row>
    <row r="3331" spans="1:5">
      <c r="A3331" s="1">
        <v>45927</v>
      </c>
      <c r="B3331" t="s">
        <v>2634</v>
      </c>
      <c r="C3331" t="s">
        <v>20</v>
      </c>
      <c r="D3331" t="s">
        <v>4245</v>
      </c>
      <c r="E3331">
        <v>7200</v>
      </c>
    </row>
    <row r="3332" spans="1:5">
      <c r="A3332" s="1">
        <v>45927</v>
      </c>
      <c r="B3332" t="s">
        <v>50</v>
      </c>
      <c r="C3332" t="s">
        <v>20</v>
      </c>
      <c r="D3332" t="s">
        <v>4246</v>
      </c>
      <c r="E3332">
        <v>6463</v>
      </c>
    </row>
    <row r="3333" spans="1:5">
      <c r="A3333" s="1">
        <v>45927</v>
      </c>
      <c r="B3333" t="s">
        <v>1617</v>
      </c>
      <c r="C3333" t="s">
        <v>20</v>
      </c>
      <c r="D3333" t="s">
        <v>4247</v>
      </c>
      <c r="E3333">
        <v>17950</v>
      </c>
    </row>
    <row r="3334" spans="1:5">
      <c r="A3334" s="1">
        <v>45927</v>
      </c>
      <c r="B3334" t="s">
        <v>4248</v>
      </c>
      <c r="C3334" t="s">
        <v>20</v>
      </c>
      <c r="D3334" t="s">
        <v>4249</v>
      </c>
      <c r="E3334">
        <v>10500</v>
      </c>
    </row>
    <row r="3335" spans="1:5">
      <c r="A3335" s="1">
        <v>45927</v>
      </c>
      <c r="B3335" t="s">
        <v>378</v>
      </c>
      <c r="C3335" t="s">
        <v>20</v>
      </c>
      <c r="D3335" t="s">
        <v>4250</v>
      </c>
      <c r="E3335">
        <v>1450</v>
      </c>
    </row>
    <row r="3336" spans="1:5">
      <c r="A3336" s="1">
        <v>45927</v>
      </c>
      <c r="B3336" t="s">
        <v>4251</v>
      </c>
      <c r="C3336" t="s">
        <v>20</v>
      </c>
      <c r="D3336" t="s">
        <v>4252</v>
      </c>
      <c r="E3336">
        <v>3420</v>
      </c>
    </row>
    <row r="3337" spans="1:5">
      <c r="A3337" s="1">
        <v>45927</v>
      </c>
      <c r="B3337" t="s">
        <v>43</v>
      </c>
      <c r="C3337" t="s">
        <v>20</v>
      </c>
      <c r="D3337" t="s">
        <v>4253</v>
      </c>
      <c r="E3337">
        <v>640</v>
      </c>
    </row>
    <row r="3338" spans="1:5">
      <c r="A3338" s="1">
        <v>45927</v>
      </c>
      <c r="B3338" t="s">
        <v>4191</v>
      </c>
      <c r="C3338" t="s">
        <v>20</v>
      </c>
      <c r="D3338" t="s">
        <v>4254</v>
      </c>
      <c r="E3338">
        <v>1950</v>
      </c>
    </row>
    <row r="3339" spans="1:5">
      <c r="A3339" s="1">
        <v>45927</v>
      </c>
      <c r="B3339" t="s">
        <v>50</v>
      </c>
      <c r="C3339" t="s">
        <v>20</v>
      </c>
      <c r="D3339" t="s">
        <v>4255</v>
      </c>
      <c r="E3339">
        <v>12</v>
      </c>
    </row>
    <row r="3340" spans="1:5">
      <c r="A3340" s="1">
        <v>45927</v>
      </c>
      <c r="B3340" t="s">
        <v>3844</v>
      </c>
      <c r="C3340" t="s">
        <v>20</v>
      </c>
      <c r="D3340" t="s">
        <v>4256</v>
      </c>
      <c r="E3340">
        <v>27192</v>
      </c>
    </row>
    <row r="3341" spans="1:5">
      <c r="A3341" s="1">
        <v>45927</v>
      </c>
      <c r="B3341" t="s">
        <v>135</v>
      </c>
      <c r="C3341" t="s">
        <v>20</v>
      </c>
      <c r="D3341" t="s">
        <v>4257</v>
      </c>
      <c r="E3341">
        <v>6774</v>
      </c>
    </row>
    <row r="3342" spans="1:5">
      <c r="A3342" s="1">
        <v>45927</v>
      </c>
      <c r="B3342" t="s">
        <v>4258</v>
      </c>
      <c r="C3342" t="s">
        <v>20</v>
      </c>
      <c r="D3342" t="s">
        <v>4259</v>
      </c>
      <c r="E3342">
        <v>50</v>
      </c>
    </row>
    <row r="3343" spans="1:5">
      <c r="A3343" s="1">
        <v>45927</v>
      </c>
      <c r="B3343" t="s">
        <v>4260</v>
      </c>
      <c r="C3343" t="s">
        <v>20</v>
      </c>
      <c r="D3343" t="s">
        <v>4261</v>
      </c>
      <c r="E3343">
        <v>12513</v>
      </c>
    </row>
    <row r="3344" spans="1:5">
      <c r="A3344" s="1">
        <v>45927</v>
      </c>
      <c r="B3344" t="s">
        <v>4258</v>
      </c>
      <c r="C3344" t="s">
        <v>20</v>
      </c>
      <c r="D3344" t="s">
        <v>4262</v>
      </c>
      <c r="E3344">
        <v>2178</v>
      </c>
    </row>
    <row r="3345" spans="1:5">
      <c r="A3345" s="1">
        <v>45927</v>
      </c>
      <c r="B3345" t="s">
        <v>4263</v>
      </c>
      <c r="C3345" t="s">
        <v>20</v>
      </c>
      <c r="D3345" t="s">
        <v>4264</v>
      </c>
      <c r="E3345">
        <v>1980</v>
      </c>
    </row>
    <row r="3346" spans="1:5">
      <c r="A3346" s="1">
        <v>45929</v>
      </c>
      <c r="B3346" t="s">
        <v>1628</v>
      </c>
      <c r="C3346" t="s">
        <v>19</v>
      </c>
      <c r="D3346" t="s">
        <v>4265</v>
      </c>
      <c r="E3346">
        <v>4883</v>
      </c>
    </row>
    <row r="3347" spans="1:5">
      <c r="A3347" s="1">
        <v>45929</v>
      </c>
      <c r="B3347" t="s">
        <v>1104</v>
      </c>
      <c r="C3347" t="s">
        <v>19</v>
      </c>
      <c r="D3347" t="s">
        <v>4266</v>
      </c>
      <c r="E3347">
        <v>22230</v>
      </c>
    </row>
    <row r="3348" spans="1:5">
      <c r="A3348" s="1">
        <v>45929</v>
      </c>
      <c r="B3348" t="s">
        <v>1104</v>
      </c>
      <c r="C3348" t="s">
        <v>19</v>
      </c>
      <c r="D3348" t="s">
        <v>4267</v>
      </c>
      <c r="E3348">
        <v>850</v>
      </c>
    </row>
    <row r="3349" spans="1:5">
      <c r="A3349" s="1">
        <v>45929</v>
      </c>
      <c r="B3349" t="s">
        <v>1049</v>
      </c>
      <c r="C3349" t="s">
        <v>19</v>
      </c>
      <c r="D3349" t="s">
        <v>4268</v>
      </c>
      <c r="E3349">
        <v>9946</v>
      </c>
    </row>
    <row r="3350" spans="1:5">
      <c r="A3350" s="1">
        <v>45929</v>
      </c>
      <c r="B3350" t="s">
        <v>1106</v>
      </c>
      <c r="C3350" t="s">
        <v>19</v>
      </c>
      <c r="D3350" t="s">
        <v>4269</v>
      </c>
      <c r="E3350">
        <v>145038</v>
      </c>
    </row>
    <row r="3351" spans="1:5">
      <c r="A3351" s="1">
        <v>45929</v>
      </c>
      <c r="B3351" t="s">
        <v>1628</v>
      </c>
      <c r="C3351" t="s">
        <v>19</v>
      </c>
      <c r="D3351" t="s">
        <v>4270</v>
      </c>
      <c r="E3351">
        <v>4262</v>
      </c>
    </row>
    <row r="3352" spans="1:5">
      <c r="A3352" s="1">
        <v>45929</v>
      </c>
      <c r="B3352" t="s">
        <v>1049</v>
      </c>
      <c r="C3352" t="s">
        <v>19</v>
      </c>
      <c r="D3352" t="s">
        <v>4271</v>
      </c>
      <c r="E3352">
        <v>16183</v>
      </c>
    </row>
    <row r="3353" spans="1:5">
      <c r="A3353" s="1">
        <v>45929</v>
      </c>
      <c r="B3353" t="s">
        <v>4272</v>
      </c>
      <c r="C3353" t="s">
        <v>20</v>
      </c>
      <c r="D3353" t="s">
        <v>4273</v>
      </c>
      <c r="E3353">
        <v>350</v>
      </c>
    </row>
    <row r="3354" spans="1:5">
      <c r="A3354" s="1">
        <v>45929</v>
      </c>
      <c r="B3354" t="s">
        <v>4274</v>
      </c>
      <c r="C3354" t="s">
        <v>20</v>
      </c>
      <c r="D3354" t="s">
        <v>4275</v>
      </c>
      <c r="E3354">
        <v>55</v>
      </c>
    </row>
    <row r="3355" spans="1:5">
      <c r="A3355" s="1">
        <v>45929</v>
      </c>
      <c r="B3355" t="s">
        <v>4239</v>
      </c>
      <c r="C3355" t="s">
        <v>20</v>
      </c>
      <c r="D3355" t="s">
        <v>4276</v>
      </c>
      <c r="E3355">
        <v>700</v>
      </c>
    </row>
    <row r="3356" spans="1:5">
      <c r="A3356" s="1">
        <v>45929</v>
      </c>
      <c r="B3356" t="s">
        <v>68</v>
      </c>
      <c r="C3356" t="s">
        <v>20</v>
      </c>
      <c r="D3356" t="s">
        <v>4277</v>
      </c>
      <c r="E3356">
        <v>6251</v>
      </c>
    </row>
    <row r="3357" spans="1:5">
      <c r="A3357" s="1">
        <v>45929</v>
      </c>
      <c r="B3357" t="s">
        <v>817</v>
      </c>
      <c r="C3357" t="s">
        <v>20</v>
      </c>
      <c r="D3357" t="s">
        <v>4278</v>
      </c>
      <c r="E3357">
        <v>3500</v>
      </c>
    </row>
    <row r="3358" spans="1:5">
      <c r="A3358" s="1">
        <v>45929</v>
      </c>
      <c r="B3358" t="s">
        <v>375</v>
      </c>
      <c r="C3358" t="s">
        <v>20</v>
      </c>
      <c r="D3358" t="s">
        <v>4279</v>
      </c>
      <c r="E3358">
        <v>120</v>
      </c>
    </row>
    <row r="3359" spans="1:5">
      <c r="A3359" s="1">
        <v>45929</v>
      </c>
      <c r="B3359" t="s">
        <v>4239</v>
      </c>
      <c r="C3359" t="s">
        <v>20</v>
      </c>
      <c r="D3359" t="s">
        <v>4280</v>
      </c>
      <c r="E3359">
        <v>1400</v>
      </c>
    </row>
    <row r="3360" spans="1:5">
      <c r="A3360" s="1">
        <v>45929</v>
      </c>
      <c r="B3360" t="s">
        <v>50</v>
      </c>
      <c r="C3360" t="s">
        <v>20</v>
      </c>
      <c r="D3360" t="s">
        <v>4281</v>
      </c>
      <c r="E3360">
        <v>8</v>
      </c>
    </row>
    <row r="3361" spans="1:5">
      <c r="A3361" s="1">
        <v>45929</v>
      </c>
      <c r="B3361" t="s">
        <v>3631</v>
      </c>
      <c r="C3361" t="s">
        <v>20</v>
      </c>
      <c r="D3361" t="s">
        <v>4282</v>
      </c>
      <c r="E3361">
        <v>1050</v>
      </c>
    </row>
    <row r="3362" spans="1:5">
      <c r="A3362" s="1">
        <v>45929</v>
      </c>
      <c r="B3362" t="s">
        <v>4283</v>
      </c>
      <c r="C3362" t="s">
        <v>20</v>
      </c>
      <c r="D3362" t="s">
        <v>4284</v>
      </c>
      <c r="E3362">
        <v>26154</v>
      </c>
    </row>
    <row r="3363" spans="1:5">
      <c r="A3363" s="1">
        <v>45929</v>
      </c>
      <c r="B3363" t="s">
        <v>932</v>
      </c>
      <c r="C3363" t="s">
        <v>20</v>
      </c>
      <c r="D3363" t="s">
        <v>4285</v>
      </c>
      <c r="E3363">
        <v>680</v>
      </c>
    </row>
    <row r="3364" spans="1:5">
      <c r="A3364" s="1">
        <v>45929</v>
      </c>
      <c r="B3364" t="s">
        <v>35</v>
      </c>
      <c r="C3364" t="s">
        <v>20</v>
      </c>
      <c r="D3364" t="s">
        <v>4286</v>
      </c>
      <c r="E3364">
        <v>20800</v>
      </c>
    </row>
    <row r="3365" spans="1:5">
      <c r="A3365" s="1">
        <v>45929</v>
      </c>
      <c r="B3365" t="s">
        <v>1179</v>
      </c>
      <c r="C3365" t="s">
        <v>20</v>
      </c>
      <c r="D3365" t="s">
        <v>4287</v>
      </c>
      <c r="E3365">
        <v>8305</v>
      </c>
    </row>
    <row r="3366" spans="1:5">
      <c r="A3366" s="1">
        <v>45929</v>
      </c>
      <c r="B3366" t="s">
        <v>1578</v>
      </c>
      <c r="C3366" t="s">
        <v>20</v>
      </c>
      <c r="D3366" t="s">
        <v>4288</v>
      </c>
      <c r="E3366">
        <v>18500</v>
      </c>
    </row>
    <row r="3367" spans="1:5">
      <c r="A3367" s="1">
        <v>45929</v>
      </c>
      <c r="B3367" t="s">
        <v>2059</v>
      </c>
      <c r="C3367" t="s">
        <v>20</v>
      </c>
      <c r="D3367" t="s">
        <v>4289</v>
      </c>
      <c r="E3367">
        <v>818</v>
      </c>
    </row>
    <row r="3368" spans="1:5">
      <c r="A3368" s="1">
        <v>45929</v>
      </c>
      <c r="B3368" t="s">
        <v>4290</v>
      </c>
      <c r="C3368" t="s">
        <v>20</v>
      </c>
      <c r="D3368" t="s">
        <v>4291</v>
      </c>
      <c r="E3368">
        <v>8853</v>
      </c>
    </row>
    <row r="3369" spans="1:5">
      <c r="A3369" s="1">
        <v>45929</v>
      </c>
      <c r="B3369" t="s">
        <v>4230</v>
      </c>
      <c r="C3369" t="s">
        <v>20</v>
      </c>
      <c r="D3369" t="s">
        <v>4292</v>
      </c>
      <c r="E3369">
        <v>2731</v>
      </c>
    </row>
    <row r="3370" spans="1:5">
      <c r="A3370" s="1">
        <v>45929</v>
      </c>
      <c r="B3370" t="s">
        <v>3833</v>
      </c>
      <c r="C3370" t="s">
        <v>20</v>
      </c>
      <c r="D3370" t="s">
        <v>4293</v>
      </c>
      <c r="E3370">
        <v>23601</v>
      </c>
    </row>
    <row r="3371" spans="1:5">
      <c r="A3371" s="1">
        <v>45929</v>
      </c>
      <c r="B3371" t="s">
        <v>100</v>
      </c>
      <c r="C3371" t="s">
        <v>20</v>
      </c>
      <c r="D3371" t="s">
        <v>4294</v>
      </c>
      <c r="E3371">
        <v>8213</v>
      </c>
    </row>
    <row r="3372" spans="1:5">
      <c r="A3372" s="1">
        <v>45929</v>
      </c>
      <c r="B3372" t="s">
        <v>3077</v>
      </c>
      <c r="C3372" t="s">
        <v>20</v>
      </c>
      <c r="D3372" t="s">
        <v>4295</v>
      </c>
      <c r="E3372">
        <v>15361</v>
      </c>
    </row>
    <row r="3373" spans="1:5">
      <c r="A3373" s="1">
        <v>45929</v>
      </c>
      <c r="B3373" t="s">
        <v>89</v>
      </c>
      <c r="C3373" t="s">
        <v>20</v>
      </c>
      <c r="D3373" t="s">
        <v>4296</v>
      </c>
      <c r="E3373">
        <v>350</v>
      </c>
    </row>
    <row r="3374" spans="1:5">
      <c r="A3374" s="1">
        <v>45929</v>
      </c>
      <c r="B3374" t="s">
        <v>239</v>
      </c>
      <c r="C3374" t="s">
        <v>20</v>
      </c>
      <c r="D3374" t="s">
        <v>4297</v>
      </c>
      <c r="E3374">
        <v>20610</v>
      </c>
    </row>
    <row r="3375" spans="1:5">
      <c r="A3375" s="1">
        <v>45929</v>
      </c>
      <c r="B3375" t="s">
        <v>3159</v>
      </c>
      <c r="C3375" t="s">
        <v>20</v>
      </c>
      <c r="D3375" t="s">
        <v>4298</v>
      </c>
      <c r="E3375">
        <v>3945</v>
      </c>
    </row>
    <row r="3376" spans="1:5">
      <c r="A3376" s="1">
        <v>45929</v>
      </c>
      <c r="B3376" t="s">
        <v>2444</v>
      </c>
      <c r="C3376" t="s">
        <v>20</v>
      </c>
      <c r="D3376" t="s">
        <v>4299</v>
      </c>
      <c r="E3376">
        <v>14248</v>
      </c>
    </row>
    <row r="3377" spans="1:5">
      <c r="A3377" s="1">
        <v>45929</v>
      </c>
      <c r="B3377" t="s">
        <v>378</v>
      </c>
      <c r="C3377" t="s">
        <v>20</v>
      </c>
      <c r="D3377" t="s">
        <v>4300</v>
      </c>
      <c r="E3377">
        <v>350</v>
      </c>
    </row>
    <row r="3378" spans="1:5">
      <c r="A3378" s="1">
        <v>45930</v>
      </c>
      <c r="B3378" t="s">
        <v>100</v>
      </c>
      <c r="C3378" t="s">
        <v>20</v>
      </c>
      <c r="D3378" t="s">
        <v>4301</v>
      </c>
      <c r="E3378">
        <v>460</v>
      </c>
    </row>
    <row r="3379" spans="1:5">
      <c r="A3379" s="1">
        <v>45930</v>
      </c>
      <c r="B3379" t="s">
        <v>4302</v>
      </c>
      <c r="C3379" t="s">
        <v>20</v>
      </c>
      <c r="D3379" t="s">
        <v>4303</v>
      </c>
      <c r="E3379">
        <v>380</v>
      </c>
    </row>
    <row r="3380" spans="1:5">
      <c r="A3380" s="1">
        <v>45930</v>
      </c>
      <c r="B3380" t="s">
        <v>4304</v>
      </c>
      <c r="C3380" t="s">
        <v>20</v>
      </c>
      <c r="D3380" t="s">
        <v>4305</v>
      </c>
      <c r="E3380">
        <v>6636</v>
      </c>
    </row>
    <row r="3381" spans="1:5">
      <c r="A3381" s="1">
        <v>45930</v>
      </c>
      <c r="B3381" t="s">
        <v>4004</v>
      </c>
      <c r="C3381" t="s">
        <v>20</v>
      </c>
      <c r="D3381" t="s">
        <v>4306</v>
      </c>
      <c r="E3381">
        <v>700</v>
      </c>
    </row>
    <row r="3382" spans="1:5">
      <c r="A3382" s="1">
        <v>45930</v>
      </c>
      <c r="B3382" t="s">
        <v>3333</v>
      </c>
      <c r="C3382" t="s">
        <v>20</v>
      </c>
      <c r="D3382" t="s">
        <v>4307</v>
      </c>
      <c r="E3382">
        <v>12600</v>
      </c>
    </row>
    <row r="3383" spans="1:5">
      <c r="A3383" s="1">
        <v>45930</v>
      </c>
      <c r="B3383" t="s">
        <v>2586</v>
      </c>
      <c r="C3383" t="s">
        <v>20</v>
      </c>
      <c r="D3383" t="s">
        <v>4308</v>
      </c>
      <c r="E3383">
        <v>17760</v>
      </c>
    </row>
    <row r="3384" spans="1:5">
      <c r="A3384" s="1">
        <v>45930</v>
      </c>
      <c r="B3384" t="s">
        <v>2143</v>
      </c>
      <c r="C3384" t="s">
        <v>20</v>
      </c>
      <c r="D3384" t="s">
        <v>4309</v>
      </c>
      <c r="E3384">
        <v>615</v>
      </c>
    </row>
    <row r="3385" spans="1:5">
      <c r="A3385" s="1">
        <v>45930</v>
      </c>
      <c r="B3385" t="s">
        <v>265</v>
      </c>
      <c r="C3385" t="s">
        <v>20</v>
      </c>
      <c r="D3385" t="s">
        <v>4310</v>
      </c>
      <c r="E3385">
        <v>2125</v>
      </c>
    </row>
    <row r="3386" spans="1:5">
      <c r="A3386" s="1">
        <v>45930</v>
      </c>
      <c r="B3386" t="s">
        <v>647</v>
      </c>
      <c r="C3386" t="s">
        <v>20</v>
      </c>
      <c r="D3386" t="s">
        <v>4311</v>
      </c>
      <c r="E3386">
        <v>4200</v>
      </c>
    </row>
    <row r="3387" spans="1:5">
      <c r="A3387" s="1">
        <v>45930</v>
      </c>
      <c r="B3387" t="s">
        <v>4312</v>
      </c>
      <c r="C3387" t="s">
        <v>20</v>
      </c>
      <c r="D3387" t="s">
        <v>4313</v>
      </c>
      <c r="E3387">
        <v>1050</v>
      </c>
    </row>
    <row r="3388" spans="1:5">
      <c r="A3388" s="1">
        <v>45930</v>
      </c>
      <c r="B3388" t="s">
        <v>35</v>
      </c>
      <c r="C3388" t="s">
        <v>20</v>
      </c>
      <c r="D3388" t="s">
        <v>4314</v>
      </c>
      <c r="E3388">
        <v>520</v>
      </c>
    </row>
    <row r="3389" spans="1:5">
      <c r="A3389" s="1">
        <v>45930</v>
      </c>
      <c r="B3389" t="s">
        <v>35</v>
      </c>
      <c r="C3389" t="s">
        <v>20</v>
      </c>
      <c r="D3389" t="s">
        <v>4315</v>
      </c>
      <c r="E3389">
        <v>29060</v>
      </c>
    </row>
    <row r="3390" spans="1:5">
      <c r="A3390" s="1">
        <v>45930</v>
      </c>
      <c r="B3390" t="s">
        <v>1727</v>
      </c>
      <c r="C3390" t="s">
        <v>20</v>
      </c>
      <c r="D3390" t="s">
        <v>4316</v>
      </c>
      <c r="E3390">
        <v>700</v>
      </c>
    </row>
    <row r="3391" spans="1:5">
      <c r="A3391" s="1">
        <v>45930</v>
      </c>
      <c r="B3391" t="s">
        <v>932</v>
      </c>
      <c r="C3391" t="s">
        <v>20</v>
      </c>
      <c r="D3391" t="s">
        <v>4317</v>
      </c>
      <c r="E3391">
        <v>2632</v>
      </c>
    </row>
    <row r="3392" spans="1:5">
      <c r="A3392" s="1">
        <v>45930</v>
      </c>
      <c r="B3392" t="s">
        <v>4318</v>
      </c>
      <c r="C3392" t="s">
        <v>20</v>
      </c>
      <c r="D3392" t="s">
        <v>4319</v>
      </c>
      <c r="E3392">
        <v>888</v>
      </c>
    </row>
    <row r="3393" spans="1:5">
      <c r="A3393" s="1">
        <v>45930</v>
      </c>
      <c r="B3393" t="s">
        <v>48</v>
      </c>
      <c r="C3393" t="s">
        <v>20</v>
      </c>
      <c r="D3393" t="s">
        <v>4320</v>
      </c>
      <c r="E3393">
        <v>1315</v>
      </c>
    </row>
    <row r="3394" spans="1:5">
      <c r="A3394" s="1">
        <v>45930</v>
      </c>
      <c r="B3394" t="s">
        <v>4239</v>
      </c>
      <c r="C3394" t="s">
        <v>20</v>
      </c>
      <c r="D3394" t="s">
        <v>4321</v>
      </c>
      <c r="E3394">
        <v>800</v>
      </c>
    </row>
    <row r="3395" spans="1:5">
      <c r="A3395" s="1">
        <v>45930</v>
      </c>
      <c r="B3395" t="s">
        <v>4322</v>
      </c>
      <c r="C3395" t="s">
        <v>20</v>
      </c>
      <c r="D3395" t="s">
        <v>4323</v>
      </c>
      <c r="E3395">
        <v>116672</v>
      </c>
    </row>
    <row r="3396" spans="1:5">
      <c r="A3396" s="1">
        <v>45930</v>
      </c>
      <c r="B3396" t="s">
        <v>2586</v>
      </c>
      <c r="C3396" t="s">
        <v>20</v>
      </c>
      <c r="D3396" t="s">
        <v>4324</v>
      </c>
      <c r="E3396">
        <v>23603</v>
      </c>
    </row>
    <row r="3397" spans="1:5">
      <c r="A3397" s="1">
        <v>45930</v>
      </c>
      <c r="B3397" t="s">
        <v>4325</v>
      </c>
      <c r="C3397" t="s">
        <v>20</v>
      </c>
      <c r="D3397" t="s">
        <v>4326</v>
      </c>
      <c r="E3397">
        <v>350</v>
      </c>
    </row>
    <row r="3398" spans="1:5">
      <c r="A3398" s="1">
        <v>45931</v>
      </c>
      <c r="B3398" t="s">
        <v>1075</v>
      </c>
      <c r="C3398" t="s">
        <v>20</v>
      </c>
      <c r="D3398" t="s">
        <v>4327</v>
      </c>
      <c r="E3398">
        <v>1750</v>
      </c>
    </row>
    <row r="3399" spans="1:5">
      <c r="A3399" s="1">
        <v>45931</v>
      </c>
      <c r="B3399" t="s">
        <v>2452</v>
      </c>
      <c r="C3399" t="s">
        <v>20</v>
      </c>
      <c r="D3399" t="s">
        <v>4328</v>
      </c>
      <c r="E3399">
        <v>7524</v>
      </c>
    </row>
    <row r="3400" spans="1:5">
      <c r="A3400" s="1">
        <v>45931</v>
      </c>
      <c r="B3400" t="s">
        <v>4329</v>
      </c>
      <c r="C3400" t="s">
        <v>20</v>
      </c>
      <c r="D3400" t="s">
        <v>4330</v>
      </c>
      <c r="E3400">
        <v>4247</v>
      </c>
    </row>
    <row r="3401" spans="1:5">
      <c r="A3401" s="1">
        <v>45931</v>
      </c>
      <c r="B3401" t="s">
        <v>252</v>
      </c>
      <c r="C3401" t="s">
        <v>20</v>
      </c>
      <c r="D3401" t="s">
        <v>4331</v>
      </c>
      <c r="E3401">
        <v>350</v>
      </c>
    </row>
    <row r="3402" spans="1:5">
      <c r="A3402" s="1">
        <v>45931</v>
      </c>
      <c r="B3402" t="s">
        <v>2143</v>
      </c>
      <c r="C3402" t="s">
        <v>20</v>
      </c>
      <c r="D3402" t="s">
        <v>4332</v>
      </c>
      <c r="E3402">
        <v>1050</v>
      </c>
    </row>
    <row r="3403" spans="1:5">
      <c r="A3403" s="1">
        <v>45931</v>
      </c>
      <c r="B3403" t="s">
        <v>4333</v>
      </c>
      <c r="C3403" t="s">
        <v>20</v>
      </c>
      <c r="D3403" t="s">
        <v>4334</v>
      </c>
      <c r="E3403">
        <v>12594</v>
      </c>
    </row>
    <row r="3404" spans="1:5">
      <c r="A3404" s="1">
        <v>45931</v>
      </c>
      <c r="B3404" t="s">
        <v>856</v>
      </c>
      <c r="C3404" t="s">
        <v>20</v>
      </c>
      <c r="D3404" t="s">
        <v>4335</v>
      </c>
      <c r="E3404">
        <v>11055</v>
      </c>
    </row>
    <row r="3405" spans="1:5">
      <c r="A3405" s="1">
        <v>45931</v>
      </c>
      <c r="B3405" t="s">
        <v>736</v>
      </c>
      <c r="C3405" t="s">
        <v>20</v>
      </c>
      <c r="D3405" t="s">
        <v>4336</v>
      </c>
      <c r="E3405">
        <v>300</v>
      </c>
    </row>
    <row r="3406" spans="1:5">
      <c r="A3406" s="1">
        <v>45931</v>
      </c>
      <c r="B3406" t="s">
        <v>483</v>
      </c>
      <c r="C3406" t="s">
        <v>20</v>
      </c>
      <c r="D3406" t="s">
        <v>4337</v>
      </c>
      <c r="E3406">
        <v>822</v>
      </c>
    </row>
    <row r="3407" spans="1:5">
      <c r="A3407" s="1">
        <v>45931</v>
      </c>
      <c r="B3407" t="s">
        <v>4338</v>
      </c>
      <c r="C3407" t="s">
        <v>20</v>
      </c>
      <c r="D3407" t="s">
        <v>4339</v>
      </c>
      <c r="E3407">
        <v>700</v>
      </c>
    </row>
    <row r="3408" spans="1:5">
      <c r="A3408" s="1">
        <v>45932</v>
      </c>
      <c r="B3408" t="s">
        <v>1104</v>
      </c>
      <c r="C3408" t="s">
        <v>19</v>
      </c>
      <c r="D3408" t="s">
        <v>4340</v>
      </c>
      <c r="E3408">
        <v>22770</v>
      </c>
    </row>
    <row r="3409" spans="1:5">
      <c r="A3409" s="1">
        <v>45932</v>
      </c>
      <c r="B3409" t="s">
        <v>1021</v>
      </c>
      <c r="C3409" t="s">
        <v>19</v>
      </c>
      <c r="D3409" t="s">
        <v>4341</v>
      </c>
      <c r="E3409">
        <v>3248</v>
      </c>
    </row>
    <row r="3410" spans="1:5">
      <c r="A3410" s="1">
        <v>45932</v>
      </c>
      <c r="B3410" t="s">
        <v>1810</v>
      </c>
      <c r="C3410" t="s">
        <v>19</v>
      </c>
      <c r="D3410" t="s">
        <v>4342</v>
      </c>
      <c r="E3410">
        <v>2160</v>
      </c>
    </row>
    <row r="3411" spans="1:5">
      <c r="A3411" s="1">
        <v>45932</v>
      </c>
      <c r="B3411" t="s">
        <v>817</v>
      </c>
      <c r="C3411" t="s">
        <v>20</v>
      </c>
      <c r="D3411" t="s">
        <v>4343</v>
      </c>
      <c r="E3411">
        <v>1200</v>
      </c>
    </row>
    <row r="3412" spans="1:5">
      <c r="A3412" s="1">
        <v>45932</v>
      </c>
      <c r="B3412" t="s">
        <v>4344</v>
      </c>
      <c r="C3412" t="s">
        <v>20</v>
      </c>
      <c r="D3412" t="s">
        <v>4345</v>
      </c>
      <c r="E3412">
        <v>1750</v>
      </c>
    </row>
    <row r="3413" spans="1:5">
      <c r="A3413" s="1">
        <v>45932</v>
      </c>
      <c r="B3413" t="s">
        <v>3631</v>
      </c>
      <c r="C3413" t="s">
        <v>20</v>
      </c>
      <c r="D3413" t="s">
        <v>4346</v>
      </c>
      <c r="E3413">
        <v>1750</v>
      </c>
    </row>
    <row r="3414" spans="1:5">
      <c r="A3414" s="1">
        <v>45932</v>
      </c>
      <c r="B3414" t="s">
        <v>4347</v>
      </c>
      <c r="C3414" t="s">
        <v>20</v>
      </c>
      <c r="D3414" t="s">
        <v>4348</v>
      </c>
      <c r="E3414">
        <v>26221</v>
      </c>
    </row>
    <row r="3415" spans="1:5">
      <c r="A3415" s="1">
        <v>45932</v>
      </c>
      <c r="B3415" t="s">
        <v>410</v>
      </c>
      <c r="C3415" t="s">
        <v>20</v>
      </c>
      <c r="D3415" t="s">
        <v>4349</v>
      </c>
      <c r="E3415">
        <v>3750</v>
      </c>
    </row>
    <row r="3416" spans="1:5">
      <c r="A3416" s="1">
        <v>45932</v>
      </c>
      <c r="B3416" t="s">
        <v>2634</v>
      </c>
      <c r="C3416" t="s">
        <v>20</v>
      </c>
      <c r="D3416" t="s">
        <v>4350</v>
      </c>
      <c r="E3416">
        <v>7200</v>
      </c>
    </row>
    <row r="3417" spans="1:5">
      <c r="A3417" s="1">
        <v>45932</v>
      </c>
      <c r="B3417" t="s">
        <v>2288</v>
      </c>
      <c r="C3417" t="s">
        <v>20</v>
      </c>
      <c r="D3417" t="s">
        <v>4351</v>
      </c>
      <c r="E3417">
        <v>3400</v>
      </c>
    </row>
    <row r="3418" spans="1:5">
      <c r="A3418" s="1">
        <v>45932</v>
      </c>
      <c r="B3418" t="s">
        <v>4352</v>
      </c>
      <c r="C3418" t="s">
        <v>20</v>
      </c>
      <c r="D3418" t="s">
        <v>4353</v>
      </c>
      <c r="E3418">
        <v>3500</v>
      </c>
    </row>
    <row r="3419" spans="1:5">
      <c r="A3419" s="1">
        <v>45932</v>
      </c>
      <c r="B3419" t="s">
        <v>1771</v>
      </c>
      <c r="C3419" t="s">
        <v>20</v>
      </c>
      <c r="D3419" t="s">
        <v>4354</v>
      </c>
      <c r="E3419">
        <v>700</v>
      </c>
    </row>
    <row r="3420" spans="1:5">
      <c r="A3420" s="1">
        <v>45932</v>
      </c>
      <c r="B3420" t="s">
        <v>4355</v>
      </c>
      <c r="C3420" t="s">
        <v>20</v>
      </c>
      <c r="D3420" t="s">
        <v>4356</v>
      </c>
      <c r="E3420">
        <v>10431</v>
      </c>
    </row>
    <row r="3421" spans="1:5">
      <c r="A3421" s="1">
        <v>45932</v>
      </c>
      <c r="B3421" t="s">
        <v>48</v>
      </c>
      <c r="C3421" t="s">
        <v>20</v>
      </c>
      <c r="D3421" t="s">
        <v>4357</v>
      </c>
      <c r="E3421">
        <v>66483</v>
      </c>
    </row>
    <row r="3422" spans="1:5">
      <c r="A3422" s="1">
        <v>45932</v>
      </c>
      <c r="B3422" t="s">
        <v>4329</v>
      </c>
      <c r="C3422" t="s">
        <v>20</v>
      </c>
      <c r="D3422" t="s">
        <v>4358</v>
      </c>
      <c r="E3422">
        <v>159</v>
      </c>
    </row>
    <row r="3423" spans="1:5">
      <c r="A3423" s="1">
        <v>45932</v>
      </c>
      <c r="B3423" t="s">
        <v>1748</v>
      </c>
      <c r="C3423" t="s">
        <v>20</v>
      </c>
      <c r="D3423" t="s">
        <v>4359</v>
      </c>
      <c r="E3423">
        <v>4607</v>
      </c>
    </row>
    <row r="3424" spans="1:5">
      <c r="A3424" s="1">
        <v>45932</v>
      </c>
      <c r="B3424" t="s">
        <v>220</v>
      </c>
      <c r="C3424" t="s">
        <v>20</v>
      </c>
      <c r="D3424" t="s">
        <v>4360</v>
      </c>
      <c r="E3424">
        <v>3163</v>
      </c>
    </row>
    <row r="3425" spans="1:5">
      <c r="A3425" s="1">
        <v>45932</v>
      </c>
      <c r="B3425" t="s">
        <v>4361</v>
      </c>
      <c r="C3425" t="s">
        <v>20</v>
      </c>
      <c r="D3425" t="s">
        <v>4362</v>
      </c>
      <c r="E3425">
        <v>25443</v>
      </c>
    </row>
    <row r="3426" spans="1:5">
      <c r="A3426" s="1">
        <v>45932</v>
      </c>
      <c r="B3426" t="s">
        <v>4363</v>
      </c>
      <c r="C3426" t="s">
        <v>20</v>
      </c>
      <c r="D3426" t="s">
        <v>4364</v>
      </c>
      <c r="E3426">
        <v>572</v>
      </c>
    </row>
    <row r="3427" spans="1:5">
      <c r="A3427" s="1">
        <v>45933</v>
      </c>
      <c r="B3427" t="s">
        <v>3193</v>
      </c>
      <c r="C3427" t="s">
        <v>19</v>
      </c>
      <c r="D3427" t="s">
        <v>4365</v>
      </c>
      <c r="E3427">
        <v>6426</v>
      </c>
    </row>
    <row r="3428" spans="1:5">
      <c r="A3428" s="1">
        <v>45933</v>
      </c>
      <c r="B3428" t="s">
        <v>1104</v>
      </c>
      <c r="C3428" t="s">
        <v>19</v>
      </c>
      <c r="D3428" t="s">
        <v>4366</v>
      </c>
      <c r="E3428">
        <v>30250.933000000001</v>
      </c>
    </row>
    <row r="3429" spans="1:5">
      <c r="A3429" s="1">
        <v>45933</v>
      </c>
      <c r="B3429" t="s">
        <v>4144</v>
      </c>
      <c r="C3429" t="s">
        <v>20</v>
      </c>
      <c r="D3429" t="s">
        <v>4367</v>
      </c>
      <c r="E3429">
        <v>9900</v>
      </c>
    </row>
    <row r="3430" spans="1:5">
      <c r="A3430" s="1">
        <v>45933</v>
      </c>
      <c r="B3430" t="s">
        <v>1075</v>
      </c>
      <c r="C3430" t="s">
        <v>20</v>
      </c>
      <c r="D3430" t="s">
        <v>4368</v>
      </c>
      <c r="E3430">
        <v>4835</v>
      </c>
    </row>
    <row r="3431" spans="1:5">
      <c r="A3431" s="1">
        <v>45933</v>
      </c>
      <c r="B3431" t="s">
        <v>68</v>
      </c>
      <c r="C3431" t="s">
        <v>20</v>
      </c>
      <c r="D3431" t="s">
        <v>4369</v>
      </c>
      <c r="E3431">
        <v>7110</v>
      </c>
    </row>
    <row r="3432" spans="1:5">
      <c r="A3432" s="1">
        <v>45933</v>
      </c>
      <c r="B3432" t="s">
        <v>76</v>
      </c>
      <c r="C3432" t="s">
        <v>20</v>
      </c>
      <c r="D3432" t="s">
        <v>4370</v>
      </c>
      <c r="E3432">
        <v>2961</v>
      </c>
    </row>
    <row r="3433" spans="1:5">
      <c r="A3433" s="1">
        <v>45933</v>
      </c>
      <c r="B3433" t="s">
        <v>4371</v>
      </c>
      <c r="C3433" t="s">
        <v>20</v>
      </c>
      <c r="D3433" t="s">
        <v>4372</v>
      </c>
      <c r="E3433">
        <v>1400</v>
      </c>
    </row>
    <row r="3434" spans="1:5">
      <c r="A3434" s="1">
        <v>45933</v>
      </c>
      <c r="B3434" t="s">
        <v>1755</v>
      </c>
      <c r="C3434" t="s">
        <v>20</v>
      </c>
      <c r="D3434" t="s">
        <v>4373</v>
      </c>
      <c r="E3434">
        <v>19420</v>
      </c>
    </row>
    <row r="3435" spans="1:5">
      <c r="A3435" s="1">
        <v>45933</v>
      </c>
      <c r="B3435" t="s">
        <v>50</v>
      </c>
      <c r="C3435" t="s">
        <v>20</v>
      </c>
      <c r="D3435" t="s">
        <v>4374</v>
      </c>
      <c r="E3435">
        <v>2590</v>
      </c>
    </row>
    <row r="3436" spans="1:5">
      <c r="A3436" s="1">
        <v>45933</v>
      </c>
      <c r="B3436" t="s">
        <v>4375</v>
      </c>
      <c r="C3436" t="s">
        <v>20</v>
      </c>
      <c r="D3436" t="s">
        <v>4376</v>
      </c>
      <c r="E3436">
        <v>29795</v>
      </c>
    </row>
    <row r="3437" spans="1:5">
      <c r="A3437" s="1">
        <v>45933</v>
      </c>
      <c r="B3437" t="s">
        <v>50</v>
      </c>
      <c r="C3437" t="s">
        <v>20</v>
      </c>
      <c r="D3437" t="s">
        <v>4377</v>
      </c>
      <c r="E3437">
        <v>12</v>
      </c>
    </row>
    <row r="3438" spans="1:5">
      <c r="A3438" s="1">
        <v>45933</v>
      </c>
      <c r="B3438" t="s">
        <v>50</v>
      </c>
      <c r="C3438" t="s">
        <v>20</v>
      </c>
      <c r="D3438" t="s">
        <v>4378</v>
      </c>
      <c r="E3438">
        <v>12</v>
      </c>
    </row>
    <row r="3439" spans="1:5">
      <c r="A3439" s="1">
        <v>45933</v>
      </c>
      <c r="B3439" t="s">
        <v>1964</v>
      </c>
      <c r="C3439" t="s">
        <v>20</v>
      </c>
      <c r="D3439" t="s">
        <v>4379</v>
      </c>
      <c r="E3439">
        <v>5404</v>
      </c>
    </row>
    <row r="3440" spans="1:5">
      <c r="A3440" s="1">
        <v>45933</v>
      </c>
      <c r="B3440" t="s">
        <v>35</v>
      </c>
      <c r="C3440" t="s">
        <v>20</v>
      </c>
      <c r="D3440" t="s">
        <v>4380</v>
      </c>
      <c r="E3440">
        <v>268</v>
      </c>
    </row>
    <row r="3441" spans="1:5">
      <c r="A3441" s="1">
        <v>45933</v>
      </c>
      <c r="B3441" t="s">
        <v>1617</v>
      </c>
      <c r="C3441" t="s">
        <v>20</v>
      </c>
      <c r="D3441" t="s">
        <v>4381</v>
      </c>
      <c r="E3441">
        <v>3102</v>
      </c>
    </row>
    <row r="3442" spans="1:5">
      <c r="A3442" s="1">
        <v>45933</v>
      </c>
      <c r="B3442" t="s">
        <v>4382</v>
      </c>
      <c r="C3442" t="s">
        <v>20</v>
      </c>
      <c r="D3442" t="s">
        <v>4383</v>
      </c>
      <c r="E3442">
        <v>3080</v>
      </c>
    </row>
    <row r="3443" spans="1:5">
      <c r="A3443" s="1">
        <v>45933</v>
      </c>
      <c r="B3443" t="s">
        <v>35</v>
      </c>
      <c r="C3443" t="s">
        <v>20</v>
      </c>
      <c r="D3443" t="s">
        <v>4384</v>
      </c>
      <c r="E3443">
        <v>240</v>
      </c>
    </row>
    <row r="3444" spans="1:5">
      <c r="A3444" s="1">
        <v>45933</v>
      </c>
      <c r="B3444" t="s">
        <v>68</v>
      </c>
      <c r="C3444" t="s">
        <v>20</v>
      </c>
      <c r="D3444" t="s">
        <v>4385</v>
      </c>
      <c r="E3444">
        <v>2947</v>
      </c>
    </row>
    <row r="3445" spans="1:5">
      <c r="A3445" s="1">
        <v>45933</v>
      </c>
      <c r="B3445" t="s">
        <v>4304</v>
      </c>
      <c r="C3445" t="s">
        <v>20</v>
      </c>
      <c r="D3445" t="s">
        <v>4386</v>
      </c>
      <c r="E3445">
        <v>3746</v>
      </c>
    </row>
    <row r="3446" spans="1:5">
      <c r="A3446" s="1">
        <v>45933</v>
      </c>
      <c r="B3446" t="s">
        <v>265</v>
      </c>
      <c r="C3446" t="s">
        <v>20</v>
      </c>
      <c r="D3446" t="s">
        <v>4387</v>
      </c>
      <c r="E3446">
        <v>3947</v>
      </c>
    </row>
    <row r="3447" spans="1:5">
      <c r="A3447" s="1">
        <v>45934</v>
      </c>
      <c r="B3447" t="s">
        <v>4388</v>
      </c>
      <c r="C3447" t="s">
        <v>19</v>
      </c>
      <c r="D3447" t="s">
        <v>4389</v>
      </c>
      <c r="E3447">
        <v>32568</v>
      </c>
    </row>
    <row r="3448" spans="1:5">
      <c r="A3448" s="1">
        <v>45934</v>
      </c>
      <c r="B3448" t="s">
        <v>4144</v>
      </c>
      <c r="C3448" t="s">
        <v>20</v>
      </c>
      <c r="D3448" t="s">
        <v>4390</v>
      </c>
      <c r="E3448">
        <v>9900</v>
      </c>
    </row>
    <row r="3449" spans="1:5">
      <c r="A3449" s="1">
        <v>45934</v>
      </c>
      <c r="B3449" t="s">
        <v>100</v>
      </c>
      <c r="C3449" t="s">
        <v>20</v>
      </c>
      <c r="D3449" t="s">
        <v>4391</v>
      </c>
      <c r="E3449">
        <v>18200</v>
      </c>
    </row>
    <row r="3450" spans="1:5">
      <c r="A3450" s="1">
        <v>45934</v>
      </c>
      <c r="B3450" t="s">
        <v>2786</v>
      </c>
      <c r="C3450" t="s">
        <v>20</v>
      </c>
      <c r="D3450" t="s">
        <v>4392</v>
      </c>
      <c r="E3450">
        <v>44247</v>
      </c>
    </row>
    <row r="3451" spans="1:5">
      <c r="A3451" s="1">
        <v>45934</v>
      </c>
      <c r="B3451" t="s">
        <v>360</v>
      </c>
      <c r="C3451" t="s">
        <v>20</v>
      </c>
      <c r="D3451" t="s">
        <v>4393</v>
      </c>
      <c r="E3451">
        <v>11925</v>
      </c>
    </row>
    <row r="3452" spans="1:5">
      <c r="A3452" s="1">
        <v>45934</v>
      </c>
      <c r="B3452" t="s">
        <v>76</v>
      </c>
      <c r="C3452" t="s">
        <v>20</v>
      </c>
      <c r="D3452" t="s">
        <v>4394</v>
      </c>
      <c r="E3452">
        <v>3376</v>
      </c>
    </row>
    <row r="3453" spans="1:5">
      <c r="A3453" s="1">
        <v>45934</v>
      </c>
      <c r="B3453" t="s">
        <v>1771</v>
      </c>
      <c r="C3453" t="s">
        <v>20</v>
      </c>
      <c r="D3453" t="s">
        <v>4395</v>
      </c>
      <c r="E3453">
        <v>680</v>
      </c>
    </row>
    <row r="3454" spans="1:5">
      <c r="A3454" s="1">
        <v>45934</v>
      </c>
      <c r="B3454" t="s">
        <v>3697</v>
      </c>
      <c r="C3454" t="s">
        <v>20</v>
      </c>
      <c r="D3454" t="s">
        <v>4396</v>
      </c>
      <c r="E3454">
        <v>340</v>
      </c>
    </row>
    <row r="3455" spans="1:5">
      <c r="A3455" s="1">
        <v>45934</v>
      </c>
      <c r="B3455" t="s">
        <v>316</v>
      </c>
      <c r="C3455" t="s">
        <v>20</v>
      </c>
      <c r="D3455" t="s">
        <v>4397</v>
      </c>
      <c r="E3455">
        <v>310</v>
      </c>
    </row>
    <row r="3456" spans="1:5">
      <c r="A3456" s="1">
        <v>45934</v>
      </c>
      <c r="B3456" t="s">
        <v>2399</v>
      </c>
      <c r="C3456" t="s">
        <v>20</v>
      </c>
      <c r="D3456" t="s">
        <v>4398</v>
      </c>
      <c r="E3456">
        <v>388</v>
      </c>
    </row>
    <row r="3457" spans="1:5">
      <c r="A3457" s="1">
        <v>45934</v>
      </c>
      <c r="B3457" t="s">
        <v>1099</v>
      </c>
      <c r="C3457" t="s">
        <v>20</v>
      </c>
      <c r="D3457" t="s">
        <v>4399</v>
      </c>
      <c r="E3457">
        <v>100</v>
      </c>
    </row>
    <row r="3458" spans="1:5">
      <c r="A3458" s="1">
        <v>45934</v>
      </c>
      <c r="B3458" t="s">
        <v>4347</v>
      </c>
      <c r="C3458" t="s">
        <v>20</v>
      </c>
      <c r="D3458" t="s">
        <v>4400</v>
      </c>
      <c r="E3458">
        <v>2456</v>
      </c>
    </row>
    <row r="3459" spans="1:5">
      <c r="A3459" s="1">
        <v>45934</v>
      </c>
      <c r="B3459" t="s">
        <v>4329</v>
      </c>
      <c r="C3459" t="s">
        <v>20</v>
      </c>
      <c r="D3459" t="s">
        <v>4401</v>
      </c>
      <c r="E3459">
        <v>3500</v>
      </c>
    </row>
    <row r="3460" spans="1:5">
      <c r="A3460" s="1">
        <v>45934</v>
      </c>
      <c r="B3460" t="s">
        <v>4402</v>
      </c>
      <c r="C3460" t="s">
        <v>20</v>
      </c>
      <c r="D3460" t="s">
        <v>4403</v>
      </c>
      <c r="E3460">
        <v>15274</v>
      </c>
    </row>
    <row r="3461" spans="1:5">
      <c r="A3461" s="1">
        <v>45934</v>
      </c>
      <c r="B3461" t="s">
        <v>68</v>
      </c>
      <c r="C3461" t="s">
        <v>20</v>
      </c>
      <c r="D3461" t="s">
        <v>4404</v>
      </c>
      <c r="E3461">
        <v>723</v>
      </c>
    </row>
    <row r="3462" spans="1:5">
      <c r="A3462" s="1">
        <v>45934</v>
      </c>
      <c r="B3462" t="s">
        <v>1085</v>
      </c>
      <c r="C3462" t="s">
        <v>20</v>
      </c>
      <c r="D3462" t="s">
        <v>4405</v>
      </c>
      <c r="E3462">
        <v>2920</v>
      </c>
    </row>
    <row r="3463" spans="1:5">
      <c r="A3463" s="1">
        <v>45934</v>
      </c>
      <c r="B3463" t="s">
        <v>566</v>
      </c>
      <c r="C3463" t="s">
        <v>20</v>
      </c>
      <c r="D3463" t="s">
        <v>4406</v>
      </c>
      <c r="E3463">
        <v>74</v>
      </c>
    </row>
    <row r="3464" spans="1:5">
      <c r="A3464" s="1">
        <v>45934</v>
      </c>
      <c r="B3464" t="s">
        <v>939</v>
      </c>
      <c r="C3464" t="s">
        <v>20</v>
      </c>
      <c r="D3464" t="s">
        <v>4407</v>
      </c>
      <c r="E3464">
        <v>628</v>
      </c>
    </row>
    <row r="3465" spans="1:5">
      <c r="A3465" s="1">
        <v>45934</v>
      </c>
      <c r="B3465" t="s">
        <v>2143</v>
      </c>
      <c r="C3465" t="s">
        <v>20</v>
      </c>
      <c r="D3465" t="s">
        <v>4408</v>
      </c>
      <c r="E3465">
        <v>20690</v>
      </c>
    </row>
    <row r="3466" spans="1:5">
      <c r="A3466" s="1">
        <v>45934</v>
      </c>
      <c r="B3466" t="s">
        <v>536</v>
      </c>
      <c r="C3466" t="s">
        <v>20</v>
      </c>
      <c r="D3466" t="s">
        <v>4409</v>
      </c>
      <c r="E3466">
        <v>3580</v>
      </c>
    </row>
    <row r="3467" spans="1:5">
      <c r="A3467" s="1">
        <v>45934</v>
      </c>
      <c r="B3467" t="s">
        <v>681</v>
      </c>
      <c r="C3467" t="s">
        <v>20</v>
      </c>
      <c r="D3467" t="s">
        <v>4410</v>
      </c>
      <c r="E3467">
        <v>2720</v>
      </c>
    </row>
    <row r="3468" spans="1:5">
      <c r="A3468" s="1">
        <v>45934</v>
      </c>
      <c r="B3468" t="s">
        <v>50</v>
      </c>
      <c r="C3468" t="s">
        <v>20</v>
      </c>
      <c r="D3468" t="s">
        <v>4411</v>
      </c>
      <c r="E3468">
        <v>168</v>
      </c>
    </row>
    <row r="3469" spans="1:5">
      <c r="A3469" s="1">
        <v>45934</v>
      </c>
      <c r="B3469" t="s">
        <v>647</v>
      </c>
      <c r="C3469" t="s">
        <v>20</v>
      </c>
      <c r="D3469" t="s">
        <v>4412</v>
      </c>
      <c r="E3469">
        <v>21</v>
      </c>
    </row>
    <row r="3470" spans="1:5">
      <c r="A3470" s="1">
        <v>45934</v>
      </c>
      <c r="B3470" t="s">
        <v>4413</v>
      </c>
      <c r="C3470" t="s">
        <v>20</v>
      </c>
      <c r="D3470" t="s">
        <v>4414</v>
      </c>
      <c r="E3470">
        <v>340</v>
      </c>
    </row>
    <row r="3471" spans="1:5">
      <c r="A3471" s="1">
        <v>45934</v>
      </c>
      <c r="B3471" t="s">
        <v>4415</v>
      </c>
      <c r="C3471" t="s">
        <v>20</v>
      </c>
      <c r="D3471" t="s">
        <v>4416</v>
      </c>
      <c r="E3471">
        <v>20</v>
      </c>
    </row>
    <row r="3472" spans="1:5">
      <c r="A3472" s="1">
        <v>45934</v>
      </c>
      <c r="B3472" t="s">
        <v>4329</v>
      </c>
      <c r="C3472" t="s">
        <v>20</v>
      </c>
      <c r="D3472" t="s">
        <v>4417</v>
      </c>
      <c r="E3472">
        <v>330</v>
      </c>
    </row>
    <row r="3473" spans="1:5">
      <c r="A3473" s="1">
        <v>45934</v>
      </c>
      <c r="B3473" t="s">
        <v>4418</v>
      </c>
      <c r="C3473" t="s">
        <v>20</v>
      </c>
      <c r="D3473" t="s">
        <v>4419</v>
      </c>
      <c r="E3473">
        <v>18486</v>
      </c>
    </row>
    <row r="3474" spans="1:5">
      <c r="A3474" s="1">
        <v>45934</v>
      </c>
      <c r="B3474" t="s">
        <v>100</v>
      </c>
      <c r="C3474" t="s">
        <v>20</v>
      </c>
      <c r="D3474" t="s">
        <v>4420</v>
      </c>
      <c r="E3474">
        <v>4645</v>
      </c>
    </row>
    <row r="3475" spans="1:5">
      <c r="A3475" s="1">
        <v>45934</v>
      </c>
      <c r="B3475" t="s">
        <v>3087</v>
      </c>
      <c r="C3475" t="s">
        <v>20</v>
      </c>
      <c r="D3475" t="s">
        <v>4421</v>
      </c>
      <c r="E3475">
        <v>4156</v>
      </c>
    </row>
    <row r="3476" spans="1:5">
      <c r="A3476" s="1">
        <v>45934</v>
      </c>
      <c r="B3476" t="s">
        <v>50</v>
      </c>
      <c r="C3476" t="s">
        <v>20</v>
      </c>
      <c r="D3476" t="s">
        <v>4422</v>
      </c>
      <c r="E3476">
        <v>1675</v>
      </c>
    </row>
    <row r="3477" spans="1:5">
      <c r="A3477" s="1">
        <v>45936</v>
      </c>
      <c r="B3477" t="s">
        <v>1106</v>
      </c>
      <c r="C3477" t="s">
        <v>19</v>
      </c>
      <c r="D3477" t="s">
        <v>4423</v>
      </c>
      <c r="E3477">
        <v>151219</v>
      </c>
    </row>
    <row r="3478" spans="1:5">
      <c r="A3478" s="1">
        <v>45936</v>
      </c>
      <c r="B3478" t="s">
        <v>1075</v>
      </c>
      <c r="C3478" t="s">
        <v>20</v>
      </c>
      <c r="D3478" t="s">
        <v>4424</v>
      </c>
      <c r="E3478">
        <v>1020</v>
      </c>
    </row>
    <row r="3479" spans="1:5">
      <c r="A3479" s="1">
        <v>45936</v>
      </c>
      <c r="B3479" t="s">
        <v>1428</v>
      </c>
      <c r="C3479" t="s">
        <v>20</v>
      </c>
      <c r="D3479" t="s">
        <v>4425</v>
      </c>
      <c r="E3479">
        <v>1700</v>
      </c>
    </row>
    <row r="3480" spans="1:5">
      <c r="A3480" s="1">
        <v>45936</v>
      </c>
      <c r="B3480" t="s">
        <v>1397</v>
      </c>
      <c r="C3480" t="s">
        <v>20</v>
      </c>
      <c r="D3480" t="s">
        <v>4426</v>
      </c>
      <c r="E3480">
        <v>4685</v>
      </c>
    </row>
    <row r="3481" spans="1:5">
      <c r="A3481" s="1">
        <v>45936</v>
      </c>
      <c r="B3481" t="s">
        <v>89</v>
      </c>
      <c r="C3481" t="s">
        <v>20</v>
      </c>
      <c r="D3481" t="s">
        <v>4427</v>
      </c>
      <c r="E3481">
        <v>1360</v>
      </c>
    </row>
    <row r="3482" spans="1:5">
      <c r="A3482" s="1">
        <v>45936</v>
      </c>
      <c r="B3482" t="s">
        <v>4428</v>
      </c>
      <c r="C3482" t="s">
        <v>20</v>
      </c>
      <c r="D3482" t="s">
        <v>4429</v>
      </c>
      <c r="E3482">
        <v>1020</v>
      </c>
    </row>
    <row r="3483" spans="1:5">
      <c r="A3483" s="1">
        <v>45936</v>
      </c>
      <c r="B3483" t="s">
        <v>4430</v>
      </c>
      <c r="C3483" t="s">
        <v>20</v>
      </c>
      <c r="D3483" t="s">
        <v>4431</v>
      </c>
      <c r="E3483">
        <v>340</v>
      </c>
    </row>
    <row r="3484" spans="1:5">
      <c r="A3484" s="1">
        <v>45936</v>
      </c>
      <c r="B3484" t="s">
        <v>557</v>
      </c>
      <c r="C3484" t="s">
        <v>20</v>
      </c>
      <c r="D3484" t="s">
        <v>4432</v>
      </c>
      <c r="E3484">
        <v>6556</v>
      </c>
    </row>
    <row r="3485" spans="1:5">
      <c r="A3485" s="1">
        <v>45936</v>
      </c>
      <c r="B3485" t="s">
        <v>2786</v>
      </c>
      <c r="C3485" t="s">
        <v>20</v>
      </c>
      <c r="D3485" t="s">
        <v>4433</v>
      </c>
      <c r="E3485">
        <v>8250</v>
      </c>
    </row>
    <row r="3486" spans="1:5">
      <c r="A3486" s="1">
        <v>45936</v>
      </c>
      <c r="B3486" t="s">
        <v>4434</v>
      </c>
      <c r="C3486" t="s">
        <v>20</v>
      </c>
      <c r="D3486" t="s">
        <v>4435</v>
      </c>
      <c r="E3486">
        <v>20684</v>
      </c>
    </row>
    <row r="3487" spans="1:5">
      <c r="A3487" s="1">
        <v>45936</v>
      </c>
      <c r="B3487" t="s">
        <v>129</v>
      </c>
      <c r="C3487" t="s">
        <v>20</v>
      </c>
      <c r="D3487" t="s">
        <v>4436</v>
      </c>
      <c r="E3487">
        <v>7334</v>
      </c>
    </row>
    <row r="3488" spans="1:5">
      <c r="A3488" s="1">
        <v>45936</v>
      </c>
      <c r="B3488" t="s">
        <v>4437</v>
      </c>
      <c r="C3488" t="s">
        <v>20</v>
      </c>
      <c r="D3488" t="s">
        <v>4438</v>
      </c>
      <c r="E3488">
        <v>200</v>
      </c>
    </row>
    <row r="3489" spans="1:5">
      <c r="A3489" s="1">
        <v>45936</v>
      </c>
      <c r="B3489" t="s">
        <v>3278</v>
      </c>
      <c r="C3489" t="s">
        <v>20</v>
      </c>
      <c r="D3489" t="s">
        <v>4439</v>
      </c>
      <c r="E3489">
        <v>340</v>
      </c>
    </row>
    <row r="3490" spans="1:5">
      <c r="A3490" s="1">
        <v>45936</v>
      </c>
      <c r="B3490" t="s">
        <v>66</v>
      </c>
      <c r="C3490" t="s">
        <v>20</v>
      </c>
      <c r="D3490" t="s">
        <v>4440</v>
      </c>
      <c r="E3490">
        <v>1481</v>
      </c>
    </row>
    <row r="3491" spans="1:5">
      <c r="A3491" s="1">
        <v>45936</v>
      </c>
      <c r="B3491" t="s">
        <v>4375</v>
      </c>
      <c r="C3491" t="s">
        <v>20</v>
      </c>
      <c r="D3491" t="s">
        <v>4441</v>
      </c>
      <c r="E3491">
        <v>4360</v>
      </c>
    </row>
    <row r="3492" spans="1:5">
      <c r="A3492" s="1">
        <v>45936</v>
      </c>
      <c r="B3492" t="s">
        <v>2786</v>
      </c>
      <c r="C3492" t="s">
        <v>20</v>
      </c>
      <c r="D3492" t="s">
        <v>4442</v>
      </c>
      <c r="E3492">
        <v>3026</v>
      </c>
    </row>
    <row r="3493" spans="1:5">
      <c r="A3493" s="1">
        <v>45936</v>
      </c>
      <c r="B3493" t="s">
        <v>100</v>
      </c>
      <c r="C3493" t="s">
        <v>20</v>
      </c>
      <c r="D3493" t="s">
        <v>4443</v>
      </c>
      <c r="E3493">
        <v>1824</v>
      </c>
    </row>
    <row r="3494" spans="1:5">
      <c r="A3494" s="1">
        <v>45936</v>
      </c>
      <c r="B3494" t="s">
        <v>2702</v>
      </c>
      <c r="C3494" t="s">
        <v>20</v>
      </c>
      <c r="D3494" t="s">
        <v>4444</v>
      </c>
      <c r="E3494">
        <v>59672</v>
      </c>
    </row>
    <row r="3495" spans="1:5">
      <c r="A3495" s="1">
        <v>45936</v>
      </c>
      <c r="B3495" t="s">
        <v>4347</v>
      </c>
      <c r="C3495" t="s">
        <v>20</v>
      </c>
      <c r="D3495" t="s">
        <v>4445</v>
      </c>
      <c r="E3495">
        <v>110</v>
      </c>
    </row>
    <row r="3496" spans="1:5">
      <c r="A3496" s="1">
        <v>45936</v>
      </c>
      <c r="B3496" t="s">
        <v>4446</v>
      </c>
      <c r="C3496" t="s">
        <v>20</v>
      </c>
      <c r="D3496" t="s">
        <v>4447</v>
      </c>
      <c r="E3496">
        <v>340</v>
      </c>
    </row>
    <row r="3497" spans="1:5">
      <c r="A3497" s="1">
        <v>45937</v>
      </c>
      <c r="B3497" t="s">
        <v>4448</v>
      </c>
      <c r="C3497" t="s">
        <v>19</v>
      </c>
      <c r="D3497" t="s">
        <v>4449</v>
      </c>
      <c r="E3497">
        <v>22843</v>
      </c>
    </row>
    <row r="3498" spans="1:5">
      <c r="A3498" s="1">
        <v>45937</v>
      </c>
      <c r="B3498" t="s">
        <v>4450</v>
      </c>
      <c r="C3498" t="s">
        <v>20</v>
      </c>
      <c r="D3498" t="s">
        <v>4451</v>
      </c>
      <c r="E3498">
        <v>1360</v>
      </c>
    </row>
    <row r="3499" spans="1:5">
      <c r="A3499" s="1">
        <v>45937</v>
      </c>
      <c r="B3499" t="s">
        <v>2679</v>
      </c>
      <c r="C3499" t="s">
        <v>20</v>
      </c>
      <c r="D3499" t="s">
        <v>4452</v>
      </c>
      <c r="E3499">
        <v>5100</v>
      </c>
    </row>
    <row r="3500" spans="1:5">
      <c r="A3500" s="1">
        <v>45937</v>
      </c>
      <c r="B3500" t="s">
        <v>709</v>
      </c>
      <c r="C3500" t="s">
        <v>20</v>
      </c>
      <c r="D3500" t="s">
        <v>4453</v>
      </c>
      <c r="E3500">
        <v>2040</v>
      </c>
    </row>
    <row r="3501" spans="1:5">
      <c r="A3501" s="1">
        <v>45937</v>
      </c>
      <c r="B3501" t="s">
        <v>932</v>
      </c>
      <c r="C3501" t="s">
        <v>20</v>
      </c>
      <c r="D3501" t="s">
        <v>4454</v>
      </c>
      <c r="E3501">
        <v>5820</v>
      </c>
    </row>
    <row r="3502" spans="1:5">
      <c r="A3502" s="1">
        <v>45937</v>
      </c>
      <c r="B3502" t="s">
        <v>817</v>
      </c>
      <c r="C3502" t="s">
        <v>20</v>
      </c>
      <c r="D3502" t="s">
        <v>4455</v>
      </c>
      <c r="E3502">
        <v>340</v>
      </c>
    </row>
    <row r="3503" spans="1:5">
      <c r="A3503" s="1">
        <v>45937</v>
      </c>
      <c r="B3503" t="s">
        <v>1075</v>
      </c>
      <c r="C3503" t="s">
        <v>20</v>
      </c>
      <c r="D3503" t="s">
        <v>4456</v>
      </c>
      <c r="E3503">
        <v>20721</v>
      </c>
    </row>
    <row r="3504" spans="1:5">
      <c r="A3504" s="1">
        <v>45937</v>
      </c>
      <c r="B3504" t="s">
        <v>4428</v>
      </c>
      <c r="C3504" t="s">
        <v>20</v>
      </c>
      <c r="D3504" t="s">
        <v>4457</v>
      </c>
      <c r="E3504">
        <v>340</v>
      </c>
    </row>
    <row r="3505" spans="1:5">
      <c r="A3505" s="1">
        <v>45937</v>
      </c>
      <c r="B3505" t="s">
        <v>378</v>
      </c>
      <c r="C3505" t="s">
        <v>20</v>
      </c>
      <c r="D3505" t="s">
        <v>4458</v>
      </c>
      <c r="E3505">
        <v>15117</v>
      </c>
    </row>
    <row r="3506" spans="1:5">
      <c r="A3506" s="1">
        <v>45937</v>
      </c>
      <c r="B3506" t="s">
        <v>4459</v>
      </c>
      <c r="C3506" t="s">
        <v>20</v>
      </c>
      <c r="D3506" t="s">
        <v>4460</v>
      </c>
      <c r="E3506">
        <v>6800</v>
      </c>
    </row>
    <row r="3507" spans="1:5">
      <c r="A3507" s="1">
        <v>45937</v>
      </c>
      <c r="B3507" t="s">
        <v>143</v>
      </c>
      <c r="C3507" t="s">
        <v>20</v>
      </c>
      <c r="D3507" t="s">
        <v>4461</v>
      </c>
      <c r="E3507">
        <v>3695</v>
      </c>
    </row>
    <row r="3508" spans="1:5">
      <c r="A3508" s="1">
        <v>45937</v>
      </c>
      <c r="B3508" t="s">
        <v>1428</v>
      </c>
      <c r="C3508" t="s">
        <v>20</v>
      </c>
      <c r="D3508" t="s">
        <v>4462</v>
      </c>
      <c r="E3508">
        <v>1020</v>
      </c>
    </row>
    <row r="3509" spans="1:5">
      <c r="A3509" s="1">
        <v>45937</v>
      </c>
      <c r="B3509" t="s">
        <v>2580</v>
      </c>
      <c r="C3509" t="s">
        <v>20</v>
      </c>
      <c r="D3509" t="s">
        <v>4463</v>
      </c>
      <c r="E3509">
        <v>3400</v>
      </c>
    </row>
    <row r="3510" spans="1:5">
      <c r="A3510" s="1">
        <v>45937</v>
      </c>
      <c r="B3510" t="s">
        <v>4464</v>
      </c>
      <c r="C3510" t="s">
        <v>20</v>
      </c>
      <c r="D3510" t="s">
        <v>4465</v>
      </c>
      <c r="E3510">
        <v>340</v>
      </c>
    </row>
    <row r="3511" spans="1:5">
      <c r="A3511" s="1">
        <v>45937</v>
      </c>
      <c r="B3511" t="s">
        <v>50</v>
      </c>
      <c r="C3511" t="s">
        <v>20</v>
      </c>
      <c r="D3511" t="s">
        <v>4466</v>
      </c>
      <c r="E3511">
        <v>330</v>
      </c>
    </row>
    <row r="3512" spans="1:5">
      <c r="A3512" s="1">
        <v>45937</v>
      </c>
      <c r="B3512" t="s">
        <v>50</v>
      </c>
      <c r="C3512" t="s">
        <v>20</v>
      </c>
      <c r="D3512" t="s">
        <v>4467</v>
      </c>
      <c r="E3512">
        <v>130</v>
      </c>
    </row>
    <row r="3513" spans="1:5">
      <c r="A3513" s="1">
        <v>45937</v>
      </c>
      <c r="B3513" t="s">
        <v>4468</v>
      </c>
      <c r="C3513" t="s">
        <v>20</v>
      </c>
      <c r="D3513" t="s">
        <v>4469</v>
      </c>
      <c r="E3513">
        <v>6960</v>
      </c>
    </row>
    <row r="3514" spans="1:5">
      <c r="A3514" s="1">
        <v>45937</v>
      </c>
      <c r="B3514" t="s">
        <v>1075</v>
      </c>
      <c r="C3514" t="s">
        <v>20</v>
      </c>
      <c r="D3514" t="s">
        <v>4470</v>
      </c>
      <c r="E3514">
        <v>340</v>
      </c>
    </row>
    <row r="3515" spans="1:5">
      <c r="A3515" s="1">
        <v>45937</v>
      </c>
      <c r="B3515" t="s">
        <v>566</v>
      </c>
      <c r="C3515" t="s">
        <v>20</v>
      </c>
      <c r="D3515" t="s">
        <v>4471</v>
      </c>
      <c r="E3515">
        <v>7918</v>
      </c>
    </row>
    <row r="3516" spans="1:5">
      <c r="A3516" s="1">
        <v>45937</v>
      </c>
      <c r="B3516" t="s">
        <v>4472</v>
      </c>
      <c r="C3516" t="s">
        <v>20</v>
      </c>
      <c r="D3516" t="s">
        <v>4473</v>
      </c>
      <c r="E3516">
        <v>2553</v>
      </c>
    </row>
    <row r="3517" spans="1:5">
      <c r="A3517" s="1">
        <v>45937</v>
      </c>
      <c r="B3517" t="s">
        <v>50</v>
      </c>
      <c r="C3517" t="s">
        <v>20</v>
      </c>
      <c r="D3517" t="s">
        <v>4474</v>
      </c>
      <c r="E3517">
        <v>12</v>
      </c>
    </row>
    <row r="3518" spans="1:5">
      <c r="A3518" s="1">
        <v>45937</v>
      </c>
      <c r="B3518" t="s">
        <v>802</v>
      </c>
      <c r="C3518" t="s">
        <v>20</v>
      </c>
      <c r="D3518" t="s">
        <v>4475</v>
      </c>
      <c r="E3518">
        <v>3300</v>
      </c>
    </row>
    <row r="3519" spans="1:5">
      <c r="A3519" s="1">
        <v>45937</v>
      </c>
      <c r="B3519" t="s">
        <v>4476</v>
      </c>
      <c r="C3519" t="s">
        <v>20</v>
      </c>
      <c r="D3519" t="s">
        <v>4477</v>
      </c>
      <c r="E3519">
        <v>7793</v>
      </c>
    </row>
    <row r="3520" spans="1:5">
      <c r="A3520" s="1">
        <v>45937</v>
      </c>
      <c r="B3520" t="s">
        <v>50</v>
      </c>
      <c r="C3520" t="s">
        <v>20</v>
      </c>
      <c r="D3520" t="s">
        <v>4478</v>
      </c>
      <c r="E3520">
        <v>340</v>
      </c>
    </row>
    <row r="3521" spans="1:5">
      <c r="A3521" s="1">
        <v>45937</v>
      </c>
      <c r="B3521" t="s">
        <v>2786</v>
      </c>
      <c r="C3521" t="s">
        <v>20</v>
      </c>
      <c r="D3521" t="s">
        <v>4479</v>
      </c>
      <c r="E3521">
        <v>286</v>
      </c>
    </row>
    <row r="3522" spans="1:5">
      <c r="A3522" s="1">
        <v>45937</v>
      </c>
      <c r="B3522" t="s">
        <v>33</v>
      </c>
      <c r="C3522" t="s">
        <v>20</v>
      </c>
      <c r="D3522" t="s">
        <v>4480</v>
      </c>
      <c r="E3522">
        <v>9540</v>
      </c>
    </row>
    <row r="3523" spans="1:5">
      <c r="A3523" s="1">
        <v>45937</v>
      </c>
      <c r="B3523" t="s">
        <v>50</v>
      </c>
      <c r="C3523" t="s">
        <v>20</v>
      </c>
      <c r="D3523" t="s">
        <v>4481</v>
      </c>
      <c r="E3523">
        <v>1151</v>
      </c>
    </row>
    <row r="3524" spans="1:5">
      <c r="A3524" s="1">
        <v>45937</v>
      </c>
      <c r="B3524" t="s">
        <v>4149</v>
      </c>
      <c r="C3524" t="s">
        <v>20</v>
      </c>
      <c r="D3524" t="s">
        <v>4482</v>
      </c>
      <c r="E3524">
        <v>1600</v>
      </c>
    </row>
    <row r="3525" spans="1:5">
      <c r="A3525" s="1">
        <v>45937</v>
      </c>
      <c r="B3525" t="s">
        <v>81</v>
      </c>
      <c r="C3525" t="s">
        <v>20</v>
      </c>
      <c r="D3525" t="s">
        <v>4483</v>
      </c>
      <c r="E3525">
        <v>10568</v>
      </c>
    </row>
    <row r="3526" spans="1:5">
      <c r="A3526" s="1">
        <v>45937</v>
      </c>
      <c r="B3526" t="s">
        <v>2143</v>
      </c>
      <c r="C3526" t="s">
        <v>20</v>
      </c>
      <c r="D3526" t="s">
        <v>4484</v>
      </c>
      <c r="E3526">
        <v>1105</v>
      </c>
    </row>
    <row r="3527" spans="1:5">
      <c r="A3527" s="1">
        <v>45937</v>
      </c>
      <c r="B3527" t="s">
        <v>2586</v>
      </c>
      <c r="C3527" t="s">
        <v>20</v>
      </c>
      <c r="D3527" t="s">
        <v>4485</v>
      </c>
      <c r="E3527">
        <v>843</v>
      </c>
    </row>
    <row r="3528" spans="1:5">
      <c r="A3528" s="1">
        <v>45938</v>
      </c>
      <c r="B3528" t="s">
        <v>1104</v>
      </c>
      <c r="C3528" t="s">
        <v>19</v>
      </c>
      <c r="D3528" t="s">
        <v>4486</v>
      </c>
      <c r="E3528">
        <v>8250</v>
      </c>
    </row>
    <row r="3529" spans="1:5">
      <c r="A3529" s="1">
        <v>45938</v>
      </c>
      <c r="B3529" t="s">
        <v>1106</v>
      </c>
      <c r="C3529" t="s">
        <v>19</v>
      </c>
      <c r="D3529" t="s">
        <v>4487</v>
      </c>
      <c r="E3529">
        <v>30732</v>
      </c>
    </row>
    <row r="3530" spans="1:5">
      <c r="A3530" s="1">
        <v>45938</v>
      </c>
      <c r="B3530" t="s">
        <v>1628</v>
      </c>
      <c r="C3530" t="s">
        <v>19</v>
      </c>
      <c r="D3530" t="s">
        <v>4488</v>
      </c>
      <c r="E3530">
        <v>16882</v>
      </c>
    </row>
    <row r="3531" spans="1:5">
      <c r="A3531" s="1">
        <v>45938</v>
      </c>
      <c r="B3531" t="s">
        <v>2329</v>
      </c>
      <c r="C3531" t="s">
        <v>19</v>
      </c>
      <c r="D3531" t="s">
        <v>4489</v>
      </c>
      <c r="E3531">
        <v>8341</v>
      </c>
    </row>
    <row r="3532" spans="1:5">
      <c r="A3532" s="1">
        <v>45938</v>
      </c>
      <c r="B3532" t="s">
        <v>927</v>
      </c>
      <c r="C3532" t="s">
        <v>19</v>
      </c>
      <c r="D3532" t="s">
        <v>4490</v>
      </c>
      <c r="E3532">
        <v>5318</v>
      </c>
    </row>
    <row r="3533" spans="1:5">
      <c r="A3533" s="1">
        <v>45938</v>
      </c>
      <c r="B3533" t="s">
        <v>4491</v>
      </c>
      <c r="C3533" t="s">
        <v>19</v>
      </c>
      <c r="D3533" t="s">
        <v>4492</v>
      </c>
      <c r="E3533">
        <v>33790</v>
      </c>
    </row>
    <row r="3534" spans="1:5">
      <c r="A3534" s="1">
        <v>45938</v>
      </c>
      <c r="B3534" t="s">
        <v>463</v>
      </c>
      <c r="C3534" t="s">
        <v>20</v>
      </c>
      <c r="D3534" t="s">
        <v>4493</v>
      </c>
      <c r="E3534">
        <v>680</v>
      </c>
    </row>
    <row r="3535" spans="1:5">
      <c r="A3535" s="1">
        <v>45938</v>
      </c>
      <c r="B3535" t="s">
        <v>2786</v>
      </c>
      <c r="C3535" t="s">
        <v>20</v>
      </c>
      <c r="D3535" t="s">
        <v>4494</v>
      </c>
      <c r="E3535">
        <v>803</v>
      </c>
    </row>
    <row r="3536" spans="1:5">
      <c r="A3536" s="1">
        <v>45938</v>
      </c>
      <c r="B3536" t="s">
        <v>4468</v>
      </c>
      <c r="C3536" t="s">
        <v>20</v>
      </c>
      <c r="D3536" t="s">
        <v>4495</v>
      </c>
      <c r="E3536">
        <v>2531</v>
      </c>
    </row>
    <row r="3537" spans="1:5">
      <c r="A3537" s="1">
        <v>45938</v>
      </c>
      <c r="B3537" t="s">
        <v>50</v>
      </c>
      <c r="C3537" t="s">
        <v>20</v>
      </c>
      <c r="D3537" t="s">
        <v>4496</v>
      </c>
      <c r="E3537">
        <v>12</v>
      </c>
    </row>
    <row r="3538" spans="1:5">
      <c r="A3538" s="1">
        <v>45938</v>
      </c>
      <c r="B3538" t="s">
        <v>33</v>
      </c>
      <c r="C3538" t="s">
        <v>20</v>
      </c>
      <c r="D3538" t="s">
        <v>4497</v>
      </c>
      <c r="E3538">
        <v>5100</v>
      </c>
    </row>
    <row r="3539" spans="1:5">
      <c r="A3539" s="1">
        <v>45938</v>
      </c>
      <c r="B3539" t="s">
        <v>50</v>
      </c>
      <c r="C3539" t="s">
        <v>20</v>
      </c>
      <c r="D3539" t="s">
        <v>4498</v>
      </c>
      <c r="E3539">
        <v>340</v>
      </c>
    </row>
    <row r="3540" spans="1:5">
      <c r="A3540" s="1">
        <v>45938</v>
      </c>
      <c r="B3540" t="s">
        <v>122</v>
      </c>
      <c r="C3540" t="s">
        <v>20</v>
      </c>
      <c r="D3540" t="s">
        <v>4499</v>
      </c>
      <c r="E3540">
        <v>200</v>
      </c>
    </row>
    <row r="3541" spans="1:5">
      <c r="A3541" s="1">
        <v>45938</v>
      </c>
      <c r="B3541" t="s">
        <v>4500</v>
      </c>
      <c r="C3541" t="s">
        <v>20</v>
      </c>
      <c r="D3541" t="s">
        <v>4501</v>
      </c>
      <c r="E3541">
        <v>3450</v>
      </c>
    </row>
    <row r="3542" spans="1:5">
      <c r="A3542" s="1">
        <v>45938</v>
      </c>
      <c r="B3542" t="s">
        <v>2786</v>
      </c>
      <c r="C3542" t="s">
        <v>20</v>
      </c>
      <c r="D3542" t="s">
        <v>4502</v>
      </c>
      <c r="E3542">
        <v>465</v>
      </c>
    </row>
    <row r="3543" spans="1:5">
      <c r="A3543" s="1">
        <v>45938</v>
      </c>
      <c r="B3543" t="s">
        <v>1323</v>
      </c>
      <c r="C3543" t="s">
        <v>20</v>
      </c>
      <c r="D3543" t="s">
        <v>4503</v>
      </c>
      <c r="E3543">
        <v>2722</v>
      </c>
    </row>
    <row r="3544" spans="1:5">
      <c r="A3544" s="1">
        <v>45939</v>
      </c>
      <c r="B3544" t="s">
        <v>3585</v>
      </c>
      <c r="C3544" t="s">
        <v>19</v>
      </c>
      <c r="D3544" t="s">
        <v>4504</v>
      </c>
      <c r="E3544">
        <v>1320</v>
      </c>
    </row>
    <row r="3545" spans="1:5">
      <c r="A3545" s="1">
        <v>45939</v>
      </c>
      <c r="B3545" t="s">
        <v>56</v>
      </c>
      <c r="C3545" t="s">
        <v>19</v>
      </c>
      <c r="D3545" t="s">
        <v>4505</v>
      </c>
      <c r="E3545">
        <v>1960</v>
      </c>
    </row>
    <row r="3546" spans="1:5">
      <c r="A3546" s="1">
        <v>45939</v>
      </c>
      <c r="B3546" t="s">
        <v>647</v>
      </c>
      <c r="C3546" t="s">
        <v>20</v>
      </c>
      <c r="D3546" t="s">
        <v>4506</v>
      </c>
      <c r="E3546">
        <v>1020</v>
      </c>
    </row>
    <row r="3547" spans="1:5">
      <c r="A3547" s="1">
        <v>45939</v>
      </c>
      <c r="B3547" t="s">
        <v>154</v>
      </c>
      <c r="C3547" t="s">
        <v>20</v>
      </c>
      <c r="D3547" t="s">
        <v>4507</v>
      </c>
      <c r="E3547">
        <v>1020</v>
      </c>
    </row>
    <row r="3548" spans="1:5">
      <c r="A3548" s="1">
        <v>45939</v>
      </c>
      <c r="B3548" t="s">
        <v>1350</v>
      </c>
      <c r="C3548" t="s">
        <v>20</v>
      </c>
      <c r="D3548" t="s">
        <v>4508</v>
      </c>
      <c r="E3548">
        <v>2950</v>
      </c>
    </row>
    <row r="3549" spans="1:5">
      <c r="A3549" s="1">
        <v>45939</v>
      </c>
      <c r="B3549" t="s">
        <v>43</v>
      </c>
      <c r="C3549" t="s">
        <v>20</v>
      </c>
      <c r="D3549" t="s">
        <v>4509</v>
      </c>
      <c r="E3549">
        <v>26733</v>
      </c>
    </row>
    <row r="3550" spans="1:5">
      <c r="A3550" s="1">
        <v>45939</v>
      </c>
      <c r="B3550" t="s">
        <v>4434</v>
      </c>
      <c r="C3550" t="s">
        <v>20</v>
      </c>
      <c r="D3550" t="s">
        <v>4510</v>
      </c>
      <c r="E3550">
        <v>5270</v>
      </c>
    </row>
    <row r="3551" spans="1:5">
      <c r="A3551" s="1">
        <v>45939</v>
      </c>
      <c r="B3551" t="s">
        <v>4511</v>
      </c>
      <c r="C3551" t="s">
        <v>20</v>
      </c>
      <c r="D3551" t="s">
        <v>4512</v>
      </c>
      <c r="E3551">
        <v>940</v>
      </c>
    </row>
    <row r="3552" spans="1:5">
      <c r="A3552" s="1">
        <v>45939</v>
      </c>
      <c r="B3552" t="s">
        <v>1179</v>
      </c>
      <c r="C3552" t="s">
        <v>20</v>
      </c>
      <c r="D3552" t="s">
        <v>4513</v>
      </c>
      <c r="E3552">
        <v>50130</v>
      </c>
    </row>
    <row r="3553" spans="1:5">
      <c r="A3553" s="1">
        <v>45939</v>
      </c>
      <c r="B3553" t="s">
        <v>1796</v>
      </c>
      <c r="C3553" t="s">
        <v>20</v>
      </c>
      <c r="D3553" t="s">
        <v>4514</v>
      </c>
      <c r="E3553">
        <v>16616</v>
      </c>
    </row>
    <row r="3554" spans="1:5">
      <c r="A3554" s="1">
        <v>45939</v>
      </c>
      <c r="B3554" t="s">
        <v>154</v>
      </c>
      <c r="C3554" t="s">
        <v>20</v>
      </c>
      <c r="D3554" t="s">
        <v>4515</v>
      </c>
      <c r="E3554">
        <v>1020</v>
      </c>
    </row>
    <row r="3555" spans="1:5">
      <c r="A3555" s="1">
        <v>45939</v>
      </c>
      <c r="B3555" t="s">
        <v>4516</v>
      </c>
      <c r="C3555" t="s">
        <v>20</v>
      </c>
      <c r="D3555" t="s">
        <v>4517</v>
      </c>
      <c r="E3555">
        <v>1056</v>
      </c>
    </row>
    <row r="3556" spans="1:5">
      <c r="A3556" s="1">
        <v>45939</v>
      </c>
      <c r="B3556" t="s">
        <v>817</v>
      </c>
      <c r="C3556" t="s">
        <v>20</v>
      </c>
      <c r="D3556" t="s">
        <v>4518</v>
      </c>
      <c r="E3556">
        <v>33342</v>
      </c>
    </row>
    <row r="3557" spans="1:5">
      <c r="A3557" s="1">
        <v>45939</v>
      </c>
      <c r="B3557" t="s">
        <v>4519</v>
      </c>
      <c r="C3557" t="s">
        <v>20</v>
      </c>
      <c r="D3557" t="s">
        <v>4520</v>
      </c>
      <c r="E3557">
        <v>10027</v>
      </c>
    </row>
    <row r="3558" spans="1:5">
      <c r="A3558" s="1">
        <v>45939</v>
      </c>
      <c r="B3558" t="s">
        <v>2444</v>
      </c>
      <c r="C3558" t="s">
        <v>20</v>
      </c>
      <c r="D3558" t="s">
        <v>4521</v>
      </c>
      <c r="E3558">
        <v>1310</v>
      </c>
    </row>
    <row r="3559" spans="1:5">
      <c r="A3559" s="1">
        <v>45939</v>
      </c>
      <c r="B3559" t="s">
        <v>4522</v>
      </c>
      <c r="C3559" t="s">
        <v>20</v>
      </c>
      <c r="D3559" t="s">
        <v>4523</v>
      </c>
      <c r="E3559">
        <v>48607</v>
      </c>
    </row>
    <row r="3560" spans="1:5">
      <c r="A3560" s="1">
        <v>45939</v>
      </c>
      <c r="B3560" t="s">
        <v>4524</v>
      </c>
      <c r="C3560" t="s">
        <v>20</v>
      </c>
      <c r="D3560" t="s">
        <v>4525</v>
      </c>
      <c r="E3560">
        <v>29200</v>
      </c>
    </row>
    <row r="3561" spans="1:5">
      <c r="A3561" s="1">
        <v>45939</v>
      </c>
      <c r="B3561" t="s">
        <v>135</v>
      </c>
      <c r="C3561" t="s">
        <v>20</v>
      </c>
      <c r="D3561" t="s">
        <v>4526</v>
      </c>
      <c r="E3561">
        <v>20323</v>
      </c>
    </row>
    <row r="3562" spans="1:5">
      <c r="A3562" s="1">
        <v>45939</v>
      </c>
      <c r="B3562" t="s">
        <v>3976</v>
      </c>
      <c r="C3562" t="s">
        <v>20</v>
      </c>
      <c r="D3562" t="s">
        <v>4527</v>
      </c>
      <c r="E3562">
        <v>6972</v>
      </c>
    </row>
    <row r="3563" spans="1:5">
      <c r="A3563" s="1">
        <v>45939</v>
      </c>
      <c r="B3563" t="s">
        <v>50</v>
      </c>
      <c r="C3563" t="s">
        <v>20</v>
      </c>
      <c r="D3563" t="s">
        <v>4528</v>
      </c>
      <c r="E3563">
        <v>580</v>
      </c>
    </row>
    <row r="3564" spans="1:5">
      <c r="A3564" s="1">
        <v>45939</v>
      </c>
      <c r="B3564" t="s">
        <v>43</v>
      </c>
      <c r="C3564" t="s">
        <v>20</v>
      </c>
      <c r="D3564" t="s">
        <v>4529</v>
      </c>
      <c r="E3564">
        <v>1935</v>
      </c>
    </row>
    <row r="3565" spans="1:5">
      <c r="A3565" s="1">
        <v>45939</v>
      </c>
      <c r="B3565" t="s">
        <v>254</v>
      </c>
      <c r="C3565" t="s">
        <v>20</v>
      </c>
      <c r="D3565" t="s">
        <v>4530</v>
      </c>
      <c r="E3565">
        <v>2294</v>
      </c>
    </row>
    <row r="3566" spans="1:5">
      <c r="A3566" s="1">
        <v>45939</v>
      </c>
      <c r="B3566" t="s">
        <v>4531</v>
      </c>
      <c r="C3566" t="s">
        <v>20</v>
      </c>
      <c r="D3566" t="s">
        <v>4532</v>
      </c>
      <c r="E3566">
        <v>37108</v>
      </c>
    </row>
    <row r="3567" spans="1:5">
      <c r="A3567" s="1">
        <v>45939</v>
      </c>
      <c r="B3567" t="s">
        <v>1350</v>
      </c>
      <c r="C3567" t="s">
        <v>20</v>
      </c>
      <c r="D3567" t="s">
        <v>4533</v>
      </c>
      <c r="E3567">
        <v>11816</v>
      </c>
    </row>
    <row r="3568" spans="1:5">
      <c r="A3568" s="1">
        <v>45939</v>
      </c>
      <c r="B3568" t="s">
        <v>939</v>
      </c>
      <c r="C3568" t="s">
        <v>20</v>
      </c>
      <c r="D3568" t="s">
        <v>4534</v>
      </c>
      <c r="E3568">
        <v>370</v>
      </c>
    </row>
    <row r="3569" spans="1:5">
      <c r="A3569" s="1">
        <v>45939</v>
      </c>
      <c r="B3569" t="s">
        <v>4535</v>
      </c>
      <c r="C3569" t="s">
        <v>20</v>
      </c>
      <c r="D3569" t="s">
        <v>4536</v>
      </c>
      <c r="E3569">
        <v>1746</v>
      </c>
    </row>
    <row r="3570" spans="1:5">
      <c r="A3570" s="1">
        <v>45939</v>
      </c>
      <c r="B3570" t="s">
        <v>566</v>
      </c>
      <c r="C3570" t="s">
        <v>20</v>
      </c>
      <c r="D3570" t="s">
        <v>4537</v>
      </c>
      <c r="E3570">
        <v>5382</v>
      </c>
    </row>
    <row r="3571" spans="1:5">
      <c r="A3571" s="1">
        <v>45939</v>
      </c>
      <c r="B3571" t="s">
        <v>4375</v>
      </c>
      <c r="C3571" t="s">
        <v>20</v>
      </c>
      <c r="D3571" t="s">
        <v>4538</v>
      </c>
      <c r="E3571">
        <v>3346</v>
      </c>
    </row>
    <row r="3572" spans="1:5">
      <c r="A3572" s="1">
        <v>45939</v>
      </c>
      <c r="B3572" t="s">
        <v>526</v>
      </c>
      <c r="C3572" t="s">
        <v>20</v>
      </c>
      <c r="D3572" t="s">
        <v>4539</v>
      </c>
      <c r="E3572">
        <v>35320</v>
      </c>
    </row>
    <row r="3573" spans="1:5">
      <c r="A3573" s="1">
        <v>45939</v>
      </c>
      <c r="B3573" t="s">
        <v>33</v>
      </c>
      <c r="C3573" t="s">
        <v>20</v>
      </c>
      <c r="D3573" t="s">
        <v>4540</v>
      </c>
      <c r="E3573">
        <v>14878</v>
      </c>
    </row>
    <row r="3574" spans="1:5">
      <c r="A3574" s="1">
        <v>45939</v>
      </c>
      <c r="B3574" t="s">
        <v>265</v>
      </c>
      <c r="C3574" t="s">
        <v>20</v>
      </c>
      <c r="D3574" t="s">
        <v>4541</v>
      </c>
      <c r="E3574">
        <v>2802</v>
      </c>
    </row>
    <row r="3575" spans="1:5">
      <c r="A3575" s="1">
        <v>45939</v>
      </c>
      <c r="B3575" t="s">
        <v>68</v>
      </c>
      <c r="C3575" t="s">
        <v>20</v>
      </c>
      <c r="D3575" t="s">
        <v>4542</v>
      </c>
      <c r="E3575">
        <v>11326</v>
      </c>
    </row>
    <row r="3576" spans="1:5">
      <c r="A3576" s="1">
        <v>45939</v>
      </c>
      <c r="B3576" t="s">
        <v>844</v>
      </c>
      <c r="C3576" t="s">
        <v>20</v>
      </c>
      <c r="D3576" t="s">
        <v>4543</v>
      </c>
      <c r="E3576">
        <v>425</v>
      </c>
    </row>
    <row r="3577" spans="1:5">
      <c r="A3577" s="1">
        <v>45939</v>
      </c>
      <c r="B3577" t="s">
        <v>4144</v>
      </c>
      <c r="C3577" t="s">
        <v>20</v>
      </c>
      <c r="D3577" t="s">
        <v>4544</v>
      </c>
      <c r="E3577">
        <v>1700</v>
      </c>
    </row>
    <row r="3578" spans="1:5">
      <c r="A3578" s="1">
        <v>45940</v>
      </c>
      <c r="B3578" t="s">
        <v>4545</v>
      </c>
      <c r="C3578" t="s">
        <v>20</v>
      </c>
      <c r="D3578" t="s">
        <v>4546</v>
      </c>
      <c r="E3578">
        <v>3400</v>
      </c>
    </row>
    <row r="3579" spans="1:5">
      <c r="A3579" s="1">
        <v>45940</v>
      </c>
      <c r="B3579" t="s">
        <v>1350</v>
      </c>
      <c r="C3579" t="s">
        <v>20</v>
      </c>
      <c r="D3579" t="s">
        <v>4547</v>
      </c>
      <c r="E3579">
        <v>556</v>
      </c>
    </row>
    <row r="3580" spans="1:5">
      <c r="A3580" s="1">
        <v>45940</v>
      </c>
      <c r="B3580" t="s">
        <v>2410</v>
      </c>
      <c r="C3580" t="s">
        <v>20</v>
      </c>
      <c r="D3580" t="s">
        <v>4548</v>
      </c>
      <c r="E3580">
        <v>340</v>
      </c>
    </row>
    <row r="3581" spans="1:5">
      <c r="A3581" s="1">
        <v>45940</v>
      </c>
      <c r="B3581" t="s">
        <v>100</v>
      </c>
      <c r="C3581" t="s">
        <v>20</v>
      </c>
      <c r="D3581" t="s">
        <v>4549</v>
      </c>
      <c r="E3581">
        <v>42094</v>
      </c>
    </row>
    <row r="3582" spans="1:5">
      <c r="A3582" s="1">
        <v>45940</v>
      </c>
      <c r="B3582" t="s">
        <v>932</v>
      </c>
      <c r="C3582" t="s">
        <v>20</v>
      </c>
      <c r="D3582" t="s">
        <v>4550</v>
      </c>
      <c r="E3582">
        <v>595</v>
      </c>
    </row>
    <row r="3583" spans="1:5">
      <c r="A3583" s="1">
        <v>45940</v>
      </c>
      <c r="B3583" t="s">
        <v>76</v>
      </c>
      <c r="C3583" t="s">
        <v>20</v>
      </c>
      <c r="D3583" t="s">
        <v>4551</v>
      </c>
      <c r="E3583">
        <v>7820</v>
      </c>
    </row>
    <row r="3584" spans="1:5">
      <c r="A3584" s="1">
        <v>45940</v>
      </c>
      <c r="B3584" t="s">
        <v>50</v>
      </c>
      <c r="C3584" t="s">
        <v>20</v>
      </c>
      <c r="D3584" t="s">
        <v>4552</v>
      </c>
      <c r="E3584">
        <v>340</v>
      </c>
    </row>
    <row r="3585" spans="1:5">
      <c r="A3585" s="1">
        <v>45940</v>
      </c>
      <c r="B3585" t="s">
        <v>647</v>
      </c>
      <c r="C3585" t="s">
        <v>20</v>
      </c>
      <c r="D3585" t="s">
        <v>4553</v>
      </c>
      <c r="E3585">
        <v>680</v>
      </c>
    </row>
    <row r="3586" spans="1:5">
      <c r="A3586" s="1">
        <v>45940</v>
      </c>
      <c r="B3586" t="s">
        <v>254</v>
      </c>
      <c r="C3586" t="s">
        <v>20</v>
      </c>
      <c r="D3586" t="s">
        <v>4554</v>
      </c>
      <c r="E3586">
        <v>1700</v>
      </c>
    </row>
    <row r="3587" spans="1:5">
      <c r="A3587" s="1">
        <v>45940</v>
      </c>
      <c r="B3587" t="s">
        <v>4555</v>
      </c>
      <c r="C3587" t="s">
        <v>20</v>
      </c>
      <c r="D3587" t="s">
        <v>4556</v>
      </c>
      <c r="E3587">
        <v>1883</v>
      </c>
    </row>
    <row r="3588" spans="1:5">
      <c r="A3588" s="1">
        <v>45940</v>
      </c>
      <c r="B3588" t="s">
        <v>2634</v>
      </c>
      <c r="C3588" t="s">
        <v>20</v>
      </c>
      <c r="D3588" t="s">
        <v>4557</v>
      </c>
      <c r="E3588">
        <v>7000</v>
      </c>
    </row>
    <row r="3589" spans="1:5">
      <c r="A3589" s="1">
        <v>45940</v>
      </c>
      <c r="B3589" t="s">
        <v>2288</v>
      </c>
      <c r="C3589" t="s">
        <v>20</v>
      </c>
      <c r="D3589" t="s">
        <v>4558</v>
      </c>
      <c r="E3589">
        <v>3400</v>
      </c>
    </row>
    <row r="3590" spans="1:5">
      <c r="A3590" s="1">
        <v>45940</v>
      </c>
      <c r="B3590" t="s">
        <v>370</v>
      </c>
      <c r="C3590" t="s">
        <v>20</v>
      </c>
      <c r="D3590" t="s">
        <v>4559</v>
      </c>
      <c r="E3590">
        <v>1432</v>
      </c>
    </row>
    <row r="3591" spans="1:5">
      <c r="A3591" s="1">
        <v>45940</v>
      </c>
      <c r="B3591" t="s">
        <v>2323</v>
      </c>
      <c r="C3591" t="s">
        <v>20</v>
      </c>
      <c r="D3591" t="s">
        <v>4560</v>
      </c>
      <c r="E3591">
        <v>16784</v>
      </c>
    </row>
    <row r="3592" spans="1:5">
      <c r="A3592" s="1">
        <v>45940</v>
      </c>
      <c r="B3592" t="s">
        <v>1026</v>
      </c>
      <c r="C3592" t="s">
        <v>20</v>
      </c>
      <c r="D3592" t="s">
        <v>4561</v>
      </c>
      <c r="E3592">
        <v>1700</v>
      </c>
    </row>
    <row r="3593" spans="1:5">
      <c r="A3593" s="1">
        <v>45940</v>
      </c>
      <c r="B3593" t="s">
        <v>4562</v>
      </c>
      <c r="C3593" t="s">
        <v>20</v>
      </c>
      <c r="D3593" t="s">
        <v>4563</v>
      </c>
      <c r="E3593">
        <v>380</v>
      </c>
    </row>
    <row r="3594" spans="1:5">
      <c r="A3594" s="1">
        <v>45940</v>
      </c>
      <c r="B3594" t="s">
        <v>4531</v>
      </c>
      <c r="C3594" t="s">
        <v>20</v>
      </c>
      <c r="D3594" t="s">
        <v>4564</v>
      </c>
      <c r="E3594">
        <v>12196</v>
      </c>
    </row>
    <row r="3595" spans="1:5">
      <c r="A3595" s="1">
        <v>45940</v>
      </c>
      <c r="B3595" t="s">
        <v>50</v>
      </c>
      <c r="C3595" t="s">
        <v>20</v>
      </c>
      <c r="D3595" t="s">
        <v>4565</v>
      </c>
      <c r="E3595">
        <v>1</v>
      </c>
    </row>
    <row r="3596" spans="1:5">
      <c r="A3596" s="1">
        <v>45940</v>
      </c>
      <c r="B3596" t="s">
        <v>35</v>
      </c>
      <c r="C3596" t="s">
        <v>20</v>
      </c>
      <c r="D3596" t="s">
        <v>4566</v>
      </c>
      <c r="E3596">
        <v>24655</v>
      </c>
    </row>
    <row r="3597" spans="1:5">
      <c r="A3597" s="1">
        <v>45940</v>
      </c>
      <c r="B3597" t="s">
        <v>197</v>
      </c>
      <c r="C3597" t="s">
        <v>20</v>
      </c>
      <c r="D3597" t="s">
        <v>4567</v>
      </c>
      <c r="E3597">
        <v>530</v>
      </c>
    </row>
    <row r="3598" spans="1:5">
      <c r="A3598" s="1">
        <v>45940</v>
      </c>
      <c r="B3598" t="s">
        <v>4329</v>
      </c>
      <c r="C3598" t="s">
        <v>20</v>
      </c>
      <c r="D3598" t="s">
        <v>4568</v>
      </c>
      <c r="E3598">
        <v>340</v>
      </c>
    </row>
    <row r="3599" spans="1:5">
      <c r="A3599" s="1">
        <v>45941</v>
      </c>
      <c r="B3599" t="s">
        <v>2987</v>
      </c>
      <c r="C3599" t="s">
        <v>19</v>
      </c>
      <c r="D3599" t="s">
        <v>4569</v>
      </c>
      <c r="E3599">
        <v>8500</v>
      </c>
    </row>
    <row r="3600" spans="1:5">
      <c r="A3600" s="1">
        <v>45941</v>
      </c>
      <c r="B3600" t="s">
        <v>96</v>
      </c>
      <c r="C3600" t="s">
        <v>19</v>
      </c>
      <c r="D3600" t="s">
        <v>4570</v>
      </c>
      <c r="E3600">
        <v>1411</v>
      </c>
    </row>
    <row r="3601" spans="1:5">
      <c r="A3601" s="1">
        <v>45941</v>
      </c>
      <c r="B3601" t="s">
        <v>4571</v>
      </c>
      <c r="C3601" t="s">
        <v>19</v>
      </c>
      <c r="D3601" t="s">
        <v>4572</v>
      </c>
      <c r="E3601">
        <v>3400</v>
      </c>
    </row>
    <row r="3602" spans="1:5">
      <c r="A3602" s="1">
        <v>45941</v>
      </c>
      <c r="B3602" t="s">
        <v>56</v>
      </c>
      <c r="C3602" t="s">
        <v>19</v>
      </c>
      <c r="D3602" t="s">
        <v>4573</v>
      </c>
      <c r="E3602">
        <v>1280</v>
      </c>
    </row>
    <row r="3603" spans="1:5">
      <c r="A3603" s="1">
        <v>45941</v>
      </c>
      <c r="B3603" t="s">
        <v>4144</v>
      </c>
      <c r="C3603" t="s">
        <v>20</v>
      </c>
      <c r="D3603" t="s">
        <v>4574</v>
      </c>
      <c r="E3603">
        <v>3931</v>
      </c>
    </row>
    <row r="3604" spans="1:5">
      <c r="A3604" s="1">
        <v>45941</v>
      </c>
      <c r="B3604" t="s">
        <v>932</v>
      </c>
      <c r="C3604" t="s">
        <v>20</v>
      </c>
      <c r="D3604" t="s">
        <v>4575</v>
      </c>
      <c r="E3604">
        <v>10950</v>
      </c>
    </row>
    <row r="3605" spans="1:5">
      <c r="A3605" s="1">
        <v>45941</v>
      </c>
      <c r="B3605" t="s">
        <v>1350</v>
      </c>
      <c r="C3605" t="s">
        <v>20</v>
      </c>
      <c r="D3605" t="s">
        <v>4576</v>
      </c>
      <c r="E3605">
        <v>263</v>
      </c>
    </row>
    <row r="3606" spans="1:5">
      <c r="A3606" s="1">
        <v>45941</v>
      </c>
      <c r="B3606" t="s">
        <v>3015</v>
      </c>
      <c r="C3606" t="s">
        <v>20</v>
      </c>
      <c r="D3606" t="s">
        <v>4577</v>
      </c>
      <c r="E3606">
        <v>8540</v>
      </c>
    </row>
    <row r="3607" spans="1:5">
      <c r="A3607" s="1">
        <v>45941</v>
      </c>
      <c r="B3607" t="s">
        <v>135</v>
      </c>
      <c r="C3607" t="s">
        <v>20</v>
      </c>
      <c r="D3607" t="s">
        <v>4578</v>
      </c>
      <c r="E3607">
        <v>414</v>
      </c>
    </row>
    <row r="3608" spans="1:5">
      <c r="A3608" s="1">
        <v>45941</v>
      </c>
      <c r="B3608" t="s">
        <v>48</v>
      </c>
      <c r="C3608" t="s">
        <v>20</v>
      </c>
      <c r="D3608" t="s">
        <v>4579</v>
      </c>
      <c r="E3608">
        <v>4880</v>
      </c>
    </row>
    <row r="3609" spans="1:5">
      <c r="A3609" s="1">
        <v>45941</v>
      </c>
      <c r="B3609" t="s">
        <v>4430</v>
      </c>
      <c r="C3609" t="s">
        <v>20</v>
      </c>
      <c r="D3609" t="s">
        <v>4580</v>
      </c>
      <c r="E3609">
        <v>4177</v>
      </c>
    </row>
    <row r="3610" spans="1:5">
      <c r="A3610" s="1">
        <v>45941</v>
      </c>
      <c r="B3610" t="s">
        <v>1026</v>
      </c>
      <c r="C3610" t="s">
        <v>20</v>
      </c>
      <c r="D3610" t="s">
        <v>4581</v>
      </c>
      <c r="E3610">
        <v>1020</v>
      </c>
    </row>
    <row r="3611" spans="1:5">
      <c r="A3611" s="1">
        <v>45941</v>
      </c>
      <c r="B3611" t="s">
        <v>265</v>
      </c>
      <c r="C3611" t="s">
        <v>20</v>
      </c>
      <c r="D3611" t="s">
        <v>4582</v>
      </c>
      <c r="E3611">
        <v>11560</v>
      </c>
    </row>
    <row r="3612" spans="1:5">
      <c r="A3612" s="1">
        <v>45941</v>
      </c>
      <c r="B3612" t="s">
        <v>802</v>
      </c>
      <c r="C3612" t="s">
        <v>20</v>
      </c>
      <c r="D3612" t="s">
        <v>4583</v>
      </c>
      <c r="E3612">
        <v>10200</v>
      </c>
    </row>
    <row r="3613" spans="1:5">
      <c r="A3613" s="1">
        <v>45941</v>
      </c>
      <c r="B3613" t="s">
        <v>4584</v>
      </c>
      <c r="C3613" t="s">
        <v>20</v>
      </c>
      <c r="D3613" t="s">
        <v>4585</v>
      </c>
      <c r="E3613">
        <v>863</v>
      </c>
    </row>
    <row r="3614" spans="1:5">
      <c r="A3614" s="1">
        <v>45941</v>
      </c>
      <c r="B3614" t="s">
        <v>4586</v>
      </c>
      <c r="C3614" t="s">
        <v>20</v>
      </c>
      <c r="D3614" t="s">
        <v>4587</v>
      </c>
      <c r="E3614">
        <v>340</v>
      </c>
    </row>
    <row r="3615" spans="1:5">
      <c r="A3615" s="1">
        <v>45941</v>
      </c>
      <c r="B3615" t="s">
        <v>3860</v>
      </c>
      <c r="C3615" t="s">
        <v>20</v>
      </c>
      <c r="D3615" t="s">
        <v>4588</v>
      </c>
      <c r="E3615">
        <v>4920</v>
      </c>
    </row>
    <row r="3616" spans="1:5">
      <c r="A3616" s="1">
        <v>45941</v>
      </c>
      <c r="B3616" t="s">
        <v>4434</v>
      </c>
      <c r="C3616" t="s">
        <v>20</v>
      </c>
      <c r="D3616" t="s">
        <v>4589</v>
      </c>
      <c r="E3616">
        <v>340</v>
      </c>
    </row>
    <row r="3617" spans="1:5">
      <c r="A3617" s="1">
        <v>45941</v>
      </c>
      <c r="B3617" t="s">
        <v>4590</v>
      </c>
      <c r="C3617" t="s">
        <v>20</v>
      </c>
      <c r="D3617" t="s">
        <v>4591</v>
      </c>
      <c r="E3617">
        <v>27405</v>
      </c>
    </row>
    <row r="3618" spans="1:5">
      <c r="A3618" s="1">
        <v>45941</v>
      </c>
      <c r="B3618" t="s">
        <v>50</v>
      </c>
      <c r="C3618" t="s">
        <v>20</v>
      </c>
      <c r="D3618" t="s">
        <v>4592</v>
      </c>
      <c r="E3618">
        <v>1428</v>
      </c>
    </row>
    <row r="3619" spans="1:5">
      <c r="A3619" s="1">
        <v>45941</v>
      </c>
      <c r="B3619" t="s">
        <v>844</v>
      </c>
      <c r="C3619" t="s">
        <v>20</v>
      </c>
      <c r="D3619" t="s">
        <v>4593</v>
      </c>
      <c r="E3619">
        <v>4295</v>
      </c>
    </row>
    <row r="3620" spans="1:5">
      <c r="A3620" s="1">
        <v>45941</v>
      </c>
      <c r="B3620" t="s">
        <v>4594</v>
      </c>
      <c r="C3620" t="s">
        <v>20</v>
      </c>
      <c r="D3620" t="s">
        <v>4595</v>
      </c>
      <c r="E3620">
        <v>1837</v>
      </c>
    </row>
    <row r="3621" spans="1:5">
      <c r="A3621" s="1">
        <v>45941</v>
      </c>
      <c r="B3621" t="s">
        <v>4594</v>
      </c>
      <c r="C3621" t="s">
        <v>20</v>
      </c>
      <c r="D3621" t="s">
        <v>4596</v>
      </c>
      <c r="E3621">
        <v>353</v>
      </c>
    </row>
    <row r="3622" spans="1:5">
      <c r="A3622" s="1">
        <v>45941</v>
      </c>
      <c r="B3622" t="s">
        <v>4597</v>
      </c>
      <c r="C3622" t="s">
        <v>20</v>
      </c>
      <c r="D3622" t="s">
        <v>4598</v>
      </c>
      <c r="E3622">
        <v>1980</v>
      </c>
    </row>
    <row r="3623" spans="1:5">
      <c r="A3623" s="1">
        <v>45941</v>
      </c>
      <c r="B3623" t="s">
        <v>4599</v>
      </c>
      <c r="C3623" t="s">
        <v>20</v>
      </c>
      <c r="D3623" t="s">
        <v>4600</v>
      </c>
      <c r="E3623">
        <v>1200</v>
      </c>
    </row>
    <row r="3624" spans="1:5">
      <c r="A3624" s="1">
        <v>45941</v>
      </c>
      <c r="B3624" t="s">
        <v>1350</v>
      </c>
      <c r="C3624" t="s">
        <v>20</v>
      </c>
      <c r="D3624" t="s">
        <v>4601</v>
      </c>
      <c r="E3624">
        <v>340</v>
      </c>
    </row>
    <row r="3625" spans="1:5">
      <c r="A3625" s="1">
        <v>45941</v>
      </c>
      <c r="B3625" t="s">
        <v>35</v>
      </c>
      <c r="C3625" t="s">
        <v>20</v>
      </c>
      <c r="D3625" t="s">
        <v>4602</v>
      </c>
      <c r="E3625">
        <v>8362</v>
      </c>
    </row>
    <row r="3626" spans="1:5">
      <c r="A3626" s="1">
        <v>45941</v>
      </c>
      <c r="B3626" t="s">
        <v>35</v>
      </c>
      <c r="C3626" t="s">
        <v>20</v>
      </c>
      <c r="D3626" t="s">
        <v>4603</v>
      </c>
      <c r="E3626">
        <v>1700</v>
      </c>
    </row>
    <row r="3627" spans="1:5">
      <c r="A3627" s="1">
        <v>45941</v>
      </c>
      <c r="B3627" t="s">
        <v>3015</v>
      </c>
      <c r="C3627" t="s">
        <v>20</v>
      </c>
      <c r="D3627" t="s">
        <v>4604</v>
      </c>
      <c r="E3627">
        <v>1622</v>
      </c>
    </row>
    <row r="3628" spans="1:5">
      <c r="A3628" s="1">
        <v>45941</v>
      </c>
      <c r="B3628" t="s">
        <v>3163</v>
      </c>
      <c r="C3628" t="s">
        <v>20</v>
      </c>
      <c r="D3628" t="s">
        <v>4605</v>
      </c>
      <c r="E3628">
        <v>300</v>
      </c>
    </row>
    <row r="3629" spans="1:5">
      <c r="A3629" s="1">
        <v>45943</v>
      </c>
      <c r="B3629" t="s">
        <v>1104</v>
      </c>
      <c r="C3629" t="s">
        <v>19</v>
      </c>
      <c r="D3629" t="s">
        <v>4606</v>
      </c>
      <c r="E3629">
        <v>9752</v>
      </c>
    </row>
    <row r="3630" spans="1:5">
      <c r="A3630" s="1">
        <v>45943</v>
      </c>
      <c r="B3630" t="s">
        <v>180</v>
      </c>
      <c r="C3630" t="s">
        <v>19</v>
      </c>
      <c r="D3630" t="s">
        <v>4607</v>
      </c>
      <c r="E3630">
        <v>10334</v>
      </c>
    </row>
    <row r="3631" spans="1:5">
      <c r="A3631" s="1">
        <v>45943</v>
      </c>
      <c r="B3631" t="s">
        <v>4491</v>
      </c>
      <c r="C3631" t="s">
        <v>19</v>
      </c>
      <c r="D3631" t="s">
        <v>4608</v>
      </c>
      <c r="E3631">
        <v>27464</v>
      </c>
    </row>
    <row r="3632" spans="1:5">
      <c r="A3632" s="1">
        <v>45943</v>
      </c>
      <c r="B3632" t="s">
        <v>1049</v>
      </c>
      <c r="C3632" t="s">
        <v>19</v>
      </c>
      <c r="D3632" t="s">
        <v>4609</v>
      </c>
      <c r="E3632">
        <v>7154</v>
      </c>
    </row>
    <row r="3633" spans="1:5">
      <c r="A3633" s="1">
        <v>45943</v>
      </c>
      <c r="B3633" t="s">
        <v>955</v>
      </c>
      <c r="C3633" t="s">
        <v>19</v>
      </c>
      <c r="D3633" t="s">
        <v>4610</v>
      </c>
      <c r="E3633">
        <v>13114</v>
      </c>
    </row>
    <row r="3634" spans="1:5">
      <c r="A3634" s="1">
        <v>45943</v>
      </c>
      <c r="B3634" t="s">
        <v>131</v>
      </c>
      <c r="C3634" t="s">
        <v>20</v>
      </c>
      <c r="D3634" t="s">
        <v>4611</v>
      </c>
      <c r="E3634">
        <v>1500</v>
      </c>
    </row>
    <row r="3635" spans="1:5">
      <c r="A3635" s="1">
        <v>45943</v>
      </c>
      <c r="B3635" t="s">
        <v>50</v>
      </c>
      <c r="C3635" t="s">
        <v>20</v>
      </c>
      <c r="D3635" t="s">
        <v>4612</v>
      </c>
      <c r="E3635">
        <v>380</v>
      </c>
    </row>
    <row r="3636" spans="1:5">
      <c r="A3636" s="1">
        <v>45943</v>
      </c>
      <c r="B3636" t="s">
        <v>3015</v>
      </c>
      <c r="C3636" t="s">
        <v>20</v>
      </c>
      <c r="D3636" t="s">
        <v>4613</v>
      </c>
      <c r="E3636">
        <v>15892</v>
      </c>
    </row>
    <row r="3637" spans="1:5">
      <c r="A3637" s="1">
        <v>45943</v>
      </c>
      <c r="B3637" t="s">
        <v>33</v>
      </c>
      <c r="C3637" t="s">
        <v>20</v>
      </c>
      <c r="D3637" t="s">
        <v>4614</v>
      </c>
      <c r="E3637">
        <v>1270</v>
      </c>
    </row>
    <row r="3638" spans="1:5">
      <c r="A3638" s="1">
        <v>45943</v>
      </c>
      <c r="B3638" t="s">
        <v>4329</v>
      </c>
      <c r="C3638" t="s">
        <v>20</v>
      </c>
      <c r="D3638" t="s">
        <v>4615</v>
      </c>
      <c r="E3638">
        <v>50</v>
      </c>
    </row>
    <row r="3639" spans="1:5">
      <c r="A3639" s="1">
        <v>45943</v>
      </c>
      <c r="B3639" t="s">
        <v>907</v>
      </c>
      <c r="C3639" t="s">
        <v>20</v>
      </c>
      <c r="D3639" t="s">
        <v>4616</v>
      </c>
      <c r="E3639">
        <v>2070</v>
      </c>
    </row>
    <row r="3640" spans="1:5">
      <c r="A3640" s="1">
        <v>45943</v>
      </c>
      <c r="B3640" t="s">
        <v>287</v>
      </c>
      <c r="C3640" t="s">
        <v>20</v>
      </c>
      <c r="D3640" t="s">
        <v>4617</v>
      </c>
      <c r="E3640">
        <v>80112</v>
      </c>
    </row>
    <row r="3641" spans="1:5">
      <c r="A3641" s="1">
        <v>45943</v>
      </c>
      <c r="B3641" t="s">
        <v>43</v>
      </c>
      <c r="C3641" t="s">
        <v>20</v>
      </c>
      <c r="D3641" t="s">
        <v>4618</v>
      </c>
      <c r="E3641">
        <v>570</v>
      </c>
    </row>
    <row r="3642" spans="1:5">
      <c r="A3642" s="1">
        <v>45943</v>
      </c>
      <c r="B3642" t="s">
        <v>33</v>
      </c>
      <c r="C3642" t="s">
        <v>20</v>
      </c>
      <c r="D3642" t="s">
        <v>4619</v>
      </c>
      <c r="E3642">
        <v>855</v>
      </c>
    </row>
    <row r="3643" spans="1:5">
      <c r="A3643" s="1">
        <v>45943</v>
      </c>
      <c r="B3643" t="s">
        <v>135</v>
      </c>
      <c r="C3643" t="s">
        <v>20</v>
      </c>
      <c r="D3643" t="s">
        <v>4620</v>
      </c>
      <c r="E3643">
        <v>26979</v>
      </c>
    </row>
    <row r="3644" spans="1:5">
      <c r="A3644" s="1">
        <v>45943</v>
      </c>
      <c r="B3644" t="s">
        <v>4621</v>
      </c>
      <c r="C3644" t="s">
        <v>20</v>
      </c>
      <c r="D3644" t="s">
        <v>4622</v>
      </c>
      <c r="E3644">
        <v>27162</v>
      </c>
    </row>
    <row r="3645" spans="1:5">
      <c r="A3645" s="1">
        <v>45943</v>
      </c>
      <c r="B3645" t="s">
        <v>817</v>
      </c>
      <c r="C3645" t="s">
        <v>20</v>
      </c>
      <c r="D3645" t="s">
        <v>4623</v>
      </c>
      <c r="E3645">
        <v>2380</v>
      </c>
    </row>
    <row r="3646" spans="1:5">
      <c r="A3646" s="1">
        <v>45943</v>
      </c>
      <c r="B3646" t="s">
        <v>2143</v>
      </c>
      <c r="C3646" t="s">
        <v>20</v>
      </c>
      <c r="D3646" t="s">
        <v>4624</v>
      </c>
      <c r="E3646">
        <v>23849</v>
      </c>
    </row>
    <row r="3647" spans="1:5">
      <c r="A3647" s="1">
        <v>45943</v>
      </c>
      <c r="B3647" t="s">
        <v>856</v>
      </c>
      <c r="C3647" t="s">
        <v>20</v>
      </c>
      <c r="D3647" t="s">
        <v>4625</v>
      </c>
      <c r="E3647">
        <v>6185</v>
      </c>
    </row>
    <row r="3648" spans="1:5">
      <c r="A3648" s="1">
        <v>45943</v>
      </c>
      <c r="B3648" t="s">
        <v>254</v>
      </c>
      <c r="C3648" t="s">
        <v>20</v>
      </c>
      <c r="D3648" t="s">
        <v>4626</v>
      </c>
      <c r="E3648">
        <v>1360</v>
      </c>
    </row>
    <row r="3649" spans="1:5">
      <c r="A3649" s="1">
        <v>45943</v>
      </c>
      <c r="B3649" t="s">
        <v>68</v>
      </c>
      <c r="C3649" t="s">
        <v>20</v>
      </c>
      <c r="D3649" t="s">
        <v>4627</v>
      </c>
      <c r="E3649">
        <v>13110</v>
      </c>
    </row>
    <row r="3650" spans="1:5">
      <c r="A3650" s="1">
        <v>45943</v>
      </c>
      <c r="B3650" t="s">
        <v>129</v>
      </c>
      <c r="C3650" t="s">
        <v>20</v>
      </c>
      <c r="D3650" t="s">
        <v>4628</v>
      </c>
      <c r="E3650">
        <v>2565</v>
      </c>
    </row>
    <row r="3651" spans="1:5">
      <c r="A3651" s="1">
        <v>45943</v>
      </c>
      <c r="B3651" t="s">
        <v>4329</v>
      </c>
      <c r="C3651" t="s">
        <v>20</v>
      </c>
      <c r="D3651" t="s">
        <v>4629</v>
      </c>
      <c r="E3651">
        <v>2990</v>
      </c>
    </row>
    <row r="3652" spans="1:5">
      <c r="A3652" s="1">
        <v>45944</v>
      </c>
      <c r="B3652" t="s">
        <v>1106</v>
      </c>
      <c r="C3652" t="s">
        <v>19</v>
      </c>
      <c r="D3652" t="s">
        <v>4630</v>
      </c>
      <c r="E3652">
        <v>20112</v>
      </c>
    </row>
    <row r="3653" spans="1:5">
      <c r="A3653" s="1">
        <v>45944</v>
      </c>
      <c r="B3653" t="s">
        <v>76</v>
      </c>
      <c r="C3653" t="s">
        <v>20</v>
      </c>
      <c r="D3653" t="s">
        <v>4631</v>
      </c>
      <c r="E3653">
        <v>16450</v>
      </c>
    </row>
    <row r="3654" spans="1:5">
      <c r="A3654" s="1">
        <v>45944</v>
      </c>
      <c r="B3654" t="s">
        <v>135</v>
      </c>
      <c r="C3654" t="s">
        <v>20</v>
      </c>
      <c r="D3654" t="s">
        <v>4632</v>
      </c>
      <c r="E3654">
        <v>12270</v>
      </c>
    </row>
    <row r="3655" spans="1:5">
      <c r="A3655" s="1">
        <v>45944</v>
      </c>
      <c r="B3655" t="s">
        <v>4590</v>
      </c>
      <c r="C3655" t="s">
        <v>20</v>
      </c>
      <c r="D3655" t="s">
        <v>4633</v>
      </c>
      <c r="E3655">
        <v>2645</v>
      </c>
    </row>
    <row r="3656" spans="1:5">
      <c r="A3656" s="1">
        <v>45944</v>
      </c>
      <c r="B3656" t="s">
        <v>100</v>
      </c>
      <c r="C3656" t="s">
        <v>20</v>
      </c>
      <c r="D3656" t="s">
        <v>4634</v>
      </c>
      <c r="E3656">
        <v>120</v>
      </c>
    </row>
    <row r="3657" spans="1:5">
      <c r="A3657" s="1">
        <v>45944</v>
      </c>
      <c r="B3657" t="s">
        <v>35</v>
      </c>
      <c r="C3657" t="s">
        <v>20</v>
      </c>
      <c r="D3657" t="s">
        <v>4635</v>
      </c>
      <c r="E3657">
        <v>5747</v>
      </c>
    </row>
    <row r="3658" spans="1:5">
      <c r="A3658" s="1">
        <v>45944</v>
      </c>
      <c r="B3658" t="s">
        <v>76</v>
      </c>
      <c r="C3658" t="s">
        <v>20</v>
      </c>
      <c r="D3658" t="s">
        <v>4636</v>
      </c>
      <c r="E3658">
        <v>12699</v>
      </c>
    </row>
    <row r="3659" spans="1:5">
      <c r="A3659" s="1">
        <v>45944</v>
      </c>
      <c r="B3659" t="s">
        <v>4450</v>
      </c>
      <c r="C3659" t="s">
        <v>20</v>
      </c>
      <c r="D3659" t="s">
        <v>4637</v>
      </c>
      <c r="E3659">
        <v>1136</v>
      </c>
    </row>
    <row r="3660" spans="1:5">
      <c r="A3660" s="1">
        <v>45944</v>
      </c>
      <c r="B3660" t="s">
        <v>1964</v>
      </c>
      <c r="C3660" t="s">
        <v>20</v>
      </c>
      <c r="D3660" t="s">
        <v>4638</v>
      </c>
      <c r="E3660">
        <v>11634</v>
      </c>
    </row>
    <row r="3661" spans="1:5">
      <c r="A3661" s="1">
        <v>45944</v>
      </c>
      <c r="B3661" t="s">
        <v>4639</v>
      </c>
      <c r="C3661" t="s">
        <v>20</v>
      </c>
      <c r="D3661" t="s">
        <v>4640</v>
      </c>
      <c r="E3661">
        <v>20380</v>
      </c>
    </row>
    <row r="3662" spans="1:5">
      <c r="A3662" s="1">
        <v>45945</v>
      </c>
      <c r="B3662" t="s">
        <v>709</v>
      </c>
      <c r="C3662" t="s">
        <v>20</v>
      </c>
      <c r="D3662" t="s">
        <v>4641</v>
      </c>
      <c r="E3662">
        <v>3400</v>
      </c>
    </row>
    <row r="3663" spans="1:5">
      <c r="A3663" s="1">
        <v>45945</v>
      </c>
      <c r="B3663" t="s">
        <v>222</v>
      </c>
      <c r="C3663" t="s">
        <v>20</v>
      </c>
      <c r="D3663" t="s">
        <v>4642</v>
      </c>
      <c r="E3663">
        <v>14501</v>
      </c>
    </row>
    <row r="3664" spans="1:5">
      <c r="A3664" s="1">
        <v>45945</v>
      </c>
      <c r="B3664" t="s">
        <v>76</v>
      </c>
      <c r="C3664" t="s">
        <v>20</v>
      </c>
      <c r="D3664" t="s">
        <v>4643</v>
      </c>
      <c r="E3664">
        <v>1020</v>
      </c>
    </row>
    <row r="3665" spans="1:5">
      <c r="A3665" s="1">
        <v>45945</v>
      </c>
      <c r="B3665" t="s">
        <v>4644</v>
      </c>
      <c r="C3665" t="s">
        <v>20</v>
      </c>
      <c r="D3665" t="s">
        <v>4645</v>
      </c>
      <c r="E3665">
        <v>1021</v>
      </c>
    </row>
    <row r="3666" spans="1:5">
      <c r="A3666" s="1">
        <v>45945</v>
      </c>
      <c r="B3666" t="s">
        <v>856</v>
      </c>
      <c r="C3666" t="s">
        <v>20</v>
      </c>
      <c r="D3666" t="s">
        <v>4646</v>
      </c>
      <c r="E3666">
        <v>12060</v>
      </c>
    </row>
    <row r="3667" spans="1:5">
      <c r="A3667" s="1">
        <v>45945</v>
      </c>
      <c r="B3667" t="s">
        <v>35</v>
      </c>
      <c r="C3667" t="s">
        <v>20</v>
      </c>
      <c r="D3667" t="s">
        <v>4647</v>
      </c>
      <c r="E3667">
        <v>14760</v>
      </c>
    </row>
    <row r="3668" spans="1:5">
      <c r="A3668" s="1">
        <v>45945</v>
      </c>
      <c r="B3668" t="s">
        <v>3333</v>
      </c>
      <c r="C3668" t="s">
        <v>20</v>
      </c>
      <c r="D3668" t="s">
        <v>4648</v>
      </c>
      <c r="E3668">
        <v>8500</v>
      </c>
    </row>
    <row r="3669" spans="1:5">
      <c r="A3669" s="1">
        <v>45945</v>
      </c>
      <c r="B3669" t="s">
        <v>68</v>
      </c>
      <c r="C3669" t="s">
        <v>20</v>
      </c>
      <c r="D3669" t="s">
        <v>4649</v>
      </c>
      <c r="E3669">
        <v>863</v>
      </c>
    </row>
    <row r="3670" spans="1:5">
      <c r="A3670" s="1">
        <v>45945</v>
      </c>
      <c r="B3670" t="s">
        <v>4650</v>
      </c>
      <c r="C3670" t="s">
        <v>20</v>
      </c>
      <c r="D3670" t="s">
        <v>4651</v>
      </c>
      <c r="E3670">
        <v>760</v>
      </c>
    </row>
    <row r="3671" spans="1:5">
      <c r="A3671" s="1">
        <v>45945</v>
      </c>
      <c r="B3671" t="s">
        <v>802</v>
      </c>
      <c r="C3671" t="s">
        <v>20</v>
      </c>
      <c r="D3671" t="s">
        <v>4652</v>
      </c>
      <c r="E3671">
        <v>2911</v>
      </c>
    </row>
    <row r="3672" spans="1:5">
      <c r="A3672" s="1">
        <v>45945</v>
      </c>
      <c r="B3672" t="s">
        <v>4653</v>
      </c>
      <c r="C3672" t="s">
        <v>20</v>
      </c>
      <c r="D3672" t="s">
        <v>4654</v>
      </c>
      <c r="E3672">
        <v>3041</v>
      </c>
    </row>
    <row r="3673" spans="1:5">
      <c r="A3673" s="1">
        <v>45945</v>
      </c>
      <c r="B3673" t="s">
        <v>35</v>
      </c>
      <c r="C3673" t="s">
        <v>20</v>
      </c>
      <c r="D3673" t="s">
        <v>4655</v>
      </c>
      <c r="E3673">
        <v>1320</v>
      </c>
    </row>
    <row r="3674" spans="1:5">
      <c r="A3674" s="1">
        <v>45945</v>
      </c>
      <c r="B3674" t="s">
        <v>4656</v>
      </c>
      <c r="C3674" t="s">
        <v>20</v>
      </c>
      <c r="D3674" t="s">
        <v>4657</v>
      </c>
      <c r="E3674">
        <v>5950</v>
      </c>
    </row>
    <row r="3675" spans="1:5">
      <c r="A3675" s="1">
        <v>45945</v>
      </c>
      <c r="B3675" t="s">
        <v>2634</v>
      </c>
      <c r="C3675" t="s">
        <v>20</v>
      </c>
      <c r="D3675" t="s">
        <v>4658</v>
      </c>
      <c r="E3675">
        <v>6404</v>
      </c>
    </row>
    <row r="3676" spans="1:5">
      <c r="A3676" s="1">
        <v>45945</v>
      </c>
      <c r="B3676" t="s">
        <v>656</v>
      </c>
      <c r="C3676" t="s">
        <v>20</v>
      </c>
      <c r="D3676" t="s">
        <v>4659</v>
      </c>
      <c r="E3676">
        <v>1020</v>
      </c>
    </row>
    <row r="3677" spans="1:5">
      <c r="A3677" s="1">
        <v>45945</v>
      </c>
      <c r="B3677" t="s">
        <v>4089</v>
      </c>
      <c r="C3677" t="s">
        <v>20</v>
      </c>
      <c r="D3677" t="s">
        <v>4660</v>
      </c>
      <c r="E3677">
        <v>26645</v>
      </c>
    </row>
    <row r="3678" spans="1:5">
      <c r="A3678" s="1">
        <v>45945</v>
      </c>
      <c r="B3678" t="s">
        <v>4329</v>
      </c>
      <c r="C3678" t="s">
        <v>20</v>
      </c>
      <c r="D3678" t="s">
        <v>4661</v>
      </c>
      <c r="E3678">
        <v>332</v>
      </c>
    </row>
    <row r="3679" spans="1:5">
      <c r="A3679" s="1">
        <v>45945</v>
      </c>
      <c r="B3679" t="s">
        <v>4450</v>
      </c>
      <c r="C3679" t="s">
        <v>20</v>
      </c>
      <c r="D3679" t="s">
        <v>4662</v>
      </c>
      <c r="E3679">
        <v>500</v>
      </c>
    </row>
    <row r="3680" spans="1:5">
      <c r="A3680" s="1">
        <v>45945</v>
      </c>
      <c r="B3680" t="s">
        <v>360</v>
      </c>
      <c r="C3680" t="s">
        <v>20</v>
      </c>
      <c r="D3680" t="s">
        <v>4663</v>
      </c>
      <c r="E3680">
        <v>12238</v>
      </c>
    </row>
    <row r="3681" spans="1:5">
      <c r="A3681" s="1">
        <v>45945</v>
      </c>
      <c r="B3681" t="s">
        <v>802</v>
      </c>
      <c r="C3681" t="s">
        <v>20</v>
      </c>
      <c r="D3681" t="s">
        <v>4664</v>
      </c>
      <c r="E3681">
        <v>8500</v>
      </c>
    </row>
    <row r="3682" spans="1:5">
      <c r="A3682" s="1">
        <v>45945</v>
      </c>
      <c r="B3682" t="s">
        <v>254</v>
      </c>
      <c r="C3682" t="s">
        <v>20</v>
      </c>
      <c r="D3682" t="s">
        <v>4665</v>
      </c>
      <c r="E3682">
        <v>1020</v>
      </c>
    </row>
    <row r="3683" spans="1:5">
      <c r="A3683" s="1">
        <v>45946</v>
      </c>
      <c r="B3683" t="s">
        <v>1104</v>
      </c>
      <c r="C3683" t="s">
        <v>19</v>
      </c>
      <c r="D3683" t="s">
        <v>4666</v>
      </c>
      <c r="E3683">
        <v>3920</v>
      </c>
    </row>
    <row r="3684" spans="1:5">
      <c r="A3684" s="1">
        <v>45946</v>
      </c>
      <c r="B3684" t="s">
        <v>2329</v>
      </c>
      <c r="C3684" t="s">
        <v>19</v>
      </c>
      <c r="D3684" t="s">
        <v>4667</v>
      </c>
      <c r="E3684">
        <v>2052</v>
      </c>
    </row>
    <row r="3685" spans="1:5">
      <c r="A3685" s="1">
        <v>45946</v>
      </c>
      <c r="B3685" t="s">
        <v>3050</v>
      </c>
      <c r="C3685" t="s">
        <v>19</v>
      </c>
      <c r="D3685" t="s">
        <v>4668</v>
      </c>
      <c r="E3685">
        <v>32236</v>
      </c>
    </row>
    <row r="3686" spans="1:5">
      <c r="A3686" s="1">
        <v>45946</v>
      </c>
      <c r="B3686" t="s">
        <v>4669</v>
      </c>
      <c r="C3686" t="s">
        <v>19</v>
      </c>
      <c r="D3686" t="s">
        <v>4670</v>
      </c>
      <c r="E3686">
        <v>14162</v>
      </c>
    </row>
    <row r="3687" spans="1:5">
      <c r="A3687" s="1">
        <v>45946</v>
      </c>
      <c r="B3687" t="s">
        <v>1049</v>
      </c>
      <c r="C3687" t="s">
        <v>19</v>
      </c>
      <c r="D3687" t="s">
        <v>4671</v>
      </c>
      <c r="E3687">
        <v>7000</v>
      </c>
    </row>
    <row r="3688" spans="1:5">
      <c r="A3688" s="1">
        <v>45946</v>
      </c>
      <c r="B3688" t="s">
        <v>2329</v>
      </c>
      <c r="C3688" t="s">
        <v>19</v>
      </c>
      <c r="D3688" t="s">
        <v>4672</v>
      </c>
      <c r="E3688">
        <v>1867</v>
      </c>
    </row>
    <row r="3689" spans="1:5">
      <c r="A3689" s="1">
        <v>45946</v>
      </c>
      <c r="B3689" t="s">
        <v>216</v>
      </c>
      <c r="C3689" t="s">
        <v>19</v>
      </c>
      <c r="D3689" t="s">
        <v>4673</v>
      </c>
      <c r="E3689">
        <v>4020</v>
      </c>
    </row>
    <row r="3690" spans="1:5">
      <c r="A3690" s="1">
        <v>45946</v>
      </c>
      <c r="B3690" t="s">
        <v>135</v>
      </c>
      <c r="C3690" t="s">
        <v>20</v>
      </c>
      <c r="D3690" t="s">
        <v>4674</v>
      </c>
      <c r="E3690">
        <v>29370</v>
      </c>
    </row>
    <row r="3691" spans="1:5">
      <c r="A3691" s="1">
        <v>45946</v>
      </c>
      <c r="B3691" t="s">
        <v>1135</v>
      </c>
      <c r="C3691" t="s">
        <v>20</v>
      </c>
      <c r="D3691" t="s">
        <v>4675</v>
      </c>
      <c r="E3691">
        <v>3710</v>
      </c>
    </row>
    <row r="3692" spans="1:5">
      <c r="A3692" s="1">
        <v>45946</v>
      </c>
      <c r="B3692" t="s">
        <v>33</v>
      </c>
      <c r="C3692" t="s">
        <v>20</v>
      </c>
      <c r="D3692" t="s">
        <v>4676</v>
      </c>
      <c r="E3692">
        <v>6800</v>
      </c>
    </row>
    <row r="3693" spans="1:5">
      <c r="A3693" s="1">
        <v>45946</v>
      </c>
      <c r="B3693" t="s">
        <v>66</v>
      </c>
      <c r="C3693" t="s">
        <v>20</v>
      </c>
      <c r="D3693" t="s">
        <v>4677</v>
      </c>
      <c r="E3693">
        <v>50</v>
      </c>
    </row>
    <row r="3694" spans="1:5">
      <c r="A3694" s="1">
        <v>45946</v>
      </c>
      <c r="B3694" t="s">
        <v>844</v>
      </c>
      <c r="C3694" t="s">
        <v>20</v>
      </c>
      <c r="D3694" t="s">
        <v>4678</v>
      </c>
      <c r="E3694">
        <v>457</v>
      </c>
    </row>
    <row r="3695" spans="1:5">
      <c r="A3695" s="1">
        <v>45946</v>
      </c>
      <c r="B3695" t="s">
        <v>932</v>
      </c>
      <c r="C3695" t="s">
        <v>20</v>
      </c>
      <c r="D3695" t="s">
        <v>4679</v>
      </c>
      <c r="E3695">
        <v>2380</v>
      </c>
    </row>
    <row r="3696" spans="1:5">
      <c r="A3696" s="1">
        <v>45946</v>
      </c>
      <c r="B3696" t="s">
        <v>68</v>
      </c>
      <c r="C3696" t="s">
        <v>20</v>
      </c>
      <c r="D3696" t="s">
        <v>4680</v>
      </c>
      <c r="E3696">
        <v>2607</v>
      </c>
    </row>
    <row r="3697" spans="1:5">
      <c r="A3697" s="1">
        <v>45946</v>
      </c>
      <c r="B3697" t="s">
        <v>68</v>
      </c>
      <c r="C3697" t="s">
        <v>20</v>
      </c>
      <c r="D3697" t="s">
        <v>4681</v>
      </c>
      <c r="E3697">
        <v>3243</v>
      </c>
    </row>
    <row r="3698" spans="1:5">
      <c r="A3698" s="1">
        <v>45946</v>
      </c>
      <c r="B3698" t="s">
        <v>4590</v>
      </c>
      <c r="C3698" t="s">
        <v>20</v>
      </c>
      <c r="D3698" t="s">
        <v>4682</v>
      </c>
      <c r="E3698">
        <v>2490</v>
      </c>
    </row>
    <row r="3699" spans="1:5">
      <c r="A3699" s="1">
        <v>45946</v>
      </c>
      <c r="B3699" t="s">
        <v>2202</v>
      </c>
      <c r="C3699" t="s">
        <v>20</v>
      </c>
      <c r="D3699" t="s">
        <v>4683</v>
      </c>
      <c r="E3699">
        <v>5100</v>
      </c>
    </row>
    <row r="3700" spans="1:5">
      <c r="A3700" s="1">
        <v>45946</v>
      </c>
      <c r="B3700" t="s">
        <v>526</v>
      </c>
      <c r="C3700" t="s">
        <v>20</v>
      </c>
      <c r="D3700" t="s">
        <v>4684</v>
      </c>
      <c r="E3700">
        <v>38410</v>
      </c>
    </row>
    <row r="3701" spans="1:5">
      <c r="A3701" s="1">
        <v>45946</v>
      </c>
      <c r="B3701" t="s">
        <v>87</v>
      </c>
      <c r="C3701" t="s">
        <v>20</v>
      </c>
      <c r="D3701" t="s">
        <v>4685</v>
      </c>
      <c r="E3701">
        <v>3300</v>
      </c>
    </row>
    <row r="3702" spans="1:5">
      <c r="A3702" s="1">
        <v>45946</v>
      </c>
      <c r="B3702" t="s">
        <v>566</v>
      </c>
      <c r="C3702" t="s">
        <v>20</v>
      </c>
      <c r="D3702" t="s">
        <v>4686</v>
      </c>
      <c r="E3702">
        <v>1585</v>
      </c>
    </row>
    <row r="3703" spans="1:5">
      <c r="A3703" s="1">
        <v>45946</v>
      </c>
      <c r="B3703" t="s">
        <v>4687</v>
      </c>
      <c r="C3703" t="s">
        <v>20</v>
      </c>
      <c r="D3703" t="s">
        <v>4688</v>
      </c>
      <c r="E3703">
        <v>1254</v>
      </c>
    </row>
    <row r="3704" spans="1:5">
      <c r="A3704" s="1">
        <v>45946</v>
      </c>
      <c r="B3704" t="s">
        <v>601</v>
      </c>
      <c r="C3704" t="s">
        <v>20</v>
      </c>
      <c r="D3704" t="s">
        <v>4689</v>
      </c>
      <c r="E3704">
        <v>8737</v>
      </c>
    </row>
    <row r="3705" spans="1:5">
      <c r="A3705" s="1">
        <v>45946</v>
      </c>
      <c r="B3705" t="s">
        <v>254</v>
      </c>
      <c r="C3705" t="s">
        <v>20</v>
      </c>
      <c r="D3705" t="s">
        <v>4690</v>
      </c>
      <c r="E3705">
        <v>340</v>
      </c>
    </row>
    <row r="3706" spans="1:5">
      <c r="A3706" s="1">
        <v>45946</v>
      </c>
      <c r="B3706" t="s">
        <v>844</v>
      </c>
      <c r="C3706" t="s">
        <v>20</v>
      </c>
      <c r="D3706" t="s">
        <v>4691</v>
      </c>
      <c r="E3706">
        <v>4215</v>
      </c>
    </row>
    <row r="3707" spans="1:5">
      <c r="A3707" s="1">
        <v>45946</v>
      </c>
      <c r="B3707" t="s">
        <v>50</v>
      </c>
      <c r="C3707" t="s">
        <v>20</v>
      </c>
      <c r="D3707" t="s">
        <v>4692</v>
      </c>
      <c r="E3707">
        <v>340</v>
      </c>
    </row>
    <row r="3708" spans="1:5">
      <c r="A3708" s="1">
        <v>45946</v>
      </c>
      <c r="B3708" t="s">
        <v>4656</v>
      </c>
      <c r="C3708" t="s">
        <v>20</v>
      </c>
      <c r="D3708" t="s">
        <v>4693</v>
      </c>
      <c r="E3708">
        <v>5100</v>
      </c>
    </row>
    <row r="3709" spans="1:5">
      <c r="A3709" s="1">
        <v>45946</v>
      </c>
      <c r="B3709" t="s">
        <v>4132</v>
      </c>
      <c r="C3709" t="s">
        <v>20</v>
      </c>
      <c r="D3709" t="s">
        <v>4694</v>
      </c>
      <c r="E3709">
        <v>9236</v>
      </c>
    </row>
    <row r="3710" spans="1:5">
      <c r="A3710" s="1">
        <v>45946</v>
      </c>
      <c r="B3710" t="s">
        <v>4695</v>
      </c>
      <c r="C3710" t="s">
        <v>20</v>
      </c>
      <c r="D3710" t="s">
        <v>4696</v>
      </c>
      <c r="E3710">
        <v>27900</v>
      </c>
    </row>
    <row r="3711" spans="1:5">
      <c r="A3711" s="1">
        <v>45946</v>
      </c>
      <c r="B3711" t="s">
        <v>4290</v>
      </c>
      <c r="C3711" t="s">
        <v>20</v>
      </c>
      <c r="D3711" t="s">
        <v>4697</v>
      </c>
      <c r="E3711">
        <v>282</v>
      </c>
    </row>
    <row r="3712" spans="1:5">
      <c r="A3712" s="1">
        <v>45946</v>
      </c>
      <c r="B3712" t="s">
        <v>135</v>
      </c>
      <c r="C3712" t="s">
        <v>20</v>
      </c>
      <c r="D3712" t="s">
        <v>4698</v>
      </c>
      <c r="E3712">
        <v>855</v>
      </c>
    </row>
    <row r="3713" spans="1:5">
      <c r="A3713" s="1">
        <v>45947</v>
      </c>
      <c r="B3713" t="s">
        <v>1104</v>
      </c>
      <c r="C3713" t="s">
        <v>19</v>
      </c>
      <c r="D3713" t="s">
        <v>4699</v>
      </c>
      <c r="E3713">
        <v>51677</v>
      </c>
    </row>
    <row r="3714" spans="1:5">
      <c r="A3714" s="1">
        <v>45947</v>
      </c>
      <c r="B3714" t="s">
        <v>56</v>
      </c>
      <c r="C3714" t="s">
        <v>19</v>
      </c>
      <c r="D3714" t="s">
        <v>4700</v>
      </c>
      <c r="E3714">
        <v>1256</v>
      </c>
    </row>
    <row r="3715" spans="1:5">
      <c r="A3715" s="1">
        <v>45947</v>
      </c>
      <c r="B3715" t="s">
        <v>216</v>
      </c>
      <c r="C3715" t="s">
        <v>19</v>
      </c>
      <c r="D3715" t="s">
        <v>4701</v>
      </c>
      <c r="E3715">
        <v>1341</v>
      </c>
    </row>
    <row r="3716" spans="1:5">
      <c r="A3716" s="1">
        <v>45947</v>
      </c>
      <c r="B3716" t="s">
        <v>96</v>
      </c>
      <c r="C3716" t="s">
        <v>19</v>
      </c>
      <c r="D3716" t="s">
        <v>4702</v>
      </c>
      <c r="E3716">
        <v>20790</v>
      </c>
    </row>
    <row r="3717" spans="1:5">
      <c r="A3717" s="1">
        <v>45947</v>
      </c>
      <c r="B3717" t="s">
        <v>4013</v>
      </c>
      <c r="C3717" t="s">
        <v>20</v>
      </c>
      <c r="D3717" t="s">
        <v>4703</v>
      </c>
      <c r="E3717">
        <v>36731</v>
      </c>
    </row>
    <row r="3718" spans="1:5">
      <c r="A3718" s="1">
        <v>45947</v>
      </c>
      <c r="B3718" t="s">
        <v>2634</v>
      </c>
      <c r="C3718" t="s">
        <v>20</v>
      </c>
      <c r="D3718" t="s">
        <v>4704</v>
      </c>
      <c r="E3718">
        <v>8500</v>
      </c>
    </row>
    <row r="3719" spans="1:5">
      <c r="A3719" s="1">
        <v>45947</v>
      </c>
      <c r="B3719" t="s">
        <v>252</v>
      </c>
      <c r="C3719" t="s">
        <v>20</v>
      </c>
      <c r="D3719" t="s">
        <v>4705</v>
      </c>
      <c r="E3719">
        <v>2455</v>
      </c>
    </row>
    <row r="3720" spans="1:5">
      <c r="A3720" s="1">
        <v>45947</v>
      </c>
      <c r="B3720" t="s">
        <v>68</v>
      </c>
      <c r="C3720" t="s">
        <v>20</v>
      </c>
      <c r="D3720" t="s">
        <v>4706</v>
      </c>
      <c r="E3720">
        <v>25</v>
      </c>
    </row>
    <row r="3721" spans="1:5">
      <c r="A3721" s="1">
        <v>45947</v>
      </c>
      <c r="B3721" t="s">
        <v>4656</v>
      </c>
      <c r="C3721" t="s">
        <v>20</v>
      </c>
      <c r="D3721" t="s">
        <v>4707</v>
      </c>
      <c r="E3721">
        <v>1805</v>
      </c>
    </row>
    <row r="3722" spans="1:5">
      <c r="A3722" s="1">
        <v>45947</v>
      </c>
      <c r="B3722" t="s">
        <v>566</v>
      </c>
      <c r="C3722" t="s">
        <v>20</v>
      </c>
      <c r="D3722" t="s">
        <v>4708</v>
      </c>
      <c r="E3722">
        <v>128</v>
      </c>
    </row>
    <row r="3723" spans="1:5">
      <c r="A3723" s="1">
        <v>45947</v>
      </c>
      <c r="B3723" t="s">
        <v>3703</v>
      </c>
      <c r="C3723" t="s">
        <v>20</v>
      </c>
      <c r="D3723" t="s">
        <v>4709</v>
      </c>
      <c r="E3723">
        <v>4814</v>
      </c>
    </row>
    <row r="3724" spans="1:5">
      <c r="A3724" s="1">
        <v>45947</v>
      </c>
      <c r="B3724" t="s">
        <v>254</v>
      </c>
      <c r="C3724" t="s">
        <v>20</v>
      </c>
      <c r="D3724" t="s">
        <v>4710</v>
      </c>
      <c r="E3724">
        <v>340</v>
      </c>
    </row>
    <row r="3725" spans="1:5">
      <c r="A3725" s="1">
        <v>45947</v>
      </c>
      <c r="B3725" t="s">
        <v>2143</v>
      </c>
      <c r="C3725" t="s">
        <v>20</v>
      </c>
      <c r="D3725" t="s">
        <v>4711</v>
      </c>
      <c r="E3725">
        <v>2307</v>
      </c>
    </row>
    <row r="3726" spans="1:5">
      <c r="A3726" s="1">
        <v>45947</v>
      </c>
      <c r="B3726" t="s">
        <v>360</v>
      </c>
      <c r="C3726" t="s">
        <v>20</v>
      </c>
      <c r="D3726" t="s">
        <v>4712</v>
      </c>
      <c r="E3726">
        <v>1693</v>
      </c>
    </row>
    <row r="3727" spans="1:5">
      <c r="A3727" s="1">
        <v>45947</v>
      </c>
      <c r="B3727" t="s">
        <v>1075</v>
      </c>
      <c r="C3727" t="s">
        <v>20</v>
      </c>
      <c r="D3727" t="s">
        <v>4713</v>
      </c>
      <c r="E3727">
        <v>340</v>
      </c>
    </row>
    <row r="3728" spans="1:5">
      <c r="A3728" s="1">
        <v>45947</v>
      </c>
      <c r="B3728" t="s">
        <v>2702</v>
      </c>
      <c r="C3728" t="s">
        <v>20</v>
      </c>
      <c r="D3728" t="s">
        <v>4714</v>
      </c>
      <c r="E3728">
        <v>46607</v>
      </c>
    </row>
    <row r="3729" spans="1:5">
      <c r="A3729" s="1">
        <v>45947</v>
      </c>
      <c r="B3729" t="s">
        <v>4715</v>
      </c>
      <c r="C3729" t="s">
        <v>20</v>
      </c>
      <c r="D3729" t="s">
        <v>4716</v>
      </c>
      <c r="E3729">
        <v>1800</v>
      </c>
    </row>
    <row r="3730" spans="1:5">
      <c r="A3730" s="1">
        <v>45947</v>
      </c>
      <c r="B3730" t="s">
        <v>844</v>
      </c>
      <c r="C3730" t="s">
        <v>20</v>
      </c>
      <c r="D3730" t="s">
        <v>4717</v>
      </c>
      <c r="E3730">
        <v>738</v>
      </c>
    </row>
    <row r="3731" spans="1:5">
      <c r="A3731" s="1">
        <v>45947</v>
      </c>
      <c r="B3731" t="s">
        <v>4656</v>
      </c>
      <c r="C3731" t="s">
        <v>20</v>
      </c>
      <c r="D3731" t="s">
        <v>4718</v>
      </c>
      <c r="E3731">
        <v>680</v>
      </c>
    </row>
    <row r="3732" spans="1:5">
      <c r="A3732" s="1">
        <v>45948</v>
      </c>
      <c r="B3732" t="s">
        <v>955</v>
      </c>
      <c r="C3732" t="s">
        <v>19</v>
      </c>
      <c r="D3732" t="s">
        <v>4719</v>
      </c>
      <c r="E3732">
        <v>1063</v>
      </c>
    </row>
    <row r="3733" spans="1:5">
      <c r="A3733" s="1">
        <v>45948</v>
      </c>
      <c r="B3733" t="s">
        <v>1106</v>
      </c>
      <c r="C3733" t="s">
        <v>19</v>
      </c>
      <c r="D3733" t="s">
        <v>4720</v>
      </c>
      <c r="E3733">
        <v>7210</v>
      </c>
    </row>
    <row r="3734" spans="1:5">
      <c r="A3734" s="1">
        <v>45948</v>
      </c>
      <c r="B3734" t="s">
        <v>76</v>
      </c>
      <c r="C3734" t="s">
        <v>20</v>
      </c>
      <c r="D3734" t="s">
        <v>4721</v>
      </c>
      <c r="E3734">
        <v>3400</v>
      </c>
    </row>
    <row r="3735" spans="1:5">
      <c r="A3735" s="1">
        <v>45948</v>
      </c>
      <c r="B3735" t="s">
        <v>2716</v>
      </c>
      <c r="C3735" t="s">
        <v>20</v>
      </c>
      <c r="D3735" t="s">
        <v>4722</v>
      </c>
      <c r="E3735">
        <v>100</v>
      </c>
    </row>
    <row r="3736" spans="1:5">
      <c r="A3736" s="1">
        <v>45948</v>
      </c>
      <c r="B3736" t="s">
        <v>932</v>
      </c>
      <c r="C3736" t="s">
        <v>20</v>
      </c>
      <c r="D3736" t="s">
        <v>4723</v>
      </c>
      <c r="E3736">
        <v>1700</v>
      </c>
    </row>
    <row r="3737" spans="1:5">
      <c r="A3737" s="1">
        <v>45948</v>
      </c>
      <c r="B3737" t="s">
        <v>375</v>
      </c>
      <c r="C3737" t="s">
        <v>20</v>
      </c>
      <c r="D3737" t="s">
        <v>4724</v>
      </c>
      <c r="E3737">
        <v>389</v>
      </c>
    </row>
    <row r="3738" spans="1:5">
      <c r="A3738" s="1">
        <v>45948</v>
      </c>
      <c r="B3738" t="s">
        <v>526</v>
      </c>
      <c r="C3738" t="s">
        <v>20</v>
      </c>
      <c r="D3738" t="s">
        <v>4725</v>
      </c>
      <c r="E3738">
        <v>24332</v>
      </c>
    </row>
    <row r="3739" spans="1:5">
      <c r="A3739" s="1">
        <v>45948</v>
      </c>
      <c r="B3739" t="s">
        <v>844</v>
      </c>
      <c r="C3739" t="s">
        <v>20</v>
      </c>
      <c r="D3739" t="s">
        <v>4726</v>
      </c>
      <c r="E3739">
        <v>14400</v>
      </c>
    </row>
    <row r="3740" spans="1:5">
      <c r="A3740" s="1">
        <v>45948</v>
      </c>
      <c r="B3740" t="s">
        <v>566</v>
      </c>
      <c r="C3740" t="s">
        <v>20</v>
      </c>
      <c r="D3740" t="s">
        <v>4727</v>
      </c>
      <c r="E3740">
        <v>210</v>
      </c>
    </row>
    <row r="3741" spans="1:5">
      <c r="A3741" s="1">
        <v>45948</v>
      </c>
      <c r="B3741" t="s">
        <v>252</v>
      </c>
      <c r="C3741" t="s">
        <v>20</v>
      </c>
      <c r="D3741" t="s">
        <v>4728</v>
      </c>
      <c r="E3741">
        <v>15858</v>
      </c>
    </row>
    <row r="3742" spans="1:5">
      <c r="A3742" s="1">
        <v>45948</v>
      </c>
      <c r="B3742" t="s">
        <v>4729</v>
      </c>
      <c r="C3742" t="s">
        <v>20</v>
      </c>
      <c r="D3742" t="s">
        <v>4730</v>
      </c>
      <c r="E3742">
        <v>1000</v>
      </c>
    </row>
    <row r="3743" spans="1:5">
      <c r="A3743" s="1">
        <v>45948</v>
      </c>
      <c r="B3743" t="s">
        <v>2634</v>
      </c>
      <c r="C3743" t="s">
        <v>20</v>
      </c>
      <c r="D3743" t="s">
        <v>4731</v>
      </c>
      <c r="E3743">
        <v>2923</v>
      </c>
    </row>
    <row r="3744" spans="1:5">
      <c r="A3744" s="1">
        <v>45948</v>
      </c>
      <c r="B3744" t="s">
        <v>3714</v>
      </c>
      <c r="C3744" t="s">
        <v>20</v>
      </c>
      <c r="D3744" t="s">
        <v>4732</v>
      </c>
      <c r="E3744">
        <v>792</v>
      </c>
    </row>
    <row r="3745" spans="1:5">
      <c r="A3745" s="1">
        <v>45948</v>
      </c>
      <c r="B3745" t="s">
        <v>4733</v>
      </c>
      <c r="C3745" t="s">
        <v>20</v>
      </c>
      <c r="D3745" t="s">
        <v>4734</v>
      </c>
      <c r="E3745">
        <v>8380</v>
      </c>
    </row>
    <row r="3746" spans="1:5">
      <c r="A3746" s="1">
        <v>45948</v>
      </c>
      <c r="B3746" t="s">
        <v>4733</v>
      </c>
      <c r="C3746" t="s">
        <v>20</v>
      </c>
      <c r="D3746" t="s">
        <v>4735</v>
      </c>
      <c r="E3746">
        <v>1352</v>
      </c>
    </row>
    <row r="3747" spans="1:5">
      <c r="A3747" s="1">
        <v>45948</v>
      </c>
      <c r="B3747" t="s">
        <v>4656</v>
      </c>
      <c r="C3747" t="s">
        <v>20</v>
      </c>
      <c r="D3747" t="s">
        <v>4736</v>
      </c>
      <c r="E3747">
        <v>1020</v>
      </c>
    </row>
    <row r="3748" spans="1:5">
      <c r="A3748" s="1">
        <v>45948</v>
      </c>
      <c r="B3748" t="s">
        <v>360</v>
      </c>
      <c r="C3748" t="s">
        <v>20</v>
      </c>
      <c r="D3748" t="s">
        <v>4737</v>
      </c>
      <c r="E3748">
        <v>475</v>
      </c>
    </row>
    <row r="3749" spans="1:5">
      <c r="A3749" s="1">
        <v>45948</v>
      </c>
      <c r="B3749" t="s">
        <v>566</v>
      </c>
      <c r="C3749" t="s">
        <v>20</v>
      </c>
      <c r="D3749" t="s">
        <v>4738</v>
      </c>
      <c r="E3749">
        <v>275</v>
      </c>
    </row>
    <row r="3750" spans="1:5">
      <c r="A3750" s="1">
        <v>45948</v>
      </c>
      <c r="B3750" t="s">
        <v>35</v>
      </c>
      <c r="C3750" t="s">
        <v>20</v>
      </c>
      <c r="D3750" t="s">
        <v>4739</v>
      </c>
      <c r="E3750">
        <v>27845</v>
      </c>
    </row>
    <row r="3751" spans="1:5">
      <c r="A3751" s="1">
        <v>45948</v>
      </c>
      <c r="B3751" t="s">
        <v>222</v>
      </c>
      <c r="C3751" t="s">
        <v>20</v>
      </c>
      <c r="D3751" t="s">
        <v>4740</v>
      </c>
      <c r="E3751">
        <v>1700</v>
      </c>
    </row>
    <row r="3752" spans="1:5">
      <c r="A3752" s="1">
        <v>45948</v>
      </c>
      <c r="B3752" t="s">
        <v>4114</v>
      </c>
      <c r="C3752" t="s">
        <v>20</v>
      </c>
      <c r="D3752" t="s">
        <v>4741</v>
      </c>
      <c r="E3752">
        <v>902</v>
      </c>
    </row>
    <row r="3753" spans="1:5">
      <c r="A3753" s="1">
        <v>45948</v>
      </c>
      <c r="B3753" t="s">
        <v>131</v>
      </c>
      <c r="C3753" t="s">
        <v>20</v>
      </c>
      <c r="D3753" t="s">
        <v>4742</v>
      </c>
      <c r="E3753">
        <v>1700</v>
      </c>
    </row>
    <row r="3754" spans="1:5">
      <c r="A3754" s="1">
        <v>45948</v>
      </c>
      <c r="B3754" t="s">
        <v>4743</v>
      </c>
      <c r="C3754" t="s">
        <v>20</v>
      </c>
      <c r="D3754" t="s">
        <v>4744</v>
      </c>
      <c r="E3754">
        <v>1465</v>
      </c>
    </row>
    <row r="3755" spans="1:5">
      <c r="A3755" s="1">
        <v>45948</v>
      </c>
      <c r="B3755" t="s">
        <v>4745</v>
      </c>
      <c r="C3755" t="s">
        <v>20</v>
      </c>
      <c r="D3755" t="s">
        <v>4746</v>
      </c>
      <c r="E3755">
        <v>802</v>
      </c>
    </row>
    <row r="3756" spans="1:5">
      <c r="A3756" s="1">
        <v>45950</v>
      </c>
      <c r="B3756" t="s">
        <v>1104</v>
      </c>
      <c r="C3756" t="s">
        <v>19</v>
      </c>
      <c r="D3756" t="s">
        <v>4747</v>
      </c>
      <c r="E3756">
        <v>15313</v>
      </c>
    </row>
    <row r="3757" spans="1:5">
      <c r="A3757" s="1">
        <v>45950</v>
      </c>
      <c r="B3757" t="s">
        <v>1106</v>
      </c>
      <c r="C3757" t="s">
        <v>19</v>
      </c>
      <c r="D3757" t="s">
        <v>4748</v>
      </c>
      <c r="E3757">
        <v>8295</v>
      </c>
    </row>
    <row r="3758" spans="1:5">
      <c r="A3758" s="1">
        <v>45950</v>
      </c>
      <c r="B3758" t="s">
        <v>3089</v>
      </c>
      <c r="C3758" t="s">
        <v>20</v>
      </c>
      <c r="D3758" t="s">
        <v>4749</v>
      </c>
      <c r="E3758">
        <v>8500</v>
      </c>
    </row>
    <row r="3759" spans="1:5">
      <c r="A3759" s="1">
        <v>45950</v>
      </c>
      <c r="B3759" t="s">
        <v>254</v>
      </c>
      <c r="C3759" t="s">
        <v>20</v>
      </c>
      <c r="D3759" t="s">
        <v>4750</v>
      </c>
      <c r="E3759">
        <v>5330</v>
      </c>
    </row>
    <row r="3760" spans="1:5">
      <c r="A3760" s="1">
        <v>45950</v>
      </c>
      <c r="B3760" t="s">
        <v>557</v>
      </c>
      <c r="C3760" t="s">
        <v>20</v>
      </c>
      <c r="D3760" t="s">
        <v>4751</v>
      </c>
      <c r="E3760">
        <v>2795</v>
      </c>
    </row>
    <row r="3761" spans="1:5">
      <c r="A3761" s="1">
        <v>45950</v>
      </c>
      <c r="B3761" t="s">
        <v>4752</v>
      </c>
      <c r="C3761" t="s">
        <v>20</v>
      </c>
      <c r="D3761" t="s">
        <v>4753</v>
      </c>
      <c r="E3761">
        <v>18740</v>
      </c>
    </row>
    <row r="3762" spans="1:5">
      <c r="A3762" s="1">
        <v>45950</v>
      </c>
      <c r="B3762" t="s">
        <v>2634</v>
      </c>
      <c r="C3762" t="s">
        <v>20</v>
      </c>
      <c r="D3762" t="s">
        <v>4754</v>
      </c>
      <c r="E3762">
        <v>6800</v>
      </c>
    </row>
    <row r="3763" spans="1:5">
      <c r="A3763" s="1">
        <v>45950</v>
      </c>
      <c r="B3763" t="s">
        <v>1075</v>
      </c>
      <c r="C3763" t="s">
        <v>20</v>
      </c>
      <c r="D3763" t="s">
        <v>4755</v>
      </c>
      <c r="E3763">
        <v>5308</v>
      </c>
    </row>
    <row r="3764" spans="1:5">
      <c r="A3764" s="1">
        <v>45950</v>
      </c>
      <c r="B3764" t="s">
        <v>4172</v>
      </c>
      <c r="C3764" t="s">
        <v>20</v>
      </c>
      <c r="D3764" t="s">
        <v>4756</v>
      </c>
      <c r="E3764">
        <v>340</v>
      </c>
    </row>
    <row r="3765" spans="1:5">
      <c r="A3765" s="1">
        <v>45950</v>
      </c>
      <c r="B3765" t="s">
        <v>2455</v>
      </c>
      <c r="C3765" t="s">
        <v>20</v>
      </c>
      <c r="D3765" t="s">
        <v>4757</v>
      </c>
      <c r="E3765">
        <v>3675</v>
      </c>
    </row>
    <row r="3766" spans="1:5">
      <c r="A3766" s="1">
        <v>45950</v>
      </c>
      <c r="B3766" t="s">
        <v>4758</v>
      </c>
      <c r="C3766" t="s">
        <v>20</v>
      </c>
      <c r="D3766" t="s">
        <v>4759</v>
      </c>
      <c r="E3766">
        <v>22682</v>
      </c>
    </row>
    <row r="3767" spans="1:5">
      <c r="A3767" s="1">
        <v>45950</v>
      </c>
      <c r="B3767" t="s">
        <v>2958</v>
      </c>
      <c r="C3767" t="s">
        <v>20</v>
      </c>
      <c r="D3767" t="s">
        <v>4760</v>
      </c>
      <c r="E3767">
        <v>16084</v>
      </c>
    </row>
    <row r="3768" spans="1:5">
      <c r="A3768" s="1">
        <v>45950</v>
      </c>
      <c r="B3768" t="s">
        <v>2534</v>
      </c>
      <c r="C3768" t="s">
        <v>20</v>
      </c>
      <c r="D3768" t="s">
        <v>4761</v>
      </c>
      <c r="E3768">
        <v>30</v>
      </c>
    </row>
    <row r="3769" spans="1:5">
      <c r="A3769" s="1">
        <v>45950</v>
      </c>
      <c r="B3769" t="s">
        <v>222</v>
      </c>
      <c r="C3769" t="s">
        <v>20</v>
      </c>
      <c r="D3769" t="s">
        <v>4762</v>
      </c>
      <c r="E3769">
        <v>1600</v>
      </c>
    </row>
    <row r="3770" spans="1:5">
      <c r="A3770" s="1">
        <v>45950</v>
      </c>
      <c r="B3770" t="s">
        <v>4715</v>
      </c>
      <c r="C3770" t="s">
        <v>20</v>
      </c>
      <c r="D3770" t="s">
        <v>4763</v>
      </c>
      <c r="E3770">
        <v>4105</v>
      </c>
    </row>
    <row r="3771" spans="1:5">
      <c r="A3771" s="1">
        <v>45950</v>
      </c>
      <c r="B3771" t="s">
        <v>4144</v>
      </c>
      <c r="C3771" t="s">
        <v>20</v>
      </c>
      <c r="D3771" t="s">
        <v>4764</v>
      </c>
      <c r="E3771">
        <v>1700</v>
      </c>
    </row>
    <row r="3772" spans="1:5">
      <c r="A3772" s="1">
        <v>45951</v>
      </c>
      <c r="B3772" t="s">
        <v>1424</v>
      </c>
      <c r="C3772" t="s">
        <v>19</v>
      </c>
      <c r="D3772" t="s">
        <v>4765</v>
      </c>
      <c r="E3772">
        <v>10001</v>
      </c>
    </row>
    <row r="3773" spans="1:5">
      <c r="A3773" s="1">
        <v>45951</v>
      </c>
      <c r="B3773" t="s">
        <v>180</v>
      </c>
      <c r="C3773" t="s">
        <v>19</v>
      </c>
      <c r="D3773" t="s">
        <v>4766</v>
      </c>
      <c r="E3773">
        <v>72220</v>
      </c>
    </row>
    <row r="3774" spans="1:5">
      <c r="A3774" s="1">
        <v>45951</v>
      </c>
      <c r="B3774" t="s">
        <v>2987</v>
      </c>
      <c r="C3774" t="s">
        <v>19</v>
      </c>
      <c r="D3774" t="s">
        <v>4767</v>
      </c>
      <c r="E3774">
        <v>207892</v>
      </c>
    </row>
    <row r="3775" spans="1:5">
      <c r="A3775" s="1">
        <v>45951</v>
      </c>
      <c r="B3775" t="s">
        <v>68</v>
      </c>
      <c r="C3775" t="s">
        <v>20</v>
      </c>
      <c r="D3775" t="s">
        <v>4768</v>
      </c>
      <c r="E3775">
        <v>840</v>
      </c>
    </row>
    <row r="3776" spans="1:5">
      <c r="A3776" s="1">
        <v>45951</v>
      </c>
      <c r="B3776" t="s">
        <v>4144</v>
      </c>
      <c r="C3776" t="s">
        <v>20</v>
      </c>
      <c r="D3776" t="s">
        <v>4769</v>
      </c>
      <c r="E3776">
        <v>31536</v>
      </c>
    </row>
    <row r="3777" spans="1:5">
      <c r="A3777" s="1">
        <v>45951</v>
      </c>
      <c r="B3777" t="s">
        <v>1051</v>
      </c>
      <c r="C3777" t="s">
        <v>20</v>
      </c>
      <c r="D3777" t="s">
        <v>4770</v>
      </c>
      <c r="E3777">
        <v>4520</v>
      </c>
    </row>
    <row r="3778" spans="1:5">
      <c r="A3778" s="1">
        <v>45951</v>
      </c>
      <c r="B3778" t="s">
        <v>254</v>
      </c>
      <c r="C3778" t="s">
        <v>20</v>
      </c>
      <c r="D3778" t="s">
        <v>4771</v>
      </c>
      <c r="E3778">
        <v>1314</v>
      </c>
    </row>
    <row r="3779" spans="1:5">
      <c r="A3779" s="1">
        <v>45951</v>
      </c>
      <c r="B3779" t="s">
        <v>3333</v>
      </c>
      <c r="C3779" t="s">
        <v>20</v>
      </c>
      <c r="D3779" t="s">
        <v>4772</v>
      </c>
      <c r="E3779">
        <v>23474</v>
      </c>
    </row>
    <row r="3780" spans="1:5">
      <c r="A3780" s="1">
        <v>45951</v>
      </c>
      <c r="B3780" t="s">
        <v>4773</v>
      </c>
      <c r="C3780" t="s">
        <v>20</v>
      </c>
      <c r="D3780" t="s">
        <v>4774</v>
      </c>
      <c r="E3780">
        <v>3060</v>
      </c>
    </row>
    <row r="3781" spans="1:5">
      <c r="A3781" s="1">
        <v>45951</v>
      </c>
      <c r="B3781" t="s">
        <v>566</v>
      </c>
      <c r="C3781" t="s">
        <v>20</v>
      </c>
      <c r="D3781" t="s">
        <v>4775</v>
      </c>
      <c r="E3781">
        <v>68</v>
      </c>
    </row>
    <row r="3782" spans="1:5">
      <c r="A3782" s="1">
        <v>45951</v>
      </c>
      <c r="B3782" t="s">
        <v>252</v>
      </c>
      <c r="C3782" t="s">
        <v>20</v>
      </c>
      <c r="D3782" t="s">
        <v>4776</v>
      </c>
      <c r="E3782">
        <v>380</v>
      </c>
    </row>
    <row r="3783" spans="1:5">
      <c r="A3783" s="1">
        <v>45951</v>
      </c>
      <c r="B3783" t="s">
        <v>4777</v>
      </c>
      <c r="C3783" t="s">
        <v>20</v>
      </c>
      <c r="D3783" t="s">
        <v>4778</v>
      </c>
      <c r="E3783">
        <v>5290</v>
      </c>
    </row>
    <row r="3784" spans="1:5">
      <c r="A3784" s="1">
        <v>45951</v>
      </c>
      <c r="B3784" t="s">
        <v>4304</v>
      </c>
      <c r="C3784" t="s">
        <v>20</v>
      </c>
      <c r="D3784" t="s">
        <v>4779</v>
      </c>
      <c r="E3784">
        <v>1482</v>
      </c>
    </row>
    <row r="3785" spans="1:5">
      <c r="A3785" s="1">
        <v>45951</v>
      </c>
      <c r="B3785" t="s">
        <v>802</v>
      </c>
      <c r="C3785" t="s">
        <v>20</v>
      </c>
      <c r="D3785" t="s">
        <v>4780</v>
      </c>
      <c r="E3785">
        <v>5930</v>
      </c>
    </row>
    <row r="3786" spans="1:5">
      <c r="A3786" s="1">
        <v>45951</v>
      </c>
      <c r="B3786" t="s">
        <v>4781</v>
      </c>
      <c r="C3786" t="s">
        <v>20</v>
      </c>
      <c r="D3786" t="s">
        <v>4782</v>
      </c>
      <c r="E3786">
        <v>7684</v>
      </c>
    </row>
    <row r="3787" spans="1:5">
      <c r="A3787" s="1">
        <v>45951</v>
      </c>
      <c r="B3787" t="s">
        <v>4459</v>
      </c>
      <c r="C3787" t="s">
        <v>20</v>
      </c>
      <c r="D3787" t="s">
        <v>4783</v>
      </c>
      <c r="E3787">
        <v>6800</v>
      </c>
    </row>
    <row r="3788" spans="1:5">
      <c r="A3788" s="1">
        <v>45951</v>
      </c>
      <c r="B3788" t="s">
        <v>68</v>
      </c>
      <c r="C3788" t="s">
        <v>20</v>
      </c>
      <c r="D3788" t="s">
        <v>4784</v>
      </c>
      <c r="E3788">
        <v>1406</v>
      </c>
    </row>
    <row r="3789" spans="1:5">
      <c r="A3789" s="1">
        <v>45951</v>
      </c>
      <c r="B3789" t="s">
        <v>932</v>
      </c>
      <c r="C3789" t="s">
        <v>20</v>
      </c>
      <c r="D3789" t="s">
        <v>4785</v>
      </c>
      <c r="E3789">
        <v>72161</v>
      </c>
    </row>
    <row r="3790" spans="1:5">
      <c r="A3790" s="1">
        <v>45951</v>
      </c>
      <c r="B3790" t="s">
        <v>4786</v>
      </c>
      <c r="C3790" t="s">
        <v>20</v>
      </c>
      <c r="D3790" t="s">
        <v>4787</v>
      </c>
      <c r="E3790">
        <v>3851</v>
      </c>
    </row>
    <row r="3791" spans="1:5">
      <c r="A3791" s="1">
        <v>45952</v>
      </c>
      <c r="B3791" t="s">
        <v>955</v>
      </c>
      <c r="C3791" t="s">
        <v>19</v>
      </c>
      <c r="D3791" t="s">
        <v>4788</v>
      </c>
      <c r="E3791">
        <v>1139</v>
      </c>
    </row>
    <row r="3792" spans="1:5">
      <c r="A3792" s="1">
        <v>45952</v>
      </c>
      <c r="B3792" t="s">
        <v>3050</v>
      </c>
      <c r="C3792" t="s">
        <v>19</v>
      </c>
      <c r="D3792" t="s">
        <v>4789</v>
      </c>
      <c r="E3792">
        <v>11785</v>
      </c>
    </row>
    <row r="3793" spans="1:5">
      <c r="A3793" s="1">
        <v>45952</v>
      </c>
      <c r="B3793" t="s">
        <v>4790</v>
      </c>
      <c r="C3793" t="s">
        <v>20</v>
      </c>
      <c r="D3793" t="s">
        <v>4791</v>
      </c>
      <c r="E3793">
        <v>185</v>
      </c>
    </row>
    <row r="3794" spans="1:5">
      <c r="A3794" s="1">
        <v>45952</v>
      </c>
      <c r="B3794" t="s">
        <v>4792</v>
      </c>
      <c r="C3794" t="s">
        <v>20</v>
      </c>
      <c r="D3794" t="s">
        <v>4793</v>
      </c>
      <c r="E3794">
        <v>750</v>
      </c>
    </row>
    <row r="3795" spans="1:5">
      <c r="A3795" s="1">
        <v>45952</v>
      </c>
      <c r="B3795" t="s">
        <v>932</v>
      </c>
      <c r="C3795" t="s">
        <v>20</v>
      </c>
      <c r="D3795" t="s">
        <v>4794</v>
      </c>
      <c r="E3795">
        <v>465</v>
      </c>
    </row>
    <row r="3796" spans="1:5">
      <c r="A3796" s="1">
        <v>45952</v>
      </c>
      <c r="B3796" t="s">
        <v>1511</v>
      </c>
      <c r="C3796" t="s">
        <v>20</v>
      </c>
      <c r="D3796" t="s">
        <v>4795</v>
      </c>
      <c r="E3796">
        <v>85</v>
      </c>
    </row>
    <row r="3797" spans="1:5">
      <c r="A3797" s="1">
        <v>45952</v>
      </c>
      <c r="B3797" t="s">
        <v>4522</v>
      </c>
      <c r="C3797" t="s">
        <v>20</v>
      </c>
      <c r="D3797" t="s">
        <v>4796</v>
      </c>
      <c r="E3797">
        <v>702</v>
      </c>
    </row>
    <row r="3798" spans="1:5">
      <c r="A3798" s="1">
        <v>45952</v>
      </c>
      <c r="B3798" t="s">
        <v>66</v>
      </c>
      <c r="C3798" t="s">
        <v>20</v>
      </c>
      <c r="D3798" t="s">
        <v>4797</v>
      </c>
      <c r="E3798">
        <v>340</v>
      </c>
    </row>
    <row r="3799" spans="1:5">
      <c r="A3799" s="1">
        <v>45952</v>
      </c>
      <c r="B3799" t="s">
        <v>45</v>
      </c>
      <c r="C3799" t="s">
        <v>20</v>
      </c>
      <c r="D3799" t="s">
        <v>4798</v>
      </c>
      <c r="E3799">
        <v>650</v>
      </c>
    </row>
    <row r="3800" spans="1:5">
      <c r="A3800" s="1">
        <v>45952</v>
      </c>
      <c r="B3800" t="s">
        <v>4799</v>
      </c>
      <c r="C3800" t="s">
        <v>20</v>
      </c>
      <c r="D3800" t="s">
        <v>4800</v>
      </c>
      <c r="E3800">
        <v>340</v>
      </c>
    </row>
    <row r="3801" spans="1:5">
      <c r="A3801" s="1">
        <v>45952</v>
      </c>
      <c r="B3801" t="s">
        <v>2999</v>
      </c>
      <c r="C3801" t="s">
        <v>20</v>
      </c>
      <c r="D3801" t="s">
        <v>4801</v>
      </c>
      <c r="E3801">
        <v>1210</v>
      </c>
    </row>
    <row r="3802" spans="1:5">
      <c r="A3802" s="1">
        <v>45952</v>
      </c>
      <c r="B3802" t="s">
        <v>4802</v>
      </c>
      <c r="C3802" t="s">
        <v>20</v>
      </c>
      <c r="D3802" t="s">
        <v>4803</v>
      </c>
      <c r="E3802">
        <v>360</v>
      </c>
    </row>
    <row r="3803" spans="1:5">
      <c r="A3803" s="1">
        <v>45952</v>
      </c>
      <c r="B3803" t="s">
        <v>43</v>
      </c>
      <c r="C3803" t="s">
        <v>20</v>
      </c>
      <c r="D3803" t="s">
        <v>4804</v>
      </c>
      <c r="E3803">
        <v>853</v>
      </c>
    </row>
    <row r="3804" spans="1:5">
      <c r="A3804" s="1">
        <v>45952</v>
      </c>
      <c r="B3804" t="s">
        <v>1179</v>
      </c>
      <c r="C3804" t="s">
        <v>20</v>
      </c>
      <c r="D3804" t="s">
        <v>4805</v>
      </c>
      <c r="E3804">
        <v>47092</v>
      </c>
    </row>
    <row r="3805" spans="1:5">
      <c r="A3805" s="1">
        <v>45952</v>
      </c>
      <c r="B3805" t="s">
        <v>566</v>
      </c>
      <c r="C3805" t="s">
        <v>20</v>
      </c>
      <c r="D3805" t="s">
        <v>4806</v>
      </c>
      <c r="E3805">
        <v>11564</v>
      </c>
    </row>
    <row r="3806" spans="1:5">
      <c r="A3806" s="1">
        <v>45952</v>
      </c>
      <c r="B3806" t="s">
        <v>197</v>
      </c>
      <c r="C3806" t="s">
        <v>20</v>
      </c>
      <c r="D3806" t="s">
        <v>4807</v>
      </c>
      <c r="E3806">
        <v>680</v>
      </c>
    </row>
    <row r="3807" spans="1:5">
      <c r="A3807" s="1">
        <v>45952</v>
      </c>
      <c r="B3807" t="s">
        <v>4450</v>
      </c>
      <c r="C3807" t="s">
        <v>20</v>
      </c>
      <c r="D3807" t="s">
        <v>4808</v>
      </c>
      <c r="E3807">
        <v>445</v>
      </c>
    </row>
    <row r="3808" spans="1:5">
      <c r="A3808" s="1">
        <v>45952</v>
      </c>
      <c r="B3808" t="s">
        <v>4809</v>
      </c>
      <c r="C3808" t="s">
        <v>20</v>
      </c>
      <c r="D3808" t="s">
        <v>4810</v>
      </c>
      <c r="E3808">
        <v>745</v>
      </c>
    </row>
    <row r="3809" spans="1:5">
      <c r="A3809" s="1">
        <v>45952</v>
      </c>
      <c r="B3809" t="s">
        <v>2645</v>
      </c>
      <c r="C3809" t="s">
        <v>20</v>
      </c>
      <c r="D3809" t="s">
        <v>4811</v>
      </c>
      <c r="E3809">
        <v>1020</v>
      </c>
    </row>
    <row r="3810" spans="1:5">
      <c r="A3810" s="1">
        <v>45953</v>
      </c>
      <c r="B3810" t="s">
        <v>3193</v>
      </c>
      <c r="C3810" t="s">
        <v>19</v>
      </c>
      <c r="D3810" t="s">
        <v>4812</v>
      </c>
      <c r="E3810">
        <v>8503</v>
      </c>
    </row>
    <row r="3811" spans="1:5">
      <c r="A3811" s="1">
        <v>45953</v>
      </c>
      <c r="B3811" t="s">
        <v>4813</v>
      </c>
      <c r="C3811" t="s">
        <v>19</v>
      </c>
      <c r="D3811" t="s">
        <v>4814</v>
      </c>
      <c r="E3811">
        <v>2060</v>
      </c>
    </row>
    <row r="3812" spans="1:5">
      <c r="A3812" s="1">
        <v>45953</v>
      </c>
      <c r="B3812" t="s">
        <v>68</v>
      </c>
      <c r="C3812" t="s">
        <v>20</v>
      </c>
      <c r="D3812" t="s">
        <v>4815</v>
      </c>
      <c r="E3812">
        <v>4320</v>
      </c>
    </row>
    <row r="3813" spans="1:5">
      <c r="A3813" s="1">
        <v>45953</v>
      </c>
      <c r="B3813" t="s">
        <v>4144</v>
      </c>
      <c r="C3813" t="s">
        <v>20</v>
      </c>
      <c r="D3813" t="s">
        <v>4816</v>
      </c>
      <c r="E3813">
        <v>18138</v>
      </c>
    </row>
    <row r="3814" spans="1:5">
      <c r="A3814" s="1">
        <v>45953</v>
      </c>
      <c r="B3814" t="s">
        <v>316</v>
      </c>
      <c r="C3814" t="s">
        <v>20</v>
      </c>
      <c r="D3814" t="s">
        <v>4817</v>
      </c>
      <c r="E3814">
        <v>303</v>
      </c>
    </row>
    <row r="3815" spans="1:5">
      <c r="A3815" s="1">
        <v>45953</v>
      </c>
      <c r="B3815" t="s">
        <v>817</v>
      </c>
      <c r="C3815" t="s">
        <v>20</v>
      </c>
      <c r="D3815" t="s">
        <v>4818</v>
      </c>
      <c r="E3815">
        <v>680</v>
      </c>
    </row>
    <row r="3816" spans="1:5">
      <c r="A3816" s="1">
        <v>45953</v>
      </c>
      <c r="B3816" t="s">
        <v>1075</v>
      </c>
      <c r="C3816" t="s">
        <v>20</v>
      </c>
      <c r="D3816" t="s">
        <v>4819</v>
      </c>
      <c r="E3816">
        <v>4116</v>
      </c>
    </row>
    <row r="3817" spans="1:5">
      <c r="A3817" s="1">
        <v>45953</v>
      </c>
      <c r="B3817" t="s">
        <v>932</v>
      </c>
      <c r="C3817" t="s">
        <v>20</v>
      </c>
      <c r="D3817" t="s">
        <v>4820</v>
      </c>
      <c r="E3817">
        <v>441</v>
      </c>
    </row>
    <row r="3818" spans="1:5">
      <c r="A3818" s="1">
        <v>45953</v>
      </c>
      <c r="B3818" t="s">
        <v>2020</v>
      </c>
      <c r="C3818" t="s">
        <v>20</v>
      </c>
      <c r="D3818" t="s">
        <v>4821</v>
      </c>
      <c r="E3818">
        <v>3711</v>
      </c>
    </row>
    <row r="3819" spans="1:5">
      <c r="A3819" s="1">
        <v>45953</v>
      </c>
      <c r="B3819" t="s">
        <v>526</v>
      </c>
      <c r="C3819" t="s">
        <v>20</v>
      </c>
      <c r="D3819" t="s">
        <v>4822</v>
      </c>
      <c r="E3819">
        <v>1942</v>
      </c>
    </row>
    <row r="3820" spans="1:5">
      <c r="A3820" s="1">
        <v>45953</v>
      </c>
      <c r="B3820" t="s">
        <v>4823</v>
      </c>
      <c r="C3820" t="s">
        <v>20</v>
      </c>
      <c r="D3820" t="s">
        <v>4824</v>
      </c>
      <c r="E3820">
        <v>590</v>
      </c>
    </row>
    <row r="3821" spans="1:5">
      <c r="A3821" s="1">
        <v>45953</v>
      </c>
      <c r="B3821" t="s">
        <v>76</v>
      </c>
      <c r="C3821" t="s">
        <v>20</v>
      </c>
      <c r="D3821" t="s">
        <v>4825</v>
      </c>
      <c r="E3821">
        <v>1700</v>
      </c>
    </row>
    <row r="3822" spans="1:5">
      <c r="A3822" s="1">
        <v>45953</v>
      </c>
      <c r="B3822" t="s">
        <v>1004</v>
      </c>
      <c r="C3822" t="s">
        <v>20</v>
      </c>
      <c r="D3822" t="s">
        <v>4826</v>
      </c>
      <c r="E3822">
        <v>750</v>
      </c>
    </row>
    <row r="3823" spans="1:5">
      <c r="A3823" s="1">
        <v>45953</v>
      </c>
      <c r="B3823" t="s">
        <v>4434</v>
      </c>
      <c r="C3823" t="s">
        <v>20</v>
      </c>
      <c r="D3823" t="s">
        <v>4827</v>
      </c>
      <c r="E3823">
        <v>276</v>
      </c>
    </row>
    <row r="3824" spans="1:5">
      <c r="A3824" s="1">
        <v>45953</v>
      </c>
      <c r="B3824" t="s">
        <v>2958</v>
      </c>
      <c r="C3824" t="s">
        <v>20</v>
      </c>
      <c r="D3824" t="s">
        <v>4828</v>
      </c>
      <c r="E3824">
        <v>35030</v>
      </c>
    </row>
    <row r="3825" spans="1:5">
      <c r="A3825" s="1">
        <v>45953</v>
      </c>
      <c r="B3825" t="s">
        <v>4450</v>
      </c>
      <c r="C3825" t="s">
        <v>20</v>
      </c>
      <c r="D3825" t="s">
        <v>4829</v>
      </c>
      <c r="E3825">
        <v>288</v>
      </c>
    </row>
    <row r="3826" spans="1:5">
      <c r="A3826" s="1">
        <v>45953</v>
      </c>
      <c r="B3826" t="s">
        <v>50</v>
      </c>
      <c r="C3826" t="s">
        <v>20</v>
      </c>
      <c r="D3826" t="s">
        <v>4830</v>
      </c>
      <c r="E3826">
        <v>26009</v>
      </c>
    </row>
    <row r="3827" spans="1:5">
      <c r="A3827" s="1">
        <v>45953</v>
      </c>
      <c r="B3827" t="s">
        <v>265</v>
      </c>
      <c r="C3827" t="s">
        <v>20</v>
      </c>
      <c r="D3827" t="s">
        <v>4831</v>
      </c>
      <c r="E3827">
        <v>136620</v>
      </c>
    </row>
    <row r="3828" spans="1:5">
      <c r="A3828" s="1">
        <v>45953</v>
      </c>
      <c r="B3828" t="s">
        <v>3833</v>
      </c>
      <c r="C3828" t="s">
        <v>20</v>
      </c>
      <c r="D3828" t="s">
        <v>4832</v>
      </c>
      <c r="E3828">
        <v>19403</v>
      </c>
    </row>
    <row r="3829" spans="1:5">
      <c r="A3829" s="1">
        <v>45954</v>
      </c>
      <c r="B3829" t="s">
        <v>4833</v>
      </c>
      <c r="C3829" t="s">
        <v>19</v>
      </c>
      <c r="D3829" t="s">
        <v>4834</v>
      </c>
      <c r="E3829">
        <v>49245</v>
      </c>
    </row>
    <row r="3830" spans="1:5">
      <c r="A3830" s="1">
        <v>45954</v>
      </c>
      <c r="B3830" t="s">
        <v>4833</v>
      </c>
      <c r="C3830" t="s">
        <v>19</v>
      </c>
      <c r="D3830" t="s">
        <v>4835</v>
      </c>
      <c r="E3830">
        <v>41126</v>
      </c>
    </row>
    <row r="3831" spans="1:5">
      <c r="A3831" s="1">
        <v>45954</v>
      </c>
      <c r="B3831" t="s">
        <v>180</v>
      </c>
      <c r="C3831" t="s">
        <v>19</v>
      </c>
      <c r="D3831" t="s">
        <v>4836</v>
      </c>
      <c r="E3831">
        <v>425</v>
      </c>
    </row>
    <row r="3832" spans="1:5">
      <c r="A3832" s="1">
        <v>45954</v>
      </c>
      <c r="B3832" t="s">
        <v>180</v>
      </c>
      <c r="C3832" t="s">
        <v>19</v>
      </c>
      <c r="D3832" t="s">
        <v>4837</v>
      </c>
      <c r="E3832">
        <v>18620</v>
      </c>
    </row>
    <row r="3833" spans="1:5">
      <c r="A3833" s="1">
        <v>45954</v>
      </c>
      <c r="B3833" t="s">
        <v>1424</v>
      </c>
      <c r="C3833" t="s">
        <v>19</v>
      </c>
      <c r="D3833" t="s">
        <v>4838</v>
      </c>
      <c r="E3833">
        <v>28747</v>
      </c>
    </row>
    <row r="3834" spans="1:5">
      <c r="A3834" s="1">
        <v>45954</v>
      </c>
      <c r="B3834" t="s">
        <v>932</v>
      </c>
      <c r="C3834" t="s">
        <v>20</v>
      </c>
      <c r="D3834" t="s">
        <v>4839</v>
      </c>
      <c r="E3834">
        <v>21600</v>
      </c>
    </row>
    <row r="3835" spans="1:5">
      <c r="A3835" s="1">
        <v>45954</v>
      </c>
      <c r="B3835" t="s">
        <v>536</v>
      </c>
      <c r="C3835" t="s">
        <v>20</v>
      </c>
      <c r="D3835" t="s">
        <v>4840</v>
      </c>
      <c r="E3835">
        <v>680</v>
      </c>
    </row>
    <row r="3836" spans="1:5">
      <c r="A3836" s="1">
        <v>45954</v>
      </c>
      <c r="B3836" t="s">
        <v>360</v>
      </c>
      <c r="C3836" t="s">
        <v>20</v>
      </c>
      <c r="D3836" t="s">
        <v>4841</v>
      </c>
      <c r="E3836">
        <v>10933</v>
      </c>
    </row>
    <row r="3837" spans="1:5">
      <c r="A3837" s="1">
        <v>45954</v>
      </c>
      <c r="B3837" t="s">
        <v>68</v>
      </c>
      <c r="C3837" t="s">
        <v>20</v>
      </c>
      <c r="D3837" t="s">
        <v>4842</v>
      </c>
      <c r="E3837">
        <v>3265</v>
      </c>
    </row>
    <row r="3838" spans="1:5">
      <c r="A3838" s="1">
        <v>45954</v>
      </c>
      <c r="B3838" t="s">
        <v>817</v>
      </c>
      <c r="C3838" t="s">
        <v>20</v>
      </c>
      <c r="D3838" t="s">
        <v>4843</v>
      </c>
      <c r="E3838">
        <v>691</v>
      </c>
    </row>
    <row r="3839" spans="1:5">
      <c r="A3839" s="1">
        <v>45954</v>
      </c>
      <c r="B3839" t="s">
        <v>4844</v>
      </c>
      <c r="C3839" t="s">
        <v>20</v>
      </c>
      <c r="D3839" t="s">
        <v>4845</v>
      </c>
      <c r="E3839">
        <v>680</v>
      </c>
    </row>
    <row r="3840" spans="1:5">
      <c r="A3840" s="1">
        <v>45954</v>
      </c>
      <c r="B3840" t="s">
        <v>4144</v>
      </c>
      <c r="C3840" t="s">
        <v>20</v>
      </c>
      <c r="D3840" t="s">
        <v>4846</v>
      </c>
      <c r="E3840">
        <v>850</v>
      </c>
    </row>
    <row r="3841" spans="1:5">
      <c r="A3841" s="1">
        <v>45954</v>
      </c>
      <c r="B3841" t="s">
        <v>2288</v>
      </c>
      <c r="C3841" t="s">
        <v>20</v>
      </c>
      <c r="D3841" t="s">
        <v>4847</v>
      </c>
      <c r="E3841">
        <v>6800</v>
      </c>
    </row>
    <row r="3842" spans="1:5">
      <c r="A3842" s="1">
        <v>45954</v>
      </c>
      <c r="B3842" t="s">
        <v>50</v>
      </c>
      <c r="C3842" t="s">
        <v>20</v>
      </c>
      <c r="D3842" t="s">
        <v>4848</v>
      </c>
      <c r="E3842">
        <v>15</v>
      </c>
    </row>
    <row r="3843" spans="1:5">
      <c r="A3843" s="1">
        <v>45954</v>
      </c>
      <c r="B3843" t="s">
        <v>892</v>
      </c>
      <c r="C3843" t="s">
        <v>20</v>
      </c>
      <c r="D3843" t="s">
        <v>4849</v>
      </c>
      <c r="E3843">
        <v>10096</v>
      </c>
    </row>
    <row r="3844" spans="1:5">
      <c r="A3844" s="1">
        <v>45954</v>
      </c>
      <c r="B3844" t="s">
        <v>570</v>
      </c>
      <c r="C3844" t="s">
        <v>20</v>
      </c>
      <c r="D3844" t="s">
        <v>4850</v>
      </c>
      <c r="E3844">
        <v>750</v>
      </c>
    </row>
    <row r="3845" spans="1:5">
      <c r="A3845" s="1">
        <v>45954</v>
      </c>
      <c r="B3845" t="s">
        <v>2702</v>
      </c>
      <c r="C3845" t="s">
        <v>20</v>
      </c>
      <c r="D3845" t="s">
        <v>4851</v>
      </c>
      <c r="E3845">
        <v>1288</v>
      </c>
    </row>
    <row r="3846" spans="1:5">
      <c r="A3846" s="1">
        <v>45954</v>
      </c>
      <c r="B3846" t="s">
        <v>4852</v>
      </c>
      <c r="C3846" t="s">
        <v>20</v>
      </c>
      <c r="D3846" t="s">
        <v>4853</v>
      </c>
      <c r="E3846">
        <v>28614</v>
      </c>
    </row>
    <row r="3847" spans="1:5">
      <c r="A3847" s="1">
        <v>45954</v>
      </c>
      <c r="B3847" t="s">
        <v>43</v>
      </c>
      <c r="C3847" t="s">
        <v>20</v>
      </c>
      <c r="D3847" t="s">
        <v>4854</v>
      </c>
      <c r="E3847">
        <v>7940</v>
      </c>
    </row>
    <row r="3848" spans="1:5">
      <c r="A3848" s="1">
        <v>45954</v>
      </c>
      <c r="B3848" t="s">
        <v>68</v>
      </c>
      <c r="C3848" t="s">
        <v>20</v>
      </c>
      <c r="D3848" t="s">
        <v>4855</v>
      </c>
      <c r="E3848">
        <v>1030</v>
      </c>
    </row>
    <row r="3849" spans="1:5">
      <c r="A3849" s="1">
        <v>45955</v>
      </c>
      <c r="B3849" t="s">
        <v>2987</v>
      </c>
      <c r="C3849" t="s">
        <v>19</v>
      </c>
      <c r="D3849" t="s">
        <v>4856</v>
      </c>
      <c r="E3849">
        <v>35288</v>
      </c>
    </row>
    <row r="3850" spans="1:5">
      <c r="A3850" s="1">
        <v>45955</v>
      </c>
      <c r="B3850" t="s">
        <v>180</v>
      </c>
      <c r="C3850" t="s">
        <v>19</v>
      </c>
      <c r="D3850" t="s">
        <v>4857</v>
      </c>
      <c r="E3850">
        <v>14610</v>
      </c>
    </row>
    <row r="3851" spans="1:5">
      <c r="A3851" s="1">
        <v>45955</v>
      </c>
      <c r="B3851" t="s">
        <v>96</v>
      </c>
      <c r="C3851" t="s">
        <v>19</v>
      </c>
      <c r="D3851" t="s">
        <v>4858</v>
      </c>
      <c r="E3851">
        <v>7774</v>
      </c>
    </row>
    <row r="3852" spans="1:5">
      <c r="A3852" s="1">
        <v>45955</v>
      </c>
      <c r="B3852" t="s">
        <v>180</v>
      </c>
      <c r="C3852" t="s">
        <v>19</v>
      </c>
      <c r="D3852" t="s">
        <v>4859</v>
      </c>
      <c r="E3852">
        <v>17487</v>
      </c>
    </row>
    <row r="3853" spans="1:5">
      <c r="A3853" s="1">
        <v>45955</v>
      </c>
      <c r="B3853" t="s">
        <v>68</v>
      </c>
      <c r="C3853" t="s">
        <v>20</v>
      </c>
      <c r="D3853" t="s">
        <v>4860</v>
      </c>
      <c r="E3853">
        <v>120</v>
      </c>
    </row>
    <row r="3854" spans="1:5">
      <c r="A3854" s="1">
        <v>45955</v>
      </c>
      <c r="B3854" t="s">
        <v>87</v>
      </c>
      <c r="C3854" t="s">
        <v>20</v>
      </c>
      <c r="D3854" t="s">
        <v>4861</v>
      </c>
      <c r="E3854">
        <v>12278</v>
      </c>
    </row>
    <row r="3855" spans="1:5">
      <c r="A3855" s="1">
        <v>45955</v>
      </c>
      <c r="B3855" t="s">
        <v>1360</v>
      </c>
      <c r="C3855" t="s">
        <v>20</v>
      </c>
      <c r="D3855" t="s">
        <v>4862</v>
      </c>
      <c r="E3855">
        <v>419</v>
      </c>
    </row>
    <row r="3856" spans="1:5">
      <c r="A3856" s="1">
        <v>45955</v>
      </c>
      <c r="B3856" t="s">
        <v>4182</v>
      </c>
      <c r="C3856" t="s">
        <v>20</v>
      </c>
      <c r="D3856" t="s">
        <v>4863</v>
      </c>
      <c r="E3856">
        <v>5422</v>
      </c>
    </row>
    <row r="3857" spans="1:5">
      <c r="A3857" s="1">
        <v>45955</v>
      </c>
      <c r="B3857" t="s">
        <v>265</v>
      </c>
      <c r="C3857" t="s">
        <v>20</v>
      </c>
      <c r="D3857" t="s">
        <v>4864</v>
      </c>
      <c r="E3857">
        <v>2425</v>
      </c>
    </row>
    <row r="3858" spans="1:5">
      <c r="A3858" s="1">
        <v>45955</v>
      </c>
      <c r="B3858" t="s">
        <v>1075</v>
      </c>
      <c r="C3858" t="s">
        <v>20</v>
      </c>
      <c r="D3858" t="s">
        <v>4865</v>
      </c>
      <c r="E3858">
        <v>15040</v>
      </c>
    </row>
    <row r="3859" spans="1:5">
      <c r="A3859" s="1">
        <v>45955</v>
      </c>
      <c r="B3859" t="s">
        <v>932</v>
      </c>
      <c r="C3859" t="s">
        <v>20</v>
      </c>
      <c r="D3859" t="s">
        <v>4866</v>
      </c>
      <c r="E3859">
        <v>2130</v>
      </c>
    </row>
    <row r="3860" spans="1:5">
      <c r="A3860" s="1">
        <v>45955</v>
      </c>
      <c r="B3860" t="s">
        <v>817</v>
      </c>
      <c r="C3860" t="s">
        <v>20</v>
      </c>
      <c r="D3860" t="s">
        <v>4867</v>
      </c>
      <c r="E3860">
        <v>20231</v>
      </c>
    </row>
    <row r="3861" spans="1:5">
      <c r="A3861" s="1">
        <v>45955</v>
      </c>
      <c r="B3861" t="s">
        <v>33</v>
      </c>
      <c r="C3861" t="s">
        <v>20</v>
      </c>
      <c r="D3861" t="s">
        <v>4868</v>
      </c>
      <c r="E3861">
        <v>280</v>
      </c>
    </row>
    <row r="3862" spans="1:5">
      <c r="A3862" s="1">
        <v>45955</v>
      </c>
      <c r="B3862" t="s">
        <v>43</v>
      </c>
      <c r="C3862" t="s">
        <v>20</v>
      </c>
      <c r="D3862" t="s">
        <v>4869</v>
      </c>
      <c r="E3862">
        <v>24708</v>
      </c>
    </row>
    <row r="3863" spans="1:5">
      <c r="A3863" s="1">
        <v>45955</v>
      </c>
      <c r="B3863" t="s">
        <v>252</v>
      </c>
      <c r="C3863" t="s">
        <v>20</v>
      </c>
      <c r="D3863" t="s">
        <v>4870</v>
      </c>
      <c r="E3863">
        <v>1440</v>
      </c>
    </row>
    <row r="3864" spans="1:5">
      <c r="A3864" s="1">
        <v>45955</v>
      </c>
      <c r="B3864" t="s">
        <v>1816</v>
      </c>
      <c r="C3864" t="s">
        <v>20</v>
      </c>
      <c r="D3864" t="s">
        <v>4871</v>
      </c>
      <c r="E3864">
        <v>1400</v>
      </c>
    </row>
    <row r="3865" spans="1:5">
      <c r="A3865" s="1">
        <v>45955</v>
      </c>
      <c r="B3865" t="s">
        <v>87</v>
      </c>
      <c r="C3865" t="s">
        <v>20</v>
      </c>
      <c r="D3865" t="s">
        <v>4872</v>
      </c>
      <c r="E3865">
        <v>12862</v>
      </c>
    </row>
    <row r="3866" spans="1:5">
      <c r="A3866" s="1">
        <v>45955</v>
      </c>
      <c r="B3866" t="s">
        <v>375</v>
      </c>
      <c r="C3866" t="s">
        <v>20</v>
      </c>
      <c r="D3866" t="s">
        <v>4873</v>
      </c>
      <c r="E3866">
        <v>875</v>
      </c>
    </row>
    <row r="3867" spans="1:5">
      <c r="A3867" s="1">
        <v>45955</v>
      </c>
      <c r="B3867" t="s">
        <v>2999</v>
      </c>
      <c r="C3867" t="s">
        <v>20</v>
      </c>
      <c r="D3867" t="s">
        <v>4874</v>
      </c>
      <c r="E3867">
        <v>3400</v>
      </c>
    </row>
    <row r="3868" spans="1:5">
      <c r="A3868" s="1">
        <v>45957</v>
      </c>
      <c r="B3868" t="s">
        <v>180</v>
      </c>
      <c r="C3868" t="s">
        <v>19</v>
      </c>
      <c r="D3868" t="s">
        <v>4875</v>
      </c>
      <c r="E3868">
        <v>37400</v>
      </c>
    </row>
    <row r="3869" spans="1:5">
      <c r="A3869" s="1">
        <v>45957</v>
      </c>
      <c r="B3869" t="s">
        <v>4876</v>
      </c>
      <c r="C3869" t="s">
        <v>19</v>
      </c>
      <c r="D3869" t="s">
        <v>4877</v>
      </c>
      <c r="E3869">
        <v>6264</v>
      </c>
    </row>
    <row r="3870" spans="1:5">
      <c r="A3870" s="1">
        <v>45957</v>
      </c>
      <c r="B3870" t="s">
        <v>180</v>
      </c>
      <c r="C3870" t="s">
        <v>19</v>
      </c>
      <c r="D3870" t="s">
        <v>4878</v>
      </c>
      <c r="E3870">
        <v>3400</v>
      </c>
    </row>
    <row r="3871" spans="1:5">
      <c r="A3871" s="1">
        <v>45957</v>
      </c>
      <c r="B3871" t="s">
        <v>4144</v>
      </c>
      <c r="C3871" t="s">
        <v>20</v>
      </c>
      <c r="D3871" t="s">
        <v>4879</v>
      </c>
      <c r="E3871">
        <v>25200</v>
      </c>
    </row>
    <row r="3872" spans="1:5">
      <c r="A3872" s="1">
        <v>45957</v>
      </c>
      <c r="B3872" t="s">
        <v>76</v>
      </c>
      <c r="C3872" t="s">
        <v>20</v>
      </c>
      <c r="D3872" t="s">
        <v>4880</v>
      </c>
      <c r="E3872">
        <v>3400</v>
      </c>
    </row>
    <row r="3873" spans="1:5">
      <c r="A3873" s="1">
        <v>45957</v>
      </c>
      <c r="B3873" t="s">
        <v>50</v>
      </c>
      <c r="C3873" t="s">
        <v>20</v>
      </c>
      <c r="D3873" t="s">
        <v>4881</v>
      </c>
      <c r="E3873">
        <v>340</v>
      </c>
    </row>
    <row r="3874" spans="1:5">
      <c r="A3874" s="1">
        <v>45957</v>
      </c>
      <c r="B3874" t="s">
        <v>1755</v>
      </c>
      <c r="C3874" t="s">
        <v>20</v>
      </c>
      <c r="D3874" t="s">
        <v>4882</v>
      </c>
      <c r="E3874">
        <v>680</v>
      </c>
    </row>
    <row r="3875" spans="1:5">
      <c r="A3875" s="1">
        <v>45957</v>
      </c>
      <c r="B3875" t="s">
        <v>817</v>
      </c>
      <c r="C3875" t="s">
        <v>20</v>
      </c>
      <c r="D3875" t="s">
        <v>4883</v>
      </c>
      <c r="E3875">
        <v>5841</v>
      </c>
    </row>
    <row r="3876" spans="1:5">
      <c r="A3876" s="1">
        <v>45957</v>
      </c>
      <c r="B3876" t="s">
        <v>4884</v>
      </c>
      <c r="C3876" t="s">
        <v>20</v>
      </c>
      <c r="D3876" t="s">
        <v>4885</v>
      </c>
      <c r="E3876">
        <v>21267</v>
      </c>
    </row>
    <row r="3877" spans="1:5">
      <c r="A3877" s="1">
        <v>45957</v>
      </c>
      <c r="B3877" t="s">
        <v>4434</v>
      </c>
      <c r="C3877" t="s">
        <v>20</v>
      </c>
      <c r="D3877" t="s">
        <v>4886</v>
      </c>
      <c r="E3877">
        <v>745</v>
      </c>
    </row>
    <row r="3878" spans="1:5">
      <c r="A3878" s="1">
        <v>45957</v>
      </c>
      <c r="B3878" t="s">
        <v>2455</v>
      </c>
      <c r="C3878" t="s">
        <v>20</v>
      </c>
      <c r="D3878" t="s">
        <v>4887</v>
      </c>
      <c r="E3878">
        <v>17093</v>
      </c>
    </row>
    <row r="3879" spans="1:5">
      <c r="A3879" s="1">
        <v>45957</v>
      </c>
      <c r="B3879" t="s">
        <v>4888</v>
      </c>
      <c r="C3879" t="s">
        <v>20</v>
      </c>
      <c r="D3879" t="s">
        <v>4889</v>
      </c>
      <c r="E3879">
        <v>1162</v>
      </c>
    </row>
    <row r="3880" spans="1:5">
      <c r="A3880" s="1">
        <v>45957</v>
      </c>
      <c r="B3880" t="s">
        <v>50</v>
      </c>
      <c r="C3880" t="s">
        <v>20</v>
      </c>
      <c r="D3880" t="s">
        <v>4890</v>
      </c>
      <c r="E3880">
        <v>680</v>
      </c>
    </row>
    <row r="3881" spans="1:5">
      <c r="A3881" s="1">
        <v>45957</v>
      </c>
      <c r="B3881" t="s">
        <v>265</v>
      </c>
      <c r="C3881" t="s">
        <v>20</v>
      </c>
      <c r="D3881" t="s">
        <v>4891</v>
      </c>
      <c r="E3881">
        <v>109477</v>
      </c>
    </row>
    <row r="3882" spans="1:5">
      <c r="A3882" s="1">
        <v>45958</v>
      </c>
      <c r="B3882" t="s">
        <v>2987</v>
      </c>
      <c r="C3882" t="s">
        <v>19</v>
      </c>
      <c r="D3882" t="s">
        <v>4892</v>
      </c>
      <c r="E3882">
        <v>38718</v>
      </c>
    </row>
    <row r="3883" spans="1:5">
      <c r="A3883" s="1">
        <v>45958</v>
      </c>
      <c r="B3883" t="s">
        <v>1169</v>
      </c>
      <c r="C3883" t="s">
        <v>19</v>
      </c>
      <c r="D3883" t="s">
        <v>4893</v>
      </c>
      <c r="E3883">
        <v>3938</v>
      </c>
    </row>
    <row r="3884" spans="1:5">
      <c r="A3884" s="1">
        <v>45958</v>
      </c>
      <c r="B3884" t="s">
        <v>254</v>
      </c>
      <c r="C3884" t="s">
        <v>20</v>
      </c>
      <c r="D3884" t="s">
        <v>4894</v>
      </c>
      <c r="E3884">
        <v>680</v>
      </c>
    </row>
    <row r="3885" spans="1:5">
      <c r="A3885" s="1">
        <v>45958</v>
      </c>
      <c r="B3885" t="s">
        <v>1755</v>
      </c>
      <c r="C3885" t="s">
        <v>20</v>
      </c>
      <c r="D3885" t="s">
        <v>4895</v>
      </c>
      <c r="E3885">
        <v>680</v>
      </c>
    </row>
    <row r="3886" spans="1:5">
      <c r="A3886" s="1">
        <v>45958</v>
      </c>
      <c r="B3886" t="s">
        <v>50</v>
      </c>
      <c r="C3886" t="s">
        <v>20</v>
      </c>
      <c r="D3886" t="s">
        <v>4896</v>
      </c>
      <c r="E3886">
        <v>6</v>
      </c>
    </row>
    <row r="3887" spans="1:5">
      <c r="A3887" s="1">
        <v>45958</v>
      </c>
      <c r="B3887" t="s">
        <v>1934</v>
      </c>
      <c r="C3887" t="s">
        <v>20</v>
      </c>
      <c r="D3887" t="s">
        <v>4897</v>
      </c>
      <c r="E3887">
        <v>5227</v>
      </c>
    </row>
    <row r="3888" spans="1:5">
      <c r="A3888" s="1">
        <v>45958</v>
      </c>
      <c r="B3888" t="s">
        <v>4852</v>
      </c>
      <c r="C3888" t="s">
        <v>20</v>
      </c>
      <c r="D3888" t="s">
        <v>4898</v>
      </c>
      <c r="E3888">
        <v>5307</v>
      </c>
    </row>
    <row r="3889" spans="1:5">
      <c r="A3889" s="1">
        <v>45958</v>
      </c>
      <c r="B3889" t="s">
        <v>4899</v>
      </c>
      <c r="C3889" t="s">
        <v>20</v>
      </c>
      <c r="D3889" t="s">
        <v>4900</v>
      </c>
      <c r="E3889">
        <v>17306</v>
      </c>
    </row>
    <row r="3890" spans="1:5">
      <c r="A3890" s="1">
        <v>45958</v>
      </c>
      <c r="B3890" t="s">
        <v>50</v>
      </c>
      <c r="C3890" t="s">
        <v>20</v>
      </c>
      <c r="D3890" t="s">
        <v>4901</v>
      </c>
      <c r="E3890">
        <v>1</v>
      </c>
    </row>
    <row r="3891" spans="1:5">
      <c r="A3891" s="1">
        <v>45958</v>
      </c>
      <c r="B3891" t="s">
        <v>3860</v>
      </c>
      <c r="C3891" t="s">
        <v>20</v>
      </c>
      <c r="D3891" t="s">
        <v>4902</v>
      </c>
      <c r="E3891">
        <v>7375</v>
      </c>
    </row>
    <row r="3892" spans="1:5">
      <c r="A3892" s="1">
        <v>45958</v>
      </c>
      <c r="B3892" t="s">
        <v>2958</v>
      </c>
      <c r="C3892" t="s">
        <v>20</v>
      </c>
      <c r="D3892" t="s">
        <v>4903</v>
      </c>
      <c r="E3892">
        <v>2878</v>
      </c>
    </row>
    <row r="3893" spans="1:5">
      <c r="A3893" s="1">
        <v>45958</v>
      </c>
      <c r="B3893" t="s">
        <v>50</v>
      </c>
      <c r="C3893" t="s">
        <v>20</v>
      </c>
      <c r="D3893" t="s">
        <v>4904</v>
      </c>
      <c r="E3893">
        <v>1</v>
      </c>
    </row>
    <row r="3894" spans="1:5">
      <c r="A3894" s="1">
        <v>45958</v>
      </c>
      <c r="B3894" t="s">
        <v>1816</v>
      </c>
      <c r="C3894" t="s">
        <v>20</v>
      </c>
      <c r="D3894" t="s">
        <v>4905</v>
      </c>
      <c r="E3894">
        <v>1424</v>
      </c>
    </row>
    <row r="3895" spans="1:5">
      <c r="A3895" s="1">
        <v>45958</v>
      </c>
      <c r="B3895" t="s">
        <v>4906</v>
      </c>
      <c r="C3895" t="s">
        <v>20</v>
      </c>
      <c r="D3895" t="s">
        <v>4907</v>
      </c>
      <c r="E3895">
        <v>3569</v>
      </c>
    </row>
    <row r="3896" spans="1:5">
      <c r="A3896" s="1">
        <v>45958</v>
      </c>
      <c r="B3896" t="s">
        <v>566</v>
      </c>
      <c r="C3896" t="s">
        <v>20</v>
      </c>
      <c r="D3896" t="s">
        <v>4908</v>
      </c>
      <c r="E3896">
        <v>11</v>
      </c>
    </row>
    <row r="3897" spans="1:5">
      <c r="A3897" s="1">
        <v>45958</v>
      </c>
      <c r="B3897" t="s">
        <v>43</v>
      </c>
      <c r="C3897" t="s">
        <v>20</v>
      </c>
      <c r="D3897" t="s">
        <v>4909</v>
      </c>
      <c r="E3897">
        <v>1498</v>
      </c>
    </row>
    <row r="3898" spans="1:5">
      <c r="A3898" s="1">
        <v>45959</v>
      </c>
      <c r="B3898" t="s">
        <v>60</v>
      </c>
      <c r="C3898" t="s">
        <v>19</v>
      </c>
      <c r="D3898" t="s">
        <v>4910</v>
      </c>
      <c r="E3898">
        <v>25403</v>
      </c>
    </row>
    <row r="3899" spans="1:5">
      <c r="A3899" s="1">
        <v>45959</v>
      </c>
      <c r="B3899" t="s">
        <v>1049</v>
      </c>
      <c r="C3899" t="s">
        <v>19</v>
      </c>
      <c r="D3899" t="s">
        <v>4911</v>
      </c>
      <c r="E3899">
        <v>2054</v>
      </c>
    </row>
    <row r="3900" spans="1:5">
      <c r="A3900" s="1">
        <v>45959</v>
      </c>
      <c r="B3900" t="s">
        <v>4571</v>
      </c>
      <c r="C3900" t="s">
        <v>19</v>
      </c>
      <c r="D3900" t="s">
        <v>4912</v>
      </c>
      <c r="E3900">
        <v>55745</v>
      </c>
    </row>
    <row r="3901" spans="1:5">
      <c r="A3901" s="1">
        <v>45959</v>
      </c>
      <c r="B3901" t="s">
        <v>180</v>
      </c>
      <c r="C3901" t="s">
        <v>19</v>
      </c>
      <c r="D3901" t="s">
        <v>4913</v>
      </c>
      <c r="E3901">
        <v>4679</v>
      </c>
    </row>
    <row r="3902" spans="1:5">
      <c r="A3902" s="1">
        <v>45959</v>
      </c>
      <c r="B3902" t="s">
        <v>2329</v>
      </c>
      <c r="C3902" t="s">
        <v>19</v>
      </c>
      <c r="D3902" t="s">
        <v>4914</v>
      </c>
      <c r="E3902">
        <v>19363</v>
      </c>
    </row>
    <row r="3903" spans="1:5">
      <c r="A3903" s="1">
        <v>45959</v>
      </c>
      <c r="B3903" t="s">
        <v>68</v>
      </c>
      <c r="C3903" t="s">
        <v>20</v>
      </c>
      <c r="D3903" t="s">
        <v>4915</v>
      </c>
      <c r="E3903">
        <v>1850</v>
      </c>
    </row>
    <row r="3904" spans="1:5">
      <c r="A3904" s="1">
        <v>45959</v>
      </c>
      <c r="B3904" t="s">
        <v>817</v>
      </c>
      <c r="C3904" t="s">
        <v>20</v>
      </c>
      <c r="D3904" t="s">
        <v>4916</v>
      </c>
      <c r="E3904">
        <v>25200</v>
      </c>
    </row>
    <row r="3905" spans="1:5">
      <c r="A3905" s="1">
        <v>45959</v>
      </c>
      <c r="B3905" t="s">
        <v>4917</v>
      </c>
      <c r="C3905" t="s">
        <v>20</v>
      </c>
      <c r="D3905" t="s">
        <v>4918</v>
      </c>
      <c r="E3905">
        <v>60</v>
      </c>
    </row>
    <row r="3906" spans="1:5">
      <c r="A3906" s="1">
        <v>45959</v>
      </c>
      <c r="B3906" t="s">
        <v>43</v>
      </c>
      <c r="C3906" t="s">
        <v>20</v>
      </c>
      <c r="D3906" t="s">
        <v>4919</v>
      </c>
      <c r="E3906">
        <v>8730</v>
      </c>
    </row>
    <row r="3907" spans="1:5">
      <c r="A3907" s="1">
        <v>45959</v>
      </c>
      <c r="B3907" t="s">
        <v>76</v>
      </c>
      <c r="C3907" t="s">
        <v>20</v>
      </c>
      <c r="D3907" t="s">
        <v>4920</v>
      </c>
      <c r="E3907">
        <v>21061</v>
      </c>
    </row>
    <row r="3908" spans="1:5">
      <c r="A3908" s="1">
        <v>45959</v>
      </c>
      <c r="B3908" t="s">
        <v>4921</v>
      </c>
      <c r="C3908" t="s">
        <v>20</v>
      </c>
      <c r="D3908" t="s">
        <v>4922</v>
      </c>
      <c r="E3908">
        <v>31226</v>
      </c>
    </row>
    <row r="3909" spans="1:5">
      <c r="A3909" s="1">
        <v>45959</v>
      </c>
      <c r="B3909" t="s">
        <v>50</v>
      </c>
      <c r="C3909" t="s">
        <v>20</v>
      </c>
      <c r="D3909" t="s">
        <v>4923</v>
      </c>
      <c r="E3909">
        <v>130</v>
      </c>
    </row>
    <row r="3910" spans="1:5">
      <c r="A3910" s="1">
        <v>45959</v>
      </c>
      <c r="B3910" t="s">
        <v>4924</v>
      </c>
      <c r="C3910" t="s">
        <v>20</v>
      </c>
      <c r="D3910" t="s">
        <v>4925</v>
      </c>
      <c r="E3910">
        <v>1130</v>
      </c>
    </row>
    <row r="3911" spans="1:5">
      <c r="A3911" s="1">
        <v>45959</v>
      </c>
      <c r="B3911" t="s">
        <v>3089</v>
      </c>
      <c r="C3911" t="s">
        <v>20</v>
      </c>
      <c r="D3911" t="s">
        <v>4926</v>
      </c>
      <c r="E3911">
        <v>5100</v>
      </c>
    </row>
    <row r="3912" spans="1:5">
      <c r="A3912" s="1">
        <v>45959</v>
      </c>
      <c r="B3912" t="s">
        <v>50</v>
      </c>
      <c r="C3912" t="s">
        <v>20</v>
      </c>
      <c r="D3912" t="s">
        <v>4927</v>
      </c>
      <c r="E3912">
        <v>1063</v>
      </c>
    </row>
    <row r="3913" spans="1:5">
      <c r="A3913" s="1">
        <v>45959</v>
      </c>
      <c r="B3913" t="s">
        <v>4928</v>
      </c>
      <c r="C3913" t="s">
        <v>20</v>
      </c>
      <c r="D3913" t="s">
        <v>4929</v>
      </c>
      <c r="E3913">
        <v>1700</v>
      </c>
    </row>
    <row r="3914" spans="1:5">
      <c r="A3914" s="1">
        <v>45959</v>
      </c>
      <c r="B3914" t="s">
        <v>870</v>
      </c>
      <c r="C3914" t="s">
        <v>20</v>
      </c>
      <c r="D3914" t="s">
        <v>4930</v>
      </c>
      <c r="E3914">
        <v>8056</v>
      </c>
    </row>
    <row r="3915" spans="1:5">
      <c r="A3915" s="1">
        <v>45959</v>
      </c>
      <c r="B3915" t="s">
        <v>844</v>
      </c>
      <c r="C3915" t="s">
        <v>20</v>
      </c>
      <c r="D3915" t="s">
        <v>4931</v>
      </c>
      <c r="E3915">
        <v>720</v>
      </c>
    </row>
    <row r="3916" spans="1:5">
      <c r="A3916" s="1">
        <v>45959</v>
      </c>
      <c r="B3916" t="s">
        <v>4932</v>
      </c>
      <c r="C3916" t="s">
        <v>20</v>
      </c>
      <c r="D3916" t="s">
        <v>4933</v>
      </c>
      <c r="E3916">
        <v>29173</v>
      </c>
    </row>
    <row r="3917" spans="1:5">
      <c r="A3917" s="1">
        <v>45959</v>
      </c>
      <c r="B3917" t="s">
        <v>50</v>
      </c>
      <c r="C3917" t="s">
        <v>20</v>
      </c>
      <c r="D3917" t="s">
        <v>4934</v>
      </c>
      <c r="E3917">
        <v>100</v>
      </c>
    </row>
    <row r="3918" spans="1:5">
      <c r="A3918" s="1">
        <v>45959</v>
      </c>
      <c r="B3918" t="s">
        <v>50</v>
      </c>
      <c r="C3918" t="s">
        <v>20</v>
      </c>
      <c r="D3918" t="s">
        <v>4935</v>
      </c>
      <c r="E3918">
        <v>24292</v>
      </c>
    </row>
    <row r="3919" spans="1:5">
      <c r="A3919" s="1">
        <v>45959</v>
      </c>
      <c r="B3919" t="s">
        <v>4936</v>
      </c>
      <c r="C3919" t="s">
        <v>20</v>
      </c>
      <c r="D3919" t="s">
        <v>4937</v>
      </c>
      <c r="E3919">
        <v>1295</v>
      </c>
    </row>
    <row r="3920" spans="1:5">
      <c r="A3920" s="1">
        <v>45959</v>
      </c>
      <c r="B3920" t="s">
        <v>566</v>
      </c>
      <c r="C3920" t="s">
        <v>20</v>
      </c>
      <c r="D3920" t="s">
        <v>4938</v>
      </c>
      <c r="E3920">
        <v>30</v>
      </c>
    </row>
    <row r="3921" spans="1:5">
      <c r="A3921" s="1">
        <v>45959</v>
      </c>
      <c r="B3921" t="s">
        <v>4939</v>
      </c>
      <c r="C3921" t="s">
        <v>20</v>
      </c>
      <c r="D3921" t="s">
        <v>4940</v>
      </c>
      <c r="E3921">
        <v>27130</v>
      </c>
    </row>
    <row r="3922" spans="1:5">
      <c r="A3922" s="1">
        <v>45960</v>
      </c>
      <c r="B3922" t="s">
        <v>4941</v>
      </c>
      <c r="C3922" t="s">
        <v>19</v>
      </c>
      <c r="D3922" t="s">
        <v>4942</v>
      </c>
      <c r="E3922">
        <v>4920</v>
      </c>
    </row>
    <row r="3923" spans="1:5">
      <c r="A3923" s="1">
        <v>45960</v>
      </c>
      <c r="B3923" t="s">
        <v>1049</v>
      </c>
      <c r="C3923" t="s">
        <v>19</v>
      </c>
      <c r="D3923" t="s">
        <v>4943</v>
      </c>
      <c r="E3923">
        <v>2675</v>
      </c>
    </row>
    <row r="3924" spans="1:5">
      <c r="A3924" s="1">
        <v>45960</v>
      </c>
      <c r="B3924" t="s">
        <v>56</v>
      </c>
      <c r="C3924" t="s">
        <v>19</v>
      </c>
      <c r="D3924" t="s">
        <v>4944</v>
      </c>
      <c r="E3924">
        <v>340</v>
      </c>
    </row>
    <row r="3925" spans="1:5">
      <c r="A3925" s="1">
        <v>45960</v>
      </c>
      <c r="B3925" t="s">
        <v>709</v>
      </c>
      <c r="C3925" t="s">
        <v>20</v>
      </c>
      <c r="D3925" t="s">
        <v>4945</v>
      </c>
      <c r="E3925">
        <v>12353</v>
      </c>
    </row>
    <row r="3926" spans="1:5">
      <c r="A3926" s="1">
        <v>45960</v>
      </c>
      <c r="B3926" t="s">
        <v>360</v>
      </c>
      <c r="C3926" t="s">
        <v>20</v>
      </c>
      <c r="D3926" t="s">
        <v>4946</v>
      </c>
      <c r="E3926">
        <v>2508</v>
      </c>
    </row>
    <row r="3927" spans="1:5">
      <c r="A3927" s="1">
        <v>45960</v>
      </c>
      <c r="B3927" t="s">
        <v>4947</v>
      </c>
      <c r="C3927" t="s">
        <v>20</v>
      </c>
      <c r="D3927" t="s">
        <v>4948</v>
      </c>
      <c r="E3927">
        <v>12042</v>
      </c>
    </row>
    <row r="3928" spans="1:5">
      <c r="A3928" s="1">
        <v>45960</v>
      </c>
      <c r="B3928" t="s">
        <v>709</v>
      </c>
      <c r="C3928" t="s">
        <v>20</v>
      </c>
      <c r="D3928" t="s">
        <v>4949</v>
      </c>
      <c r="E3928">
        <v>9513</v>
      </c>
    </row>
    <row r="3929" spans="1:5">
      <c r="A3929" s="1">
        <v>45960</v>
      </c>
      <c r="B3929" t="s">
        <v>76</v>
      </c>
      <c r="C3929" t="s">
        <v>20</v>
      </c>
      <c r="D3929" t="s">
        <v>4950</v>
      </c>
      <c r="E3929">
        <v>7016</v>
      </c>
    </row>
    <row r="3930" spans="1:5">
      <c r="A3930" s="1">
        <v>45960</v>
      </c>
      <c r="B3930" t="s">
        <v>4951</v>
      </c>
      <c r="C3930" t="s">
        <v>20</v>
      </c>
      <c r="D3930" t="s">
        <v>4952</v>
      </c>
      <c r="E3930">
        <v>680</v>
      </c>
    </row>
    <row r="3931" spans="1:5">
      <c r="A3931" s="1">
        <v>45960</v>
      </c>
      <c r="B3931" t="s">
        <v>781</v>
      </c>
      <c r="C3931" t="s">
        <v>20</v>
      </c>
      <c r="D3931" t="s">
        <v>4953</v>
      </c>
      <c r="E3931">
        <v>800</v>
      </c>
    </row>
    <row r="3932" spans="1:5">
      <c r="A3932" s="1">
        <v>45960</v>
      </c>
      <c r="B3932" t="s">
        <v>265</v>
      </c>
      <c r="C3932" t="s">
        <v>20</v>
      </c>
      <c r="D3932" t="s">
        <v>4954</v>
      </c>
      <c r="E3932">
        <v>4250</v>
      </c>
    </row>
    <row r="3933" spans="1:5">
      <c r="A3933" s="1">
        <v>45960</v>
      </c>
      <c r="B3933" t="s">
        <v>50</v>
      </c>
      <c r="C3933" t="s">
        <v>20</v>
      </c>
      <c r="D3933" t="s">
        <v>4955</v>
      </c>
      <c r="E3933">
        <v>15</v>
      </c>
    </row>
    <row r="3934" spans="1:5">
      <c r="A3934" s="1">
        <v>45960</v>
      </c>
      <c r="B3934" t="s">
        <v>87</v>
      </c>
      <c r="C3934" t="s">
        <v>20</v>
      </c>
      <c r="D3934" t="s">
        <v>4956</v>
      </c>
      <c r="E3934">
        <v>9876</v>
      </c>
    </row>
    <row r="3935" spans="1:5">
      <c r="A3935" s="1">
        <v>45960</v>
      </c>
      <c r="B3935" t="s">
        <v>87</v>
      </c>
      <c r="C3935" t="s">
        <v>20</v>
      </c>
      <c r="D3935" t="s">
        <v>4957</v>
      </c>
      <c r="E3935">
        <v>94</v>
      </c>
    </row>
    <row r="3936" spans="1:5">
      <c r="A3936" s="1">
        <v>45960</v>
      </c>
      <c r="B3936" t="s">
        <v>870</v>
      </c>
      <c r="C3936" t="s">
        <v>20</v>
      </c>
      <c r="D3936" t="s">
        <v>4958</v>
      </c>
      <c r="E3936">
        <v>340</v>
      </c>
    </row>
    <row r="3937" spans="1:5">
      <c r="A3937" s="1">
        <v>45960</v>
      </c>
      <c r="B3937" t="s">
        <v>4959</v>
      </c>
      <c r="C3937" t="s">
        <v>20</v>
      </c>
      <c r="D3937" t="s">
        <v>4960</v>
      </c>
      <c r="E3937">
        <v>2108</v>
      </c>
    </row>
    <row r="3938" spans="1:5">
      <c r="A3938" s="1">
        <v>45960</v>
      </c>
      <c r="B3938" t="s">
        <v>4951</v>
      </c>
      <c r="C3938" t="s">
        <v>20</v>
      </c>
      <c r="D3938" t="s">
        <v>4961</v>
      </c>
      <c r="E3938">
        <v>716</v>
      </c>
    </row>
    <row r="3939" spans="1:5">
      <c r="A3939" s="1">
        <v>45960</v>
      </c>
      <c r="B3939" t="s">
        <v>4962</v>
      </c>
      <c r="C3939" t="s">
        <v>20</v>
      </c>
      <c r="D3939" t="s">
        <v>4963</v>
      </c>
      <c r="E3939">
        <v>31040</v>
      </c>
    </row>
    <row r="3940" spans="1:5">
      <c r="A3940" s="1">
        <v>45960</v>
      </c>
      <c r="B3940" t="s">
        <v>781</v>
      </c>
      <c r="C3940" t="s">
        <v>20</v>
      </c>
      <c r="D3940" t="s">
        <v>4964</v>
      </c>
      <c r="E3940">
        <v>1020</v>
      </c>
    </row>
    <row r="3941" spans="1:5">
      <c r="A3941" s="1">
        <v>45961</v>
      </c>
      <c r="B3941" t="s">
        <v>955</v>
      </c>
      <c r="C3941" t="s">
        <v>19</v>
      </c>
      <c r="D3941" t="s">
        <v>4965</v>
      </c>
      <c r="E3941">
        <v>4370</v>
      </c>
    </row>
    <row r="3942" spans="1:5">
      <c r="A3942" s="1">
        <v>45961</v>
      </c>
      <c r="B3942" t="s">
        <v>955</v>
      </c>
      <c r="C3942" t="s">
        <v>19</v>
      </c>
      <c r="D3942" t="s">
        <v>4966</v>
      </c>
      <c r="E3942">
        <v>135</v>
      </c>
    </row>
    <row r="3943" spans="1:5">
      <c r="A3943" s="1">
        <v>45961</v>
      </c>
      <c r="B3943" t="s">
        <v>955</v>
      </c>
      <c r="C3943" t="s">
        <v>19</v>
      </c>
      <c r="D3943" t="s">
        <v>4967</v>
      </c>
      <c r="E3943">
        <v>170</v>
      </c>
    </row>
    <row r="3944" spans="1:5">
      <c r="A3944" s="1">
        <v>45961</v>
      </c>
      <c r="B3944" t="s">
        <v>360</v>
      </c>
      <c r="C3944" t="s">
        <v>20</v>
      </c>
      <c r="D3944" t="s">
        <v>4968</v>
      </c>
      <c r="E3944">
        <v>75044</v>
      </c>
    </row>
    <row r="3945" spans="1:5">
      <c r="A3945" s="1">
        <v>45961</v>
      </c>
      <c r="B3945" t="s">
        <v>87</v>
      </c>
      <c r="C3945" t="s">
        <v>20</v>
      </c>
      <c r="D3945" t="s">
        <v>4969</v>
      </c>
      <c r="E3945">
        <v>5263</v>
      </c>
    </row>
    <row r="3946" spans="1:5">
      <c r="A3946" s="1">
        <v>45961</v>
      </c>
      <c r="B3946" t="s">
        <v>1075</v>
      </c>
      <c r="C3946" t="s">
        <v>20</v>
      </c>
      <c r="D3946" t="s">
        <v>4970</v>
      </c>
      <c r="E3946">
        <v>339</v>
      </c>
    </row>
    <row r="3947" spans="1:5">
      <c r="A3947" s="1">
        <v>45961</v>
      </c>
      <c r="B3947" t="s">
        <v>4773</v>
      </c>
      <c r="C3947" t="s">
        <v>20</v>
      </c>
      <c r="D3947" t="s">
        <v>4971</v>
      </c>
      <c r="E3947">
        <v>311</v>
      </c>
    </row>
    <row r="3948" spans="1:5">
      <c r="A3948" s="1">
        <v>45961</v>
      </c>
      <c r="B3948" t="s">
        <v>4972</v>
      </c>
      <c r="C3948" t="s">
        <v>20</v>
      </c>
      <c r="D3948" t="s">
        <v>4973</v>
      </c>
      <c r="E3948">
        <v>3350</v>
      </c>
    </row>
    <row r="3949" spans="1:5">
      <c r="A3949" s="1">
        <v>45961</v>
      </c>
      <c r="B3949" t="s">
        <v>252</v>
      </c>
      <c r="C3949" t="s">
        <v>20</v>
      </c>
      <c r="D3949" t="s">
        <v>4974</v>
      </c>
      <c r="E3949">
        <v>700</v>
      </c>
    </row>
    <row r="3950" spans="1:5">
      <c r="A3950" s="1">
        <v>45961</v>
      </c>
      <c r="B3950" t="s">
        <v>3532</v>
      </c>
      <c r="C3950" t="s">
        <v>20</v>
      </c>
      <c r="D3950" t="s">
        <v>4975</v>
      </c>
      <c r="E3950">
        <v>155</v>
      </c>
    </row>
    <row r="3951" spans="1:5">
      <c r="A3951" s="1">
        <v>45961</v>
      </c>
      <c r="B3951" t="s">
        <v>321</v>
      </c>
      <c r="C3951" t="s">
        <v>20</v>
      </c>
      <c r="D3951" t="s">
        <v>4976</v>
      </c>
      <c r="E3951">
        <v>5423</v>
      </c>
    </row>
    <row r="3952" spans="1:5">
      <c r="A3952" s="1">
        <v>45961</v>
      </c>
      <c r="B3952" t="s">
        <v>4977</v>
      </c>
      <c r="C3952" t="s">
        <v>20</v>
      </c>
      <c r="D3952" t="s">
        <v>4978</v>
      </c>
      <c r="E3952">
        <v>12987</v>
      </c>
    </row>
    <row r="3953" spans="1:5">
      <c r="A3953" s="1">
        <v>45961</v>
      </c>
      <c r="B3953" t="s">
        <v>50</v>
      </c>
      <c r="C3953" t="s">
        <v>20</v>
      </c>
      <c r="D3953" t="s">
        <v>4979</v>
      </c>
      <c r="E3953">
        <v>4050</v>
      </c>
    </row>
    <row r="3954" spans="1:5">
      <c r="A3954" s="1">
        <v>45961</v>
      </c>
      <c r="B3954" t="s">
        <v>4980</v>
      </c>
      <c r="C3954" t="s">
        <v>20</v>
      </c>
      <c r="D3954" t="s">
        <v>4981</v>
      </c>
      <c r="E3954">
        <v>1700</v>
      </c>
    </row>
    <row r="3955" spans="1:5">
      <c r="A3955" s="1">
        <v>45961</v>
      </c>
      <c r="B3955" t="s">
        <v>709</v>
      </c>
      <c r="C3955" t="s">
        <v>20</v>
      </c>
      <c r="D3955" t="s">
        <v>4982</v>
      </c>
      <c r="E3955">
        <v>4502</v>
      </c>
    </row>
    <row r="3956" spans="1:5">
      <c r="A3956" s="1">
        <v>45961</v>
      </c>
      <c r="B3956" t="s">
        <v>3532</v>
      </c>
      <c r="C3956" t="s">
        <v>20</v>
      </c>
      <c r="D3956" t="s">
        <v>4983</v>
      </c>
      <c r="E3956">
        <v>60</v>
      </c>
    </row>
    <row r="3957" spans="1:5">
      <c r="A3957" s="1">
        <v>45961</v>
      </c>
      <c r="B3957" t="s">
        <v>4984</v>
      </c>
      <c r="C3957" t="s">
        <v>20</v>
      </c>
      <c r="D3957" t="s">
        <v>4985</v>
      </c>
      <c r="E3957">
        <v>188</v>
      </c>
    </row>
    <row r="3958" spans="1:5">
      <c r="A3958" s="1">
        <v>45961</v>
      </c>
      <c r="B3958" t="s">
        <v>50</v>
      </c>
      <c r="C3958" t="s">
        <v>20</v>
      </c>
      <c r="D3958" t="s">
        <v>4986</v>
      </c>
      <c r="E3958">
        <v>7804</v>
      </c>
    </row>
    <row r="3959" spans="1:5">
      <c r="A3959" s="1">
        <v>45961</v>
      </c>
      <c r="B3959" t="s">
        <v>1075</v>
      </c>
      <c r="C3959" t="s">
        <v>20</v>
      </c>
      <c r="D3959" t="s">
        <v>4987</v>
      </c>
      <c r="E3959">
        <v>1700</v>
      </c>
    </row>
    <row r="3960" spans="1:5">
      <c r="A3960" s="1">
        <v>45961</v>
      </c>
      <c r="B3960" t="s">
        <v>4988</v>
      </c>
      <c r="C3960" t="s">
        <v>20</v>
      </c>
      <c r="D3960" t="s">
        <v>4989</v>
      </c>
      <c r="E3960">
        <v>960</v>
      </c>
    </row>
    <row r="3961" spans="1:5">
      <c r="A3961" s="1">
        <v>45961</v>
      </c>
      <c r="B3961" t="s">
        <v>33</v>
      </c>
      <c r="C3961" t="s">
        <v>20</v>
      </c>
      <c r="D3961" t="s">
        <v>4990</v>
      </c>
      <c r="E3961">
        <v>340</v>
      </c>
    </row>
    <row r="3962" spans="1:5">
      <c r="A3962" s="1">
        <v>45961</v>
      </c>
      <c r="B3962" t="s">
        <v>3333</v>
      </c>
      <c r="C3962" t="s">
        <v>20</v>
      </c>
      <c r="D3962" t="s">
        <v>4991</v>
      </c>
      <c r="E3962">
        <v>8125</v>
      </c>
    </row>
    <row r="3963" spans="1:5">
      <c r="A3963" s="1">
        <v>45961</v>
      </c>
      <c r="B3963" t="s">
        <v>4972</v>
      </c>
      <c r="C3963" t="s">
        <v>20</v>
      </c>
      <c r="D3963" t="s">
        <v>4992</v>
      </c>
      <c r="E3963">
        <v>1005</v>
      </c>
    </row>
    <row r="3964" spans="1:5">
      <c r="A3964" s="1">
        <v>45961</v>
      </c>
      <c r="B3964" t="s">
        <v>254</v>
      </c>
      <c r="C3964" t="s">
        <v>20</v>
      </c>
      <c r="D3964" t="s">
        <v>4993</v>
      </c>
      <c r="E3964">
        <v>340</v>
      </c>
    </row>
    <row r="3965" spans="1:5">
      <c r="A3965" s="1">
        <v>45961</v>
      </c>
      <c r="B3965" t="s">
        <v>4994</v>
      </c>
      <c r="C3965" t="s">
        <v>20</v>
      </c>
      <c r="D3965" t="s">
        <v>4995</v>
      </c>
      <c r="E3965">
        <v>76276</v>
      </c>
    </row>
    <row r="3966" spans="1:5">
      <c r="A3966" s="1">
        <v>45961</v>
      </c>
      <c r="B3966" t="s">
        <v>4329</v>
      </c>
      <c r="C3966" t="s">
        <v>20</v>
      </c>
      <c r="D3966" t="s">
        <v>4996</v>
      </c>
      <c r="E3966">
        <v>100</v>
      </c>
    </row>
    <row r="3967" spans="1:5">
      <c r="A3967" s="1">
        <v>45961</v>
      </c>
      <c r="B3967" t="s">
        <v>4997</v>
      </c>
      <c r="C3967" t="s">
        <v>20</v>
      </c>
      <c r="D3967" t="s">
        <v>4998</v>
      </c>
      <c r="E3967">
        <v>3274</v>
      </c>
    </row>
    <row r="3968" spans="1:5">
      <c r="A3968" s="1">
        <v>45962</v>
      </c>
      <c r="B3968" t="s">
        <v>56</v>
      </c>
      <c r="C3968" t="s">
        <v>19</v>
      </c>
      <c r="D3968" t="s">
        <v>4999</v>
      </c>
      <c r="E3968">
        <v>1936</v>
      </c>
    </row>
    <row r="3969" spans="1:5">
      <c r="A3969" s="1">
        <v>45962</v>
      </c>
      <c r="B3969" t="s">
        <v>58</v>
      </c>
      <c r="C3969" t="s">
        <v>19</v>
      </c>
      <c r="D3969" t="s">
        <v>5000</v>
      </c>
      <c r="E3969">
        <v>12176</v>
      </c>
    </row>
    <row r="3970" spans="1:5">
      <c r="A3970" s="1">
        <v>45962</v>
      </c>
      <c r="B3970" t="s">
        <v>2987</v>
      </c>
      <c r="C3970" t="s">
        <v>19</v>
      </c>
      <c r="D3970" t="s">
        <v>5001</v>
      </c>
      <c r="E3970">
        <v>10356</v>
      </c>
    </row>
    <row r="3971" spans="1:5">
      <c r="A3971" s="1">
        <v>45962</v>
      </c>
      <c r="B3971" t="s">
        <v>5002</v>
      </c>
      <c r="C3971" t="s">
        <v>19</v>
      </c>
      <c r="D3971" t="s">
        <v>5003</v>
      </c>
      <c r="E3971">
        <v>17836</v>
      </c>
    </row>
    <row r="3972" spans="1:5">
      <c r="A3972" s="1">
        <v>45962</v>
      </c>
      <c r="B3972" t="s">
        <v>50</v>
      </c>
      <c r="C3972" t="s">
        <v>20</v>
      </c>
      <c r="D3972" t="s">
        <v>5004</v>
      </c>
      <c r="E3972">
        <v>50</v>
      </c>
    </row>
    <row r="3973" spans="1:5">
      <c r="A3973" s="1">
        <v>45962</v>
      </c>
      <c r="B3973" t="s">
        <v>709</v>
      </c>
      <c r="C3973" t="s">
        <v>20</v>
      </c>
      <c r="D3973" t="s">
        <v>5005</v>
      </c>
      <c r="E3973">
        <v>8375</v>
      </c>
    </row>
    <row r="3974" spans="1:5">
      <c r="A3974" s="1">
        <v>45962</v>
      </c>
      <c r="B3974" t="s">
        <v>1916</v>
      </c>
      <c r="C3974" t="s">
        <v>20</v>
      </c>
      <c r="D3974" t="s">
        <v>5006</v>
      </c>
      <c r="E3974">
        <v>12371</v>
      </c>
    </row>
    <row r="3975" spans="1:5">
      <c r="A3975" s="1">
        <v>45962</v>
      </c>
      <c r="B3975" t="s">
        <v>50</v>
      </c>
      <c r="C3975" t="s">
        <v>20</v>
      </c>
      <c r="D3975" t="s">
        <v>5007</v>
      </c>
      <c r="E3975">
        <v>340</v>
      </c>
    </row>
    <row r="3976" spans="1:5">
      <c r="A3976" s="1">
        <v>45962</v>
      </c>
      <c r="B3976" t="s">
        <v>254</v>
      </c>
      <c r="C3976" t="s">
        <v>20</v>
      </c>
      <c r="D3976" t="s">
        <v>5008</v>
      </c>
      <c r="E3976">
        <v>1700</v>
      </c>
    </row>
    <row r="3977" spans="1:5">
      <c r="A3977" s="1">
        <v>45962</v>
      </c>
      <c r="B3977" t="s">
        <v>2958</v>
      </c>
      <c r="C3977" t="s">
        <v>20</v>
      </c>
      <c r="D3977" t="s">
        <v>5009</v>
      </c>
      <c r="E3977">
        <v>13034</v>
      </c>
    </row>
    <row r="3978" spans="1:5">
      <c r="A3978" s="1">
        <v>45962</v>
      </c>
      <c r="B3978" t="s">
        <v>43</v>
      </c>
      <c r="C3978" t="s">
        <v>20</v>
      </c>
      <c r="D3978" t="s">
        <v>5010</v>
      </c>
      <c r="E3978">
        <v>570</v>
      </c>
    </row>
    <row r="3979" spans="1:5">
      <c r="A3979" s="1">
        <v>45962</v>
      </c>
      <c r="B3979" t="s">
        <v>222</v>
      </c>
      <c r="C3979" t="s">
        <v>20</v>
      </c>
      <c r="D3979" t="s">
        <v>5011</v>
      </c>
      <c r="E3979">
        <v>680</v>
      </c>
    </row>
    <row r="3980" spans="1:5">
      <c r="A3980" s="1">
        <v>45962</v>
      </c>
      <c r="B3980" t="s">
        <v>5012</v>
      </c>
      <c r="C3980" t="s">
        <v>20</v>
      </c>
      <c r="D3980" t="s">
        <v>5013</v>
      </c>
      <c r="E3980">
        <v>4096</v>
      </c>
    </row>
    <row r="3981" spans="1:5">
      <c r="A3981" s="1">
        <v>45962</v>
      </c>
      <c r="B3981" t="s">
        <v>50</v>
      </c>
      <c r="C3981" t="s">
        <v>20</v>
      </c>
      <c r="D3981" t="s">
        <v>5014</v>
      </c>
      <c r="E3981">
        <v>8</v>
      </c>
    </row>
    <row r="3982" spans="1:5">
      <c r="A3982" s="1">
        <v>45962</v>
      </c>
      <c r="B3982" t="s">
        <v>5015</v>
      </c>
      <c r="C3982" t="s">
        <v>20</v>
      </c>
      <c r="D3982" t="s">
        <v>5016</v>
      </c>
      <c r="E3982">
        <v>9181</v>
      </c>
    </row>
    <row r="3983" spans="1:5">
      <c r="A3983" s="1">
        <v>45962</v>
      </c>
      <c r="B3983" t="s">
        <v>932</v>
      </c>
      <c r="C3983" t="s">
        <v>20</v>
      </c>
      <c r="D3983" t="s">
        <v>5017</v>
      </c>
      <c r="E3983">
        <v>1397</v>
      </c>
    </row>
    <row r="3984" spans="1:5">
      <c r="A3984" s="1">
        <v>45962</v>
      </c>
      <c r="B3984" t="s">
        <v>33</v>
      </c>
      <c r="C3984" t="s">
        <v>20</v>
      </c>
      <c r="D3984" t="s">
        <v>5018</v>
      </c>
      <c r="E3984">
        <v>256</v>
      </c>
    </row>
    <row r="3985" spans="1:5">
      <c r="A3985" s="1">
        <v>45962</v>
      </c>
      <c r="B3985" t="s">
        <v>265</v>
      </c>
      <c r="C3985" t="s">
        <v>20</v>
      </c>
      <c r="D3985" t="s">
        <v>5019</v>
      </c>
      <c r="E3985">
        <v>3342</v>
      </c>
    </row>
    <row r="3986" spans="1:5">
      <c r="A3986" s="1">
        <v>45962</v>
      </c>
      <c r="B3986" t="s">
        <v>2634</v>
      </c>
      <c r="C3986" t="s">
        <v>20</v>
      </c>
      <c r="D3986" t="s">
        <v>5020</v>
      </c>
      <c r="E3986">
        <v>8500</v>
      </c>
    </row>
    <row r="3987" spans="1:5">
      <c r="A3987" s="1">
        <v>45962</v>
      </c>
      <c r="B3987" t="s">
        <v>360</v>
      </c>
      <c r="C3987" t="s">
        <v>20</v>
      </c>
      <c r="D3987" t="s">
        <v>5021</v>
      </c>
      <c r="E3987">
        <v>680</v>
      </c>
    </row>
    <row r="3988" spans="1:5">
      <c r="A3988" s="1">
        <v>45962</v>
      </c>
      <c r="B3988" t="s">
        <v>1075</v>
      </c>
      <c r="C3988" t="s">
        <v>20</v>
      </c>
      <c r="D3988" t="s">
        <v>5022</v>
      </c>
      <c r="E3988">
        <v>2596</v>
      </c>
    </row>
    <row r="3989" spans="1:5">
      <c r="A3989" s="1">
        <v>45962</v>
      </c>
      <c r="B3989" t="s">
        <v>252</v>
      </c>
      <c r="C3989" t="s">
        <v>20</v>
      </c>
      <c r="D3989" t="s">
        <v>5023</v>
      </c>
      <c r="E3989">
        <v>720</v>
      </c>
    </row>
    <row r="3990" spans="1:5">
      <c r="A3990" s="1">
        <v>45962</v>
      </c>
      <c r="B3990" t="s">
        <v>870</v>
      </c>
      <c r="C3990" t="s">
        <v>20</v>
      </c>
      <c r="D3990" t="s">
        <v>5024</v>
      </c>
      <c r="E3990">
        <v>11733</v>
      </c>
    </row>
    <row r="3991" spans="1:5">
      <c r="A3991" s="1">
        <v>45962</v>
      </c>
      <c r="B3991" t="s">
        <v>4994</v>
      </c>
      <c r="C3991" t="s">
        <v>20</v>
      </c>
      <c r="D3991" t="s">
        <v>5025</v>
      </c>
      <c r="E3991">
        <v>14082</v>
      </c>
    </row>
    <row r="3992" spans="1:5">
      <c r="A3992" s="1">
        <v>45962</v>
      </c>
      <c r="B3992" t="s">
        <v>43</v>
      </c>
      <c r="C3992" t="s">
        <v>20</v>
      </c>
      <c r="D3992" t="s">
        <v>5026</v>
      </c>
      <c r="E3992">
        <v>351</v>
      </c>
    </row>
    <row r="3993" spans="1:5">
      <c r="A3993" s="1">
        <v>45962</v>
      </c>
      <c r="B3993" t="s">
        <v>168</v>
      </c>
      <c r="C3993" t="s">
        <v>20</v>
      </c>
      <c r="D3993" t="s">
        <v>5027</v>
      </c>
      <c r="E3993">
        <v>4944</v>
      </c>
    </row>
    <row r="3994" spans="1:5">
      <c r="A3994" s="1">
        <v>45962</v>
      </c>
      <c r="B3994" t="s">
        <v>3910</v>
      </c>
      <c r="C3994" t="s">
        <v>20</v>
      </c>
      <c r="D3994" t="s">
        <v>5028</v>
      </c>
      <c r="E3994">
        <v>1432</v>
      </c>
    </row>
    <row r="3995" spans="1:5">
      <c r="A3995" s="1">
        <v>45962</v>
      </c>
      <c r="B3995" t="s">
        <v>5029</v>
      </c>
      <c r="C3995" t="s">
        <v>20</v>
      </c>
      <c r="D3995" t="s">
        <v>5030</v>
      </c>
      <c r="E3995">
        <v>9624</v>
      </c>
    </row>
    <row r="3996" spans="1:5">
      <c r="A3996" s="1">
        <v>45962</v>
      </c>
      <c r="B3996" t="s">
        <v>3037</v>
      </c>
      <c r="C3996" t="s">
        <v>20</v>
      </c>
      <c r="D3996" t="s">
        <v>5031</v>
      </c>
      <c r="E3996">
        <v>8175</v>
      </c>
    </row>
    <row r="3997" spans="1:5">
      <c r="A3997" s="1">
        <v>45964</v>
      </c>
      <c r="B3997" t="s">
        <v>1104</v>
      </c>
      <c r="C3997" t="s">
        <v>19</v>
      </c>
      <c r="D3997" t="s">
        <v>5032</v>
      </c>
      <c r="E3997">
        <v>3218</v>
      </c>
    </row>
    <row r="3998" spans="1:5">
      <c r="A3998" s="1">
        <v>45964</v>
      </c>
      <c r="B3998" t="s">
        <v>1104</v>
      </c>
      <c r="C3998" t="s">
        <v>19</v>
      </c>
      <c r="D3998" t="s">
        <v>5033</v>
      </c>
      <c r="E3998">
        <v>2550</v>
      </c>
    </row>
    <row r="3999" spans="1:5">
      <c r="A3999" s="1">
        <v>45964</v>
      </c>
      <c r="B3999" t="s">
        <v>216</v>
      </c>
      <c r="C3999" t="s">
        <v>19</v>
      </c>
      <c r="D3999" t="s">
        <v>5034</v>
      </c>
      <c r="E3999">
        <v>7076</v>
      </c>
    </row>
    <row r="4000" spans="1:5">
      <c r="A4000" s="1">
        <v>45964</v>
      </c>
      <c r="B4000" t="s">
        <v>5002</v>
      </c>
      <c r="C4000" t="s">
        <v>19</v>
      </c>
      <c r="D4000" t="s">
        <v>5035</v>
      </c>
      <c r="E4000">
        <v>1518</v>
      </c>
    </row>
    <row r="4001" spans="1:5">
      <c r="A4001" s="1">
        <v>45964</v>
      </c>
      <c r="B4001" t="s">
        <v>5036</v>
      </c>
      <c r="C4001" t="s">
        <v>19</v>
      </c>
      <c r="D4001" t="s">
        <v>5037</v>
      </c>
      <c r="E4001">
        <v>45745</v>
      </c>
    </row>
    <row r="4002" spans="1:5">
      <c r="A4002" s="1">
        <v>45964</v>
      </c>
      <c r="B4002" t="s">
        <v>2202</v>
      </c>
      <c r="C4002" t="s">
        <v>20</v>
      </c>
      <c r="D4002" t="s">
        <v>5038</v>
      </c>
      <c r="E4002">
        <v>11725</v>
      </c>
    </row>
    <row r="4003" spans="1:5">
      <c r="A4003" s="1">
        <v>45964</v>
      </c>
      <c r="B4003" t="s">
        <v>5039</v>
      </c>
      <c r="C4003" t="s">
        <v>20</v>
      </c>
      <c r="D4003" t="s">
        <v>5040</v>
      </c>
      <c r="E4003">
        <v>4016</v>
      </c>
    </row>
    <row r="4004" spans="1:5">
      <c r="A4004" s="1">
        <v>45964</v>
      </c>
      <c r="B4004" t="s">
        <v>50</v>
      </c>
      <c r="C4004" t="s">
        <v>20</v>
      </c>
      <c r="D4004" t="s">
        <v>5041</v>
      </c>
      <c r="E4004">
        <v>30</v>
      </c>
    </row>
    <row r="4005" spans="1:5">
      <c r="A4005" s="1">
        <v>45964</v>
      </c>
      <c r="B4005" t="s">
        <v>3823</v>
      </c>
      <c r="C4005" t="s">
        <v>20</v>
      </c>
      <c r="D4005" t="s">
        <v>5042</v>
      </c>
      <c r="E4005">
        <v>440</v>
      </c>
    </row>
    <row r="4006" spans="1:5">
      <c r="A4006" s="1">
        <v>45964</v>
      </c>
      <c r="B4006" t="s">
        <v>4450</v>
      </c>
      <c r="C4006" t="s">
        <v>20</v>
      </c>
      <c r="D4006" t="s">
        <v>5043</v>
      </c>
      <c r="E4006">
        <v>680</v>
      </c>
    </row>
    <row r="4007" spans="1:5">
      <c r="A4007" s="1">
        <v>45964</v>
      </c>
      <c r="B4007" t="s">
        <v>222</v>
      </c>
      <c r="C4007" t="s">
        <v>20</v>
      </c>
      <c r="D4007" t="s">
        <v>5044</v>
      </c>
      <c r="E4007">
        <v>3400</v>
      </c>
    </row>
    <row r="4008" spans="1:5">
      <c r="A4008" s="1">
        <v>45964</v>
      </c>
      <c r="B4008" t="s">
        <v>100</v>
      </c>
      <c r="C4008" t="s">
        <v>20</v>
      </c>
      <c r="D4008" t="s">
        <v>5045</v>
      </c>
      <c r="E4008">
        <v>11584</v>
      </c>
    </row>
    <row r="4009" spans="1:5">
      <c r="A4009" s="1">
        <v>45964</v>
      </c>
      <c r="B4009" t="s">
        <v>5046</v>
      </c>
      <c r="C4009" t="s">
        <v>20</v>
      </c>
      <c r="D4009" t="s">
        <v>5047</v>
      </c>
      <c r="E4009">
        <v>11220</v>
      </c>
    </row>
    <row r="4010" spans="1:5">
      <c r="A4010" s="1">
        <v>45964</v>
      </c>
      <c r="B4010" t="s">
        <v>3486</v>
      </c>
      <c r="C4010" t="s">
        <v>20</v>
      </c>
      <c r="D4010" t="s">
        <v>5048</v>
      </c>
      <c r="E4010">
        <v>48337</v>
      </c>
    </row>
    <row r="4011" spans="1:5">
      <c r="A4011" s="1">
        <v>45964</v>
      </c>
      <c r="B4011" t="s">
        <v>66</v>
      </c>
      <c r="C4011" t="s">
        <v>20</v>
      </c>
      <c r="D4011" t="s">
        <v>5049</v>
      </c>
      <c r="E4011">
        <v>12</v>
      </c>
    </row>
    <row r="4012" spans="1:5">
      <c r="A4012" s="1">
        <v>45964</v>
      </c>
      <c r="B4012" t="s">
        <v>254</v>
      </c>
      <c r="C4012" t="s">
        <v>20</v>
      </c>
      <c r="D4012" t="s">
        <v>5050</v>
      </c>
      <c r="E4012">
        <v>1020</v>
      </c>
    </row>
    <row r="4013" spans="1:5">
      <c r="A4013" s="1">
        <v>45964</v>
      </c>
      <c r="B4013" t="s">
        <v>35</v>
      </c>
      <c r="C4013" t="s">
        <v>20</v>
      </c>
      <c r="D4013" t="s">
        <v>5051</v>
      </c>
      <c r="E4013">
        <v>11261</v>
      </c>
    </row>
    <row r="4014" spans="1:5">
      <c r="A4014" s="1">
        <v>45964</v>
      </c>
      <c r="B4014" t="s">
        <v>33</v>
      </c>
      <c r="C4014" t="s">
        <v>20</v>
      </c>
      <c r="D4014" t="s">
        <v>5052</v>
      </c>
      <c r="E4014">
        <v>256</v>
      </c>
    </row>
    <row r="4015" spans="1:5">
      <c r="A4015" s="1">
        <v>45964</v>
      </c>
      <c r="B4015" t="s">
        <v>5053</v>
      </c>
      <c r="C4015" t="s">
        <v>20</v>
      </c>
      <c r="D4015" t="s">
        <v>5054</v>
      </c>
      <c r="E4015">
        <v>265</v>
      </c>
    </row>
    <row r="4016" spans="1:5">
      <c r="A4016" s="1">
        <v>45964</v>
      </c>
      <c r="B4016" t="s">
        <v>100</v>
      </c>
      <c r="C4016" t="s">
        <v>20</v>
      </c>
      <c r="D4016" t="s">
        <v>5055</v>
      </c>
      <c r="E4016">
        <v>5943</v>
      </c>
    </row>
    <row r="4017" spans="1:5">
      <c r="A4017" s="1">
        <v>45964</v>
      </c>
      <c r="B4017" t="s">
        <v>5056</v>
      </c>
      <c r="C4017" t="s">
        <v>20</v>
      </c>
      <c r="D4017" t="s">
        <v>5057</v>
      </c>
      <c r="E4017">
        <v>2824</v>
      </c>
    </row>
    <row r="4018" spans="1:5">
      <c r="A4018" s="1">
        <v>45964</v>
      </c>
      <c r="B4018" t="s">
        <v>1617</v>
      </c>
      <c r="C4018" t="s">
        <v>20</v>
      </c>
      <c r="D4018" t="s">
        <v>5058</v>
      </c>
      <c r="E4018">
        <v>5903</v>
      </c>
    </row>
    <row r="4019" spans="1:5">
      <c r="A4019" s="1">
        <v>45964</v>
      </c>
      <c r="B4019" t="s">
        <v>932</v>
      </c>
      <c r="C4019" t="s">
        <v>20</v>
      </c>
      <c r="D4019" t="s">
        <v>5059</v>
      </c>
      <c r="E4019">
        <v>2380</v>
      </c>
    </row>
    <row r="4020" spans="1:5">
      <c r="A4020" s="1">
        <v>45964</v>
      </c>
      <c r="B4020" t="s">
        <v>1085</v>
      </c>
      <c r="C4020" t="s">
        <v>20</v>
      </c>
      <c r="D4020" t="s">
        <v>5060</v>
      </c>
      <c r="E4020">
        <v>2350</v>
      </c>
    </row>
    <row r="4021" spans="1:5">
      <c r="A4021" s="1">
        <v>45965</v>
      </c>
      <c r="B4021" t="s">
        <v>4833</v>
      </c>
      <c r="C4021" t="s">
        <v>19</v>
      </c>
      <c r="D4021" t="s">
        <v>5061</v>
      </c>
      <c r="E4021">
        <v>48910</v>
      </c>
    </row>
    <row r="4022" spans="1:5">
      <c r="A4022" s="1">
        <v>45965</v>
      </c>
      <c r="B4022" t="s">
        <v>5062</v>
      </c>
      <c r="C4022" t="s">
        <v>19</v>
      </c>
      <c r="D4022" t="s">
        <v>5063</v>
      </c>
      <c r="E4022">
        <v>18855</v>
      </c>
    </row>
    <row r="4023" spans="1:5">
      <c r="A4023" s="1">
        <v>45965</v>
      </c>
      <c r="B4023" t="s">
        <v>5002</v>
      </c>
      <c r="C4023" t="s">
        <v>19</v>
      </c>
      <c r="D4023" t="s">
        <v>5064</v>
      </c>
      <c r="E4023">
        <v>861</v>
      </c>
    </row>
    <row r="4024" spans="1:5">
      <c r="A4024" s="1">
        <v>45965</v>
      </c>
      <c r="B4024" t="s">
        <v>3823</v>
      </c>
      <c r="C4024" t="s">
        <v>20</v>
      </c>
      <c r="D4024" t="s">
        <v>5065</v>
      </c>
      <c r="E4024">
        <v>85</v>
      </c>
    </row>
    <row r="4025" spans="1:5">
      <c r="A4025" s="1">
        <v>45965</v>
      </c>
      <c r="B4025" t="s">
        <v>254</v>
      </c>
      <c r="C4025" t="s">
        <v>20</v>
      </c>
      <c r="D4025" t="s">
        <v>5066</v>
      </c>
      <c r="E4025">
        <v>340</v>
      </c>
    </row>
    <row r="4026" spans="1:5">
      <c r="A4026" s="1">
        <v>45965</v>
      </c>
      <c r="B4026" t="s">
        <v>1578</v>
      </c>
      <c r="C4026" t="s">
        <v>20</v>
      </c>
      <c r="D4026" t="s">
        <v>5067</v>
      </c>
      <c r="E4026">
        <v>1360</v>
      </c>
    </row>
    <row r="4027" spans="1:5">
      <c r="A4027" s="1">
        <v>45965</v>
      </c>
      <c r="B4027" t="s">
        <v>1004</v>
      </c>
      <c r="C4027" t="s">
        <v>20</v>
      </c>
      <c r="D4027" t="s">
        <v>5068</v>
      </c>
      <c r="E4027">
        <v>1000</v>
      </c>
    </row>
    <row r="4028" spans="1:5">
      <c r="A4028" s="1">
        <v>45965</v>
      </c>
      <c r="B4028" t="s">
        <v>5069</v>
      </c>
      <c r="C4028" t="s">
        <v>20</v>
      </c>
      <c r="D4028" t="s">
        <v>5070</v>
      </c>
      <c r="E4028">
        <v>8271</v>
      </c>
    </row>
    <row r="4029" spans="1:5">
      <c r="A4029" s="1">
        <v>45965</v>
      </c>
      <c r="B4029" t="s">
        <v>2459</v>
      </c>
      <c r="C4029" t="s">
        <v>20</v>
      </c>
      <c r="D4029" t="s">
        <v>5071</v>
      </c>
      <c r="E4029">
        <v>5100</v>
      </c>
    </row>
    <row r="4030" spans="1:5">
      <c r="A4030" s="1">
        <v>45965</v>
      </c>
      <c r="B4030" t="s">
        <v>5072</v>
      </c>
      <c r="C4030" t="s">
        <v>20</v>
      </c>
      <c r="D4030" t="s">
        <v>5073</v>
      </c>
      <c r="E4030">
        <v>1578</v>
      </c>
    </row>
    <row r="4031" spans="1:5">
      <c r="A4031" s="1">
        <v>45965</v>
      </c>
      <c r="B4031" t="s">
        <v>33</v>
      </c>
      <c r="C4031" t="s">
        <v>20</v>
      </c>
      <c r="D4031" t="s">
        <v>5074</v>
      </c>
      <c r="E4031">
        <v>340</v>
      </c>
    </row>
    <row r="4032" spans="1:5">
      <c r="A4032" s="1">
        <v>45965</v>
      </c>
      <c r="B4032" t="s">
        <v>100</v>
      </c>
      <c r="C4032" t="s">
        <v>20</v>
      </c>
      <c r="D4032" t="s">
        <v>5075</v>
      </c>
      <c r="E4032">
        <v>6336</v>
      </c>
    </row>
    <row r="4033" spans="1:5">
      <c r="A4033" s="1">
        <v>45965</v>
      </c>
      <c r="B4033" t="s">
        <v>43</v>
      </c>
      <c r="C4033" t="s">
        <v>20</v>
      </c>
      <c r="D4033" t="s">
        <v>5076</v>
      </c>
      <c r="E4033">
        <v>400</v>
      </c>
    </row>
    <row r="4034" spans="1:5">
      <c r="A4034" s="1">
        <v>45965</v>
      </c>
      <c r="B4034" t="s">
        <v>76</v>
      </c>
      <c r="C4034" t="s">
        <v>20</v>
      </c>
      <c r="D4034" t="s">
        <v>5077</v>
      </c>
      <c r="E4034">
        <v>442</v>
      </c>
    </row>
    <row r="4035" spans="1:5">
      <c r="A4035" s="1">
        <v>45965</v>
      </c>
      <c r="B4035" t="s">
        <v>557</v>
      </c>
      <c r="C4035" t="s">
        <v>20</v>
      </c>
      <c r="D4035" t="s">
        <v>5078</v>
      </c>
      <c r="E4035">
        <v>11563</v>
      </c>
    </row>
    <row r="4036" spans="1:5">
      <c r="A4036" s="1">
        <v>45965</v>
      </c>
      <c r="B4036" t="s">
        <v>5079</v>
      </c>
      <c r="C4036" t="s">
        <v>20</v>
      </c>
      <c r="D4036" t="s">
        <v>5080</v>
      </c>
      <c r="E4036">
        <v>561</v>
      </c>
    </row>
    <row r="4037" spans="1:5">
      <c r="A4037" s="1">
        <v>45965</v>
      </c>
      <c r="B4037" t="s">
        <v>3121</v>
      </c>
      <c r="C4037" t="s">
        <v>20</v>
      </c>
      <c r="D4037" t="s">
        <v>5081</v>
      </c>
      <c r="E4037">
        <v>2380</v>
      </c>
    </row>
    <row r="4038" spans="1:5">
      <c r="A4038" s="1">
        <v>45965</v>
      </c>
      <c r="B4038" t="s">
        <v>1075</v>
      </c>
      <c r="C4038" t="s">
        <v>20</v>
      </c>
      <c r="D4038" t="s">
        <v>5082</v>
      </c>
      <c r="E4038">
        <v>40466</v>
      </c>
    </row>
    <row r="4039" spans="1:5">
      <c r="A4039" s="1">
        <v>45965</v>
      </c>
      <c r="B4039" t="s">
        <v>3690</v>
      </c>
      <c r="C4039" t="s">
        <v>20</v>
      </c>
      <c r="D4039" t="s">
        <v>5083</v>
      </c>
      <c r="E4039">
        <v>1210</v>
      </c>
    </row>
    <row r="4040" spans="1:5">
      <c r="A4040" s="1">
        <v>45965</v>
      </c>
      <c r="B4040" t="s">
        <v>50</v>
      </c>
      <c r="C4040" t="s">
        <v>20</v>
      </c>
      <c r="D4040" t="s">
        <v>5084</v>
      </c>
      <c r="E4040">
        <v>1866</v>
      </c>
    </row>
    <row r="4041" spans="1:5">
      <c r="A4041" s="1">
        <v>45965</v>
      </c>
      <c r="B4041" t="s">
        <v>4781</v>
      </c>
      <c r="C4041" t="s">
        <v>20</v>
      </c>
      <c r="D4041" t="s">
        <v>5085</v>
      </c>
      <c r="E4041">
        <v>69</v>
      </c>
    </row>
    <row r="4042" spans="1:5">
      <c r="A4042" s="1">
        <v>45965</v>
      </c>
      <c r="B4042" t="s">
        <v>5086</v>
      </c>
      <c r="C4042" t="s">
        <v>20</v>
      </c>
      <c r="D4042" t="s">
        <v>5087</v>
      </c>
      <c r="E4042">
        <v>100</v>
      </c>
    </row>
    <row r="4043" spans="1:5">
      <c r="A4043" s="1">
        <v>45965</v>
      </c>
      <c r="B4043" t="s">
        <v>570</v>
      </c>
      <c r="C4043" t="s">
        <v>20</v>
      </c>
      <c r="D4043" t="s">
        <v>5088</v>
      </c>
      <c r="E4043">
        <v>2800</v>
      </c>
    </row>
    <row r="4044" spans="1:5">
      <c r="A4044" s="1">
        <v>45965</v>
      </c>
      <c r="B4044" t="s">
        <v>3532</v>
      </c>
      <c r="C4044" t="s">
        <v>20</v>
      </c>
      <c r="D4044" t="s">
        <v>5089</v>
      </c>
      <c r="E4044">
        <v>90</v>
      </c>
    </row>
    <row r="4045" spans="1:5">
      <c r="A4045" s="1">
        <v>45965</v>
      </c>
      <c r="B4045" t="s">
        <v>3532</v>
      </c>
      <c r="C4045" t="s">
        <v>20</v>
      </c>
      <c r="D4045" t="s">
        <v>5090</v>
      </c>
      <c r="E4045">
        <v>260</v>
      </c>
    </row>
    <row r="4046" spans="1:5">
      <c r="A4046" s="1">
        <v>45965</v>
      </c>
      <c r="B4046" t="s">
        <v>5091</v>
      </c>
      <c r="C4046" t="s">
        <v>20</v>
      </c>
      <c r="D4046" t="s">
        <v>5092</v>
      </c>
      <c r="E4046">
        <v>18820</v>
      </c>
    </row>
    <row r="4047" spans="1:5">
      <c r="A4047" s="1">
        <v>45965</v>
      </c>
      <c r="B4047" t="s">
        <v>203</v>
      </c>
      <c r="C4047" t="s">
        <v>20</v>
      </c>
      <c r="D4047" t="s">
        <v>5093</v>
      </c>
      <c r="E4047">
        <v>340</v>
      </c>
    </row>
    <row r="4048" spans="1:5">
      <c r="A4048" s="1">
        <v>45966</v>
      </c>
      <c r="B4048" t="s">
        <v>2987</v>
      </c>
      <c r="C4048" t="s">
        <v>19</v>
      </c>
      <c r="D4048" t="s">
        <v>5094</v>
      </c>
      <c r="E4048">
        <v>78750</v>
      </c>
    </row>
    <row r="4049" spans="1:5">
      <c r="A4049" s="1">
        <v>45966</v>
      </c>
      <c r="B4049" t="s">
        <v>4093</v>
      </c>
      <c r="C4049" t="s">
        <v>19</v>
      </c>
      <c r="D4049" t="s">
        <v>5095</v>
      </c>
      <c r="E4049">
        <v>4101</v>
      </c>
    </row>
    <row r="4050" spans="1:5">
      <c r="A4050" s="1">
        <v>45966</v>
      </c>
      <c r="B4050" t="s">
        <v>50</v>
      </c>
      <c r="C4050" t="s">
        <v>20</v>
      </c>
      <c r="D4050" t="s">
        <v>5096</v>
      </c>
      <c r="E4050">
        <v>43</v>
      </c>
    </row>
    <row r="4051" spans="1:5">
      <c r="A4051" s="1">
        <v>45966</v>
      </c>
      <c r="B4051" t="s">
        <v>76</v>
      </c>
      <c r="C4051" t="s">
        <v>20</v>
      </c>
      <c r="D4051" t="s">
        <v>5097</v>
      </c>
      <c r="E4051">
        <v>340</v>
      </c>
    </row>
    <row r="4052" spans="1:5">
      <c r="A4052" s="1">
        <v>45966</v>
      </c>
      <c r="B4052" t="s">
        <v>4450</v>
      </c>
      <c r="C4052" t="s">
        <v>20</v>
      </c>
      <c r="D4052" t="s">
        <v>5098</v>
      </c>
      <c r="E4052">
        <v>340</v>
      </c>
    </row>
    <row r="4053" spans="1:5">
      <c r="A4053" s="1">
        <v>45966</v>
      </c>
      <c r="B4053" t="s">
        <v>557</v>
      </c>
      <c r="C4053" t="s">
        <v>20</v>
      </c>
      <c r="D4053" t="s">
        <v>5099</v>
      </c>
      <c r="E4053">
        <v>15770</v>
      </c>
    </row>
    <row r="4054" spans="1:5">
      <c r="A4054" s="1">
        <v>45966</v>
      </c>
      <c r="B4054" t="s">
        <v>5100</v>
      </c>
      <c r="C4054" t="s">
        <v>20</v>
      </c>
      <c r="D4054" t="s">
        <v>5101</v>
      </c>
      <c r="E4054">
        <v>1360</v>
      </c>
    </row>
    <row r="4055" spans="1:5">
      <c r="A4055" s="1">
        <v>45966</v>
      </c>
      <c r="B4055" t="s">
        <v>4773</v>
      </c>
      <c r="C4055" t="s">
        <v>20</v>
      </c>
      <c r="D4055" t="s">
        <v>5102</v>
      </c>
      <c r="E4055">
        <v>1700</v>
      </c>
    </row>
    <row r="4056" spans="1:5">
      <c r="A4056" s="1">
        <v>45966</v>
      </c>
      <c r="B4056" t="s">
        <v>50</v>
      </c>
      <c r="C4056" t="s">
        <v>20</v>
      </c>
      <c r="D4056" t="s">
        <v>5103</v>
      </c>
      <c r="E4056">
        <v>43</v>
      </c>
    </row>
    <row r="4057" spans="1:5">
      <c r="A4057" s="1">
        <v>45966</v>
      </c>
      <c r="B4057" t="s">
        <v>33</v>
      </c>
      <c r="C4057" t="s">
        <v>20</v>
      </c>
      <c r="D4057" t="s">
        <v>5104</v>
      </c>
      <c r="E4057">
        <v>340</v>
      </c>
    </row>
    <row r="4058" spans="1:5">
      <c r="A4058" s="1">
        <v>45966</v>
      </c>
      <c r="B4058" t="s">
        <v>5105</v>
      </c>
      <c r="C4058" t="s">
        <v>20</v>
      </c>
      <c r="D4058" t="s">
        <v>5106</v>
      </c>
      <c r="E4058">
        <v>340</v>
      </c>
    </row>
    <row r="4059" spans="1:5">
      <c r="A4059" s="1">
        <v>45966</v>
      </c>
      <c r="B4059" t="s">
        <v>526</v>
      </c>
      <c r="C4059" t="s">
        <v>20</v>
      </c>
      <c r="D4059" t="s">
        <v>5107</v>
      </c>
      <c r="E4059">
        <v>22285</v>
      </c>
    </row>
    <row r="4060" spans="1:5">
      <c r="A4060" s="1">
        <v>45966</v>
      </c>
      <c r="B4060" t="s">
        <v>4695</v>
      </c>
      <c r="C4060" t="s">
        <v>20</v>
      </c>
      <c r="D4060" t="s">
        <v>5108</v>
      </c>
      <c r="E4060">
        <v>4628</v>
      </c>
    </row>
    <row r="4061" spans="1:5">
      <c r="A4061" s="1">
        <v>45966</v>
      </c>
      <c r="B4061" t="s">
        <v>100</v>
      </c>
      <c r="C4061" t="s">
        <v>20</v>
      </c>
      <c r="D4061" t="s">
        <v>5109</v>
      </c>
      <c r="E4061">
        <v>125</v>
      </c>
    </row>
    <row r="4062" spans="1:5">
      <c r="A4062" s="1">
        <v>45966</v>
      </c>
      <c r="B4062" t="s">
        <v>222</v>
      </c>
      <c r="C4062" t="s">
        <v>20</v>
      </c>
      <c r="D4062" t="s">
        <v>5110</v>
      </c>
      <c r="E4062">
        <v>2992</v>
      </c>
    </row>
    <row r="4063" spans="1:5">
      <c r="A4063" s="1">
        <v>45966</v>
      </c>
      <c r="B4063" t="s">
        <v>4962</v>
      </c>
      <c r="C4063" t="s">
        <v>20</v>
      </c>
      <c r="D4063" t="s">
        <v>5111</v>
      </c>
      <c r="E4063">
        <v>3823</v>
      </c>
    </row>
    <row r="4064" spans="1:5">
      <c r="A4064" s="1">
        <v>45966</v>
      </c>
      <c r="B4064" t="s">
        <v>68</v>
      </c>
      <c r="C4064" t="s">
        <v>20</v>
      </c>
      <c r="D4064" t="s">
        <v>5112</v>
      </c>
      <c r="E4064">
        <v>1120</v>
      </c>
    </row>
    <row r="4065" spans="1:5">
      <c r="A4065" s="1">
        <v>45967</v>
      </c>
      <c r="B4065" t="s">
        <v>1104</v>
      </c>
      <c r="C4065" t="s">
        <v>19</v>
      </c>
      <c r="D4065" t="s">
        <v>5113</v>
      </c>
      <c r="E4065">
        <v>15130</v>
      </c>
    </row>
    <row r="4066" spans="1:5">
      <c r="A4066" s="1">
        <v>45967</v>
      </c>
      <c r="B4066" t="s">
        <v>2329</v>
      </c>
      <c r="C4066" t="s">
        <v>19</v>
      </c>
      <c r="D4066" t="s">
        <v>5114</v>
      </c>
      <c r="E4066">
        <v>25675</v>
      </c>
    </row>
    <row r="4067" spans="1:5">
      <c r="A4067" s="1">
        <v>45967</v>
      </c>
      <c r="B4067" t="s">
        <v>1104</v>
      </c>
      <c r="C4067" t="s">
        <v>19</v>
      </c>
      <c r="D4067" t="s">
        <v>5115</v>
      </c>
      <c r="E4067">
        <v>9600</v>
      </c>
    </row>
    <row r="4068" spans="1:5">
      <c r="A4068" s="1">
        <v>45967</v>
      </c>
      <c r="B4068" t="s">
        <v>1106</v>
      </c>
      <c r="C4068" t="s">
        <v>19</v>
      </c>
      <c r="D4068" t="s">
        <v>5116</v>
      </c>
      <c r="E4068">
        <v>71010</v>
      </c>
    </row>
    <row r="4069" spans="1:5">
      <c r="A4069" s="1">
        <v>45967</v>
      </c>
      <c r="B4069" t="s">
        <v>4450</v>
      </c>
      <c r="C4069" t="s">
        <v>20</v>
      </c>
      <c r="D4069" t="s">
        <v>5117</v>
      </c>
      <c r="E4069">
        <v>680</v>
      </c>
    </row>
    <row r="4070" spans="1:5">
      <c r="A4070" s="1">
        <v>45967</v>
      </c>
      <c r="B4070" t="s">
        <v>76</v>
      </c>
      <c r="C4070" t="s">
        <v>20</v>
      </c>
      <c r="D4070" t="s">
        <v>5118</v>
      </c>
      <c r="E4070">
        <v>1700</v>
      </c>
    </row>
    <row r="4071" spans="1:5">
      <c r="A4071" s="1">
        <v>45967</v>
      </c>
      <c r="B4071" t="s">
        <v>68</v>
      </c>
      <c r="C4071" t="s">
        <v>20</v>
      </c>
      <c r="D4071" t="s">
        <v>5119</v>
      </c>
      <c r="E4071">
        <v>1223</v>
      </c>
    </row>
    <row r="4072" spans="1:5">
      <c r="A4072" s="1">
        <v>45967</v>
      </c>
      <c r="B4072" t="s">
        <v>932</v>
      </c>
      <c r="C4072" t="s">
        <v>20</v>
      </c>
      <c r="D4072" t="s">
        <v>5120</v>
      </c>
      <c r="E4072">
        <v>2040</v>
      </c>
    </row>
    <row r="4073" spans="1:5">
      <c r="A4073" s="1">
        <v>45967</v>
      </c>
      <c r="B4073" t="s">
        <v>4962</v>
      </c>
      <c r="C4073" t="s">
        <v>20</v>
      </c>
      <c r="D4073" t="s">
        <v>5121</v>
      </c>
      <c r="E4073">
        <v>266</v>
      </c>
    </row>
    <row r="4074" spans="1:5">
      <c r="A4074" s="1">
        <v>45967</v>
      </c>
      <c r="B4074" t="s">
        <v>5122</v>
      </c>
      <c r="C4074" t="s">
        <v>20</v>
      </c>
      <c r="D4074" t="s">
        <v>5123</v>
      </c>
      <c r="E4074">
        <v>6012</v>
      </c>
    </row>
    <row r="4075" spans="1:5">
      <c r="A4075" s="1">
        <v>45967</v>
      </c>
      <c r="B4075" t="s">
        <v>222</v>
      </c>
      <c r="C4075" t="s">
        <v>20</v>
      </c>
      <c r="D4075" t="s">
        <v>5124</v>
      </c>
      <c r="E4075">
        <v>2100</v>
      </c>
    </row>
    <row r="4076" spans="1:5">
      <c r="A4076" s="1">
        <v>45967</v>
      </c>
      <c r="B4076" t="s">
        <v>43</v>
      </c>
      <c r="C4076" t="s">
        <v>20</v>
      </c>
      <c r="D4076" t="s">
        <v>5125</v>
      </c>
      <c r="E4076">
        <v>1616</v>
      </c>
    </row>
    <row r="4077" spans="1:5">
      <c r="A4077" s="1">
        <v>45967</v>
      </c>
      <c r="B4077" t="s">
        <v>50</v>
      </c>
      <c r="C4077" t="s">
        <v>20</v>
      </c>
      <c r="D4077" t="s">
        <v>5126</v>
      </c>
      <c r="E4077">
        <v>32856</v>
      </c>
    </row>
    <row r="4078" spans="1:5">
      <c r="A4078" s="1">
        <v>45967</v>
      </c>
      <c r="B4078" t="s">
        <v>5127</v>
      </c>
      <c r="C4078" t="s">
        <v>20</v>
      </c>
      <c r="D4078" t="s">
        <v>5128</v>
      </c>
      <c r="E4078">
        <v>8015</v>
      </c>
    </row>
    <row r="4079" spans="1:5">
      <c r="A4079" s="1">
        <v>45967</v>
      </c>
      <c r="B4079" t="s">
        <v>35</v>
      </c>
      <c r="C4079" t="s">
        <v>20</v>
      </c>
      <c r="D4079" t="s">
        <v>5129</v>
      </c>
      <c r="E4079">
        <v>3250</v>
      </c>
    </row>
    <row r="4080" spans="1:5">
      <c r="A4080" s="1">
        <v>45967</v>
      </c>
      <c r="B4080" t="s">
        <v>1075</v>
      </c>
      <c r="C4080" t="s">
        <v>20</v>
      </c>
      <c r="D4080" t="s">
        <v>5130</v>
      </c>
      <c r="E4080">
        <v>5395</v>
      </c>
    </row>
    <row r="4081" spans="1:5">
      <c r="A4081" s="1">
        <v>45967</v>
      </c>
      <c r="B4081" t="s">
        <v>222</v>
      </c>
      <c r="C4081" t="s">
        <v>20</v>
      </c>
      <c r="D4081" t="s">
        <v>5131</v>
      </c>
      <c r="E4081">
        <v>1700</v>
      </c>
    </row>
    <row r="4082" spans="1:5">
      <c r="A4082" s="1">
        <v>45967</v>
      </c>
      <c r="B4082" t="s">
        <v>844</v>
      </c>
      <c r="C4082" t="s">
        <v>20</v>
      </c>
      <c r="D4082" t="s">
        <v>5132</v>
      </c>
      <c r="E4082">
        <v>3651</v>
      </c>
    </row>
    <row r="4083" spans="1:5">
      <c r="A4083" s="1">
        <v>45967</v>
      </c>
      <c r="B4083" t="s">
        <v>50</v>
      </c>
      <c r="C4083" t="s">
        <v>20</v>
      </c>
      <c r="D4083" t="s">
        <v>5133</v>
      </c>
      <c r="E4083">
        <v>5408</v>
      </c>
    </row>
    <row r="4084" spans="1:5">
      <c r="A4084" s="1">
        <v>45967</v>
      </c>
      <c r="B4084" t="s">
        <v>5122</v>
      </c>
      <c r="C4084" t="s">
        <v>20</v>
      </c>
      <c r="D4084" t="s">
        <v>5134</v>
      </c>
      <c r="E4084">
        <v>12610</v>
      </c>
    </row>
    <row r="4085" spans="1:5">
      <c r="A4085" s="1">
        <v>45967</v>
      </c>
      <c r="B4085" t="s">
        <v>50</v>
      </c>
      <c r="C4085" t="s">
        <v>20</v>
      </c>
      <c r="D4085" t="s">
        <v>5135</v>
      </c>
      <c r="E4085">
        <v>8</v>
      </c>
    </row>
    <row r="4086" spans="1:5">
      <c r="A4086" s="1">
        <v>45968</v>
      </c>
      <c r="B4086" t="s">
        <v>2498</v>
      </c>
      <c r="C4086" t="s">
        <v>19</v>
      </c>
      <c r="D4086" t="s">
        <v>5136</v>
      </c>
      <c r="E4086">
        <v>36227</v>
      </c>
    </row>
    <row r="4087" spans="1:5">
      <c r="A4087" s="1">
        <v>45968</v>
      </c>
      <c r="B4087" t="s">
        <v>955</v>
      </c>
      <c r="C4087" t="s">
        <v>19</v>
      </c>
      <c r="D4087" t="s">
        <v>5137</v>
      </c>
      <c r="E4087">
        <v>29575</v>
      </c>
    </row>
    <row r="4088" spans="1:5">
      <c r="A4088" s="1">
        <v>45968</v>
      </c>
      <c r="B4088" t="s">
        <v>955</v>
      </c>
      <c r="C4088" t="s">
        <v>19</v>
      </c>
      <c r="D4088" t="s">
        <v>5138</v>
      </c>
      <c r="E4088">
        <v>555</v>
      </c>
    </row>
    <row r="4089" spans="1:5">
      <c r="A4089" s="1">
        <v>45968</v>
      </c>
      <c r="B4089" t="s">
        <v>4669</v>
      </c>
      <c r="C4089" t="s">
        <v>19</v>
      </c>
      <c r="D4089" t="s">
        <v>5139</v>
      </c>
      <c r="E4089">
        <v>14427</v>
      </c>
    </row>
    <row r="4090" spans="1:5">
      <c r="A4090" s="1">
        <v>45968</v>
      </c>
      <c r="B4090" t="s">
        <v>5140</v>
      </c>
      <c r="C4090" t="s">
        <v>19</v>
      </c>
      <c r="D4090" t="s">
        <v>5141</v>
      </c>
      <c r="E4090">
        <v>20575</v>
      </c>
    </row>
    <row r="4091" spans="1:5">
      <c r="A4091" s="1">
        <v>45968</v>
      </c>
      <c r="B4091" t="s">
        <v>5069</v>
      </c>
      <c r="C4091" t="s">
        <v>20</v>
      </c>
      <c r="D4091" t="s">
        <v>5142</v>
      </c>
      <c r="E4091">
        <v>28385</v>
      </c>
    </row>
    <row r="4092" spans="1:5">
      <c r="A4092" s="1">
        <v>45968</v>
      </c>
      <c r="B4092" t="s">
        <v>76</v>
      </c>
      <c r="C4092" t="s">
        <v>20</v>
      </c>
      <c r="D4092" t="s">
        <v>5143</v>
      </c>
      <c r="E4092">
        <v>20900</v>
      </c>
    </row>
    <row r="4093" spans="1:5">
      <c r="A4093" s="1">
        <v>45968</v>
      </c>
      <c r="B4093" t="s">
        <v>5144</v>
      </c>
      <c r="C4093" t="s">
        <v>20</v>
      </c>
      <c r="D4093" t="s">
        <v>5145</v>
      </c>
      <c r="E4093">
        <v>680</v>
      </c>
    </row>
    <row r="4094" spans="1:5">
      <c r="A4094" s="1">
        <v>45968</v>
      </c>
      <c r="B4094" t="s">
        <v>35</v>
      </c>
      <c r="C4094" t="s">
        <v>20</v>
      </c>
      <c r="D4094" t="s">
        <v>5146</v>
      </c>
      <c r="E4094">
        <v>33155</v>
      </c>
    </row>
    <row r="4095" spans="1:5">
      <c r="A4095" s="1">
        <v>45968</v>
      </c>
      <c r="B4095" t="s">
        <v>360</v>
      </c>
      <c r="C4095" t="s">
        <v>20</v>
      </c>
      <c r="D4095" t="s">
        <v>5147</v>
      </c>
      <c r="E4095">
        <v>1295</v>
      </c>
    </row>
    <row r="4096" spans="1:5">
      <c r="A4096" s="1">
        <v>45968</v>
      </c>
      <c r="B4096" t="s">
        <v>5148</v>
      </c>
      <c r="C4096" t="s">
        <v>20</v>
      </c>
      <c r="D4096" t="s">
        <v>5149</v>
      </c>
      <c r="E4096">
        <v>581</v>
      </c>
    </row>
    <row r="4097" spans="1:5">
      <c r="A4097" s="1">
        <v>45968</v>
      </c>
      <c r="B4097" t="s">
        <v>68</v>
      </c>
      <c r="C4097" t="s">
        <v>20</v>
      </c>
      <c r="D4097" t="s">
        <v>5150</v>
      </c>
      <c r="E4097">
        <v>1030</v>
      </c>
    </row>
    <row r="4098" spans="1:5">
      <c r="A4098" s="1">
        <v>45968</v>
      </c>
      <c r="B4098" t="s">
        <v>566</v>
      </c>
      <c r="C4098" t="s">
        <v>20</v>
      </c>
      <c r="D4098" t="s">
        <v>5151</v>
      </c>
      <c r="E4098">
        <v>1675</v>
      </c>
    </row>
    <row r="4099" spans="1:5">
      <c r="A4099" s="1">
        <v>45968</v>
      </c>
      <c r="B4099" t="s">
        <v>3333</v>
      </c>
      <c r="C4099" t="s">
        <v>20</v>
      </c>
      <c r="D4099" t="s">
        <v>5152</v>
      </c>
      <c r="E4099">
        <v>37576</v>
      </c>
    </row>
    <row r="4100" spans="1:5">
      <c r="A4100" s="1">
        <v>45968</v>
      </c>
      <c r="B4100" t="s">
        <v>50</v>
      </c>
      <c r="C4100" t="s">
        <v>20</v>
      </c>
      <c r="D4100" t="s">
        <v>5153</v>
      </c>
      <c r="E4100">
        <v>3878</v>
      </c>
    </row>
    <row r="4101" spans="1:5">
      <c r="A4101" s="1">
        <v>45968</v>
      </c>
      <c r="B4101" t="s">
        <v>5154</v>
      </c>
      <c r="C4101" t="s">
        <v>20</v>
      </c>
      <c r="D4101" t="s">
        <v>5155</v>
      </c>
      <c r="E4101">
        <v>2446</v>
      </c>
    </row>
    <row r="4102" spans="1:5">
      <c r="A4102" s="1">
        <v>45968</v>
      </c>
      <c r="B4102" t="s">
        <v>5156</v>
      </c>
      <c r="C4102" t="s">
        <v>20</v>
      </c>
      <c r="D4102" t="s">
        <v>5157</v>
      </c>
      <c r="E4102">
        <v>3435</v>
      </c>
    </row>
    <row r="4103" spans="1:5">
      <c r="A4103" s="1">
        <v>45968</v>
      </c>
      <c r="B4103" t="s">
        <v>5158</v>
      </c>
      <c r="C4103" t="s">
        <v>20</v>
      </c>
      <c r="D4103" t="s">
        <v>5159</v>
      </c>
      <c r="E4103">
        <v>32900</v>
      </c>
    </row>
    <row r="4104" spans="1:5">
      <c r="A4104" s="1">
        <v>45968</v>
      </c>
      <c r="B4104" t="s">
        <v>5160</v>
      </c>
      <c r="C4104" t="s">
        <v>20</v>
      </c>
      <c r="D4104" t="s">
        <v>5161</v>
      </c>
      <c r="E4104">
        <v>2080</v>
      </c>
    </row>
    <row r="4105" spans="1:5">
      <c r="A4105" s="1">
        <v>45968</v>
      </c>
      <c r="B4105" t="s">
        <v>2202</v>
      </c>
      <c r="C4105" t="s">
        <v>20</v>
      </c>
      <c r="D4105" t="s">
        <v>5162</v>
      </c>
      <c r="E4105">
        <v>1700</v>
      </c>
    </row>
    <row r="4106" spans="1:5">
      <c r="A4106" s="1">
        <v>45968</v>
      </c>
      <c r="B4106" t="s">
        <v>4733</v>
      </c>
      <c r="C4106" t="s">
        <v>20</v>
      </c>
      <c r="D4106" t="s">
        <v>5163</v>
      </c>
      <c r="E4106">
        <v>36210</v>
      </c>
    </row>
    <row r="4107" spans="1:5">
      <c r="A4107" s="1">
        <v>45968</v>
      </c>
      <c r="B4107" t="s">
        <v>5144</v>
      </c>
      <c r="C4107" t="s">
        <v>20</v>
      </c>
      <c r="D4107" t="s">
        <v>5164</v>
      </c>
      <c r="E4107">
        <v>340</v>
      </c>
    </row>
    <row r="4108" spans="1:5">
      <c r="A4108" s="1">
        <v>45968</v>
      </c>
      <c r="B4108" t="s">
        <v>1617</v>
      </c>
      <c r="C4108" t="s">
        <v>20</v>
      </c>
      <c r="D4108" t="s">
        <v>5165</v>
      </c>
      <c r="E4108">
        <v>1700</v>
      </c>
    </row>
    <row r="4109" spans="1:5">
      <c r="A4109" s="1">
        <v>45968</v>
      </c>
      <c r="B4109" t="s">
        <v>5166</v>
      </c>
      <c r="C4109" t="s">
        <v>20</v>
      </c>
      <c r="D4109" t="s">
        <v>5167</v>
      </c>
      <c r="E4109">
        <v>40403</v>
      </c>
    </row>
    <row r="4110" spans="1:5">
      <c r="A4110" s="1">
        <v>45968</v>
      </c>
      <c r="B4110" t="s">
        <v>4263</v>
      </c>
      <c r="C4110" t="s">
        <v>20</v>
      </c>
      <c r="D4110" t="s">
        <v>5168</v>
      </c>
      <c r="E4110">
        <v>340</v>
      </c>
    </row>
    <row r="4111" spans="1:5">
      <c r="A4111" s="1">
        <v>45969</v>
      </c>
      <c r="B4111" t="s">
        <v>180</v>
      </c>
      <c r="C4111" t="s">
        <v>19</v>
      </c>
      <c r="D4111" t="s">
        <v>5169</v>
      </c>
      <c r="E4111">
        <v>32500</v>
      </c>
    </row>
    <row r="4112" spans="1:5">
      <c r="A4112" s="1">
        <v>45969</v>
      </c>
      <c r="B4112" t="s">
        <v>955</v>
      </c>
      <c r="C4112" t="s">
        <v>19</v>
      </c>
      <c r="D4112" t="s">
        <v>5170</v>
      </c>
      <c r="E4112">
        <v>11910</v>
      </c>
    </row>
    <row r="4113" spans="1:5">
      <c r="A4113" s="1">
        <v>45969</v>
      </c>
      <c r="B4113" t="s">
        <v>4669</v>
      </c>
      <c r="C4113" t="s">
        <v>19</v>
      </c>
      <c r="D4113" t="s">
        <v>5171</v>
      </c>
      <c r="E4113">
        <v>9620</v>
      </c>
    </row>
    <row r="4114" spans="1:5">
      <c r="A4114" s="1">
        <v>45969</v>
      </c>
      <c r="B4114" t="s">
        <v>1049</v>
      </c>
      <c r="C4114" t="s">
        <v>19</v>
      </c>
      <c r="D4114" t="s">
        <v>5172</v>
      </c>
      <c r="E4114">
        <v>340</v>
      </c>
    </row>
    <row r="4115" spans="1:5">
      <c r="A4115" s="1">
        <v>45969</v>
      </c>
      <c r="B4115" t="s">
        <v>50</v>
      </c>
      <c r="C4115" t="s">
        <v>20</v>
      </c>
      <c r="D4115" t="s">
        <v>5173</v>
      </c>
      <c r="E4115">
        <v>340</v>
      </c>
    </row>
    <row r="4116" spans="1:5">
      <c r="A4116" s="1">
        <v>45969</v>
      </c>
      <c r="B4116" t="s">
        <v>2459</v>
      </c>
      <c r="C4116" t="s">
        <v>20</v>
      </c>
      <c r="D4116" t="s">
        <v>5174</v>
      </c>
      <c r="E4116">
        <v>3400</v>
      </c>
    </row>
    <row r="4117" spans="1:5">
      <c r="A4117" s="1">
        <v>45969</v>
      </c>
      <c r="B4117" t="s">
        <v>1075</v>
      </c>
      <c r="C4117" t="s">
        <v>20</v>
      </c>
      <c r="D4117" t="s">
        <v>5175</v>
      </c>
      <c r="E4117">
        <v>3400</v>
      </c>
    </row>
    <row r="4118" spans="1:5">
      <c r="A4118" s="1">
        <v>45969</v>
      </c>
      <c r="B4118" t="s">
        <v>76</v>
      </c>
      <c r="C4118" t="s">
        <v>20</v>
      </c>
      <c r="D4118" t="s">
        <v>5176</v>
      </c>
      <c r="E4118">
        <v>1500</v>
      </c>
    </row>
    <row r="4119" spans="1:5">
      <c r="A4119" s="1">
        <v>45969</v>
      </c>
      <c r="B4119" t="s">
        <v>536</v>
      </c>
      <c r="C4119" t="s">
        <v>20</v>
      </c>
      <c r="D4119" t="s">
        <v>5177</v>
      </c>
      <c r="E4119">
        <v>160</v>
      </c>
    </row>
    <row r="4120" spans="1:5">
      <c r="A4120" s="1">
        <v>45969</v>
      </c>
      <c r="B4120" t="s">
        <v>2399</v>
      </c>
      <c r="C4120" t="s">
        <v>20</v>
      </c>
      <c r="D4120" t="s">
        <v>5178</v>
      </c>
      <c r="E4120">
        <v>4585</v>
      </c>
    </row>
    <row r="4121" spans="1:5">
      <c r="A4121" s="1">
        <v>45969</v>
      </c>
      <c r="B4121" t="s">
        <v>50</v>
      </c>
      <c r="C4121" t="s">
        <v>20</v>
      </c>
      <c r="D4121" t="s">
        <v>5179</v>
      </c>
      <c r="E4121">
        <v>43</v>
      </c>
    </row>
    <row r="4122" spans="1:5">
      <c r="A4122" s="1">
        <v>45969</v>
      </c>
      <c r="B4122" t="s">
        <v>526</v>
      </c>
      <c r="C4122" t="s">
        <v>20</v>
      </c>
      <c r="D4122" t="s">
        <v>5180</v>
      </c>
      <c r="E4122">
        <v>3055</v>
      </c>
    </row>
    <row r="4123" spans="1:5">
      <c r="A4123" s="1">
        <v>45969</v>
      </c>
      <c r="B4123" t="s">
        <v>3703</v>
      </c>
      <c r="C4123" t="s">
        <v>20</v>
      </c>
      <c r="D4123" t="s">
        <v>5181</v>
      </c>
      <c r="E4123">
        <v>1890</v>
      </c>
    </row>
    <row r="4124" spans="1:5">
      <c r="A4124" s="1">
        <v>45969</v>
      </c>
      <c r="B4124" t="s">
        <v>265</v>
      </c>
      <c r="C4124" t="s">
        <v>20</v>
      </c>
      <c r="D4124" t="s">
        <v>5182</v>
      </c>
      <c r="E4124">
        <v>1000</v>
      </c>
    </row>
    <row r="4125" spans="1:5">
      <c r="A4125" s="1">
        <v>45969</v>
      </c>
      <c r="B4125" t="s">
        <v>2736</v>
      </c>
      <c r="C4125" t="s">
        <v>20</v>
      </c>
      <c r="D4125" t="s">
        <v>5183</v>
      </c>
      <c r="E4125">
        <v>200</v>
      </c>
    </row>
    <row r="4126" spans="1:5">
      <c r="A4126" s="1">
        <v>45969</v>
      </c>
      <c r="B4126" t="s">
        <v>5184</v>
      </c>
      <c r="C4126" t="s">
        <v>20</v>
      </c>
      <c r="D4126" t="s">
        <v>5185</v>
      </c>
      <c r="E4126">
        <v>5336</v>
      </c>
    </row>
    <row r="4127" spans="1:5">
      <c r="A4127" s="1">
        <v>45969</v>
      </c>
      <c r="B4127" t="s">
        <v>50</v>
      </c>
      <c r="C4127" t="s">
        <v>20</v>
      </c>
      <c r="D4127" t="s">
        <v>5186</v>
      </c>
      <c r="E4127">
        <v>8</v>
      </c>
    </row>
    <row r="4128" spans="1:5">
      <c r="A4128" s="1">
        <v>45969</v>
      </c>
      <c r="B4128" t="s">
        <v>2848</v>
      </c>
      <c r="C4128" t="s">
        <v>20</v>
      </c>
      <c r="D4128" t="s">
        <v>5187</v>
      </c>
      <c r="E4128">
        <v>340</v>
      </c>
    </row>
    <row r="4129" spans="1:5">
      <c r="A4129" s="1">
        <v>45969</v>
      </c>
      <c r="B4129" t="s">
        <v>5188</v>
      </c>
      <c r="C4129" t="s">
        <v>20</v>
      </c>
      <c r="D4129" t="s">
        <v>5189</v>
      </c>
      <c r="E4129">
        <v>13237</v>
      </c>
    </row>
    <row r="4130" spans="1:5">
      <c r="A4130" s="1">
        <v>45969</v>
      </c>
      <c r="B4130" t="s">
        <v>254</v>
      </c>
      <c r="C4130" t="s">
        <v>20</v>
      </c>
      <c r="D4130" t="s">
        <v>5190</v>
      </c>
      <c r="E4130">
        <v>3300</v>
      </c>
    </row>
    <row r="4131" spans="1:5">
      <c r="A4131" s="1">
        <v>45969</v>
      </c>
      <c r="B4131" t="s">
        <v>557</v>
      </c>
      <c r="C4131" t="s">
        <v>20</v>
      </c>
      <c r="D4131" t="s">
        <v>5191</v>
      </c>
      <c r="E4131">
        <v>4785</v>
      </c>
    </row>
    <row r="4132" spans="1:5">
      <c r="A4132" s="1">
        <v>45969</v>
      </c>
      <c r="B4132" t="s">
        <v>5192</v>
      </c>
      <c r="C4132" t="s">
        <v>20</v>
      </c>
      <c r="D4132" t="s">
        <v>5193</v>
      </c>
      <c r="E4132">
        <v>15303</v>
      </c>
    </row>
    <row r="4133" spans="1:5">
      <c r="A4133" s="1">
        <v>45971</v>
      </c>
      <c r="B4133" t="s">
        <v>1104</v>
      </c>
      <c r="C4133" t="s">
        <v>19</v>
      </c>
      <c r="D4133" t="s">
        <v>5194</v>
      </c>
      <c r="E4133">
        <v>37816</v>
      </c>
    </row>
    <row r="4134" spans="1:5">
      <c r="A4134" s="1">
        <v>45971</v>
      </c>
      <c r="B4134" t="s">
        <v>5195</v>
      </c>
      <c r="C4134" t="s">
        <v>19</v>
      </c>
      <c r="D4134" t="s">
        <v>5196</v>
      </c>
      <c r="E4134">
        <v>2870</v>
      </c>
    </row>
    <row r="4135" spans="1:5">
      <c r="A4135" s="1">
        <v>45971</v>
      </c>
      <c r="B4135" t="s">
        <v>96</v>
      </c>
      <c r="C4135" t="s">
        <v>19</v>
      </c>
      <c r="D4135" t="s">
        <v>5197</v>
      </c>
      <c r="E4135">
        <v>401</v>
      </c>
    </row>
    <row r="4136" spans="1:5">
      <c r="A4136" s="1">
        <v>45971</v>
      </c>
      <c r="B4136" t="s">
        <v>1106</v>
      </c>
      <c r="C4136" t="s">
        <v>19</v>
      </c>
      <c r="D4136" t="s">
        <v>5198</v>
      </c>
      <c r="E4136">
        <v>14285</v>
      </c>
    </row>
    <row r="4137" spans="1:5">
      <c r="A4137" s="1">
        <v>45971</v>
      </c>
      <c r="B4137" t="s">
        <v>4972</v>
      </c>
      <c r="C4137" t="s">
        <v>20</v>
      </c>
      <c r="D4137" t="s">
        <v>5199</v>
      </c>
      <c r="E4137">
        <v>11375</v>
      </c>
    </row>
    <row r="4138" spans="1:5">
      <c r="A4138" s="1">
        <v>45971</v>
      </c>
      <c r="B4138" t="s">
        <v>1350</v>
      </c>
      <c r="C4138" t="s">
        <v>20</v>
      </c>
      <c r="D4138" t="s">
        <v>5200</v>
      </c>
      <c r="E4138">
        <v>64350</v>
      </c>
    </row>
    <row r="4139" spans="1:5">
      <c r="A4139" s="1">
        <v>45971</v>
      </c>
      <c r="B4139" t="s">
        <v>844</v>
      </c>
      <c r="C4139" t="s">
        <v>20</v>
      </c>
      <c r="D4139" t="s">
        <v>5201</v>
      </c>
      <c r="E4139">
        <v>808</v>
      </c>
    </row>
    <row r="4140" spans="1:5">
      <c r="A4140" s="1">
        <v>45971</v>
      </c>
      <c r="B4140" t="s">
        <v>5202</v>
      </c>
      <c r="C4140" t="s">
        <v>20</v>
      </c>
      <c r="D4140" t="s">
        <v>5203</v>
      </c>
      <c r="E4140">
        <v>377</v>
      </c>
    </row>
    <row r="4141" spans="1:5">
      <c r="A4141" s="1">
        <v>45971</v>
      </c>
      <c r="B4141" t="s">
        <v>252</v>
      </c>
      <c r="C4141" t="s">
        <v>20</v>
      </c>
      <c r="D4141" t="s">
        <v>5204</v>
      </c>
      <c r="E4141">
        <v>720</v>
      </c>
    </row>
    <row r="4142" spans="1:5">
      <c r="A4142" s="1">
        <v>45971</v>
      </c>
      <c r="B4142" t="s">
        <v>76</v>
      </c>
      <c r="C4142" t="s">
        <v>20</v>
      </c>
      <c r="D4142" t="s">
        <v>5205</v>
      </c>
      <c r="E4142">
        <v>6600</v>
      </c>
    </row>
    <row r="4143" spans="1:5">
      <c r="A4143" s="1">
        <v>45971</v>
      </c>
      <c r="B4143" t="s">
        <v>50</v>
      </c>
      <c r="C4143" t="s">
        <v>20</v>
      </c>
      <c r="D4143" t="s">
        <v>5206</v>
      </c>
      <c r="E4143">
        <v>20</v>
      </c>
    </row>
    <row r="4144" spans="1:5">
      <c r="A4144" s="1">
        <v>45971</v>
      </c>
      <c r="B4144" t="s">
        <v>87</v>
      </c>
      <c r="C4144" t="s">
        <v>20</v>
      </c>
      <c r="D4144" t="s">
        <v>5207</v>
      </c>
      <c r="E4144">
        <v>14815</v>
      </c>
    </row>
    <row r="4145" spans="1:5">
      <c r="A4145" s="1">
        <v>45971</v>
      </c>
      <c r="B4145" t="s">
        <v>2459</v>
      </c>
      <c r="C4145" t="s">
        <v>20</v>
      </c>
      <c r="D4145" t="s">
        <v>5208</v>
      </c>
      <c r="E4145">
        <v>5100</v>
      </c>
    </row>
    <row r="4146" spans="1:5">
      <c r="A4146" s="1">
        <v>45971</v>
      </c>
      <c r="B4146" t="s">
        <v>5209</v>
      </c>
      <c r="C4146" t="s">
        <v>20</v>
      </c>
      <c r="D4146" t="s">
        <v>5210</v>
      </c>
      <c r="E4146">
        <v>2680</v>
      </c>
    </row>
    <row r="4147" spans="1:5">
      <c r="A4147" s="1">
        <v>45971</v>
      </c>
      <c r="B4147" t="s">
        <v>50</v>
      </c>
      <c r="C4147" t="s">
        <v>20</v>
      </c>
      <c r="D4147" t="s">
        <v>5211</v>
      </c>
      <c r="E4147">
        <v>362</v>
      </c>
    </row>
    <row r="4148" spans="1:5">
      <c r="A4148" s="1">
        <v>45971</v>
      </c>
      <c r="B4148" t="s">
        <v>526</v>
      </c>
      <c r="C4148" t="s">
        <v>20</v>
      </c>
      <c r="D4148" t="s">
        <v>5212</v>
      </c>
      <c r="E4148">
        <v>210</v>
      </c>
    </row>
    <row r="4149" spans="1:5">
      <c r="A4149" s="1">
        <v>45971</v>
      </c>
      <c r="B4149" t="s">
        <v>5213</v>
      </c>
      <c r="C4149" t="s">
        <v>20</v>
      </c>
      <c r="D4149" t="s">
        <v>5214</v>
      </c>
      <c r="E4149">
        <v>5263</v>
      </c>
    </row>
    <row r="4150" spans="1:5">
      <c r="A4150" s="1">
        <v>45971</v>
      </c>
      <c r="B4150" t="s">
        <v>5215</v>
      </c>
      <c r="C4150" t="s">
        <v>20</v>
      </c>
      <c r="D4150" t="s">
        <v>5216</v>
      </c>
      <c r="E4150">
        <v>4083</v>
      </c>
    </row>
    <row r="4151" spans="1:5">
      <c r="A4151" s="1">
        <v>45971</v>
      </c>
      <c r="B4151" t="s">
        <v>4928</v>
      </c>
      <c r="C4151" t="s">
        <v>20</v>
      </c>
      <c r="D4151" t="s">
        <v>5217</v>
      </c>
      <c r="E4151">
        <v>1700</v>
      </c>
    </row>
    <row r="4152" spans="1:5">
      <c r="A4152" s="1">
        <v>45971</v>
      </c>
      <c r="B4152" t="s">
        <v>1511</v>
      </c>
      <c r="C4152" t="s">
        <v>20</v>
      </c>
      <c r="D4152" t="s">
        <v>5218</v>
      </c>
      <c r="E4152">
        <v>64</v>
      </c>
    </row>
    <row r="4153" spans="1:5">
      <c r="A4153" s="1">
        <v>45971</v>
      </c>
      <c r="B4153" t="s">
        <v>360</v>
      </c>
      <c r="C4153" t="s">
        <v>20</v>
      </c>
      <c r="D4153" t="s">
        <v>5219</v>
      </c>
      <c r="E4153">
        <v>12135</v>
      </c>
    </row>
    <row r="4154" spans="1:5">
      <c r="A4154" s="1">
        <v>45971</v>
      </c>
      <c r="B4154" t="s">
        <v>2452</v>
      </c>
      <c r="C4154" t="s">
        <v>20</v>
      </c>
      <c r="D4154" t="s">
        <v>5220</v>
      </c>
      <c r="E4154">
        <v>23214</v>
      </c>
    </row>
    <row r="4155" spans="1:5">
      <c r="A4155" s="1">
        <v>45971</v>
      </c>
      <c r="B4155" t="s">
        <v>4329</v>
      </c>
      <c r="C4155" t="s">
        <v>20</v>
      </c>
      <c r="D4155" t="s">
        <v>5221</v>
      </c>
      <c r="E4155">
        <v>711</v>
      </c>
    </row>
    <row r="4156" spans="1:5">
      <c r="A4156" s="1">
        <v>45972</v>
      </c>
      <c r="B4156" t="s">
        <v>5222</v>
      </c>
      <c r="C4156" t="s">
        <v>19</v>
      </c>
      <c r="D4156" t="s">
        <v>5223</v>
      </c>
      <c r="E4156">
        <v>67290</v>
      </c>
    </row>
    <row r="4157" spans="1:5">
      <c r="A4157" s="1">
        <v>45972</v>
      </c>
      <c r="B4157" t="s">
        <v>5224</v>
      </c>
      <c r="C4157" t="s">
        <v>19</v>
      </c>
      <c r="D4157" t="s">
        <v>5225</v>
      </c>
      <c r="E4157">
        <v>1436</v>
      </c>
    </row>
    <row r="4158" spans="1:5">
      <c r="A4158" s="1">
        <v>45972</v>
      </c>
      <c r="B4158" t="s">
        <v>5226</v>
      </c>
      <c r="C4158" t="s">
        <v>20</v>
      </c>
      <c r="D4158" t="s">
        <v>5227</v>
      </c>
      <c r="E4158">
        <v>340</v>
      </c>
    </row>
    <row r="4159" spans="1:5">
      <c r="A4159" s="1">
        <v>45972</v>
      </c>
      <c r="B4159" t="s">
        <v>87</v>
      </c>
      <c r="C4159" t="s">
        <v>20</v>
      </c>
      <c r="D4159" t="s">
        <v>5228</v>
      </c>
      <c r="E4159">
        <v>100</v>
      </c>
    </row>
    <row r="4160" spans="1:5">
      <c r="A4160" s="1">
        <v>45972</v>
      </c>
      <c r="B4160" t="s">
        <v>844</v>
      </c>
      <c r="C4160" t="s">
        <v>20</v>
      </c>
      <c r="D4160" t="s">
        <v>5229</v>
      </c>
      <c r="E4160">
        <v>470</v>
      </c>
    </row>
    <row r="4161" spans="1:5">
      <c r="A4161" s="1">
        <v>45972</v>
      </c>
      <c r="B4161" t="s">
        <v>557</v>
      </c>
      <c r="C4161" t="s">
        <v>20</v>
      </c>
      <c r="D4161" t="s">
        <v>5230</v>
      </c>
      <c r="E4161">
        <v>38360</v>
      </c>
    </row>
    <row r="4162" spans="1:5">
      <c r="A4162" s="1">
        <v>45972</v>
      </c>
      <c r="B4162" t="s">
        <v>2452</v>
      </c>
      <c r="C4162" t="s">
        <v>20</v>
      </c>
      <c r="D4162" t="s">
        <v>5231</v>
      </c>
      <c r="E4162">
        <v>1820</v>
      </c>
    </row>
    <row r="4163" spans="1:5">
      <c r="A4163" s="1">
        <v>45972</v>
      </c>
      <c r="B4163" t="s">
        <v>33</v>
      </c>
      <c r="C4163" t="s">
        <v>20</v>
      </c>
      <c r="D4163" t="s">
        <v>5232</v>
      </c>
      <c r="E4163">
        <v>680</v>
      </c>
    </row>
    <row r="4164" spans="1:5">
      <c r="A4164" s="1">
        <v>45972</v>
      </c>
      <c r="B4164" t="s">
        <v>557</v>
      </c>
      <c r="C4164" t="s">
        <v>20</v>
      </c>
      <c r="D4164" t="s">
        <v>5233</v>
      </c>
      <c r="E4164">
        <v>1370</v>
      </c>
    </row>
    <row r="4165" spans="1:5">
      <c r="A4165" s="1">
        <v>45972</v>
      </c>
      <c r="B4165" t="s">
        <v>5192</v>
      </c>
      <c r="C4165" t="s">
        <v>20</v>
      </c>
      <c r="D4165" t="s">
        <v>5234</v>
      </c>
      <c r="E4165">
        <v>375</v>
      </c>
    </row>
    <row r="4166" spans="1:5">
      <c r="A4166" s="1">
        <v>45972</v>
      </c>
      <c r="B4166" t="s">
        <v>5235</v>
      </c>
      <c r="C4166" t="s">
        <v>20</v>
      </c>
      <c r="D4166" t="s">
        <v>5236</v>
      </c>
      <c r="E4166">
        <v>9689</v>
      </c>
    </row>
    <row r="4167" spans="1:5">
      <c r="A4167" s="1">
        <v>45972</v>
      </c>
      <c r="B4167" t="s">
        <v>5237</v>
      </c>
      <c r="C4167" t="s">
        <v>20</v>
      </c>
      <c r="D4167" t="s">
        <v>5238</v>
      </c>
      <c r="E4167">
        <v>2037</v>
      </c>
    </row>
    <row r="4168" spans="1:5">
      <c r="A4168" s="1">
        <v>45972</v>
      </c>
      <c r="B4168" t="s">
        <v>1511</v>
      </c>
      <c r="C4168" t="s">
        <v>20</v>
      </c>
      <c r="D4168" t="s">
        <v>5239</v>
      </c>
      <c r="E4168">
        <v>2383</v>
      </c>
    </row>
    <row r="4169" spans="1:5">
      <c r="A4169" s="1">
        <v>45972</v>
      </c>
      <c r="B4169" t="s">
        <v>265</v>
      </c>
      <c r="C4169" t="s">
        <v>20</v>
      </c>
      <c r="D4169" t="s">
        <v>5240</v>
      </c>
      <c r="E4169">
        <v>751745</v>
      </c>
    </row>
    <row r="4170" spans="1:5">
      <c r="A4170" s="1">
        <v>45972</v>
      </c>
      <c r="B4170" t="s">
        <v>1075</v>
      </c>
      <c r="C4170" t="s">
        <v>20</v>
      </c>
      <c r="D4170" t="s">
        <v>5241</v>
      </c>
      <c r="E4170">
        <v>685</v>
      </c>
    </row>
    <row r="4171" spans="1:5">
      <c r="A4171" s="1">
        <v>45972</v>
      </c>
      <c r="B4171" t="s">
        <v>290</v>
      </c>
      <c r="C4171" t="s">
        <v>20</v>
      </c>
      <c r="D4171" t="s">
        <v>5242</v>
      </c>
      <c r="E4171">
        <v>2451</v>
      </c>
    </row>
    <row r="4172" spans="1:5">
      <c r="A4172" s="1">
        <v>45972</v>
      </c>
      <c r="B4172" t="s">
        <v>50</v>
      </c>
      <c r="C4172" t="s">
        <v>20</v>
      </c>
      <c r="D4172" t="s">
        <v>5243</v>
      </c>
      <c r="E4172">
        <v>340</v>
      </c>
    </row>
    <row r="4173" spans="1:5">
      <c r="A4173" s="1">
        <v>45972</v>
      </c>
      <c r="B4173" t="s">
        <v>360</v>
      </c>
      <c r="C4173" t="s">
        <v>20</v>
      </c>
      <c r="D4173" t="s">
        <v>5244</v>
      </c>
      <c r="E4173">
        <v>1450</v>
      </c>
    </row>
    <row r="4174" spans="1:5">
      <c r="A4174" s="1">
        <v>45972</v>
      </c>
      <c r="B4174" t="s">
        <v>5069</v>
      </c>
      <c r="C4174" t="s">
        <v>20</v>
      </c>
      <c r="D4174" t="s">
        <v>5245</v>
      </c>
      <c r="E4174">
        <v>5529</v>
      </c>
    </row>
    <row r="4175" spans="1:5">
      <c r="A4175" s="1">
        <v>45972</v>
      </c>
      <c r="B4175" t="s">
        <v>265</v>
      </c>
      <c r="C4175" t="s">
        <v>20</v>
      </c>
      <c r="D4175" t="s">
        <v>5246</v>
      </c>
      <c r="E4175">
        <v>7375</v>
      </c>
    </row>
    <row r="4176" spans="1:5">
      <c r="A4176" s="1">
        <v>45972</v>
      </c>
      <c r="B4176" t="s">
        <v>1206</v>
      </c>
      <c r="C4176" t="s">
        <v>20</v>
      </c>
      <c r="D4176" t="s">
        <v>5247</v>
      </c>
      <c r="E4176">
        <v>1350</v>
      </c>
    </row>
    <row r="4177" spans="1:5">
      <c r="A4177" s="1">
        <v>45973</v>
      </c>
      <c r="B4177" t="s">
        <v>180</v>
      </c>
      <c r="C4177" t="s">
        <v>19</v>
      </c>
      <c r="D4177" t="s">
        <v>5248</v>
      </c>
      <c r="E4177">
        <v>32500</v>
      </c>
    </row>
    <row r="4178" spans="1:5">
      <c r="A4178" s="1">
        <v>45973</v>
      </c>
      <c r="B4178" t="s">
        <v>1104</v>
      </c>
      <c r="C4178" t="s">
        <v>19</v>
      </c>
      <c r="D4178" t="s">
        <v>5249</v>
      </c>
      <c r="E4178">
        <v>6500</v>
      </c>
    </row>
    <row r="4179" spans="1:5">
      <c r="A4179" s="1">
        <v>45973</v>
      </c>
      <c r="B4179" t="s">
        <v>955</v>
      </c>
      <c r="C4179" t="s">
        <v>19</v>
      </c>
      <c r="D4179" t="s">
        <v>5250</v>
      </c>
      <c r="E4179">
        <v>15744</v>
      </c>
    </row>
    <row r="4180" spans="1:5">
      <c r="A4180" s="1">
        <v>45973</v>
      </c>
      <c r="B4180" t="s">
        <v>709</v>
      </c>
      <c r="C4180" t="s">
        <v>20</v>
      </c>
      <c r="D4180" t="s">
        <v>5251</v>
      </c>
      <c r="E4180">
        <v>4080</v>
      </c>
    </row>
    <row r="4181" spans="1:5">
      <c r="A4181" s="1">
        <v>45973</v>
      </c>
      <c r="B4181" t="s">
        <v>100</v>
      </c>
      <c r="C4181" t="s">
        <v>20</v>
      </c>
      <c r="D4181" t="s">
        <v>5252</v>
      </c>
      <c r="E4181">
        <v>15865</v>
      </c>
    </row>
    <row r="4182" spans="1:5">
      <c r="A4182" s="1">
        <v>45973</v>
      </c>
      <c r="B4182" t="s">
        <v>5253</v>
      </c>
      <c r="C4182" t="s">
        <v>20</v>
      </c>
      <c r="D4182" t="s">
        <v>5254</v>
      </c>
      <c r="E4182">
        <v>2621</v>
      </c>
    </row>
    <row r="4183" spans="1:5">
      <c r="A4183" s="1">
        <v>45973</v>
      </c>
      <c r="B4183" t="s">
        <v>2634</v>
      </c>
      <c r="C4183" t="s">
        <v>20</v>
      </c>
      <c r="D4183" t="s">
        <v>5255</v>
      </c>
      <c r="E4183">
        <v>8500</v>
      </c>
    </row>
    <row r="4184" spans="1:5">
      <c r="A4184" s="1">
        <v>45973</v>
      </c>
      <c r="B4184" t="s">
        <v>35</v>
      </c>
      <c r="C4184" t="s">
        <v>20</v>
      </c>
      <c r="D4184" t="s">
        <v>5256</v>
      </c>
      <c r="E4184">
        <v>14571</v>
      </c>
    </row>
    <row r="4185" spans="1:5">
      <c r="A4185" s="1">
        <v>45973</v>
      </c>
      <c r="B4185" t="s">
        <v>536</v>
      </c>
      <c r="C4185" t="s">
        <v>20</v>
      </c>
      <c r="D4185" t="s">
        <v>5257</v>
      </c>
      <c r="E4185">
        <v>360</v>
      </c>
    </row>
    <row r="4186" spans="1:5">
      <c r="A4186" s="1">
        <v>45973</v>
      </c>
      <c r="B4186" t="s">
        <v>557</v>
      </c>
      <c r="C4186" t="s">
        <v>20</v>
      </c>
      <c r="D4186" t="s">
        <v>5258</v>
      </c>
      <c r="E4186">
        <v>3675</v>
      </c>
    </row>
    <row r="4187" spans="1:5">
      <c r="A4187" s="1">
        <v>45973</v>
      </c>
      <c r="B4187" t="s">
        <v>5259</v>
      </c>
      <c r="C4187" t="s">
        <v>20</v>
      </c>
      <c r="D4187" t="s">
        <v>5260</v>
      </c>
      <c r="E4187">
        <v>57</v>
      </c>
    </row>
    <row r="4188" spans="1:5">
      <c r="A4188" s="1">
        <v>45973</v>
      </c>
      <c r="B4188" t="s">
        <v>5192</v>
      </c>
      <c r="C4188" t="s">
        <v>20</v>
      </c>
      <c r="D4188" t="s">
        <v>5261</v>
      </c>
      <c r="E4188">
        <v>721</v>
      </c>
    </row>
    <row r="4189" spans="1:5">
      <c r="A4189" s="1">
        <v>45973</v>
      </c>
      <c r="B4189" t="s">
        <v>5192</v>
      </c>
      <c r="C4189" t="s">
        <v>20</v>
      </c>
      <c r="D4189" t="s">
        <v>5262</v>
      </c>
      <c r="E4189">
        <v>50</v>
      </c>
    </row>
    <row r="4190" spans="1:5">
      <c r="A4190" s="1">
        <v>45973</v>
      </c>
      <c r="B4190" t="s">
        <v>2288</v>
      </c>
      <c r="C4190" t="s">
        <v>20</v>
      </c>
      <c r="D4190" t="s">
        <v>5263</v>
      </c>
      <c r="E4190">
        <v>6800</v>
      </c>
    </row>
    <row r="4191" spans="1:5">
      <c r="A4191" s="1">
        <v>45973</v>
      </c>
      <c r="B4191" t="s">
        <v>5264</v>
      </c>
      <c r="C4191" t="s">
        <v>20</v>
      </c>
      <c r="D4191" t="s">
        <v>5265</v>
      </c>
      <c r="E4191">
        <v>18238</v>
      </c>
    </row>
    <row r="4192" spans="1:5">
      <c r="A4192" s="1">
        <v>45973</v>
      </c>
      <c r="B4192" t="s">
        <v>5015</v>
      </c>
      <c r="C4192" t="s">
        <v>20</v>
      </c>
      <c r="D4192" t="s">
        <v>5266</v>
      </c>
      <c r="E4192">
        <v>620</v>
      </c>
    </row>
    <row r="4193" spans="1:5">
      <c r="A4193" s="1">
        <v>45973</v>
      </c>
      <c r="B4193" t="s">
        <v>254</v>
      </c>
      <c r="C4193" t="s">
        <v>20</v>
      </c>
      <c r="D4193" t="s">
        <v>5267</v>
      </c>
      <c r="E4193">
        <v>680</v>
      </c>
    </row>
    <row r="4194" spans="1:5">
      <c r="A4194" s="1">
        <v>45973</v>
      </c>
      <c r="B4194" t="s">
        <v>50</v>
      </c>
      <c r="C4194" t="s">
        <v>20</v>
      </c>
      <c r="D4194" t="s">
        <v>5268</v>
      </c>
      <c r="E4194">
        <v>3336</v>
      </c>
    </row>
    <row r="4195" spans="1:5">
      <c r="A4195" s="1">
        <v>45973</v>
      </c>
      <c r="B4195" t="s">
        <v>3333</v>
      </c>
      <c r="C4195" t="s">
        <v>20</v>
      </c>
      <c r="D4195" t="s">
        <v>5269</v>
      </c>
      <c r="E4195">
        <v>10432</v>
      </c>
    </row>
    <row r="4196" spans="1:5">
      <c r="A4196" s="1">
        <v>45973</v>
      </c>
      <c r="B4196" t="s">
        <v>4338</v>
      </c>
      <c r="C4196" t="s">
        <v>20</v>
      </c>
      <c r="D4196" t="s">
        <v>5270</v>
      </c>
      <c r="E4196">
        <v>1020</v>
      </c>
    </row>
    <row r="4197" spans="1:5">
      <c r="A4197" s="1">
        <v>45973</v>
      </c>
      <c r="B4197" t="s">
        <v>4144</v>
      </c>
      <c r="C4197" t="s">
        <v>20</v>
      </c>
      <c r="D4197" t="s">
        <v>5271</v>
      </c>
      <c r="E4197">
        <v>29421</v>
      </c>
    </row>
    <row r="4198" spans="1:5">
      <c r="A4198" s="1">
        <v>45973</v>
      </c>
      <c r="B4198" t="s">
        <v>5166</v>
      </c>
      <c r="C4198" t="s">
        <v>20</v>
      </c>
      <c r="D4198" t="s">
        <v>5272</v>
      </c>
      <c r="E4198">
        <v>1445</v>
      </c>
    </row>
    <row r="4199" spans="1:5">
      <c r="A4199" s="1">
        <v>45973</v>
      </c>
      <c r="B4199" t="s">
        <v>43</v>
      </c>
      <c r="C4199" t="s">
        <v>20</v>
      </c>
      <c r="D4199" t="s">
        <v>5273</v>
      </c>
      <c r="E4199">
        <v>25</v>
      </c>
    </row>
    <row r="4200" spans="1:5">
      <c r="A4200" s="1">
        <v>45974</v>
      </c>
      <c r="B4200" t="s">
        <v>674</v>
      </c>
      <c r="C4200" t="s">
        <v>19</v>
      </c>
      <c r="D4200" t="s">
        <v>5274</v>
      </c>
      <c r="E4200">
        <v>13305</v>
      </c>
    </row>
    <row r="4201" spans="1:5">
      <c r="A4201" s="1">
        <v>45974</v>
      </c>
      <c r="B4201" t="s">
        <v>1683</v>
      </c>
      <c r="C4201" t="s">
        <v>19</v>
      </c>
      <c r="D4201" t="s">
        <v>5275</v>
      </c>
      <c r="E4201">
        <v>5322</v>
      </c>
    </row>
    <row r="4202" spans="1:5">
      <c r="A4202" s="1">
        <v>45974</v>
      </c>
      <c r="B4202" t="s">
        <v>955</v>
      </c>
      <c r="C4202" t="s">
        <v>19</v>
      </c>
      <c r="D4202" t="s">
        <v>5276</v>
      </c>
      <c r="E4202">
        <v>3240</v>
      </c>
    </row>
    <row r="4203" spans="1:5">
      <c r="A4203" s="1">
        <v>45974</v>
      </c>
      <c r="B4203" t="s">
        <v>5036</v>
      </c>
      <c r="C4203" t="s">
        <v>19</v>
      </c>
      <c r="D4203" t="s">
        <v>5277</v>
      </c>
      <c r="E4203">
        <v>22367</v>
      </c>
    </row>
    <row r="4204" spans="1:5">
      <c r="A4204" s="1">
        <v>45974</v>
      </c>
      <c r="B4204" t="s">
        <v>844</v>
      </c>
      <c r="C4204" t="s">
        <v>20</v>
      </c>
      <c r="D4204" t="s">
        <v>5278</v>
      </c>
      <c r="E4204">
        <v>34100</v>
      </c>
    </row>
    <row r="4205" spans="1:5">
      <c r="A4205" s="1">
        <v>45974</v>
      </c>
      <c r="B4205" t="s">
        <v>50</v>
      </c>
      <c r="C4205" t="s">
        <v>20</v>
      </c>
      <c r="D4205" t="s">
        <v>5279</v>
      </c>
      <c r="E4205">
        <v>3360</v>
      </c>
    </row>
    <row r="4206" spans="1:5">
      <c r="A4206" s="1">
        <v>45974</v>
      </c>
      <c r="B4206" t="s">
        <v>5280</v>
      </c>
      <c r="C4206" t="s">
        <v>20</v>
      </c>
      <c r="D4206" t="s">
        <v>5281</v>
      </c>
      <c r="E4206">
        <v>63614</v>
      </c>
    </row>
    <row r="4207" spans="1:5">
      <c r="A4207" s="1">
        <v>45974</v>
      </c>
      <c r="B4207" t="s">
        <v>50</v>
      </c>
      <c r="C4207" t="s">
        <v>20</v>
      </c>
      <c r="D4207" t="s">
        <v>5282</v>
      </c>
      <c r="E4207">
        <v>340</v>
      </c>
    </row>
    <row r="4208" spans="1:5">
      <c r="A4208" s="1">
        <v>45974</v>
      </c>
      <c r="B4208" t="s">
        <v>5283</v>
      </c>
      <c r="C4208" t="s">
        <v>20</v>
      </c>
      <c r="D4208" t="s">
        <v>5284</v>
      </c>
      <c r="E4208">
        <v>14477</v>
      </c>
    </row>
    <row r="4209" spans="1:5">
      <c r="A4209" s="1">
        <v>45974</v>
      </c>
      <c r="B4209" t="s">
        <v>222</v>
      </c>
      <c r="C4209" t="s">
        <v>20</v>
      </c>
      <c r="D4209" t="s">
        <v>5285</v>
      </c>
      <c r="E4209">
        <v>1360</v>
      </c>
    </row>
    <row r="4210" spans="1:5">
      <c r="A4210" s="1">
        <v>45974</v>
      </c>
      <c r="B4210" t="s">
        <v>2634</v>
      </c>
      <c r="C4210" t="s">
        <v>20</v>
      </c>
      <c r="D4210" t="s">
        <v>5286</v>
      </c>
      <c r="E4210">
        <v>1458</v>
      </c>
    </row>
    <row r="4211" spans="1:5">
      <c r="A4211" s="1">
        <v>45974</v>
      </c>
      <c r="B4211" t="s">
        <v>526</v>
      </c>
      <c r="C4211" t="s">
        <v>20</v>
      </c>
      <c r="D4211" t="s">
        <v>5287</v>
      </c>
      <c r="E4211">
        <v>2408</v>
      </c>
    </row>
    <row r="4212" spans="1:5">
      <c r="A4212" s="1">
        <v>45974</v>
      </c>
      <c r="B4212" t="s">
        <v>526</v>
      </c>
      <c r="C4212" t="s">
        <v>20</v>
      </c>
      <c r="D4212" t="s">
        <v>5288</v>
      </c>
      <c r="E4212">
        <v>12171</v>
      </c>
    </row>
    <row r="4213" spans="1:5">
      <c r="A4213" s="1">
        <v>45974</v>
      </c>
      <c r="B4213" t="s">
        <v>5069</v>
      </c>
      <c r="C4213" t="s">
        <v>20</v>
      </c>
      <c r="D4213" t="s">
        <v>5289</v>
      </c>
      <c r="E4213">
        <v>17073</v>
      </c>
    </row>
    <row r="4214" spans="1:5">
      <c r="A4214" s="1">
        <v>45974</v>
      </c>
      <c r="B4214" t="s">
        <v>265</v>
      </c>
      <c r="C4214" t="s">
        <v>20</v>
      </c>
      <c r="D4214" t="s">
        <v>5290</v>
      </c>
      <c r="E4214">
        <v>10000</v>
      </c>
    </row>
    <row r="4215" spans="1:5">
      <c r="A4215" s="1">
        <v>45974</v>
      </c>
      <c r="B4215" t="s">
        <v>1771</v>
      </c>
      <c r="C4215" t="s">
        <v>20</v>
      </c>
      <c r="D4215" t="s">
        <v>5291</v>
      </c>
      <c r="E4215">
        <v>1203</v>
      </c>
    </row>
    <row r="4216" spans="1:5">
      <c r="A4216" s="1">
        <v>45974</v>
      </c>
      <c r="B4216" t="s">
        <v>35</v>
      </c>
      <c r="C4216" t="s">
        <v>20</v>
      </c>
      <c r="D4216" t="s">
        <v>5292</v>
      </c>
      <c r="E4216">
        <v>1445</v>
      </c>
    </row>
    <row r="4217" spans="1:5">
      <c r="A4217" s="1">
        <v>45974</v>
      </c>
      <c r="B4217" t="s">
        <v>35</v>
      </c>
      <c r="C4217" t="s">
        <v>20</v>
      </c>
      <c r="D4217" t="s">
        <v>5293</v>
      </c>
      <c r="E4217">
        <v>1920</v>
      </c>
    </row>
    <row r="4218" spans="1:5">
      <c r="A4218" s="1">
        <v>45974</v>
      </c>
      <c r="B4218" t="s">
        <v>5192</v>
      </c>
      <c r="C4218" t="s">
        <v>20</v>
      </c>
      <c r="D4218" t="s">
        <v>5294</v>
      </c>
      <c r="E4218">
        <v>24943</v>
      </c>
    </row>
    <row r="4219" spans="1:5">
      <c r="A4219" s="1">
        <v>45974</v>
      </c>
      <c r="B4219" t="s">
        <v>932</v>
      </c>
      <c r="C4219" t="s">
        <v>20</v>
      </c>
      <c r="D4219" t="s">
        <v>5295</v>
      </c>
      <c r="E4219">
        <v>765</v>
      </c>
    </row>
    <row r="4220" spans="1:5">
      <c r="A4220" s="1">
        <v>45974</v>
      </c>
      <c r="B4220" t="s">
        <v>557</v>
      </c>
      <c r="C4220" t="s">
        <v>20</v>
      </c>
      <c r="D4220" t="s">
        <v>5296</v>
      </c>
      <c r="E4220">
        <v>9603</v>
      </c>
    </row>
    <row r="4221" spans="1:5">
      <c r="A4221" s="1">
        <v>45974</v>
      </c>
      <c r="B4221" t="s">
        <v>4450</v>
      </c>
      <c r="C4221" t="s">
        <v>20</v>
      </c>
      <c r="D4221" t="s">
        <v>5297</v>
      </c>
      <c r="E4221">
        <v>1572</v>
      </c>
    </row>
    <row r="4222" spans="1:5">
      <c r="A4222" s="1">
        <v>45974</v>
      </c>
      <c r="B4222" t="s">
        <v>287</v>
      </c>
      <c r="C4222" t="s">
        <v>20</v>
      </c>
      <c r="D4222" t="s">
        <v>5298</v>
      </c>
      <c r="E4222">
        <v>35717</v>
      </c>
    </row>
    <row r="4223" spans="1:5">
      <c r="A4223" s="1">
        <v>45974</v>
      </c>
      <c r="B4223" t="s">
        <v>100</v>
      </c>
      <c r="C4223" t="s">
        <v>20</v>
      </c>
      <c r="D4223" t="s">
        <v>5299</v>
      </c>
      <c r="E4223">
        <v>660</v>
      </c>
    </row>
    <row r="4224" spans="1:5">
      <c r="A4224" s="1">
        <v>45974</v>
      </c>
      <c r="B4224" t="s">
        <v>5300</v>
      </c>
      <c r="C4224" t="s">
        <v>20</v>
      </c>
      <c r="D4224" t="s">
        <v>5301</v>
      </c>
      <c r="E4224">
        <v>1893</v>
      </c>
    </row>
    <row r="4225" spans="1:5">
      <c r="A4225" s="1">
        <v>45974</v>
      </c>
      <c r="B4225" t="s">
        <v>932</v>
      </c>
      <c r="C4225" t="s">
        <v>20</v>
      </c>
      <c r="D4225" t="s">
        <v>5302</v>
      </c>
      <c r="E4225">
        <v>21147</v>
      </c>
    </row>
    <row r="4226" spans="1:5">
      <c r="A4226" s="1">
        <v>45975</v>
      </c>
      <c r="B4226" t="s">
        <v>5303</v>
      </c>
      <c r="C4226" t="s">
        <v>19</v>
      </c>
      <c r="D4226" t="s">
        <v>5304</v>
      </c>
      <c r="E4226">
        <v>12900</v>
      </c>
    </row>
    <row r="4227" spans="1:5">
      <c r="A4227" s="1">
        <v>45975</v>
      </c>
      <c r="B4227" t="s">
        <v>5305</v>
      </c>
      <c r="C4227" t="s">
        <v>20</v>
      </c>
      <c r="D4227" t="s">
        <v>5306</v>
      </c>
      <c r="E4227">
        <v>2424</v>
      </c>
    </row>
    <row r="4228" spans="1:5">
      <c r="A4228" s="1">
        <v>45975</v>
      </c>
      <c r="B4228" t="s">
        <v>4312</v>
      </c>
      <c r="C4228" t="s">
        <v>20</v>
      </c>
      <c r="D4228" t="s">
        <v>5307</v>
      </c>
      <c r="E4228">
        <v>995</v>
      </c>
    </row>
    <row r="4229" spans="1:5">
      <c r="A4229" s="1">
        <v>45975</v>
      </c>
      <c r="B4229" t="s">
        <v>4773</v>
      </c>
      <c r="C4229" t="s">
        <v>20</v>
      </c>
      <c r="D4229" t="s">
        <v>5308</v>
      </c>
      <c r="E4229">
        <v>1700</v>
      </c>
    </row>
    <row r="4230" spans="1:5">
      <c r="A4230" s="1">
        <v>45975</v>
      </c>
      <c r="B4230" t="s">
        <v>50</v>
      </c>
      <c r="C4230" t="s">
        <v>20</v>
      </c>
      <c r="D4230" t="s">
        <v>5309</v>
      </c>
      <c r="E4230">
        <v>15</v>
      </c>
    </row>
    <row r="4231" spans="1:5">
      <c r="A4231" s="1">
        <v>45975</v>
      </c>
      <c r="B4231" t="s">
        <v>5264</v>
      </c>
      <c r="C4231" t="s">
        <v>20</v>
      </c>
      <c r="D4231" t="s">
        <v>5310</v>
      </c>
      <c r="E4231">
        <v>15197</v>
      </c>
    </row>
    <row r="4232" spans="1:5">
      <c r="A4232" s="1">
        <v>45975</v>
      </c>
      <c r="B4232" t="s">
        <v>5305</v>
      </c>
      <c r="C4232" t="s">
        <v>20</v>
      </c>
      <c r="D4232" t="s">
        <v>5311</v>
      </c>
      <c r="E4232">
        <v>3538</v>
      </c>
    </row>
    <row r="4233" spans="1:5">
      <c r="A4233" s="1">
        <v>45975</v>
      </c>
      <c r="B4233" t="s">
        <v>756</v>
      </c>
      <c r="C4233" t="s">
        <v>20</v>
      </c>
      <c r="D4233" t="s">
        <v>5312</v>
      </c>
      <c r="E4233">
        <v>8487</v>
      </c>
    </row>
    <row r="4234" spans="1:5">
      <c r="A4234" s="1">
        <v>45975</v>
      </c>
      <c r="B4234" t="s">
        <v>4733</v>
      </c>
      <c r="C4234" t="s">
        <v>20</v>
      </c>
      <c r="D4234" t="s">
        <v>5313</v>
      </c>
      <c r="E4234">
        <v>19142</v>
      </c>
    </row>
    <row r="4235" spans="1:5">
      <c r="A4235" s="1">
        <v>45975</v>
      </c>
      <c r="B4235" t="s">
        <v>50</v>
      </c>
      <c r="C4235" t="s">
        <v>20</v>
      </c>
      <c r="D4235" t="s">
        <v>5314</v>
      </c>
      <c r="E4235">
        <v>4310</v>
      </c>
    </row>
    <row r="4236" spans="1:5">
      <c r="A4236" s="1">
        <v>45975</v>
      </c>
      <c r="B4236" t="s">
        <v>5029</v>
      </c>
      <c r="C4236" t="s">
        <v>20</v>
      </c>
      <c r="D4236" t="s">
        <v>5315</v>
      </c>
      <c r="E4236">
        <v>4470</v>
      </c>
    </row>
    <row r="4237" spans="1:5">
      <c r="A4237" s="1">
        <v>45975</v>
      </c>
      <c r="B4237" t="s">
        <v>222</v>
      </c>
      <c r="C4237" t="s">
        <v>20</v>
      </c>
      <c r="D4237" t="s">
        <v>5316</v>
      </c>
      <c r="E4237">
        <v>592</v>
      </c>
    </row>
    <row r="4238" spans="1:5">
      <c r="A4238" s="1">
        <v>45975</v>
      </c>
      <c r="B4238" t="s">
        <v>5305</v>
      </c>
      <c r="C4238" t="s">
        <v>20</v>
      </c>
      <c r="D4238" t="s">
        <v>5317</v>
      </c>
      <c r="E4238">
        <v>441</v>
      </c>
    </row>
    <row r="4239" spans="1:5">
      <c r="A4239" s="1">
        <v>45975</v>
      </c>
      <c r="B4239" t="s">
        <v>43</v>
      </c>
      <c r="C4239" t="s">
        <v>20</v>
      </c>
      <c r="D4239" t="s">
        <v>5318</v>
      </c>
      <c r="E4239">
        <v>375</v>
      </c>
    </row>
    <row r="4240" spans="1:5">
      <c r="A4240" s="1">
        <v>45975</v>
      </c>
      <c r="B4240" t="s">
        <v>87</v>
      </c>
      <c r="C4240" t="s">
        <v>20</v>
      </c>
      <c r="D4240" t="s">
        <v>5319</v>
      </c>
      <c r="E4240">
        <v>737</v>
      </c>
    </row>
    <row r="4241" spans="1:5">
      <c r="A4241" s="1">
        <v>45975</v>
      </c>
      <c r="B4241" t="s">
        <v>756</v>
      </c>
      <c r="C4241" t="s">
        <v>20</v>
      </c>
      <c r="D4241" t="s">
        <v>5320</v>
      </c>
      <c r="E4241">
        <v>48</v>
      </c>
    </row>
    <row r="4242" spans="1:5">
      <c r="A4242" s="1">
        <v>45975</v>
      </c>
      <c r="B4242" t="s">
        <v>628</v>
      </c>
      <c r="C4242" t="s">
        <v>20</v>
      </c>
      <c r="D4242" t="s">
        <v>5321</v>
      </c>
      <c r="E4242">
        <v>485</v>
      </c>
    </row>
    <row r="4243" spans="1:5">
      <c r="A4243" s="1">
        <v>45975</v>
      </c>
      <c r="B4243" t="s">
        <v>100</v>
      </c>
      <c r="C4243" t="s">
        <v>20</v>
      </c>
      <c r="D4243" t="s">
        <v>5322</v>
      </c>
      <c r="E4243">
        <v>27734</v>
      </c>
    </row>
    <row r="4244" spans="1:5">
      <c r="A4244" s="1">
        <v>45975</v>
      </c>
      <c r="B4244" t="s">
        <v>1075</v>
      </c>
      <c r="C4244" t="s">
        <v>20</v>
      </c>
      <c r="D4244" t="s">
        <v>5323</v>
      </c>
      <c r="E4244">
        <v>170</v>
      </c>
    </row>
    <row r="4245" spans="1:5">
      <c r="A4245" s="1">
        <v>45975</v>
      </c>
      <c r="B4245" t="s">
        <v>5324</v>
      </c>
      <c r="C4245" t="s">
        <v>20</v>
      </c>
      <c r="D4245" t="s">
        <v>5325</v>
      </c>
      <c r="E4245">
        <v>733</v>
      </c>
    </row>
    <row r="4246" spans="1:5">
      <c r="A4246" s="1">
        <v>45975</v>
      </c>
      <c r="B4246" t="s">
        <v>932</v>
      </c>
      <c r="C4246" t="s">
        <v>20</v>
      </c>
      <c r="D4246" t="s">
        <v>5326</v>
      </c>
      <c r="E4246">
        <v>48</v>
      </c>
    </row>
    <row r="4247" spans="1:5">
      <c r="A4247" s="1">
        <v>45975</v>
      </c>
      <c r="B4247" t="s">
        <v>4329</v>
      </c>
      <c r="C4247" t="s">
        <v>20</v>
      </c>
      <c r="D4247" t="s">
        <v>5327</v>
      </c>
      <c r="E4247">
        <v>50</v>
      </c>
    </row>
    <row r="4248" spans="1:5">
      <c r="A4248" s="1">
        <v>45976</v>
      </c>
      <c r="B4248" t="s">
        <v>5303</v>
      </c>
      <c r="C4248" t="s">
        <v>19</v>
      </c>
      <c r="D4248" t="s">
        <v>5328</v>
      </c>
      <c r="E4248">
        <v>2988</v>
      </c>
    </row>
    <row r="4249" spans="1:5">
      <c r="A4249" s="1">
        <v>45976</v>
      </c>
      <c r="B4249" t="s">
        <v>2987</v>
      </c>
      <c r="C4249" t="s">
        <v>19</v>
      </c>
      <c r="D4249" t="s">
        <v>5329</v>
      </c>
      <c r="E4249">
        <v>36464</v>
      </c>
    </row>
    <row r="4250" spans="1:5">
      <c r="A4250" s="1">
        <v>45976</v>
      </c>
      <c r="B4250" t="s">
        <v>932</v>
      </c>
      <c r="C4250" t="s">
        <v>20</v>
      </c>
      <c r="D4250" t="s">
        <v>5330</v>
      </c>
      <c r="E4250">
        <v>22425</v>
      </c>
    </row>
    <row r="4251" spans="1:5">
      <c r="A4251" s="1">
        <v>45976</v>
      </c>
      <c r="B4251" t="s">
        <v>4947</v>
      </c>
      <c r="C4251" t="s">
        <v>20</v>
      </c>
      <c r="D4251" t="s">
        <v>5331</v>
      </c>
      <c r="E4251">
        <v>14742</v>
      </c>
    </row>
    <row r="4252" spans="1:5">
      <c r="A4252" s="1">
        <v>45976</v>
      </c>
      <c r="B4252" t="s">
        <v>4144</v>
      </c>
      <c r="C4252" t="s">
        <v>20</v>
      </c>
      <c r="D4252" t="s">
        <v>5332</v>
      </c>
      <c r="E4252">
        <v>5186</v>
      </c>
    </row>
    <row r="4253" spans="1:5">
      <c r="A4253" s="1">
        <v>45976</v>
      </c>
      <c r="B4253" t="s">
        <v>287</v>
      </c>
      <c r="C4253" t="s">
        <v>20</v>
      </c>
      <c r="D4253" t="s">
        <v>5333</v>
      </c>
      <c r="E4253">
        <v>8948</v>
      </c>
    </row>
    <row r="4254" spans="1:5">
      <c r="A4254" s="1">
        <v>45976</v>
      </c>
      <c r="B4254" t="s">
        <v>287</v>
      </c>
      <c r="C4254" t="s">
        <v>20</v>
      </c>
      <c r="D4254" t="s">
        <v>5334</v>
      </c>
      <c r="E4254">
        <v>120</v>
      </c>
    </row>
    <row r="4255" spans="1:5">
      <c r="A4255" s="1">
        <v>45976</v>
      </c>
      <c r="B4255" t="s">
        <v>5335</v>
      </c>
      <c r="C4255" t="s">
        <v>20</v>
      </c>
      <c r="D4255" t="s">
        <v>5336</v>
      </c>
      <c r="E4255">
        <v>90</v>
      </c>
    </row>
    <row r="4256" spans="1:5">
      <c r="A4256" s="1">
        <v>45976</v>
      </c>
      <c r="B4256" t="s">
        <v>35</v>
      </c>
      <c r="C4256" t="s">
        <v>20</v>
      </c>
      <c r="D4256" t="s">
        <v>5337</v>
      </c>
      <c r="E4256">
        <v>9307</v>
      </c>
    </row>
    <row r="4257" spans="1:5">
      <c r="A4257" s="1">
        <v>45976</v>
      </c>
      <c r="B4257" t="s">
        <v>1075</v>
      </c>
      <c r="C4257" t="s">
        <v>20</v>
      </c>
      <c r="D4257" t="s">
        <v>5338</v>
      </c>
      <c r="E4257">
        <v>255</v>
      </c>
    </row>
    <row r="4258" spans="1:5">
      <c r="A4258" s="1">
        <v>45976</v>
      </c>
      <c r="B4258" t="s">
        <v>50</v>
      </c>
      <c r="C4258" t="s">
        <v>20</v>
      </c>
      <c r="D4258" t="s">
        <v>5339</v>
      </c>
      <c r="E4258">
        <v>6</v>
      </c>
    </row>
    <row r="4259" spans="1:5">
      <c r="A4259" s="1">
        <v>45976</v>
      </c>
      <c r="B4259" t="s">
        <v>50</v>
      </c>
      <c r="C4259" t="s">
        <v>20</v>
      </c>
      <c r="D4259" t="s">
        <v>5340</v>
      </c>
      <c r="E4259">
        <v>340</v>
      </c>
    </row>
    <row r="4260" spans="1:5">
      <c r="A4260" s="1">
        <v>45976</v>
      </c>
      <c r="B4260" t="s">
        <v>1066</v>
      </c>
      <c r="C4260" t="s">
        <v>20</v>
      </c>
      <c r="D4260" t="s">
        <v>5341</v>
      </c>
      <c r="E4260">
        <v>2068</v>
      </c>
    </row>
    <row r="4261" spans="1:5">
      <c r="A4261" s="1">
        <v>45976</v>
      </c>
      <c r="B4261" t="s">
        <v>526</v>
      </c>
      <c r="C4261" t="s">
        <v>20</v>
      </c>
      <c r="D4261" t="s">
        <v>5342</v>
      </c>
      <c r="E4261">
        <v>6224</v>
      </c>
    </row>
    <row r="4262" spans="1:5">
      <c r="A4262" s="1">
        <v>45976</v>
      </c>
      <c r="B4262" t="s">
        <v>526</v>
      </c>
      <c r="C4262" t="s">
        <v>20</v>
      </c>
      <c r="D4262" t="s">
        <v>5343</v>
      </c>
      <c r="E4262">
        <v>400</v>
      </c>
    </row>
    <row r="4263" spans="1:5">
      <c r="A4263" s="1">
        <v>45976</v>
      </c>
      <c r="B4263" t="s">
        <v>1075</v>
      </c>
      <c r="C4263" t="s">
        <v>20</v>
      </c>
      <c r="D4263" t="s">
        <v>5344</v>
      </c>
      <c r="E4263">
        <v>5660</v>
      </c>
    </row>
    <row r="4264" spans="1:5">
      <c r="A4264" s="1">
        <v>45976</v>
      </c>
      <c r="B4264" t="s">
        <v>5345</v>
      </c>
      <c r="C4264" t="s">
        <v>20</v>
      </c>
      <c r="D4264" t="s">
        <v>5346</v>
      </c>
      <c r="E4264">
        <v>5575</v>
      </c>
    </row>
    <row r="4265" spans="1:5">
      <c r="A4265" s="1">
        <v>45976</v>
      </c>
      <c r="B4265" t="s">
        <v>252</v>
      </c>
      <c r="C4265" t="s">
        <v>20</v>
      </c>
      <c r="D4265" t="s">
        <v>5347</v>
      </c>
      <c r="E4265">
        <v>700</v>
      </c>
    </row>
    <row r="4266" spans="1:5">
      <c r="A4266" s="1">
        <v>45976</v>
      </c>
      <c r="B4266" t="s">
        <v>156</v>
      </c>
      <c r="C4266" t="s">
        <v>20</v>
      </c>
      <c r="D4266" t="s">
        <v>5348</v>
      </c>
      <c r="E4266">
        <v>2051</v>
      </c>
    </row>
    <row r="4267" spans="1:5">
      <c r="A4267" s="1">
        <v>45976</v>
      </c>
      <c r="B4267" t="s">
        <v>2554</v>
      </c>
      <c r="C4267" t="s">
        <v>20</v>
      </c>
      <c r="D4267" t="s">
        <v>5349</v>
      </c>
      <c r="E4267">
        <v>14000</v>
      </c>
    </row>
    <row r="4268" spans="1:5">
      <c r="A4268" s="1">
        <v>45976</v>
      </c>
      <c r="B4268" t="s">
        <v>536</v>
      </c>
      <c r="C4268" t="s">
        <v>20</v>
      </c>
      <c r="D4268" t="s">
        <v>5350</v>
      </c>
      <c r="E4268">
        <v>340</v>
      </c>
    </row>
    <row r="4269" spans="1:5">
      <c r="A4269" s="1">
        <v>45976</v>
      </c>
      <c r="B4269" t="s">
        <v>5351</v>
      </c>
      <c r="C4269" t="s">
        <v>20</v>
      </c>
      <c r="D4269" t="s">
        <v>5352</v>
      </c>
      <c r="E4269">
        <v>150</v>
      </c>
    </row>
    <row r="4270" spans="1:5">
      <c r="A4270" s="1">
        <v>45977</v>
      </c>
      <c r="B4270" t="s">
        <v>1075</v>
      </c>
      <c r="C4270" t="s">
        <v>20</v>
      </c>
      <c r="D4270" t="s">
        <v>5353</v>
      </c>
      <c r="E4270">
        <v>19800</v>
      </c>
    </row>
    <row r="4271" spans="1:5">
      <c r="A4271" s="1">
        <v>45977</v>
      </c>
      <c r="B4271" t="s">
        <v>50</v>
      </c>
      <c r="C4271" t="s">
        <v>20</v>
      </c>
      <c r="D4271" t="s">
        <v>5354</v>
      </c>
      <c r="E4271">
        <v>340</v>
      </c>
    </row>
    <row r="4272" spans="1:5">
      <c r="A4272" s="1">
        <v>45978</v>
      </c>
      <c r="B4272" t="s">
        <v>1104</v>
      </c>
      <c r="C4272" t="s">
        <v>19</v>
      </c>
      <c r="D4272" t="s">
        <v>5355</v>
      </c>
      <c r="E4272">
        <v>22910</v>
      </c>
    </row>
    <row r="4273" spans="1:5">
      <c r="A4273" s="1">
        <v>45978</v>
      </c>
      <c r="B4273" t="s">
        <v>1104</v>
      </c>
      <c r="C4273" t="s">
        <v>19</v>
      </c>
      <c r="D4273" t="s">
        <v>5356</v>
      </c>
      <c r="E4273">
        <v>19383</v>
      </c>
    </row>
    <row r="4274" spans="1:5">
      <c r="A4274" s="1">
        <v>45978</v>
      </c>
      <c r="B4274" t="s">
        <v>4833</v>
      </c>
      <c r="C4274" t="s">
        <v>19</v>
      </c>
      <c r="D4274" t="s">
        <v>5357</v>
      </c>
      <c r="E4274">
        <v>11254</v>
      </c>
    </row>
    <row r="4275" spans="1:5">
      <c r="A4275" s="1">
        <v>45978</v>
      </c>
      <c r="B4275" t="s">
        <v>1169</v>
      </c>
      <c r="C4275" t="s">
        <v>19</v>
      </c>
      <c r="D4275" t="s">
        <v>5358</v>
      </c>
      <c r="E4275">
        <v>4952</v>
      </c>
    </row>
    <row r="4276" spans="1:5">
      <c r="A4276" s="1">
        <v>45978</v>
      </c>
      <c r="B4276" t="s">
        <v>5036</v>
      </c>
      <c r="C4276" t="s">
        <v>19</v>
      </c>
      <c r="D4276" t="s">
        <v>5359</v>
      </c>
      <c r="E4276">
        <v>2990</v>
      </c>
    </row>
    <row r="4277" spans="1:5">
      <c r="A4277" s="1">
        <v>45978</v>
      </c>
      <c r="B4277" t="s">
        <v>5360</v>
      </c>
      <c r="C4277" t="s">
        <v>19</v>
      </c>
      <c r="D4277" t="s">
        <v>5361</v>
      </c>
      <c r="E4277">
        <v>12845</v>
      </c>
    </row>
    <row r="4278" spans="1:5">
      <c r="A4278" s="1">
        <v>45978</v>
      </c>
      <c r="B4278" t="s">
        <v>4107</v>
      </c>
      <c r="C4278" t="s">
        <v>20</v>
      </c>
      <c r="D4278" t="s">
        <v>5362</v>
      </c>
      <c r="E4278">
        <v>3400</v>
      </c>
    </row>
    <row r="4279" spans="1:5">
      <c r="A4279" s="1">
        <v>45978</v>
      </c>
      <c r="B4279" t="s">
        <v>76</v>
      </c>
      <c r="C4279" t="s">
        <v>20</v>
      </c>
      <c r="D4279" t="s">
        <v>5363</v>
      </c>
      <c r="E4279">
        <v>9817</v>
      </c>
    </row>
    <row r="4280" spans="1:5">
      <c r="A4280" s="1">
        <v>45978</v>
      </c>
      <c r="B4280" t="s">
        <v>222</v>
      </c>
      <c r="C4280" t="s">
        <v>20</v>
      </c>
      <c r="D4280" t="s">
        <v>5364</v>
      </c>
      <c r="E4280">
        <v>680</v>
      </c>
    </row>
    <row r="4281" spans="1:5">
      <c r="A4281" s="1">
        <v>45978</v>
      </c>
      <c r="B4281" t="s">
        <v>2580</v>
      </c>
      <c r="C4281" t="s">
        <v>20</v>
      </c>
      <c r="D4281" t="s">
        <v>5365</v>
      </c>
      <c r="E4281">
        <v>1110</v>
      </c>
    </row>
    <row r="4282" spans="1:5">
      <c r="A4282" s="1">
        <v>45978</v>
      </c>
      <c r="B4282" t="s">
        <v>1350</v>
      </c>
      <c r="C4282" t="s">
        <v>20</v>
      </c>
      <c r="D4282" t="s">
        <v>5366</v>
      </c>
      <c r="E4282">
        <v>1450</v>
      </c>
    </row>
    <row r="4283" spans="1:5">
      <c r="A4283" s="1">
        <v>45978</v>
      </c>
      <c r="B4283" t="s">
        <v>5367</v>
      </c>
      <c r="C4283" t="s">
        <v>20</v>
      </c>
      <c r="D4283" t="s">
        <v>5368</v>
      </c>
      <c r="E4283">
        <v>3400</v>
      </c>
    </row>
    <row r="4284" spans="1:5">
      <c r="A4284" s="1">
        <v>45978</v>
      </c>
      <c r="B4284" t="s">
        <v>33</v>
      </c>
      <c r="C4284" t="s">
        <v>20</v>
      </c>
      <c r="D4284" t="s">
        <v>5369</v>
      </c>
      <c r="E4284">
        <v>5815</v>
      </c>
    </row>
    <row r="4285" spans="1:5">
      <c r="A4285" s="1">
        <v>45978</v>
      </c>
      <c r="B4285" t="s">
        <v>35</v>
      </c>
      <c r="C4285" t="s">
        <v>20</v>
      </c>
      <c r="D4285" t="s">
        <v>5370</v>
      </c>
      <c r="E4285">
        <v>8190</v>
      </c>
    </row>
    <row r="4286" spans="1:5">
      <c r="A4286" s="1">
        <v>45978</v>
      </c>
      <c r="B4286" t="s">
        <v>100</v>
      </c>
      <c r="C4286" t="s">
        <v>20</v>
      </c>
      <c r="D4286" t="s">
        <v>5371</v>
      </c>
      <c r="E4286">
        <v>4681</v>
      </c>
    </row>
    <row r="4287" spans="1:5">
      <c r="A4287" s="1">
        <v>45978</v>
      </c>
      <c r="B4287" t="s">
        <v>5184</v>
      </c>
      <c r="C4287" t="s">
        <v>20</v>
      </c>
      <c r="D4287" t="s">
        <v>5372</v>
      </c>
      <c r="E4287">
        <v>25940</v>
      </c>
    </row>
    <row r="4288" spans="1:5">
      <c r="A4288" s="1">
        <v>45978</v>
      </c>
      <c r="B4288" t="s">
        <v>5373</v>
      </c>
      <c r="C4288" t="s">
        <v>20</v>
      </c>
      <c r="D4288" t="s">
        <v>5374</v>
      </c>
      <c r="E4288">
        <v>4404</v>
      </c>
    </row>
    <row r="4289" spans="1:5">
      <c r="A4289" s="1">
        <v>45978</v>
      </c>
      <c r="B4289" t="s">
        <v>526</v>
      </c>
      <c r="C4289" t="s">
        <v>20</v>
      </c>
      <c r="D4289" t="s">
        <v>5375</v>
      </c>
      <c r="E4289">
        <v>1764</v>
      </c>
    </row>
    <row r="4290" spans="1:5">
      <c r="A4290" s="1">
        <v>45978</v>
      </c>
      <c r="B4290" t="s">
        <v>5376</v>
      </c>
      <c r="C4290" t="s">
        <v>20</v>
      </c>
      <c r="D4290" t="s">
        <v>5377</v>
      </c>
      <c r="E4290">
        <v>16357</v>
      </c>
    </row>
    <row r="4291" spans="1:5">
      <c r="A4291" s="1">
        <v>45978</v>
      </c>
      <c r="B4291" t="s">
        <v>4773</v>
      </c>
      <c r="C4291" t="s">
        <v>20</v>
      </c>
      <c r="D4291" t="s">
        <v>5378</v>
      </c>
      <c r="E4291">
        <v>1700</v>
      </c>
    </row>
    <row r="4292" spans="1:5">
      <c r="A4292" s="1">
        <v>45978</v>
      </c>
      <c r="B4292" t="s">
        <v>5379</v>
      </c>
      <c r="C4292" t="s">
        <v>20</v>
      </c>
      <c r="D4292" t="s">
        <v>5380</v>
      </c>
      <c r="E4292">
        <v>7346</v>
      </c>
    </row>
    <row r="4293" spans="1:5">
      <c r="A4293" s="1">
        <v>45978</v>
      </c>
      <c r="B4293" t="s">
        <v>5264</v>
      </c>
      <c r="C4293" t="s">
        <v>20</v>
      </c>
      <c r="D4293" t="s">
        <v>5381</v>
      </c>
      <c r="E4293">
        <v>3554</v>
      </c>
    </row>
    <row r="4294" spans="1:5">
      <c r="A4294" s="1">
        <v>45978</v>
      </c>
      <c r="B4294" t="s">
        <v>681</v>
      </c>
      <c r="C4294" t="s">
        <v>20</v>
      </c>
      <c r="D4294" t="s">
        <v>5382</v>
      </c>
      <c r="E4294">
        <v>2072</v>
      </c>
    </row>
    <row r="4295" spans="1:5">
      <c r="A4295" s="1">
        <v>45978</v>
      </c>
      <c r="B4295" t="s">
        <v>756</v>
      </c>
      <c r="C4295" t="s">
        <v>20</v>
      </c>
      <c r="D4295" t="s">
        <v>5383</v>
      </c>
      <c r="E4295">
        <v>4215</v>
      </c>
    </row>
    <row r="4296" spans="1:5">
      <c r="A4296" s="1">
        <v>45978</v>
      </c>
      <c r="B4296" t="s">
        <v>4947</v>
      </c>
      <c r="C4296" t="s">
        <v>20</v>
      </c>
      <c r="D4296" t="s">
        <v>5384</v>
      </c>
      <c r="E4296">
        <v>700</v>
      </c>
    </row>
    <row r="4297" spans="1:5">
      <c r="A4297" s="1">
        <v>45978</v>
      </c>
      <c r="B4297" t="s">
        <v>33</v>
      </c>
      <c r="C4297" t="s">
        <v>20</v>
      </c>
      <c r="D4297" t="s">
        <v>5385</v>
      </c>
      <c r="E4297">
        <v>614</v>
      </c>
    </row>
    <row r="4298" spans="1:5">
      <c r="A4298" s="1">
        <v>45978</v>
      </c>
      <c r="B4298" t="s">
        <v>265</v>
      </c>
      <c r="C4298" t="s">
        <v>20</v>
      </c>
      <c r="D4298" t="s">
        <v>5386</v>
      </c>
      <c r="E4298">
        <v>92108</v>
      </c>
    </row>
    <row r="4299" spans="1:5">
      <c r="A4299" s="1">
        <v>45978</v>
      </c>
      <c r="B4299" t="s">
        <v>360</v>
      </c>
      <c r="C4299" t="s">
        <v>20</v>
      </c>
      <c r="D4299" t="s">
        <v>5387</v>
      </c>
      <c r="E4299">
        <v>1537</v>
      </c>
    </row>
    <row r="4300" spans="1:5">
      <c r="A4300" s="1">
        <v>45978</v>
      </c>
      <c r="B4300" t="s">
        <v>222</v>
      </c>
      <c r="C4300" t="s">
        <v>20</v>
      </c>
      <c r="D4300" t="s">
        <v>5388</v>
      </c>
      <c r="E4300">
        <v>1700</v>
      </c>
    </row>
    <row r="4301" spans="1:5">
      <c r="A4301" s="1">
        <v>45978</v>
      </c>
      <c r="B4301" t="s">
        <v>5389</v>
      </c>
      <c r="C4301" t="s">
        <v>20</v>
      </c>
      <c r="D4301" t="s">
        <v>5390</v>
      </c>
      <c r="E4301">
        <v>6900</v>
      </c>
    </row>
    <row r="4302" spans="1:5">
      <c r="A4302" s="1">
        <v>45978</v>
      </c>
      <c r="B4302" t="s">
        <v>557</v>
      </c>
      <c r="C4302" t="s">
        <v>20</v>
      </c>
      <c r="D4302" t="s">
        <v>5391</v>
      </c>
      <c r="E4302">
        <v>119</v>
      </c>
    </row>
    <row r="4303" spans="1:5">
      <c r="A4303" s="1">
        <v>45978</v>
      </c>
      <c r="B4303" t="s">
        <v>2206</v>
      </c>
      <c r="C4303" t="s">
        <v>20</v>
      </c>
      <c r="D4303" t="s">
        <v>5392</v>
      </c>
      <c r="E4303">
        <v>8858</v>
      </c>
    </row>
    <row r="4304" spans="1:5">
      <c r="A4304" s="1">
        <v>45978</v>
      </c>
      <c r="B4304" t="s">
        <v>756</v>
      </c>
      <c r="C4304" t="s">
        <v>20</v>
      </c>
      <c r="D4304" t="s">
        <v>5393</v>
      </c>
      <c r="E4304">
        <v>1437</v>
      </c>
    </row>
    <row r="4305" spans="1:5">
      <c r="A4305" s="1">
        <v>45978</v>
      </c>
      <c r="B4305" t="s">
        <v>5394</v>
      </c>
      <c r="C4305" t="s">
        <v>20</v>
      </c>
      <c r="D4305" t="s">
        <v>5395</v>
      </c>
      <c r="E4305">
        <v>100</v>
      </c>
    </row>
    <row r="4306" spans="1:5">
      <c r="A4306" s="1">
        <v>45979</v>
      </c>
      <c r="B4306" t="s">
        <v>1422</v>
      </c>
      <c r="C4306" t="s">
        <v>19</v>
      </c>
      <c r="D4306" t="s">
        <v>5396</v>
      </c>
      <c r="E4306">
        <v>1838</v>
      </c>
    </row>
    <row r="4307" spans="1:5">
      <c r="A4307" s="1">
        <v>45979</v>
      </c>
      <c r="B4307" t="s">
        <v>180</v>
      </c>
      <c r="C4307" t="s">
        <v>19</v>
      </c>
      <c r="D4307" t="s">
        <v>5397</v>
      </c>
      <c r="E4307">
        <v>30588</v>
      </c>
    </row>
    <row r="4308" spans="1:5">
      <c r="A4308" s="1">
        <v>45979</v>
      </c>
      <c r="B4308" t="s">
        <v>5398</v>
      </c>
      <c r="C4308" t="s">
        <v>19</v>
      </c>
      <c r="D4308" t="s">
        <v>5399</v>
      </c>
      <c r="E4308">
        <v>17570</v>
      </c>
    </row>
    <row r="4309" spans="1:5">
      <c r="A4309" s="1">
        <v>45979</v>
      </c>
      <c r="B4309" t="s">
        <v>5398</v>
      </c>
      <c r="C4309" t="s">
        <v>19</v>
      </c>
      <c r="D4309" t="s">
        <v>5400</v>
      </c>
      <c r="E4309">
        <v>1440</v>
      </c>
    </row>
    <row r="4310" spans="1:5">
      <c r="A4310" s="1">
        <v>45979</v>
      </c>
      <c r="B4310" t="s">
        <v>4669</v>
      </c>
      <c r="C4310" t="s">
        <v>19</v>
      </c>
      <c r="D4310" t="s">
        <v>5401</v>
      </c>
      <c r="E4310">
        <v>9426</v>
      </c>
    </row>
    <row r="4311" spans="1:5">
      <c r="A4311" s="1">
        <v>45979</v>
      </c>
      <c r="B4311" t="s">
        <v>5303</v>
      </c>
      <c r="C4311" t="s">
        <v>19</v>
      </c>
      <c r="D4311" t="s">
        <v>5402</v>
      </c>
      <c r="E4311">
        <v>352</v>
      </c>
    </row>
    <row r="4312" spans="1:5">
      <c r="A4312" s="1">
        <v>45979</v>
      </c>
      <c r="B4312" t="s">
        <v>2007</v>
      </c>
      <c r="C4312" t="s">
        <v>19</v>
      </c>
      <c r="D4312" t="s">
        <v>5403</v>
      </c>
      <c r="E4312">
        <v>7950</v>
      </c>
    </row>
    <row r="4313" spans="1:5">
      <c r="A4313" s="1">
        <v>45979</v>
      </c>
      <c r="B4313" t="s">
        <v>56</v>
      </c>
      <c r="C4313" t="s">
        <v>19</v>
      </c>
      <c r="D4313" t="s">
        <v>5404</v>
      </c>
      <c r="E4313">
        <v>825</v>
      </c>
    </row>
    <row r="4314" spans="1:5">
      <c r="A4314" s="1">
        <v>45979</v>
      </c>
      <c r="B4314" t="s">
        <v>3910</v>
      </c>
      <c r="C4314" t="s">
        <v>20</v>
      </c>
      <c r="D4314" t="s">
        <v>5405</v>
      </c>
      <c r="E4314">
        <v>3825</v>
      </c>
    </row>
    <row r="4315" spans="1:5">
      <c r="A4315" s="1">
        <v>45979</v>
      </c>
      <c r="B4315" t="s">
        <v>5376</v>
      </c>
      <c r="C4315" t="s">
        <v>20</v>
      </c>
      <c r="D4315" t="s">
        <v>5406</v>
      </c>
      <c r="E4315">
        <v>6800</v>
      </c>
    </row>
    <row r="4316" spans="1:5">
      <c r="A4316" s="1">
        <v>45979</v>
      </c>
      <c r="B4316" t="s">
        <v>50</v>
      </c>
      <c r="C4316" t="s">
        <v>20</v>
      </c>
      <c r="D4316" t="s">
        <v>5407</v>
      </c>
      <c r="E4316">
        <v>340</v>
      </c>
    </row>
    <row r="4317" spans="1:5">
      <c r="A4317" s="1">
        <v>45979</v>
      </c>
      <c r="B4317" t="s">
        <v>5408</v>
      </c>
      <c r="C4317" t="s">
        <v>20</v>
      </c>
      <c r="D4317" t="s">
        <v>5409</v>
      </c>
      <c r="E4317">
        <v>19650</v>
      </c>
    </row>
    <row r="4318" spans="1:5">
      <c r="A4318" s="1">
        <v>45979</v>
      </c>
      <c r="B4318" t="s">
        <v>5184</v>
      </c>
      <c r="C4318" t="s">
        <v>20</v>
      </c>
      <c r="D4318" t="s">
        <v>5410</v>
      </c>
      <c r="E4318">
        <v>22300</v>
      </c>
    </row>
    <row r="4319" spans="1:5">
      <c r="A4319" s="1">
        <v>45979</v>
      </c>
      <c r="B4319" t="s">
        <v>756</v>
      </c>
      <c r="C4319" t="s">
        <v>20</v>
      </c>
      <c r="D4319" t="s">
        <v>5411</v>
      </c>
      <c r="E4319">
        <v>4644</v>
      </c>
    </row>
    <row r="4320" spans="1:5">
      <c r="A4320" s="1">
        <v>45979</v>
      </c>
      <c r="B4320" t="s">
        <v>265</v>
      </c>
      <c r="C4320" t="s">
        <v>20</v>
      </c>
      <c r="D4320" t="s">
        <v>5412</v>
      </c>
      <c r="E4320">
        <v>302250</v>
      </c>
    </row>
    <row r="4321" spans="1:5">
      <c r="A4321" s="1">
        <v>45979</v>
      </c>
      <c r="B4321" t="s">
        <v>5373</v>
      </c>
      <c r="C4321" t="s">
        <v>20</v>
      </c>
      <c r="D4321" t="s">
        <v>5413</v>
      </c>
      <c r="E4321">
        <v>5165</v>
      </c>
    </row>
    <row r="4322" spans="1:5">
      <c r="A4322" s="1">
        <v>45979</v>
      </c>
      <c r="B4322" t="s">
        <v>5373</v>
      </c>
      <c r="C4322" t="s">
        <v>20</v>
      </c>
      <c r="D4322" t="s">
        <v>5414</v>
      </c>
      <c r="E4322">
        <v>90</v>
      </c>
    </row>
    <row r="4323" spans="1:5">
      <c r="A4323" s="1">
        <v>45979</v>
      </c>
      <c r="B4323" t="s">
        <v>756</v>
      </c>
      <c r="C4323" t="s">
        <v>20</v>
      </c>
      <c r="D4323" t="s">
        <v>5415</v>
      </c>
      <c r="E4323">
        <v>2112</v>
      </c>
    </row>
    <row r="4324" spans="1:5">
      <c r="A4324" s="1">
        <v>45979</v>
      </c>
      <c r="B4324" t="s">
        <v>5416</v>
      </c>
      <c r="C4324" t="s">
        <v>20</v>
      </c>
      <c r="D4324" t="s">
        <v>5417</v>
      </c>
      <c r="E4324">
        <v>5884</v>
      </c>
    </row>
    <row r="4325" spans="1:5">
      <c r="A4325" s="1">
        <v>45979</v>
      </c>
      <c r="B4325" t="s">
        <v>5418</v>
      </c>
      <c r="C4325" t="s">
        <v>20</v>
      </c>
      <c r="D4325" t="s">
        <v>5419</v>
      </c>
      <c r="E4325">
        <v>14460</v>
      </c>
    </row>
    <row r="4326" spans="1:5">
      <c r="A4326" s="1">
        <v>45979</v>
      </c>
      <c r="B4326" t="s">
        <v>5420</v>
      </c>
      <c r="C4326" t="s">
        <v>20</v>
      </c>
      <c r="D4326" t="s">
        <v>5421</v>
      </c>
      <c r="E4326">
        <v>64</v>
      </c>
    </row>
    <row r="4327" spans="1:5">
      <c r="A4327" s="1">
        <v>45979</v>
      </c>
      <c r="B4327" t="s">
        <v>5422</v>
      </c>
      <c r="C4327" t="s">
        <v>20</v>
      </c>
      <c r="D4327" t="s">
        <v>5423</v>
      </c>
      <c r="E4327">
        <v>32936</v>
      </c>
    </row>
    <row r="4328" spans="1:5">
      <c r="A4328" s="1">
        <v>45979</v>
      </c>
      <c r="B4328" t="s">
        <v>5424</v>
      </c>
      <c r="C4328" t="s">
        <v>20</v>
      </c>
      <c r="D4328" t="s">
        <v>5425</v>
      </c>
      <c r="E4328">
        <v>205</v>
      </c>
    </row>
    <row r="4329" spans="1:5">
      <c r="A4329" s="1">
        <v>45980</v>
      </c>
      <c r="B4329" t="s">
        <v>2987</v>
      </c>
      <c r="C4329" t="s">
        <v>19</v>
      </c>
      <c r="D4329" t="s">
        <v>5426</v>
      </c>
      <c r="E4329">
        <v>9250</v>
      </c>
    </row>
    <row r="4330" spans="1:5">
      <c r="A4330" s="1">
        <v>45980</v>
      </c>
      <c r="B4330" t="s">
        <v>3823</v>
      </c>
      <c r="C4330" t="s">
        <v>20</v>
      </c>
      <c r="D4330" t="s">
        <v>5427</v>
      </c>
      <c r="E4330">
        <v>340</v>
      </c>
    </row>
    <row r="4331" spans="1:5">
      <c r="A4331" s="1">
        <v>45980</v>
      </c>
      <c r="B4331" t="s">
        <v>2455</v>
      </c>
      <c r="C4331" t="s">
        <v>20</v>
      </c>
      <c r="D4331" t="s">
        <v>5428</v>
      </c>
      <c r="E4331">
        <v>8250</v>
      </c>
    </row>
    <row r="4332" spans="1:5">
      <c r="A4332" s="1">
        <v>45980</v>
      </c>
      <c r="B4332" t="s">
        <v>5280</v>
      </c>
      <c r="C4332" t="s">
        <v>20</v>
      </c>
      <c r="D4332" t="s">
        <v>5429</v>
      </c>
      <c r="E4332">
        <v>15384</v>
      </c>
    </row>
    <row r="4333" spans="1:5">
      <c r="A4333" s="1">
        <v>45980</v>
      </c>
      <c r="B4333" t="s">
        <v>239</v>
      </c>
      <c r="C4333" t="s">
        <v>20</v>
      </c>
      <c r="D4333" t="s">
        <v>5430</v>
      </c>
      <c r="E4333">
        <v>22603</v>
      </c>
    </row>
    <row r="4334" spans="1:5">
      <c r="A4334" s="1">
        <v>45980</v>
      </c>
      <c r="B4334" t="s">
        <v>50</v>
      </c>
      <c r="C4334" t="s">
        <v>20</v>
      </c>
      <c r="D4334" t="s">
        <v>5431</v>
      </c>
      <c r="E4334">
        <v>370</v>
      </c>
    </row>
    <row r="4335" spans="1:5">
      <c r="A4335" s="1">
        <v>45980</v>
      </c>
      <c r="B4335" t="s">
        <v>4928</v>
      </c>
      <c r="C4335" t="s">
        <v>20</v>
      </c>
      <c r="D4335" t="s">
        <v>5432</v>
      </c>
      <c r="E4335">
        <v>3692</v>
      </c>
    </row>
    <row r="4336" spans="1:5">
      <c r="A4336" s="1">
        <v>45980</v>
      </c>
      <c r="B4336" t="s">
        <v>5433</v>
      </c>
      <c r="C4336" t="s">
        <v>20</v>
      </c>
      <c r="D4336" t="s">
        <v>5434</v>
      </c>
      <c r="E4336">
        <v>60</v>
      </c>
    </row>
    <row r="4337" spans="1:5">
      <c r="A4337" s="1">
        <v>45980</v>
      </c>
      <c r="B4337" t="s">
        <v>3278</v>
      </c>
      <c r="C4337" t="s">
        <v>20</v>
      </c>
      <c r="D4337" t="s">
        <v>5435</v>
      </c>
      <c r="E4337">
        <v>340</v>
      </c>
    </row>
    <row r="4338" spans="1:5">
      <c r="A4338" s="1">
        <v>45980</v>
      </c>
      <c r="B4338" t="s">
        <v>100</v>
      </c>
      <c r="C4338" t="s">
        <v>20</v>
      </c>
      <c r="D4338" t="s">
        <v>5436</v>
      </c>
      <c r="E4338">
        <v>24566</v>
      </c>
    </row>
    <row r="4339" spans="1:5">
      <c r="A4339" s="1">
        <v>45980</v>
      </c>
      <c r="B4339" t="s">
        <v>5184</v>
      </c>
      <c r="C4339" t="s">
        <v>20</v>
      </c>
      <c r="D4339" t="s">
        <v>5437</v>
      </c>
      <c r="E4339">
        <v>8954</v>
      </c>
    </row>
    <row r="4340" spans="1:5">
      <c r="A4340" s="1">
        <v>45980</v>
      </c>
      <c r="B4340" t="s">
        <v>252</v>
      </c>
      <c r="C4340" t="s">
        <v>20</v>
      </c>
      <c r="D4340" t="s">
        <v>5438</v>
      </c>
      <c r="E4340">
        <v>23930</v>
      </c>
    </row>
    <row r="4341" spans="1:5">
      <c r="A4341" s="1">
        <v>45980</v>
      </c>
      <c r="B4341" t="s">
        <v>4928</v>
      </c>
      <c r="C4341" t="s">
        <v>20</v>
      </c>
      <c r="D4341" t="s">
        <v>5439</v>
      </c>
      <c r="E4341">
        <v>12027</v>
      </c>
    </row>
    <row r="4342" spans="1:5">
      <c r="A4342" s="1">
        <v>45980</v>
      </c>
      <c r="B4342" t="s">
        <v>474</v>
      </c>
      <c r="C4342" t="s">
        <v>20</v>
      </c>
      <c r="D4342" t="s">
        <v>5440</v>
      </c>
      <c r="E4342">
        <v>400</v>
      </c>
    </row>
    <row r="4343" spans="1:5">
      <c r="A4343" s="1">
        <v>45980</v>
      </c>
      <c r="B4343" t="s">
        <v>5441</v>
      </c>
      <c r="C4343" t="s">
        <v>20</v>
      </c>
      <c r="D4343" t="s">
        <v>5442</v>
      </c>
      <c r="E4343">
        <v>322</v>
      </c>
    </row>
    <row r="4344" spans="1:5">
      <c r="A4344" s="1">
        <v>45980</v>
      </c>
      <c r="B4344" t="s">
        <v>3955</v>
      </c>
      <c r="C4344" t="s">
        <v>20</v>
      </c>
      <c r="D4344" t="s">
        <v>5443</v>
      </c>
      <c r="E4344">
        <v>275</v>
      </c>
    </row>
    <row r="4345" spans="1:5">
      <c r="A4345" s="1">
        <v>45980</v>
      </c>
      <c r="B4345" t="s">
        <v>5379</v>
      </c>
      <c r="C4345" t="s">
        <v>20</v>
      </c>
      <c r="D4345" t="s">
        <v>5444</v>
      </c>
      <c r="E4345">
        <v>262</v>
      </c>
    </row>
    <row r="4346" spans="1:5">
      <c r="A4346" s="1">
        <v>45980</v>
      </c>
      <c r="B4346" t="s">
        <v>360</v>
      </c>
      <c r="C4346" t="s">
        <v>20</v>
      </c>
      <c r="D4346" t="s">
        <v>5445</v>
      </c>
      <c r="E4346">
        <v>125</v>
      </c>
    </row>
    <row r="4347" spans="1:5">
      <c r="A4347" s="1">
        <v>45980</v>
      </c>
      <c r="B4347" t="s">
        <v>3823</v>
      </c>
      <c r="C4347" t="s">
        <v>20</v>
      </c>
      <c r="D4347" t="s">
        <v>5446</v>
      </c>
      <c r="E4347">
        <v>340</v>
      </c>
    </row>
    <row r="4348" spans="1:5">
      <c r="A4348" s="1">
        <v>45980</v>
      </c>
      <c r="B4348" t="s">
        <v>50</v>
      </c>
      <c r="C4348" t="s">
        <v>20</v>
      </c>
      <c r="D4348" t="s">
        <v>5447</v>
      </c>
      <c r="E4348">
        <v>1105</v>
      </c>
    </row>
    <row r="4349" spans="1:5">
      <c r="A4349" s="1">
        <v>45980</v>
      </c>
      <c r="B4349" t="s">
        <v>50</v>
      </c>
      <c r="C4349" t="s">
        <v>20</v>
      </c>
      <c r="D4349" t="s">
        <v>5448</v>
      </c>
      <c r="E4349">
        <v>4420</v>
      </c>
    </row>
    <row r="4350" spans="1:5">
      <c r="A4350" s="1">
        <v>45980</v>
      </c>
      <c r="B4350" t="s">
        <v>2202</v>
      </c>
      <c r="C4350" t="s">
        <v>20</v>
      </c>
      <c r="D4350" t="s">
        <v>5449</v>
      </c>
      <c r="E4350">
        <v>28454</v>
      </c>
    </row>
    <row r="4351" spans="1:5">
      <c r="A4351" s="1">
        <v>45980</v>
      </c>
      <c r="B4351" t="s">
        <v>50</v>
      </c>
      <c r="C4351" t="s">
        <v>20</v>
      </c>
      <c r="D4351" t="s">
        <v>5450</v>
      </c>
      <c r="E4351">
        <v>20</v>
      </c>
    </row>
    <row r="4352" spans="1:5">
      <c r="A4352" s="1">
        <v>45981</v>
      </c>
      <c r="B4352" t="s">
        <v>1104</v>
      </c>
      <c r="C4352" t="s">
        <v>19</v>
      </c>
      <c r="D4352" t="s">
        <v>5451</v>
      </c>
      <c r="E4352">
        <v>110979</v>
      </c>
    </row>
    <row r="4353" spans="1:5">
      <c r="A4353" s="1">
        <v>45981</v>
      </c>
      <c r="B4353" t="s">
        <v>4669</v>
      </c>
      <c r="C4353" t="s">
        <v>19</v>
      </c>
      <c r="D4353" t="s">
        <v>5452</v>
      </c>
      <c r="E4353">
        <v>6268</v>
      </c>
    </row>
    <row r="4354" spans="1:5">
      <c r="A4354" s="1">
        <v>45981</v>
      </c>
      <c r="B4354" t="s">
        <v>1683</v>
      </c>
      <c r="C4354" t="s">
        <v>19</v>
      </c>
      <c r="D4354" t="s">
        <v>5453</v>
      </c>
      <c r="E4354">
        <v>64860</v>
      </c>
    </row>
    <row r="4355" spans="1:5">
      <c r="A4355" s="1">
        <v>45981</v>
      </c>
      <c r="B4355" t="s">
        <v>254</v>
      </c>
      <c r="C4355" t="s">
        <v>20</v>
      </c>
      <c r="D4355" t="s">
        <v>5454</v>
      </c>
      <c r="E4355">
        <v>6592</v>
      </c>
    </row>
    <row r="4356" spans="1:5">
      <c r="A4356" s="1">
        <v>45981</v>
      </c>
      <c r="B4356" t="s">
        <v>4459</v>
      </c>
      <c r="C4356" t="s">
        <v>20</v>
      </c>
      <c r="D4356" t="s">
        <v>5455</v>
      </c>
      <c r="E4356">
        <v>6600</v>
      </c>
    </row>
    <row r="4357" spans="1:5">
      <c r="A4357" s="1">
        <v>45981</v>
      </c>
      <c r="B4357" t="s">
        <v>1026</v>
      </c>
      <c r="C4357" t="s">
        <v>20</v>
      </c>
      <c r="D4357" t="s">
        <v>5456</v>
      </c>
      <c r="E4357">
        <v>1360</v>
      </c>
    </row>
    <row r="4358" spans="1:5">
      <c r="A4358" s="1">
        <v>45981</v>
      </c>
      <c r="B4358" t="s">
        <v>5457</v>
      </c>
      <c r="C4358" t="s">
        <v>20</v>
      </c>
      <c r="D4358" t="s">
        <v>5458</v>
      </c>
      <c r="E4358">
        <v>3543</v>
      </c>
    </row>
    <row r="4359" spans="1:5">
      <c r="A4359" s="1">
        <v>45981</v>
      </c>
      <c r="B4359" t="s">
        <v>81</v>
      </c>
      <c r="C4359" t="s">
        <v>20</v>
      </c>
      <c r="D4359" t="s">
        <v>5459</v>
      </c>
      <c r="E4359">
        <v>190</v>
      </c>
    </row>
    <row r="4360" spans="1:5">
      <c r="A4360" s="1">
        <v>45981</v>
      </c>
      <c r="B4360" t="s">
        <v>2059</v>
      </c>
      <c r="C4360" t="s">
        <v>20</v>
      </c>
      <c r="D4360" t="s">
        <v>5460</v>
      </c>
      <c r="E4360">
        <v>2932</v>
      </c>
    </row>
    <row r="4361" spans="1:5">
      <c r="A4361" s="1">
        <v>45981</v>
      </c>
      <c r="B4361" t="s">
        <v>557</v>
      </c>
      <c r="C4361" t="s">
        <v>20</v>
      </c>
      <c r="D4361" t="s">
        <v>5461</v>
      </c>
      <c r="E4361">
        <v>33390</v>
      </c>
    </row>
    <row r="4362" spans="1:5">
      <c r="A4362" s="1">
        <v>45981</v>
      </c>
      <c r="B4362" t="s">
        <v>756</v>
      </c>
      <c r="C4362" t="s">
        <v>20</v>
      </c>
      <c r="D4362" t="s">
        <v>5462</v>
      </c>
      <c r="E4362">
        <v>4844</v>
      </c>
    </row>
    <row r="4363" spans="1:5">
      <c r="A4363" s="1">
        <v>45981</v>
      </c>
      <c r="B4363" t="s">
        <v>5463</v>
      </c>
      <c r="C4363" t="s">
        <v>20</v>
      </c>
      <c r="D4363" t="s">
        <v>5464</v>
      </c>
      <c r="E4363">
        <v>8977</v>
      </c>
    </row>
    <row r="4364" spans="1:5">
      <c r="A4364" s="1">
        <v>45981</v>
      </c>
      <c r="B4364" t="s">
        <v>5465</v>
      </c>
      <c r="C4364" t="s">
        <v>20</v>
      </c>
      <c r="D4364" t="s">
        <v>5466</v>
      </c>
      <c r="E4364">
        <v>8722</v>
      </c>
    </row>
    <row r="4365" spans="1:5">
      <c r="A4365" s="1">
        <v>45981</v>
      </c>
      <c r="B4365" t="s">
        <v>2459</v>
      </c>
      <c r="C4365" t="s">
        <v>20</v>
      </c>
      <c r="D4365" t="s">
        <v>5467</v>
      </c>
      <c r="E4365">
        <v>5744</v>
      </c>
    </row>
    <row r="4366" spans="1:5">
      <c r="A4366" s="1">
        <v>45981</v>
      </c>
      <c r="B4366" t="s">
        <v>1771</v>
      </c>
      <c r="C4366" t="s">
        <v>20</v>
      </c>
      <c r="D4366" t="s">
        <v>5468</v>
      </c>
      <c r="E4366">
        <v>5830</v>
      </c>
    </row>
    <row r="4367" spans="1:5">
      <c r="A4367" s="1">
        <v>45981</v>
      </c>
      <c r="B4367" t="s">
        <v>5469</v>
      </c>
      <c r="C4367" t="s">
        <v>20</v>
      </c>
      <c r="D4367" t="s">
        <v>5470</v>
      </c>
      <c r="E4367">
        <v>5097</v>
      </c>
    </row>
    <row r="4368" spans="1:5">
      <c r="A4368" s="1">
        <v>45981</v>
      </c>
      <c r="B4368" t="s">
        <v>1350</v>
      </c>
      <c r="C4368" t="s">
        <v>20</v>
      </c>
      <c r="D4368" t="s">
        <v>5471</v>
      </c>
      <c r="E4368">
        <v>59369</v>
      </c>
    </row>
    <row r="4369" spans="1:5">
      <c r="A4369" s="1">
        <v>45981</v>
      </c>
      <c r="B4369" t="s">
        <v>45</v>
      </c>
      <c r="C4369" t="s">
        <v>20</v>
      </c>
      <c r="D4369" t="s">
        <v>5472</v>
      </c>
      <c r="E4369">
        <v>1456</v>
      </c>
    </row>
    <row r="4370" spans="1:5">
      <c r="A4370" s="1">
        <v>45981</v>
      </c>
      <c r="B4370" t="s">
        <v>4459</v>
      </c>
      <c r="C4370" t="s">
        <v>20</v>
      </c>
      <c r="D4370" t="s">
        <v>5473</v>
      </c>
      <c r="E4370">
        <v>1680</v>
      </c>
    </row>
    <row r="4371" spans="1:5">
      <c r="A4371" s="1">
        <v>45981</v>
      </c>
      <c r="B4371" t="s">
        <v>5474</v>
      </c>
      <c r="C4371" t="s">
        <v>20</v>
      </c>
      <c r="D4371" t="s">
        <v>5475</v>
      </c>
      <c r="E4371">
        <v>340</v>
      </c>
    </row>
    <row r="4372" spans="1:5">
      <c r="A4372" s="1">
        <v>45981</v>
      </c>
      <c r="B4372" t="s">
        <v>2679</v>
      </c>
      <c r="C4372" t="s">
        <v>20</v>
      </c>
      <c r="D4372" t="s">
        <v>5476</v>
      </c>
      <c r="E4372">
        <v>5337</v>
      </c>
    </row>
    <row r="4373" spans="1:5">
      <c r="A4373" s="1">
        <v>45981</v>
      </c>
      <c r="B4373" t="s">
        <v>756</v>
      </c>
      <c r="C4373" t="s">
        <v>20</v>
      </c>
      <c r="D4373" t="s">
        <v>5477</v>
      </c>
      <c r="E4373">
        <v>481</v>
      </c>
    </row>
    <row r="4374" spans="1:5">
      <c r="A4374" s="1">
        <v>45981</v>
      </c>
      <c r="B4374" t="s">
        <v>2580</v>
      </c>
      <c r="C4374" t="s">
        <v>20</v>
      </c>
      <c r="D4374" t="s">
        <v>5478</v>
      </c>
      <c r="E4374">
        <v>968</v>
      </c>
    </row>
    <row r="4375" spans="1:5">
      <c r="A4375" s="1">
        <v>45981</v>
      </c>
      <c r="B4375" t="s">
        <v>5184</v>
      </c>
      <c r="C4375" t="s">
        <v>20</v>
      </c>
      <c r="D4375" t="s">
        <v>5479</v>
      </c>
      <c r="E4375">
        <v>964</v>
      </c>
    </row>
    <row r="4376" spans="1:5">
      <c r="A4376" s="1">
        <v>45981</v>
      </c>
      <c r="B4376" t="s">
        <v>1135</v>
      </c>
      <c r="C4376" t="s">
        <v>20</v>
      </c>
      <c r="D4376" t="s">
        <v>5480</v>
      </c>
      <c r="E4376">
        <v>1020</v>
      </c>
    </row>
    <row r="4377" spans="1:5">
      <c r="A4377" s="1">
        <v>45981</v>
      </c>
      <c r="B4377" t="s">
        <v>5465</v>
      </c>
      <c r="C4377" t="s">
        <v>20</v>
      </c>
      <c r="D4377" t="s">
        <v>5481</v>
      </c>
      <c r="E4377">
        <v>1434</v>
      </c>
    </row>
    <row r="4378" spans="1:5">
      <c r="A4378" s="1">
        <v>45981</v>
      </c>
      <c r="B4378" t="s">
        <v>2206</v>
      </c>
      <c r="C4378" t="s">
        <v>20</v>
      </c>
      <c r="D4378" t="s">
        <v>5482</v>
      </c>
      <c r="E4378">
        <v>60</v>
      </c>
    </row>
    <row r="4379" spans="1:5">
      <c r="A4379" s="1">
        <v>45981</v>
      </c>
      <c r="B4379" t="s">
        <v>566</v>
      </c>
      <c r="C4379" t="s">
        <v>20</v>
      </c>
      <c r="D4379" t="s">
        <v>5483</v>
      </c>
      <c r="E4379">
        <v>173</v>
      </c>
    </row>
    <row r="4380" spans="1:5">
      <c r="A4380" s="1">
        <v>45981</v>
      </c>
      <c r="B4380" t="s">
        <v>2099</v>
      </c>
      <c r="C4380" t="s">
        <v>20</v>
      </c>
      <c r="D4380" t="s">
        <v>5484</v>
      </c>
      <c r="E4380">
        <v>260</v>
      </c>
    </row>
    <row r="4381" spans="1:5">
      <c r="A4381" s="1">
        <v>45981</v>
      </c>
      <c r="B4381" t="s">
        <v>2609</v>
      </c>
      <c r="C4381" t="s">
        <v>20</v>
      </c>
      <c r="D4381" t="s">
        <v>5485</v>
      </c>
      <c r="E4381">
        <v>17702</v>
      </c>
    </row>
    <row r="4382" spans="1:5">
      <c r="A4382" s="1">
        <v>45981</v>
      </c>
      <c r="B4382" t="s">
        <v>5422</v>
      </c>
      <c r="C4382" t="s">
        <v>20</v>
      </c>
      <c r="D4382" t="s">
        <v>5486</v>
      </c>
      <c r="E4382">
        <v>1290</v>
      </c>
    </row>
    <row r="4383" spans="1:5">
      <c r="A4383" s="1">
        <v>45982</v>
      </c>
      <c r="B4383" t="s">
        <v>1104</v>
      </c>
      <c r="C4383" t="s">
        <v>19</v>
      </c>
      <c r="D4383" t="s">
        <v>5487</v>
      </c>
      <c r="E4383">
        <v>2640</v>
      </c>
    </row>
    <row r="4384" spans="1:5">
      <c r="A4384" s="1">
        <v>45982</v>
      </c>
      <c r="B4384" t="s">
        <v>2851</v>
      </c>
      <c r="C4384" t="s">
        <v>19</v>
      </c>
      <c r="D4384" t="s">
        <v>5488</v>
      </c>
      <c r="E4384">
        <v>3300</v>
      </c>
    </row>
    <row r="4385" spans="1:5">
      <c r="A4385" s="1">
        <v>45982</v>
      </c>
      <c r="B4385" t="s">
        <v>5398</v>
      </c>
      <c r="C4385" t="s">
        <v>19</v>
      </c>
      <c r="D4385" t="s">
        <v>5489</v>
      </c>
      <c r="E4385">
        <v>1974</v>
      </c>
    </row>
    <row r="4386" spans="1:5">
      <c r="A4386" s="1">
        <v>45982</v>
      </c>
      <c r="B4386" t="s">
        <v>5303</v>
      </c>
      <c r="C4386" t="s">
        <v>19</v>
      </c>
      <c r="D4386" t="s">
        <v>5490</v>
      </c>
      <c r="E4386">
        <v>240</v>
      </c>
    </row>
    <row r="4387" spans="1:5">
      <c r="A4387" s="1">
        <v>45982</v>
      </c>
      <c r="B4387" t="s">
        <v>5039</v>
      </c>
      <c r="C4387" t="s">
        <v>20</v>
      </c>
      <c r="D4387" t="s">
        <v>5491</v>
      </c>
      <c r="E4387">
        <v>1120</v>
      </c>
    </row>
    <row r="4388" spans="1:5">
      <c r="A4388" s="1">
        <v>45982</v>
      </c>
      <c r="B4388" t="s">
        <v>5492</v>
      </c>
      <c r="C4388" t="s">
        <v>20</v>
      </c>
      <c r="D4388" t="s">
        <v>5493</v>
      </c>
      <c r="E4388">
        <v>829</v>
      </c>
    </row>
    <row r="4389" spans="1:5">
      <c r="A4389" s="1">
        <v>45982</v>
      </c>
      <c r="B4389" t="s">
        <v>68</v>
      </c>
      <c r="C4389" t="s">
        <v>20</v>
      </c>
      <c r="D4389" t="s">
        <v>5494</v>
      </c>
      <c r="E4389">
        <v>12457</v>
      </c>
    </row>
    <row r="4390" spans="1:5">
      <c r="A4390" s="1">
        <v>45982</v>
      </c>
      <c r="B4390" t="s">
        <v>5280</v>
      </c>
      <c r="C4390" t="s">
        <v>20</v>
      </c>
      <c r="D4390" t="s">
        <v>5495</v>
      </c>
      <c r="E4390">
        <v>12537</v>
      </c>
    </row>
    <row r="4391" spans="1:5">
      <c r="A4391" s="1">
        <v>45982</v>
      </c>
      <c r="B4391" t="s">
        <v>1066</v>
      </c>
      <c r="C4391" t="s">
        <v>20</v>
      </c>
      <c r="D4391" t="s">
        <v>5496</v>
      </c>
      <c r="E4391">
        <v>2640</v>
      </c>
    </row>
    <row r="4392" spans="1:5">
      <c r="A4392" s="1">
        <v>45982</v>
      </c>
      <c r="B4392" t="s">
        <v>3414</v>
      </c>
      <c r="C4392" t="s">
        <v>20</v>
      </c>
      <c r="D4392" t="s">
        <v>5497</v>
      </c>
      <c r="E4392">
        <v>5440.0079999999998</v>
      </c>
    </row>
    <row r="4393" spans="1:5">
      <c r="A4393" s="1">
        <v>45982</v>
      </c>
      <c r="B4393" t="s">
        <v>89</v>
      </c>
      <c r="C4393" t="s">
        <v>20</v>
      </c>
      <c r="D4393" t="s">
        <v>5498</v>
      </c>
      <c r="E4393">
        <v>680</v>
      </c>
    </row>
    <row r="4394" spans="1:5">
      <c r="A4394" s="1">
        <v>45982</v>
      </c>
      <c r="B4394" t="s">
        <v>50</v>
      </c>
      <c r="C4394" t="s">
        <v>20</v>
      </c>
      <c r="D4394" t="s">
        <v>5499</v>
      </c>
      <c r="E4394">
        <v>3400</v>
      </c>
    </row>
    <row r="4395" spans="1:5">
      <c r="A4395" s="1">
        <v>45982</v>
      </c>
      <c r="B4395" t="s">
        <v>5500</v>
      </c>
      <c r="C4395" t="s">
        <v>20</v>
      </c>
      <c r="D4395" t="s">
        <v>5501</v>
      </c>
      <c r="E4395">
        <v>1360</v>
      </c>
    </row>
    <row r="4396" spans="1:5">
      <c r="A4396" s="1">
        <v>45982</v>
      </c>
      <c r="B4396" t="s">
        <v>81</v>
      </c>
      <c r="C4396" t="s">
        <v>20</v>
      </c>
      <c r="D4396" t="s">
        <v>5502</v>
      </c>
      <c r="E4396">
        <v>2291</v>
      </c>
    </row>
    <row r="4397" spans="1:5">
      <c r="A4397" s="1">
        <v>45982</v>
      </c>
      <c r="B4397" t="s">
        <v>5469</v>
      </c>
      <c r="C4397" t="s">
        <v>20</v>
      </c>
      <c r="D4397" t="s">
        <v>5503</v>
      </c>
      <c r="E4397">
        <v>220</v>
      </c>
    </row>
    <row r="4398" spans="1:5">
      <c r="A4398" s="1">
        <v>45982</v>
      </c>
      <c r="B4398" t="s">
        <v>5504</v>
      </c>
      <c r="C4398" t="s">
        <v>20</v>
      </c>
      <c r="D4398" t="s">
        <v>5505</v>
      </c>
      <c r="E4398">
        <v>7307</v>
      </c>
    </row>
    <row r="4399" spans="1:5">
      <c r="A4399" s="1">
        <v>45982</v>
      </c>
      <c r="B4399" t="s">
        <v>4459</v>
      </c>
      <c r="C4399" t="s">
        <v>20</v>
      </c>
      <c r="D4399" t="s">
        <v>5506</v>
      </c>
      <c r="E4399">
        <v>1680</v>
      </c>
    </row>
    <row r="4400" spans="1:5">
      <c r="A4400" s="1">
        <v>45982</v>
      </c>
      <c r="B4400" t="s">
        <v>5184</v>
      </c>
      <c r="C4400" t="s">
        <v>20</v>
      </c>
      <c r="D4400" t="s">
        <v>5507</v>
      </c>
      <c r="E4400">
        <v>60</v>
      </c>
    </row>
    <row r="4401" spans="1:5">
      <c r="A4401" s="1">
        <v>45982</v>
      </c>
      <c r="B4401" t="s">
        <v>628</v>
      </c>
      <c r="C4401" t="s">
        <v>20</v>
      </c>
      <c r="D4401" t="s">
        <v>5508</v>
      </c>
      <c r="E4401">
        <v>226</v>
      </c>
    </row>
    <row r="4402" spans="1:5">
      <c r="A4402" s="1">
        <v>45982</v>
      </c>
      <c r="B4402" t="s">
        <v>100</v>
      </c>
      <c r="C4402" t="s">
        <v>20</v>
      </c>
      <c r="D4402" t="s">
        <v>5509</v>
      </c>
      <c r="E4402">
        <v>1505</v>
      </c>
    </row>
    <row r="4403" spans="1:5">
      <c r="A4403" s="1">
        <v>45982</v>
      </c>
      <c r="B4403" t="s">
        <v>4013</v>
      </c>
      <c r="C4403" t="s">
        <v>20</v>
      </c>
      <c r="D4403" t="s">
        <v>5510</v>
      </c>
      <c r="E4403">
        <v>49089</v>
      </c>
    </row>
    <row r="4404" spans="1:5">
      <c r="A4404" s="1">
        <v>45983</v>
      </c>
      <c r="B4404" t="s">
        <v>180</v>
      </c>
      <c r="C4404" t="s">
        <v>19</v>
      </c>
      <c r="D4404" t="s">
        <v>5511</v>
      </c>
      <c r="E4404">
        <v>860</v>
      </c>
    </row>
    <row r="4405" spans="1:5">
      <c r="A4405" s="1">
        <v>45983</v>
      </c>
      <c r="B4405" t="s">
        <v>58</v>
      </c>
      <c r="C4405" t="s">
        <v>19</v>
      </c>
      <c r="D4405" t="s">
        <v>5512</v>
      </c>
      <c r="E4405">
        <v>4690</v>
      </c>
    </row>
    <row r="4406" spans="1:5">
      <c r="A4406" s="1">
        <v>45983</v>
      </c>
      <c r="B4406" t="s">
        <v>5513</v>
      </c>
      <c r="C4406" t="s">
        <v>20</v>
      </c>
      <c r="D4406" t="s">
        <v>5514</v>
      </c>
      <c r="E4406">
        <v>2830</v>
      </c>
    </row>
    <row r="4407" spans="1:5">
      <c r="A4407" s="1">
        <v>45983</v>
      </c>
      <c r="B4407" t="s">
        <v>265</v>
      </c>
      <c r="C4407" t="s">
        <v>20</v>
      </c>
      <c r="D4407" t="s">
        <v>5515</v>
      </c>
      <c r="E4407">
        <v>2125</v>
      </c>
    </row>
    <row r="4408" spans="1:5">
      <c r="A4408" s="1">
        <v>45983</v>
      </c>
      <c r="B4408" t="s">
        <v>1350</v>
      </c>
      <c r="C4408" t="s">
        <v>20</v>
      </c>
      <c r="D4408" t="s">
        <v>5516</v>
      </c>
      <c r="E4408">
        <v>380</v>
      </c>
    </row>
    <row r="4409" spans="1:5">
      <c r="A4409" s="1">
        <v>45983</v>
      </c>
      <c r="B4409" t="s">
        <v>68</v>
      </c>
      <c r="C4409" t="s">
        <v>20</v>
      </c>
      <c r="D4409" t="s">
        <v>5517</v>
      </c>
      <c r="E4409">
        <v>1494</v>
      </c>
    </row>
    <row r="4410" spans="1:5">
      <c r="A4410" s="1">
        <v>45983</v>
      </c>
      <c r="B4410" t="s">
        <v>5300</v>
      </c>
      <c r="C4410" t="s">
        <v>20</v>
      </c>
      <c r="D4410" t="s">
        <v>5518</v>
      </c>
      <c r="E4410">
        <v>5750</v>
      </c>
    </row>
    <row r="4411" spans="1:5">
      <c r="A4411" s="1">
        <v>45983</v>
      </c>
      <c r="B4411" t="s">
        <v>50</v>
      </c>
      <c r="C4411" t="s">
        <v>20</v>
      </c>
      <c r="D4411" t="s">
        <v>5519</v>
      </c>
      <c r="E4411">
        <v>1180</v>
      </c>
    </row>
    <row r="4412" spans="1:5">
      <c r="A4412" s="1">
        <v>45983</v>
      </c>
      <c r="B4412" t="s">
        <v>4590</v>
      </c>
      <c r="C4412" t="s">
        <v>20</v>
      </c>
      <c r="D4412" t="s">
        <v>5520</v>
      </c>
      <c r="E4412">
        <v>22756</v>
      </c>
    </row>
    <row r="4413" spans="1:5">
      <c r="A4413" s="1">
        <v>45983</v>
      </c>
      <c r="B4413" t="s">
        <v>5521</v>
      </c>
      <c r="C4413" t="s">
        <v>20</v>
      </c>
      <c r="D4413" t="s">
        <v>5522</v>
      </c>
      <c r="E4413">
        <v>4490</v>
      </c>
    </row>
    <row r="4414" spans="1:5">
      <c r="A4414" s="1">
        <v>45983</v>
      </c>
      <c r="B4414" t="s">
        <v>5523</v>
      </c>
      <c r="C4414" t="s">
        <v>20</v>
      </c>
      <c r="D4414" t="s">
        <v>5524</v>
      </c>
      <c r="E4414">
        <v>340</v>
      </c>
    </row>
    <row r="4415" spans="1:5">
      <c r="A4415" s="1">
        <v>45983</v>
      </c>
      <c r="B4415" t="s">
        <v>5069</v>
      </c>
      <c r="C4415" t="s">
        <v>20</v>
      </c>
      <c r="D4415" t="s">
        <v>5525</v>
      </c>
      <c r="E4415">
        <v>785</v>
      </c>
    </row>
    <row r="4416" spans="1:5">
      <c r="A4416" s="1">
        <v>45983</v>
      </c>
      <c r="B4416" t="s">
        <v>68</v>
      </c>
      <c r="C4416" t="s">
        <v>20</v>
      </c>
      <c r="D4416" t="s">
        <v>5526</v>
      </c>
      <c r="E4416">
        <v>7332</v>
      </c>
    </row>
    <row r="4417" spans="1:5">
      <c r="A4417" s="1">
        <v>45983</v>
      </c>
      <c r="B4417" t="s">
        <v>5527</v>
      </c>
      <c r="C4417" t="s">
        <v>20</v>
      </c>
      <c r="D4417" t="s">
        <v>5528</v>
      </c>
      <c r="E4417">
        <v>18930</v>
      </c>
    </row>
    <row r="4418" spans="1:5">
      <c r="A4418" s="1">
        <v>45983</v>
      </c>
      <c r="B4418" t="s">
        <v>5529</v>
      </c>
      <c r="C4418" t="s">
        <v>20</v>
      </c>
      <c r="D4418" t="s">
        <v>5530</v>
      </c>
      <c r="E4418">
        <v>15927</v>
      </c>
    </row>
    <row r="4419" spans="1:5">
      <c r="A4419" s="1">
        <v>45983</v>
      </c>
      <c r="B4419" t="s">
        <v>2459</v>
      </c>
      <c r="C4419" t="s">
        <v>20</v>
      </c>
      <c r="D4419" t="s">
        <v>5531</v>
      </c>
      <c r="E4419">
        <v>680</v>
      </c>
    </row>
    <row r="4420" spans="1:5">
      <c r="A4420" s="1">
        <v>45985</v>
      </c>
      <c r="B4420" t="s">
        <v>5532</v>
      </c>
      <c r="C4420" t="s">
        <v>19</v>
      </c>
      <c r="D4420" t="s">
        <v>5533</v>
      </c>
      <c r="E4420">
        <v>15271</v>
      </c>
    </row>
    <row r="4421" spans="1:5">
      <c r="A4421" s="1">
        <v>45985</v>
      </c>
      <c r="B4421" t="s">
        <v>246</v>
      </c>
      <c r="C4421" t="s">
        <v>19</v>
      </c>
      <c r="D4421" t="s">
        <v>5534</v>
      </c>
      <c r="E4421">
        <v>5940</v>
      </c>
    </row>
    <row r="4422" spans="1:5">
      <c r="A4422" s="1">
        <v>45985</v>
      </c>
      <c r="B4422" t="s">
        <v>1104</v>
      </c>
      <c r="C4422" t="s">
        <v>19</v>
      </c>
      <c r="D4422" t="s">
        <v>5535</v>
      </c>
      <c r="E4422">
        <v>765</v>
      </c>
    </row>
    <row r="4423" spans="1:5">
      <c r="A4423" s="1">
        <v>45985</v>
      </c>
      <c r="B4423" t="s">
        <v>5527</v>
      </c>
      <c r="C4423" t="s">
        <v>20</v>
      </c>
      <c r="D4423" t="s">
        <v>5536</v>
      </c>
      <c r="E4423">
        <v>8250</v>
      </c>
    </row>
    <row r="4424" spans="1:5">
      <c r="A4424" s="1">
        <v>45985</v>
      </c>
      <c r="B4424" t="s">
        <v>92</v>
      </c>
      <c r="C4424" t="s">
        <v>20</v>
      </c>
      <c r="D4424" t="s">
        <v>5537</v>
      </c>
      <c r="E4424">
        <v>1650</v>
      </c>
    </row>
    <row r="4425" spans="1:5">
      <c r="A4425" s="1">
        <v>45985</v>
      </c>
      <c r="B4425" t="s">
        <v>1816</v>
      </c>
      <c r="C4425" t="s">
        <v>20</v>
      </c>
      <c r="D4425" t="s">
        <v>5538</v>
      </c>
      <c r="E4425">
        <v>930</v>
      </c>
    </row>
    <row r="4426" spans="1:5">
      <c r="A4426" s="1">
        <v>45985</v>
      </c>
      <c r="B4426" t="s">
        <v>316</v>
      </c>
      <c r="C4426" t="s">
        <v>20</v>
      </c>
      <c r="D4426" t="s">
        <v>5539</v>
      </c>
      <c r="E4426">
        <v>128</v>
      </c>
    </row>
    <row r="4427" spans="1:5">
      <c r="A4427" s="1">
        <v>45985</v>
      </c>
      <c r="B4427" t="s">
        <v>854</v>
      </c>
      <c r="C4427" t="s">
        <v>20</v>
      </c>
      <c r="D4427" t="s">
        <v>5540</v>
      </c>
      <c r="E4427">
        <v>8483</v>
      </c>
    </row>
    <row r="4428" spans="1:5">
      <c r="A4428" s="1">
        <v>45985</v>
      </c>
      <c r="B4428" t="s">
        <v>4899</v>
      </c>
      <c r="C4428" t="s">
        <v>20</v>
      </c>
      <c r="D4428" t="s">
        <v>5541</v>
      </c>
      <c r="E4428">
        <v>580</v>
      </c>
    </row>
    <row r="4429" spans="1:5">
      <c r="A4429" s="1">
        <v>45985</v>
      </c>
      <c r="B4429" t="s">
        <v>3910</v>
      </c>
      <c r="C4429" t="s">
        <v>20</v>
      </c>
      <c r="D4429" t="s">
        <v>5542</v>
      </c>
      <c r="E4429">
        <v>122</v>
      </c>
    </row>
    <row r="4430" spans="1:5">
      <c r="A4430" s="1">
        <v>45985</v>
      </c>
      <c r="B4430" t="s">
        <v>2634</v>
      </c>
      <c r="C4430" t="s">
        <v>20</v>
      </c>
      <c r="D4430" t="s">
        <v>5543</v>
      </c>
      <c r="E4430">
        <v>8500</v>
      </c>
    </row>
    <row r="4431" spans="1:5">
      <c r="A4431" s="1">
        <v>45985</v>
      </c>
      <c r="B4431" t="s">
        <v>1816</v>
      </c>
      <c r="C4431" t="s">
        <v>20</v>
      </c>
      <c r="D4431" t="s">
        <v>5544</v>
      </c>
      <c r="E4431">
        <v>330</v>
      </c>
    </row>
    <row r="4432" spans="1:5">
      <c r="A4432" s="1">
        <v>45985</v>
      </c>
      <c r="B4432" t="s">
        <v>5527</v>
      </c>
      <c r="C4432" t="s">
        <v>20</v>
      </c>
      <c r="D4432" t="s">
        <v>5545</v>
      </c>
      <c r="E4432">
        <v>1320</v>
      </c>
    </row>
    <row r="4433" spans="1:5">
      <c r="A4433" s="1">
        <v>45985</v>
      </c>
      <c r="B4433" t="s">
        <v>2879</v>
      </c>
      <c r="C4433" t="s">
        <v>20</v>
      </c>
      <c r="D4433" t="s">
        <v>5546</v>
      </c>
      <c r="E4433">
        <v>1580</v>
      </c>
    </row>
    <row r="4434" spans="1:5">
      <c r="A4434" s="1">
        <v>45985</v>
      </c>
      <c r="B4434" t="s">
        <v>35</v>
      </c>
      <c r="C4434" t="s">
        <v>20</v>
      </c>
      <c r="D4434" t="s">
        <v>5547</v>
      </c>
      <c r="E4434">
        <v>24667</v>
      </c>
    </row>
    <row r="4435" spans="1:5">
      <c r="A4435" s="1">
        <v>45986</v>
      </c>
      <c r="B4435" t="s">
        <v>5398</v>
      </c>
      <c r="C4435" t="s">
        <v>19</v>
      </c>
      <c r="D4435" t="s">
        <v>5548</v>
      </c>
      <c r="E4435">
        <v>12888</v>
      </c>
    </row>
    <row r="4436" spans="1:5">
      <c r="A4436" s="1">
        <v>45986</v>
      </c>
      <c r="B4436" t="s">
        <v>5140</v>
      </c>
      <c r="C4436" t="s">
        <v>19</v>
      </c>
      <c r="D4436" t="s">
        <v>5549</v>
      </c>
      <c r="E4436">
        <v>9716</v>
      </c>
    </row>
    <row r="4437" spans="1:5">
      <c r="A4437" s="1">
        <v>45986</v>
      </c>
      <c r="B4437" t="s">
        <v>50</v>
      </c>
      <c r="C4437" t="s">
        <v>20</v>
      </c>
      <c r="D4437" t="s">
        <v>5550</v>
      </c>
      <c r="E4437">
        <v>1020</v>
      </c>
    </row>
    <row r="4438" spans="1:5">
      <c r="A4438" s="1">
        <v>45986</v>
      </c>
      <c r="B4438" t="s">
        <v>557</v>
      </c>
      <c r="C4438" t="s">
        <v>20</v>
      </c>
      <c r="D4438" t="s">
        <v>5551</v>
      </c>
      <c r="E4438">
        <v>30960</v>
      </c>
    </row>
    <row r="4439" spans="1:5">
      <c r="A4439" s="1">
        <v>45986</v>
      </c>
      <c r="B4439" t="s">
        <v>1075</v>
      </c>
      <c r="C4439" t="s">
        <v>20</v>
      </c>
      <c r="D4439" t="s">
        <v>5552</v>
      </c>
      <c r="E4439">
        <v>3400</v>
      </c>
    </row>
    <row r="4440" spans="1:5">
      <c r="A4440" s="1">
        <v>45986</v>
      </c>
      <c r="B4440" t="s">
        <v>526</v>
      </c>
      <c r="C4440" t="s">
        <v>20</v>
      </c>
      <c r="D4440" t="s">
        <v>5553</v>
      </c>
      <c r="E4440">
        <v>28792</v>
      </c>
    </row>
    <row r="4441" spans="1:5">
      <c r="A4441" s="1">
        <v>45986</v>
      </c>
      <c r="B4441" t="s">
        <v>2455</v>
      </c>
      <c r="C4441" t="s">
        <v>20</v>
      </c>
      <c r="D4441" t="s">
        <v>5554</v>
      </c>
      <c r="E4441">
        <v>1771</v>
      </c>
    </row>
    <row r="4442" spans="1:5">
      <c r="A4442" s="1">
        <v>45986</v>
      </c>
      <c r="B4442" t="s">
        <v>4590</v>
      </c>
      <c r="C4442" t="s">
        <v>20</v>
      </c>
      <c r="D4442" t="s">
        <v>5555</v>
      </c>
      <c r="E4442">
        <v>7000</v>
      </c>
    </row>
    <row r="4443" spans="1:5">
      <c r="A4443" s="1">
        <v>45986</v>
      </c>
      <c r="B4443" t="s">
        <v>4413</v>
      </c>
      <c r="C4443" t="s">
        <v>20</v>
      </c>
      <c r="D4443" t="s">
        <v>5556</v>
      </c>
      <c r="E4443">
        <v>180</v>
      </c>
    </row>
    <row r="4444" spans="1:5">
      <c r="A4444" s="1">
        <v>45986</v>
      </c>
      <c r="B4444" t="s">
        <v>402</v>
      </c>
      <c r="C4444" t="s">
        <v>20</v>
      </c>
      <c r="D4444" t="s">
        <v>5557</v>
      </c>
      <c r="E4444">
        <v>1447</v>
      </c>
    </row>
    <row r="4445" spans="1:5">
      <c r="A4445" s="1">
        <v>45986</v>
      </c>
      <c r="B4445" t="s">
        <v>5558</v>
      </c>
      <c r="C4445" t="s">
        <v>20</v>
      </c>
      <c r="D4445" t="s">
        <v>5559</v>
      </c>
      <c r="E4445">
        <v>3272</v>
      </c>
    </row>
    <row r="4446" spans="1:5">
      <c r="A4446" s="1">
        <v>45986</v>
      </c>
      <c r="B4446" t="s">
        <v>4361</v>
      </c>
      <c r="C4446" t="s">
        <v>20</v>
      </c>
      <c r="D4446" t="s">
        <v>5560</v>
      </c>
      <c r="E4446">
        <v>4251</v>
      </c>
    </row>
    <row r="4447" spans="1:5">
      <c r="A4447" s="1">
        <v>45986</v>
      </c>
      <c r="B4447" t="s">
        <v>2206</v>
      </c>
      <c r="C4447" t="s">
        <v>20</v>
      </c>
      <c r="D4447" t="s">
        <v>5561</v>
      </c>
      <c r="E4447">
        <v>12502</v>
      </c>
    </row>
    <row r="4448" spans="1:5">
      <c r="A4448" s="1">
        <v>45986</v>
      </c>
      <c r="B4448" t="s">
        <v>5558</v>
      </c>
      <c r="C4448" t="s">
        <v>20</v>
      </c>
      <c r="D4448" t="s">
        <v>5562</v>
      </c>
      <c r="E4448">
        <v>1280</v>
      </c>
    </row>
    <row r="4449" spans="1:5">
      <c r="A4449" s="1">
        <v>45987</v>
      </c>
      <c r="B4449" t="s">
        <v>4669</v>
      </c>
      <c r="C4449" t="s">
        <v>19</v>
      </c>
      <c r="D4449" t="s">
        <v>5563</v>
      </c>
      <c r="E4449">
        <v>270</v>
      </c>
    </row>
    <row r="4450" spans="1:5">
      <c r="A4450" s="1">
        <v>45987</v>
      </c>
      <c r="B4450" t="s">
        <v>135</v>
      </c>
      <c r="C4450" t="s">
        <v>20</v>
      </c>
      <c r="D4450" t="s">
        <v>5564</v>
      </c>
      <c r="E4450">
        <v>80</v>
      </c>
    </row>
    <row r="4451" spans="1:5">
      <c r="A4451" s="1">
        <v>45987</v>
      </c>
      <c r="B4451" t="s">
        <v>3414</v>
      </c>
      <c r="C4451" t="s">
        <v>20</v>
      </c>
      <c r="D4451" t="s">
        <v>5565</v>
      </c>
      <c r="E4451">
        <v>5100</v>
      </c>
    </row>
    <row r="4452" spans="1:5">
      <c r="A4452" s="1">
        <v>45987</v>
      </c>
      <c r="B4452" t="s">
        <v>76</v>
      </c>
      <c r="C4452" t="s">
        <v>20</v>
      </c>
      <c r="D4452" t="s">
        <v>5566</v>
      </c>
      <c r="E4452">
        <v>6800</v>
      </c>
    </row>
    <row r="4453" spans="1:5">
      <c r="A4453" s="1">
        <v>45987</v>
      </c>
      <c r="B4453" t="s">
        <v>4013</v>
      </c>
      <c r="C4453" t="s">
        <v>20</v>
      </c>
      <c r="D4453" t="s">
        <v>5567</v>
      </c>
      <c r="E4453">
        <v>16280</v>
      </c>
    </row>
    <row r="4454" spans="1:5">
      <c r="A4454" s="1">
        <v>45987</v>
      </c>
      <c r="B4454" t="s">
        <v>222</v>
      </c>
      <c r="C4454" t="s">
        <v>20</v>
      </c>
      <c r="D4454" t="s">
        <v>5568</v>
      </c>
      <c r="E4454">
        <v>3400</v>
      </c>
    </row>
    <row r="4455" spans="1:5">
      <c r="A4455" s="1">
        <v>45987</v>
      </c>
      <c r="B4455" t="s">
        <v>4695</v>
      </c>
      <c r="C4455" t="s">
        <v>20</v>
      </c>
      <c r="D4455" t="s">
        <v>5569</v>
      </c>
      <c r="E4455">
        <v>39717</v>
      </c>
    </row>
    <row r="4456" spans="1:5">
      <c r="A4456" s="1">
        <v>45987</v>
      </c>
      <c r="B4456" t="s">
        <v>68</v>
      </c>
      <c r="C4456" t="s">
        <v>20</v>
      </c>
      <c r="D4456" t="s">
        <v>5570</v>
      </c>
      <c r="E4456">
        <v>3746</v>
      </c>
    </row>
    <row r="4457" spans="1:5">
      <c r="A4457" s="1">
        <v>45987</v>
      </c>
      <c r="B4457" t="s">
        <v>35</v>
      </c>
      <c r="C4457" t="s">
        <v>20</v>
      </c>
      <c r="D4457" t="s">
        <v>5571</v>
      </c>
      <c r="E4457">
        <v>1733</v>
      </c>
    </row>
    <row r="4458" spans="1:5">
      <c r="A4458" s="1">
        <v>45987</v>
      </c>
      <c r="B4458" t="s">
        <v>316</v>
      </c>
      <c r="C4458" t="s">
        <v>20</v>
      </c>
      <c r="D4458" t="s">
        <v>5572</v>
      </c>
      <c r="E4458">
        <v>125</v>
      </c>
    </row>
    <row r="4459" spans="1:5">
      <c r="A4459" s="1">
        <v>45987</v>
      </c>
      <c r="B4459" t="s">
        <v>4590</v>
      </c>
      <c r="C4459" t="s">
        <v>20</v>
      </c>
      <c r="D4459" t="s">
        <v>5573</v>
      </c>
      <c r="E4459">
        <v>350</v>
      </c>
    </row>
    <row r="4460" spans="1:5">
      <c r="A4460" s="1">
        <v>45987</v>
      </c>
      <c r="B4460" t="s">
        <v>100</v>
      </c>
      <c r="C4460" t="s">
        <v>20</v>
      </c>
      <c r="D4460" t="s">
        <v>5574</v>
      </c>
      <c r="E4460">
        <v>35745</v>
      </c>
    </row>
    <row r="4461" spans="1:5">
      <c r="A4461" s="1">
        <v>45987</v>
      </c>
      <c r="B4461" t="s">
        <v>526</v>
      </c>
      <c r="C4461" t="s">
        <v>20</v>
      </c>
      <c r="D4461" t="s">
        <v>5575</v>
      </c>
      <c r="E4461">
        <v>120</v>
      </c>
    </row>
    <row r="4462" spans="1:5">
      <c r="A4462" s="1">
        <v>45987</v>
      </c>
      <c r="B4462" t="s">
        <v>2444</v>
      </c>
      <c r="C4462" t="s">
        <v>20</v>
      </c>
      <c r="D4462" t="s">
        <v>5576</v>
      </c>
      <c r="E4462">
        <v>680</v>
      </c>
    </row>
    <row r="4463" spans="1:5">
      <c r="A4463" s="1">
        <v>45987</v>
      </c>
      <c r="B4463" t="s">
        <v>2206</v>
      </c>
      <c r="C4463" t="s">
        <v>20</v>
      </c>
      <c r="D4463" t="s">
        <v>5577</v>
      </c>
      <c r="E4463">
        <v>498</v>
      </c>
    </row>
    <row r="4464" spans="1:5">
      <c r="A4464" s="1">
        <v>45987</v>
      </c>
      <c r="B4464" t="s">
        <v>254</v>
      </c>
      <c r="C4464" t="s">
        <v>20</v>
      </c>
      <c r="D4464" t="s">
        <v>5578</v>
      </c>
      <c r="E4464">
        <v>1340</v>
      </c>
    </row>
    <row r="4465" spans="1:5">
      <c r="A4465" s="1">
        <v>45987</v>
      </c>
      <c r="B4465" t="s">
        <v>5579</v>
      </c>
      <c r="C4465" t="s">
        <v>20</v>
      </c>
      <c r="D4465" t="s">
        <v>5580</v>
      </c>
      <c r="E4465">
        <v>45916</v>
      </c>
    </row>
    <row r="4466" spans="1:5">
      <c r="A4466" s="1">
        <v>45988</v>
      </c>
      <c r="B4466" t="s">
        <v>1422</v>
      </c>
      <c r="C4466" t="s">
        <v>19</v>
      </c>
      <c r="D4466" t="s">
        <v>5581</v>
      </c>
      <c r="E4466">
        <v>2902</v>
      </c>
    </row>
    <row r="4467" spans="1:5">
      <c r="A4467" s="1">
        <v>45988</v>
      </c>
      <c r="B4467" t="s">
        <v>1106</v>
      </c>
      <c r="C4467" t="s">
        <v>19</v>
      </c>
      <c r="D4467" t="s">
        <v>5582</v>
      </c>
      <c r="E4467">
        <v>61511</v>
      </c>
    </row>
    <row r="4468" spans="1:5">
      <c r="A4468" s="1">
        <v>45988</v>
      </c>
      <c r="B4468" t="s">
        <v>2266</v>
      </c>
      <c r="C4468" t="s">
        <v>19</v>
      </c>
      <c r="D4468" t="s">
        <v>5583</v>
      </c>
      <c r="E4468">
        <v>10832</v>
      </c>
    </row>
    <row r="4469" spans="1:5">
      <c r="A4469" s="1">
        <v>45988</v>
      </c>
      <c r="B4469" t="s">
        <v>5280</v>
      </c>
      <c r="C4469" t="s">
        <v>20</v>
      </c>
      <c r="D4469" t="s">
        <v>5584</v>
      </c>
      <c r="E4469">
        <v>360</v>
      </c>
    </row>
    <row r="4470" spans="1:5">
      <c r="A4470" s="1">
        <v>45988</v>
      </c>
      <c r="B4470" t="s">
        <v>4773</v>
      </c>
      <c r="C4470" t="s">
        <v>20</v>
      </c>
      <c r="D4470" t="s">
        <v>5585</v>
      </c>
      <c r="E4470">
        <v>3400</v>
      </c>
    </row>
    <row r="4471" spans="1:5">
      <c r="A4471" s="1">
        <v>45988</v>
      </c>
      <c r="B4471" t="s">
        <v>68</v>
      </c>
      <c r="C4471" t="s">
        <v>20</v>
      </c>
      <c r="D4471" t="s">
        <v>5586</v>
      </c>
      <c r="E4471">
        <v>3255</v>
      </c>
    </row>
    <row r="4472" spans="1:5">
      <c r="A4472" s="1">
        <v>45988</v>
      </c>
      <c r="B4472" t="s">
        <v>5587</v>
      </c>
      <c r="C4472" t="s">
        <v>20</v>
      </c>
      <c r="D4472" t="s">
        <v>5588</v>
      </c>
      <c r="E4472">
        <v>13657</v>
      </c>
    </row>
    <row r="4473" spans="1:5">
      <c r="A4473" s="1">
        <v>45988</v>
      </c>
      <c r="B4473" t="s">
        <v>5105</v>
      </c>
      <c r="C4473" t="s">
        <v>20</v>
      </c>
      <c r="D4473" t="s">
        <v>5589</v>
      </c>
      <c r="E4473">
        <v>680</v>
      </c>
    </row>
    <row r="4474" spans="1:5">
      <c r="A4474" s="1">
        <v>45988</v>
      </c>
      <c r="B4474" t="s">
        <v>5590</v>
      </c>
      <c r="C4474" t="s">
        <v>20</v>
      </c>
      <c r="D4474" t="s">
        <v>5591</v>
      </c>
      <c r="E4474">
        <v>3500</v>
      </c>
    </row>
    <row r="4475" spans="1:5">
      <c r="A4475" s="1">
        <v>45988</v>
      </c>
      <c r="B4475" t="s">
        <v>222</v>
      </c>
      <c r="C4475" t="s">
        <v>20</v>
      </c>
      <c r="D4475" t="s">
        <v>5592</v>
      </c>
      <c r="E4475">
        <v>3400</v>
      </c>
    </row>
    <row r="4476" spans="1:5">
      <c r="A4476" s="1">
        <v>45988</v>
      </c>
      <c r="B4476" t="s">
        <v>5593</v>
      </c>
      <c r="C4476" t="s">
        <v>20</v>
      </c>
      <c r="D4476" t="s">
        <v>5594</v>
      </c>
      <c r="E4476">
        <v>1573</v>
      </c>
    </row>
    <row r="4477" spans="1:5">
      <c r="A4477" s="1">
        <v>45988</v>
      </c>
      <c r="B4477" t="s">
        <v>2455</v>
      </c>
      <c r="C4477" t="s">
        <v>20</v>
      </c>
      <c r="D4477" t="s">
        <v>5595</v>
      </c>
      <c r="E4477">
        <v>2188</v>
      </c>
    </row>
    <row r="4478" spans="1:5">
      <c r="A4478" s="1">
        <v>45988</v>
      </c>
      <c r="B4478" t="s">
        <v>5596</v>
      </c>
      <c r="C4478" t="s">
        <v>20</v>
      </c>
      <c r="D4478" t="s">
        <v>5597</v>
      </c>
      <c r="E4478">
        <v>340</v>
      </c>
    </row>
    <row r="4479" spans="1:5">
      <c r="A4479" s="1">
        <v>45988</v>
      </c>
      <c r="B4479" t="s">
        <v>48</v>
      </c>
      <c r="C4479" t="s">
        <v>20</v>
      </c>
      <c r="D4479" t="s">
        <v>5598</v>
      </c>
      <c r="E4479">
        <v>81973</v>
      </c>
    </row>
    <row r="4480" spans="1:5">
      <c r="A4480" s="1">
        <v>45988</v>
      </c>
      <c r="B4480" t="s">
        <v>5579</v>
      </c>
      <c r="C4480" t="s">
        <v>20</v>
      </c>
      <c r="D4480" t="s">
        <v>5599</v>
      </c>
      <c r="E4480">
        <v>560</v>
      </c>
    </row>
    <row r="4481" spans="1:5">
      <c r="A4481" s="1">
        <v>45988</v>
      </c>
      <c r="B4481" t="s">
        <v>932</v>
      </c>
      <c r="C4481" t="s">
        <v>20</v>
      </c>
      <c r="D4481" t="s">
        <v>5600</v>
      </c>
      <c r="E4481">
        <v>1353</v>
      </c>
    </row>
    <row r="4482" spans="1:5">
      <c r="A4482" s="1">
        <v>45988</v>
      </c>
      <c r="B4482" t="s">
        <v>50</v>
      </c>
      <c r="C4482" t="s">
        <v>20</v>
      </c>
      <c r="D4482" t="s">
        <v>5601</v>
      </c>
      <c r="E4482">
        <v>50</v>
      </c>
    </row>
    <row r="4483" spans="1:5">
      <c r="A4483" s="1">
        <v>45988</v>
      </c>
      <c r="B4483" t="s">
        <v>252</v>
      </c>
      <c r="C4483" t="s">
        <v>20</v>
      </c>
      <c r="D4483" t="s">
        <v>5602</v>
      </c>
      <c r="E4483">
        <v>5638</v>
      </c>
    </row>
    <row r="4484" spans="1:5">
      <c r="A4484" s="1">
        <v>45988</v>
      </c>
      <c r="B4484" t="s">
        <v>254</v>
      </c>
      <c r="C4484" t="s">
        <v>20</v>
      </c>
      <c r="D4484" t="s">
        <v>5603</v>
      </c>
      <c r="E4484">
        <v>340</v>
      </c>
    </row>
    <row r="4485" spans="1:5">
      <c r="A4485" s="1">
        <v>45988</v>
      </c>
      <c r="B4485" t="s">
        <v>5604</v>
      </c>
      <c r="C4485" t="s">
        <v>20</v>
      </c>
      <c r="D4485" t="s">
        <v>5605</v>
      </c>
      <c r="E4485">
        <v>10</v>
      </c>
    </row>
    <row r="4486" spans="1:5">
      <c r="A4486" s="1">
        <v>45988</v>
      </c>
      <c r="B4486" t="s">
        <v>4977</v>
      </c>
      <c r="C4486" t="s">
        <v>20</v>
      </c>
      <c r="D4486" t="s">
        <v>5606</v>
      </c>
      <c r="E4486">
        <v>18850</v>
      </c>
    </row>
    <row r="4487" spans="1:5">
      <c r="A4487" s="1">
        <v>45988</v>
      </c>
      <c r="B4487" t="s">
        <v>5607</v>
      </c>
      <c r="C4487" t="s">
        <v>20</v>
      </c>
      <c r="D4487" t="s">
        <v>5608</v>
      </c>
      <c r="E4487">
        <v>1760</v>
      </c>
    </row>
    <row r="4488" spans="1:5">
      <c r="A4488" s="1">
        <v>45988</v>
      </c>
      <c r="B4488" t="s">
        <v>5609</v>
      </c>
      <c r="C4488" t="s">
        <v>20</v>
      </c>
      <c r="D4488" t="s">
        <v>5610</v>
      </c>
      <c r="E4488">
        <v>2137</v>
      </c>
    </row>
    <row r="4489" spans="1:5">
      <c r="A4489" s="1">
        <v>45989</v>
      </c>
      <c r="B4489" t="s">
        <v>1049</v>
      </c>
      <c r="C4489" t="s">
        <v>19</v>
      </c>
      <c r="D4489" t="s">
        <v>5611</v>
      </c>
      <c r="E4489">
        <v>680</v>
      </c>
    </row>
    <row r="4490" spans="1:5">
      <c r="A4490" s="1">
        <v>45989</v>
      </c>
      <c r="B4490" t="s">
        <v>5612</v>
      </c>
      <c r="C4490" t="s">
        <v>19</v>
      </c>
      <c r="D4490" t="s">
        <v>5613</v>
      </c>
      <c r="E4490">
        <v>10973</v>
      </c>
    </row>
    <row r="4491" spans="1:5">
      <c r="A4491" s="1">
        <v>45989</v>
      </c>
      <c r="B4491" t="s">
        <v>5612</v>
      </c>
      <c r="C4491" t="s">
        <v>19</v>
      </c>
      <c r="D4491" t="s">
        <v>5614</v>
      </c>
      <c r="E4491">
        <v>430</v>
      </c>
    </row>
    <row r="4492" spans="1:5">
      <c r="A4492" s="1">
        <v>45989</v>
      </c>
      <c r="B4492" t="s">
        <v>2329</v>
      </c>
      <c r="C4492" t="s">
        <v>19</v>
      </c>
      <c r="D4492" t="s">
        <v>5615</v>
      </c>
      <c r="E4492">
        <v>11883</v>
      </c>
    </row>
    <row r="4493" spans="1:5">
      <c r="A4493" s="1">
        <v>45989</v>
      </c>
      <c r="B4493" t="s">
        <v>5303</v>
      </c>
      <c r="C4493" t="s">
        <v>19</v>
      </c>
      <c r="D4493" t="s">
        <v>5616</v>
      </c>
      <c r="E4493">
        <v>180</v>
      </c>
    </row>
    <row r="4494" spans="1:5">
      <c r="A4494" s="1">
        <v>45989</v>
      </c>
      <c r="B4494" t="s">
        <v>5612</v>
      </c>
      <c r="C4494" t="s">
        <v>19</v>
      </c>
      <c r="D4494" t="s">
        <v>5617</v>
      </c>
      <c r="E4494">
        <v>210</v>
      </c>
    </row>
    <row r="4495" spans="1:5">
      <c r="A4495" s="1">
        <v>45989</v>
      </c>
      <c r="B4495" t="s">
        <v>5422</v>
      </c>
      <c r="C4495" t="s">
        <v>20</v>
      </c>
      <c r="D4495" t="s">
        <v>5618</v>
      </c>
      <c r="E4495">
        <v>42323</v>
      </c>
    </row>
    <row r="4496" spans="1:5">
      <c r="A4496" s="1">
        <v>45989</v>
      </c>
      <c r="B4496" t="s">
        <v>2059</v>
      </c>
      <c r="C4496" t="s">
        <v>20</v>
      </c>
      <c r="D4496" t="s">
        <v>5619</v>
      </c>
      <c r="E4496">
        <v>1138</v>
      </c>
    </row>
    <row r="4497" spans="1:5">
      <c r="A4497" s="1">
        <v>45989</v>
      </c>
      <c r="B4497" t="s">
        <v>774</v>
      </c>
      <c r="C4497" t="s">
        <v>20</v>
      </c>
      <c r="D4497" t="s">
        <v>5620</v>
      </c>
      <c r="E4497">
        <v>2420</v>
      </c>
    </row>
    <row r="4498" spans="1:5">
      <c r="A4498" s="1">
        <v>45989</v>
      </c>
      <c r="B4498" t="s">
        <v>5621</v>
      </c>
      <c r="C4498" t="s">
        <v>20</v>
      </c>
      <c r="D4498" t="s">
        <v>5622</v>
      </c>
      <c r="E4498">
        <v>6500</v>
      </c>
    </row>
    <row r="4499" spans="1:5">
      <c r="A4499" s="1">
        <v>45989</v>
      </c>
      <c r="B4499" t="s">
        <v>1075</v>
      </c>
      <c r="C4499" t="s">
        <v>20</v>
      </c>
      <c r="D4499" t="s">
        <v>5623</v>
      </c>
      <c r="E4499">
        <v>18591</v>
      </c>
    </row>
    <row r="4500" spans="1:5">
      <c r="A4500" s="1">
        <v>45989</v>
      </c>
      <c r="B4500" t="s">
        <v>81</v>
      </c>
      <c r="C4500" t="s">
        <v>20</v>
      </c>
      <c r="D4500" t="s">
        <v>5624</v>
      </c>
      <c r="E4500">
        <v>480</v>
      </c>
    </row>
    <row r="4501" spans="1:5">
      <c r="A4501" s="1">
        <v>45989</v>
      </c>
      <c r="B4501" t="s">
        <v>68</v>
      </c>
      <c r="C4501" t="s">
        <v>20</v>
      </c>
      <c r="D4501" t="s">
        <v>5625</v>
      </c>
      <c r="E4501">
        <v>2155</v>
      </c>
    </row>
    <row r="4502" spans="1:5">
      <c r="A4502" s="1">
        <v>45989</v>
      </c>
      <c r="B4502" t="s">
        <v>5626</v>
      </c>
      <c r="C4502" t="s">
        <v>20</v>
      </c>
      <c r="D4502" t="s">
        <v>5627</v>
      </c>
      <c r="E4502">
        <v>1030</v>
      </c>
    </row>
    <row r="4503" spans="1:5">
      <c r="A4503" s="1">
        <v>45989</v>
      </c>
      <c r="B4503" t="s">
        <v>5587</v>
      </c>
      <c r="C4503" t="s">
        <v>20</v>
      </c>
      <c r="D4503" t="s">
        <v>5628</v>
      </c>
      <c r="E4503">
        <v>748</v>
      </c>
    </row>
    <row r="4504" spans="1:5">
      <c r="A4504" s="1">
        <v>45989</v>
      </c>
      <c r="B4504" t="s">
        <v>252</v>
      </c>
      <c r="C4504" t="s">
        <v>20</v>
      </c>
      <c r="D4504" t="s">
        <v>5629</v>
      </c>
      <c r="E4504">
        <v>1578</v>
      </c>
    </row>
    <row r="4505" spans="1:5">
      <c r="A4505" s="1">
        <v>45989</v>
      </c>
      <c r="B4505" t="s">
        <v>5630</v>
      </c>
      <c r="C4505" t="s">
        <v>20</v>
      </c>
      <c r="D4505" t="s">
        <v>5631</v>
      </c>
      <c r="E4505">
        <v>80</v>
      </c>
    </row>
    <row r="4506" spans="1:5">
      <c r="A4506" s="1">
        <v>45989</v>
      </c>
      <c r="B4506" t="s">
        <v>2546</v>
      </c>
      <c r="C4506" t="s">
        <v>20</v>
      </c>
      <c r="D4506" t="s">
        <v>5632</v>
      </c>
      <c r="E4506">
        <v>647</v>
      </c>
    </row>
    <row r="4507" spans="1:5">
      <c r="A4507" s="1">
        <v>45989</v>
      </c>
      <c r="B4507" t="s">
        <v>5633</v>
      </c>
      <c r="C4507" t="s">
        <v>20</v>
      </c>
      <c r="D4507" t="s">
        <v>5634</v>
      </c>
      <c r="E4507">
        <v>3843</v>
      </c>
    </row>
    <row r="4508" spans="1:5">
      <c r="A4508" s="1">
        <v>45989</v>
      </c>
      <c r="B4508" t="s">
        <v>5635</v>
      </c>
      <c r="C4508" t="s">
        <v>20</v>
      </c>
      <c r="D4508" t="s">
        <v>5636</v>
      </c>
      <c r="E4508">
        <v>4245</v>
      </c>
    </row>
    <row r="4509" spans="1:5">
      <c r="A4509" s="1">
        <v>45989</v>
      </c>
      <c r="B4509" t="s">
        <v>455</v>
      </c>
      <c r="C4509" t="s">
        <v>20</v>
      </c>
      <c r="D4509" t="s">
        <v>5637</v>
      </c>
      <c r="E4509">
        <v>2905</v>
      </c>
    </row>
    <row r="4510" spans="1:5">
      <c r="A4510" s="1">
        <v>45989</v>
      </c>
      <c r="B4510" t="s">
        <v>5638</v>
      </c>
      <c r="C4510" t="s">
        <v>20</v>
      </c>
      <c r="D4510" t="s">
        <v>5639</v>
      </c>
      <c r="E4510">
        <v>500</v>
      </c>
    </row>
    <row r="4511" spans="1:5">
      <c r="A4511" s="1">
        <v>45989</v>
      </c>
      <c r="B4511" t="s">
        <v>252</v>
      </c>
      <c r="C4511" t="s">
        <v>20</v>
      </c>
      <c r="D4511" t="s">
        <v>5640</v>
      </c>
      <c r="E4511">
        <v>700</v>
      </c>
    </row>
    <row r="4512" spans="1:5">
      <c r="A4512" s="1">
        <v>45989</v>
      </c>
      <c r="B4512" t="s">
        <v>5641</v>
      </c>
      <c r="C4512" t="s">
        <v>20</v>
      </c>
      <c r="D4512" t="s">
        <v>5642</v>
      </c>
      <c r="E4512">
        <v>21283</v>
      </c>
    </row>
    <row r="4513" spans="1:5">
      <c r="A4513" s="1">
        <v>45989</v>
      </c>
      <c r="B4513" t="s">
        <v>2206</v>
      </c>
      <c r="C4513" t="s">
        <v>20</v>
      </c>
      <c r="D4513" t="s">
        <v>5643</v>
      </c>
      <c r="E4513">
        <v>3117</v>
      </c>
    </row>
    <row r="4514" spans="1:5">
      <c r="A4514" s="1">
        <v>45989</v>
      </c>
      <c r="B4514" t="s">
        <v>5644</v>
      </c>
      <c r="C4514" t="s">
        <v>20</v>
      </c>
      <c r="D4514" t="s">
        <v>5645</v>
      </c>
      <c r="E4514">
        <v>25434</v>
      </c>
    </row>
    <row r="4515" spans="1:5">
      <c r="A4515" s="1">
        <v>45989</v>
      </c>
      <c r="B4515" t="s">
        <v>774</v>
      </c>
      <c r="C4515" t="s">
        <v>20</v>
      </c>
      <c r="D4515" t="s">
        <v>5646</v>
      </c>
      <c r="E4515">
        <v>1096</v>
      </c>
    </row>
    <row r="4516" spans="1:5">
      <c r="A4516" s="1">
        <v>45989</v>
      </c>
      <c r="B4516" t="s">
        <v>5647</v>
      </c>
      <c r="C4516" t="s">
        <v>20</v>
      </c>
      <c r="D4516" t="s">
        <v>5648</v>
      </c>
      <c r="E4516">
        <v>33663</v>
      </c>
    </row>
    <row r="4517" spans="1:5">
      <c r="A4517" s="1">
        <v>45990</v>
      </c>
      <c r="B4517" t="s">
        <v>180</v>
      </c>
      <c r="C4517" t="s">
        <v>19</v>
      </c>
      <c r="D4517" t="s">
        <v>5649</v>
      </c>
      <c r="E4517">
        <v>32500</v>
      </c>
    </row>
    <row r="4518" spans="1:5">
      <c r="A4518" s="1">
        <v>45990</v>
      </c>
      <c r="B4518" t="s">
        <v>1106</v>
      </c>
      <c r="C4518" t="s">
        <v>19</v>
      </c>
      <c r="D4518" t="s">
        <v>5650</v>
      </c>
      <c r="E4518">
        <v>31681</v>
      </c>
    </row>
    <row r="4519" spans="1:5">
      <c r="A4519" s="1">
        <v>45990</v>
      </c>
      <c r="B4519" t="s">
        <v>5398</v>
      </c>
      <c r="C4519" t="s">
        <v>19</v>
      </c>
      <c r="D4519" t="s">
        <v>5651</v>
      </c>
      <c r="E4519">
        <v>1462</v>
      </c>
    </row>
    <row r="4520" spans="1:5">
      <c r="A4520" s="1">
        <v>45990</v>
      </c>
      <c r="B4520" t="s">
        <v>96</v>
      </c>
      <c r="C4520" t="s">
        <v>19</v>
      </c>
      <c r="D4520" t="s">
        <v>5652</v>
      </c>
      <c r="E4520">
        <v>8347</v>
      </c>
    </row>
    <row r="4521" spans="1:5">
      <c r="A4521" s="1">
        <v>45990</v>
      </c>
      <c r="B4521" t="s">
        <v>4571</v>
      </c>
      <c r="C4521" t="s">
        <v>19</v>
      </c>
      <c r="D4521" t="s">
        <v>5653</v>
      </c>
      <c r="E4521">
        <v>92245</v>
      </c>
    </row>
    <row r="4522" spans="1:5">
      <c r="A4522" s="1">
        <v>45990</v>
      </c>
      <c r="B4522" t="s">
        <v>5654</v>
      </c>
      <c r="C4522" t="s">
        <v>19</v>
      </c>
      <c r="D4522" t="s">
        <v>5655</v>
      </c>
      <c r="E4522">
        <v>30000</v>
      </c>
    </row>
    <row r="4523" spans="1:5">
      <c r="A4523" s="1">
        <v>45990</v>
      </c>
      <c r="B4523" t="s">
        <v>68</v>
      </c>
      <c r="C4523" t="s">
        <v>20</v>
      </c>
      <c r="D4523" t="s">
        <v>5656</v>
      </c>
      <c r="E4523">
        <v>2985</v>
      </c>
    </row>
    <row r="4524" spans="1:5">
      <c r="A4524" s="1">
        <v>45990</v>
      </c>
      <c r="B4524" t="s">
        <v>5657</v>
      </c>
      <c r="C4524" t="s">
        <v>20</v>
      </c>
      <c r="D4524" t="s">
        <v>5658</v>
      </c>
      <c r="E4524">
        <v>1370</v>
      </c>
    </row>
    <row r="4525" spans="1:5">
      <c r="A4525" s="1">
        <v>45990</v>
      </c>
      <c r="B4525" t="s">
        <v>4792</v>
      </c>
      <c r="C4525" t="s">
        <v>20</v>
      </c>
      <c r="D4525" t="s">
        <v>5659</v>
      </c>
      <c r="E4525">
        <v>150</v>
      </c>
    </row>
    <row r="4526" spans="1:5">
      <c r="A4526" s="1">
        <v>45990</v>
      </c>
      <c r="B4526" t="s">
        <v>35</v>
      </c>
      <c r="C4526" t="s">
        <v>20</v>
      </c>
      <c r="D4526" t="s">
        <v>5660</v>
      </c>
      <c r="E4526">
        <v>11734</v>
      </c>
    </row>
    <row r="4527" spans="1:5">
      <c r="A4527" s="1">
        <v>45990</v>
      </c>
      <c r="B4527" t="s">
        <v>5661</v>
      </c>
      <c r="C4527" t="s">
        <v>20</v>
      </c>
      <c r="D4527" t="s">
        <v>5662</v>
      </c>
      <c r="E4527">
        <v>12236</v>
      </c>
    </row>
    <row r="4528" spans="1:5">
      <c r="A4528" s="1">
        <v>45990</v>
      </c>
      <c r="B4528" t="s">
        <v>3089</v>
      </c>
      <c r="C4528" t="s">
        <v>20</v>
      </c>
      <c r="D4528" t="s">
        <v>5663</v>
      </c>
      <c r="E4528">
        <v>7365</v>
      </c>
    </row>
    <row r="4529" spans="1:5">
      <c r="A4529" s="1">
        <v>45990</v>
      </c>
      <c r="B4529" t="s">
        <v>5664</v>
      </c>
      <c r="C4529" t="s">
        <v>20</v>
      </c>
      <c r="D4529" t="s">
        <v>5665</v>
      </c>
      <c r="E4529">
        <v>12838</v>
      </c>
    </row>
    <row r="4530" spans="1:5">
      <c r="A4530" s="1">
        <v>45990</v>
      </c>
      <c r="B4530" t="s">
        <v>76</v>
      </c>
      <c r="C4530" t="s">
        <v>20</v>
      </c>
      <c r="D4530" t="s">
        <v>5666</v>
      </c>
      <c r="E4530">
        <v>16203</v>
      </c>
    </row>
    <row r="4531" spans="1:5">
      <c r="A4531" s="1">
        <v>45990</v>
      </c>
      <c r="B4531" t="s">
        <v>5376</v>
      </c>
      <c r="C4531" t="s">
        <v>20</v>
      </c>
      <c r="D4531" t="s">
        <v>5667</v>
      </c>
      <c r="E4531">
        <v>3230</v>
      </c>
    </row>
    <row r="4532" spans="1:5">
      <c r="A4532" s="1">
        <v>45990</v>
      </c>
      <c r="B4532" t="s">
        <v>5105</v>
      </c>
      <c r="C4532" t="s">
        <v>20</v>
      </c>
      <c r="D4532" t="s">
        <v>5668</v>
      </c>
      <c r="E4532">
        <v>340</v>
      </c>
    </row>
    <row r="4533" spans="1:5">
      <c r="A4533" s="1">
        <v>45990</v>
      </c>
      <c r="B4533" t="s">
        <v>43</v>
      </c>
      <c r="C4533" t="s">
        <v>20</v>
      </c>
      <c r="D4533" t="s">
        <v>5669</v>
      </c>
      <c r="E4533">
        <v>46948</v>
      </c>
    </row>
    <row r="4534" spans="1:5">
      <c r="A4534" s="1">
        <v>45990</v>
      </c>
      <c r="B4534" t="s">
        <v>5607</v>
      </c>
      <c r="C4534" t="s">
        <v>20</v>
      </c>
      <c r="D4534" t="s">
        <v>5670</v>
      </c>
      <c r="E4534">
        <v>2835</v>
      </c>
    </row>
    <row r="4535" spans="1:5">
      <c r="A4535" s="1">
        <v>45990</v>
      </c>
      <c r="B4535" t="s">
        <v>5671</v>
      </c>
      <c r="C4535" t="s">
        <v>20</v>
      </c>
      <c r="D4535" t="s">
        <v>5672</v>
      </c>
      <c r="E4535">
        <v>50</v>
      </c>
    </row>
    <row r="4536" spans="1:5">
      <c r="A4536" s="1">
        <v>45990</v>
      </c>
      <c r="B4536" t="s">
        <v>5504</v>
      </c>
      <c r="C4536" t="s">
        <v>20</v>
      </c>
      <c r="D4536" t="s">
        <v>5673</v>
      </c>
      <c r="E4536">
        <v>1950</v>
      </c>
    </row>
    <row r="4537" spans="1:5">
      <c r="A4537" s="1">
        <v>45990</v>
      </c>
      <c r="B4537" t="s">
        <v>360</v>
      </c>
      <c r="C4537" t="s">
        <v>20</v>
      </c>
      <c r="D4537" t="s">
        <v>5674</v>
      </c>
      <c r="E4537">
        <v>20382</v>
      </c>
    </row>
    <row r="4538" spans="1:5">
      <c r="A4538" s="1">
        <v>45990</v>
      </c>
      <c r="B4538" t="s">
        <v>4977</v>
      </c>
      <c r="C4538" t="s">
        <v>20</v>
      </c>
      <c r="D4538" t="s">
        <v>5675</v>
      </c>
      <c r="E4538">
        <v>498</v>
      </c>
    </row>
    <row r="4539" spans="1:5">
      <c r="A4539" s="1">
        <v>45990</v>
      </c>
      <c r="B4539" t="s">
        <v>5676</v>
      </c>
      <c r="C4539" t="s">
        <v>20</v>
      </c>
      <c r="D4539" t="s">
        <v>5677</v>
      </c>
      <c r="E4539">
        <v>11237</v>
      </c>
    </row>
    <row r="4540" spans="1:5">
      <c r="A4540" s="1">
        <v>45990</v>
      </c>
      <c r="B4540" t="s">
        <v>3414</v>
      </c>
      <c r="C4540" t="s">
        <v>20</v>
      </c>
      <c r="D4540" t="s">
        <v>5678</v>
      </c>
      <c r="E4540">
        <v>680</v>
      </c>
    </row>
    <row r="4541" spans="1:5">
      <c r="A4541" s="1">
        <v>45990</v>
      </c>
      <c r="B4541" t="s">
        <v>5679</v>
      </c>
      <c r="C4541" t="s">
        <v>20</v>
      </c>
      <c r="D4541" t="s">
        <v>5680</v>
      </c>
      <c r="E4541">
        <v>190</v>
      </c>
    </row>
    <row r="4542" spans="1:5">
      <c r="A4542" s="1">
        <v>45990</v>
      </c>
      <c r="B4542" t="s">
        <v>1196</v>
      </c>
      <c r="C4542" t="s">
        <v>20</v>
      </c>
      <c r="D4542" t="s">
        <v>5681</v>
      </c>
      <c r="E4542">
        <v>50</v>
      </c>
    </row>
    <row r="4543" spans="1:5">
      <c r="A4543" s="1">
        <v>45990</v>
      </c>
      <c r="B4543" t="s">
        <v>35</v>
      </c>
      <c r="C4543" t="s">
        <v>20</v>
      </c>
      <c r="D4543" t="s">
        <v>5682</v>
      </c>
      <c r="E4543">
        <v>4290</v>
      </c>
    </row>
    <row r="4544" spans="1:5">
      <c r="A4544" s="1">
        <v>45990</v>
      </c>
      <c r="B4544" t="s">
        <v>5683</v>
      </c>
      <c r="C4544" t="s">
        <v>20</v>
      </c>
      <c r="D4544" t="s">
        <v>5684</v>
      </c>
      <c r="E4544">
        <v>892</v>
      </c>
    </row>
    <row r="4545" spans="1:5">
      <c r="A4545" s="1">
        <v>45990</v>
      </c>
      <c r="B4545" t="s">
        <v>2452</v>
      </c>
      <c r="C4545" t="s">
        <v>20</v>
      </c>
      <c r="D4545" t="s">
        <v>5685</v>
      </c>
      <c r="E4545">
        <v>15727</v>
      </c>
    </row>
    <row r="4546" spans="1:5">
      <c r="A4546" s="1">
        <v>45992</v>
      </c>
      <c r="B4546" t="s">
        <v>2749</v>
      </c>
      <c r="C4546" t="s">
        <v>20</v>
      </c>
      <c r="D4546" t="s">
        <v>5686</v>
      </c>
      <c r="E4546">
        <v>1980</v>
      </c>
    </row>
    <row r="4547" spans="1:5">
      <c r="A4547" s="1">
        <v>45992</v>
      </c>
      <c r="B4547" t="s">
        <v>2303</v>
      </c>
      <c r="C4547" t="s">
        <v>20</v>
      </c>
      <c r="D4547" t="s">
        <v>5687</v>
      </c>
      <c r="E4547">
        <v>3105</v>
      </c>
    </row>
    <row r="4548" spans="1:5">
      <c r="A4548" s="1">
        <v>45992</v>
      </c>
      <c r="B4548" t="s">
        <v>4947</v>
      </c>
      <c r="C4548" t="s">
        <v>20</v>
      </c>
      <c r="D4548" t="s">
        <v>5688</v>
      </c>
      <c r="E4548">
        <v>680</v>
      </c>
    </row>
    <row r="4549" spans="1:5">
      <c r="A4549" s="1">
        <v>45992</v>
      </c>
      <c r="B4549" t="s">
        <v>5657</v>
      </c>
      <c r="C4549" t="s">
        <v>20</v>
      </c>
      <c r="D4549" t="s">
        <v>5689</v>
      </c>
      <c r="E4549">
        <v>330</v>
      </c>
    </row>
    <row r="4550" spans="1:5">
      <c r="A4550" s="1">
        <v>45992</v>
      </c>
      <c r="B4550" t="s">
        <v>76</v>
      </c>
      <c r="C4550" t="s">
        <v>20</v>
      </c>
      <c r="D4550" t="s">
        <v>5690</v>
      </c>
      <c r="E4550">
        <v>54510</v>
      </c>
    </row>
    <row r="4551" spans="1:5">
      <c r="A4551" s="1">
        <v>45992</v>
      </c>
      <c r="B4551" t="s">
        <v>68</v>
      </c>
      <c r="C4551" t="s">
        <v>20</v>
      </c>
      <c r="D4551" t="s">
        <v>5691</v>
      </c>
      <c r="E4551">
        <v>60</v>
      </c>
    </row>
    <row r="4552" spans="1:5">
      <c r="A4552" s="1">
        <v>45992</v>
      </c>
      <c r="B4552" t="s">
        <v>100</v>
      </c>
      <c r="C4552" t="s">
        <v>20</v>
      </c>
      <c r="D4552" t="s">
        <v>5692</v>
      </c>
      <c r="E4552">
        <v>13772</v>
      </c>
    </row>
    <row r="4553" spans="1:5">
      <c r="A4553" s="1">
        <v>45992</v>
      </c>
      <c r="B4553" t="s">
        <v>5422</v>
      </c>
      <c r="C4553" t="s">
        <v>20</v>
      </c>
      <c r="D4553" t="s">
        <v>5693</v>
      </c>
      <c r="E4553">
        <v>20372</v>
      </c>
    </row>
    <row r="4554" spans="1:5">
      <c r="A4554" s="1">
        <v>45992</v>
      </c>
      <c r="B4554" t="s">
        <v>3631</v>
      </c>
      <c r="C4554" t="s">
        <v>20</v>
      </c>
      <c r="D4554" t="s">
        <v>5694</v>
      </c>
      <c r="E4554">
        <v>2720</v>
      </c>
    </row>
    <row r="4555" spans="1:5">
      <c r="A4555" s="1">
        <v>45992</v>
      </c>
      <c r="B4555" t="s">
        <v>3959</v>
      </c>
      <c r="C4555" t="s">
        <v>20</v>
      </c>
      <c r="D4555" t="s">
        <v>5695</v>
      </c>
      <c r="E4555">
        <v>3695</v>
      </c>
    </row>
    <row r="4556" spans="1:5">
      <c r="A4556" s="1">
        <v>45992</v>
      </c>
      <c r="B4556" t="s">
        <v>137</v>
      </c>
      <c r="C4556" t="s">
        <v>20</v>
      </c>
      <c r="D4556" t="s">
        <v>5696</v>
      </c>
      <c r="E4556">
        <v>450</v>
      </c>
    </row>
    <row r="4557" spans="1:5">
      <c r="A4557" s="1">
        <v>45992</v>
      </c>
      <c r="B4557" t="s">
        <v>5697</v>
      </c>
      <c r="C4557" t="s">
        <v>20</v>
      </c>
      <c r="D4557" t="s">
        <v>5698</v>
      </c>
      <c r="E4557">
        <v>2571</v>
      </c>
    </row>
    <row r="4558" spans="1:5">
      <c r="A4558" s="1">
        <v>45992</v>
      </c>
      <c r="B4558" t="s">
        <v>2486</v>
      </c>
      <c r="C4558" t="s">
        <v>20</v>
      </c>
      <c r="D4558" t="s">
        <v>5699</v>
      </c>
      <c r="E4558">
        <v>7061</v>
      </c>
    </row>
    <row r="4559" spans="1:5">
      <c r="A4559" s="1">
        <v>45992</v>
      </c>
      <c r="B4559" t="s">
        <v>2143</v>
      </c>
      <c r="C4559" t="s">
        <v>20</v>
      </c>
      <c r="D4559" t="s">
        <v>5700</v>
      </c>
      <c r="E4559">
        <v>28995</v>
      </c>
    </row>
    <row r="4560" spans="1:5">
      <c r="A4560" s="1">
        <v>45992</v>
      </c>
      <c r="B4560" t="s">
        <v>5701</v>
      </c>
      <c r="C4560" t="s">
        <v>20</v>
      </c>
      <c r="D4560" t="s">
        <v>5702</v>
      </c>
      <c r="E4560">
        <v>7477</v>
      </c>
    </row>
    <row r="4561" spans="1:5">
      <c r="A4561" s="1">
        <v>45992</v>
      </c>
      <c r="B4561" t="s">
        <v>137</v>
      </c>
      <c r="C4561" t="s">
        <v>20</v>
      </c>
      <c r="D4561" t="s">
        <v>5703</v>
      </c>
      <c r="E4561">
        <v>670</v>
      </c>
    </row>
    <row r="4562" spans="1:5">
      <c r="A4562" s="1">
        <v>45992</v>
      </c>
      <c r="B4562" t="s">
        <v>5704</v>
      </c>
      <c r="C4562" t="s">
        <v>20</v>
      </c>
      <c r="D4562" t="s">
        <v>5705</v>
      </c>
      <c r="E4562">
        <v>180</v>
      </c>
    </row>
    <row r="4563" spans="1:5">
      <c r="A4563" s="1">
        <v>45992</v>
      </c>
      <c r="B4563" t="s">
        <v>5280</v>
      </c>
      <c r="C4563" t="s">
        <v>20</v>
      </c>
      <c r="D4563" t="s">
        <v>5706</v>
      </c>
      <c r="E4563">
        <v>3588</v>
      </c>
    </row>
    <row r="4564" spans="1:5">
      <c r="A4564" s="1">
        <v>45993</v>
      </c>
      <c r="B4564" t="s">
        <v>5398</v>
      </c>
      <c r="C4564" t="s">
        <v>19</v>
      </c>
      <c r="D4564" t="s">
        <v>5707</v>
      </c>
      <c r="E4564">
        <v>11126</v>
      </c>
    </row>
    <row r="4565" spans="1:5">
      <c r="A4565" s="1">
        <v>45993</v>
      </c>
      <c r="B4565" t="s">
        <v>50</v>
      </c>
      <c r="C4565" t="s">
        <v>20</v>
      </c>
      <c r="D4565" t="s">
        <v>5708</v>
      </c>
      <c r="E4565">
        <v>49500</v>
      </c>
    </row>
    <row r="4566" spans="1:5">
      <c r="A4566" s="1">
        <v>45993</v>
      </c>
      <c r="B4566" t="s">
        <v>2455</v>
      </c>
      <c r="C4566" t="s">
        <v>20</v>
      </c>
      <c r="D4566" t="s">
        <v>5709</v>
      </c>
      <c r="E4566">
        <v>8375</v>
      </c>
    </row>
    <row r="4567" spans="1:5">
      <c r="A4567" s="1">
        <v>45993</v>
      </c>
      <c r="B4567" t="s">
        <v>875</v>
      </c>
      <c r="C4567" t="s">
        <v>20</v>
      </c>
      <c r="D4567" t="s">
        <v>5710</v>
      </c>
      <c r="E4567">
        <v>26636</v>
      </c>
    </row>
    <row r="4568" spans="1:5">
      <c r="A4568" s="1">
        <v>45993</v>
      </c>
      <c r="B4568" t="s">
        <v>5711</v>
      </c>
      <c r="C4568" t="s">
        <v>20</v>
      </c>
      <c r="D4568" t="s">
        <v>5712</v>
      </c>
      <c r="E4568">
        <v>12288</v>
      </c>
    </row>
    <row r="4569" spans="1:5">
      <c r="A4569" s="1">
        <v>45993</v>
      </c>
      <c r="B4569" t="s">
        <v>4928</v>
      </c>
      <c r="C4569" t="s">
        <v>20</v>
      </c>
      <c r="D4569" t="s">
        <v>5713</v>
      </c>
      <c r="E4569">
        <v>3142</v>
      </c>
    </row>
    <row r="4570" spans="1:5">
      <c r="A4570" s="1">
        <v>45993</v>
      </c>
      <c r="B4570" t="s">
        <v>287</v>
      </c>
      <c r="C4570" t="s">
        <v>20</v>
      </c>
      <c r="D4570" t="s">
        <v>5714</v>
      </c>
      <c r="E4570">
        <v>5277</v>
      </c>
    </row>
    <row r="4571" spans="1:5">
      <c r="A4571" s="1">
        <v>45993</v>
      </c>
      <c r="B4571" t="s">
        <v>287</v>
      </c>
      <c r="C4571" t="s">
        <v>20</v>
      </c>
      <c r="D4571" t="s">
        <v>5715</v>
      </c>
      <c r="E4571">
        <v>3343</v>
      </c>
    </row>
    <row r="4572" spans="1:5">
      <c r="A4572" s="1">
        <v>45993</v>
      </c>
      <c r="B4572" t="s">
        <v>100</v>
      </c>
      <c r="C4572" t="s">
        <v>20</v>
      </c>
      <c r="D4572" t="s">
        <v>5716</v>
      </c>
      <c r="E4572">
        <v>3543</v>
      </c>
    </row>
    <row r="4573" spans="1:5">
      <c r="A4573" s="1">
        <v>45993</v>
      </c>
      <c r="B4573" t="s">
        <v>43</v>
      </c>
      <c r="C4573" t="s">
        <v>20</v>
      </c>
      <c r="D4573" t="s">
        <v>5717</v>
      </c>
      <c r="E4573">
        <v>685</v>
      </c>
    </row>
    <row r="4574" spans="1:5">
      <c r="A4574" s="1">
        <v>45993</v>
      </c>
      <c r="B4574" t="s">
        <v>50</v>
      </c>
      <c r="C4574" t="s">
        <v>20</v>
      </c>
      <c r="D4574" t="s">
        <v>5718</v>
      </c>
      <c r="E4574">
        <v>2680</v>
      </c>
    </row>
    <row r="4575" spans="1:5">
      <c r="A4575" s="1">
        <v>45993</v>
      </c>
      <c r="B4575" t="s">
        <v>932</v>
      </c>
      <c r="C4575" t="s">
        <v>20</v>
      </c>
      <c r="D4575" t="s">
        <v>5719</v>
      </c>
      <c r="E4575">
        <v>6600</v>
      </c>
    </row>
    <row r="4576" spans="1:5">
      <c r="A4576" s="1">
        <v>45993</v>
      </c>
      <c r="B4576" t="s">
        <v>2206</v>
      </c>
      <c r="C4576" t="s">
        <v>20</v>
      </c>
      <c r="D4576" t="s">
        <v>5720</v>
      </c>
      <c r="E4576">
        <v>4043</v>
      </c>
    </row>
    <row r="4577" spans="1:5">
      <c r="A4577" s="1">
        <v>45993</v>
      </c>
      <c r="B4577" t="s">
        <v>3089</v>
      </c>
      <c r="C4577" t="s">
        <v>20</v>
      </c>
      <c r="D4577" t="s">
        <v>5721</v>
      </c>
      <c r="E4577">
        <v>1445</v>
      </c>
    </row>
    <row r="4578" spans="1:5">
      <c r="A4578" s="1">
        <v>45993</v>
      </c>
      <c r="B4578" t="s">
        <v>2534</v>
      </c>
      <c r="C4578" t="s">
        <v>20</v>
      </c>
      <c r="D4578" t="s">
        <v>5722</v>
      </c>
      <c r="E4578">
        <v>1181</v>
      </c>
    </row>
    <row r="4579" spans="1:5">
      <c r="A4579" s="1">
        <v>45993</v>
      </c>
      <c r="B4579" t="s">
        <v>68</v>
      </c>
      <c r="C4579" t="s">
        <v>20</v>
      </c>
      <c r="D4579" t="s">
        <v>5723</v>
      </c>
      <c r="E4579">
        <v>14215</v>
      </c>
    </row>
    <row r="4580" spans="1:5">
      <c r="A4580" s="1">
        <v>45993</v>
      </c>
      <c r="B4580" t="s">
        <v>68</v>
      </c>
      <c r="C4580" t="s">
        <v>20</v>
      </c>
      <c r="D4580" t="s">
        <v>5724</v>
      </c>
      <c r="E4580">
        <v>3090</v>
      </c>
    </row>
    <row r="4581" spans="1:5">
      <c r="A4581" s="1">
        <v>45993</v>
      </c>
      <c r="B4581" t="s">
        <v>5725</v>
      </c>
      <c r="C4581" t="s">
        <v>20</v>
      </c>
      <c r="D4581" t="s">
        <v>5726</v>
      </c>
      <c r="E4581">
        <v>5574</v>
      </c>
    </row>
    <row r="4582" spans="1:5">
      <c r="A4582" s="1">
        <v>45993</v>
      </c>
      <c r="B4582" t="s">
        <v>5105</v>
      </c>
      <c r="C4582" t="s">
        <v>20</v>
      </c>
      <c r="D4582" t="s">
        <v>5727</v>
      </c>
      <c r="E4582">
        <v>340</v>
      </c>
    </row>
    <row r="4583" spans="1:5">
      <c r="A4583" s="1">
        <v>45994</v>
      </c>
      <c r="B4583" t="s">
        <v>5303</v>
      </c>
      <c r="C4583" t="s">
        <v>19</v>
      </c>
      <c r="D4583" t="s">
        <v>5728</v>
      </c>
      <c r="E4583">
        <v>5386</v>
      </c>
    </row>
    <row r="4584" spans="1:5">
      <c r="A4584" s="1">
        <v>45994</v>
      </c>
      <c r="B4584" t="s">
        <v>76</v>
      </c>
      <c r="C4584" t="s">
        <v>20</v>
      </c>
      <c r="D4584" t="s">
        <v>5729</v>
      </c>
      <c r="E4584">
        <v>3300</v>
      </c>
    </row>
    <row r="4585" spans="1:5">
      <c r="A4585" s="1">
        <v>45994</v>
      </c>
      <c r="B4585" t="s">
        <v>1075</v>
      </c>
      <c r="C4585" t="s">
        <v>20</v>
      </c>
      <c r="D4585" t="s">
        <v>5730</v>
      </c>
      <c r="E4585">
        <v>19353</v>
      </c>
    </row>
    <row r="4586" spans="1:5">
      <c r="A4586" s="1">
        <v>45994</v>
      </c>
      <c r="B4586" t="s">
        <v>817</v>
      </c>
      <c r="C4586" t="s">
        <v>20</v>
      </c>
      <c r="D4586" t="s">
        <v>5731</v>
      </c>
      <c r="E4586">
        <v>6904</v>
      </c>
    </row>
    <row r="4587" spans="1:5">
      <c r="A4587" s="1">
        <v>45994</v>
      </c>
      <c r="B4587" t="s">
        <v>2288</v>
      </c>
      <c r="C4587" t="s">
        <v>20</v>
      </c>
      <c r="D4587" t="s">
        <v>5732</v>
      </c>
      <c r="E4587">
        <v>6600</v>
      </c>
    </row>
    <row r="4588" spans="1:5">
      <c r="A4588" s="1">
        <v>45994</v>
      </c>
      <c r="B4588" t="s">
        <v>50</v>
      </c>
      <c r="C4588" t="s">
        <v>20</v>
      </c>
      <c r="D4588" t="s">
        <v>5733</v>
      </c>
      <c r="E4588">
        <v>49500</v>
      </c>
    </row>
    <row r="4589" spans="1:5">
      <c r="A4589" s="1">
        <v>45994</v>
      </c>
      <c r="B4589" t="s">
        <v>4144</v>
      </c>
      <c r="C4589" t="s">
        <v>20</v>
      </c>
      <c r="D4589" t="s">
        <v>5734</v>
      </c>
      <c r="E4589">
        <v>6600</v>
      </c>
    </row>
    <row r="4590" spans="1:5">
      <c r="A4590" s="1">
        <v>45994</v>
      </c>
      <c r="B4590" t="s">
        <v>33</v>
      </c>
      <c r="C4590" t="s">
        <v>20</v>
      </c>
      <c r="D4590" t="s">
        <v>5735</v>
      </c>
      <c r="E4590">
        <v>330</v>
      </c>
    </row>
    <row r="4591" spans="1:5">
      <c r="A4591" s="1">
        <v>45994</v>
      </c>
      <c r="B4591" t="s">
        <v>4928</v>
      </c>
      <c r="C4591" t="s">
        <v>20</v>
      </c>
      <c r="D4591" t="s">
        <v>5736</v>
      </c>
      <c r="E4591">
        <v>2310</v>
      </c>
    </row>
    <row r="4592" spans="1:5">
      <c r="A4592" s="1">
        <v>45994</v>
      </c>
      <c r="B4592" t="s">
        <v>5737</v>
      </c>
      <c r="C4592" t="s">
        <v>20</v>
      </c>
      <c r="D4592" t="s">
        <v>5738</v>
      </c>
      <c r="E4592">
        <v>330</v>
      </c>
    </row>
    <row r="4593" spans="1:5">
      <c r="A4593" s="1">
        <v>45994</v>
      </c>
      <c r="B4593" t="s">
        <v>5647</v>
      </c>
      <c r="C4593" t="s">
        <v>20</v>
      </c>
      <c r="D4593" t="s">
        <v>5739</v>
      </c>
      <c r="E4593">
        <v>740</v>
      </c>
    </row>
    <row r="4594" spans="1:5">
      <c r="A4594" s="1">
        <v>45994</v>
      </c>
      <c r="B4594" t="s">
        <v>35</v>
      </c>
      <c r="C4594" t="s">
        <v>20</v>
      </c>
      <c r="D4594" t="s">
        <v>5740</v>
      </c>
      <c r="E4594">
        <v>4128</v>
      </c>
    </row>
    <row r="4595" spans="1:5">
      <c r="A4595" s="1">
        <v>45994</v>
      </c>
      <c r="B4595" t="s">
        <v>76</v>
      </c>
      <c r="C4595" t="s">
        <v>20</v>
      </c>
      <c r="D4595" t="s">
        <v>5741</v>
      </c>
      <c r="E4595">
        <v>1510</v>
      </c>
    </row>
    <row r="4596" spans="1:5">
      <c r="A4596" s="1">
        <v>45994</v>
      </c>
      <c r="B4596" t="s">
        <v>5641</v>
      </c>
      <c r="C4596" t="s">
        <v>20</v>
      </c>
      <c r="D4596" t="s">
        <v>5742</v>
      </c>
      <c r="E4596">
        <v>21880</v>
      </c>
    </row>
    <row r="4597" spans="1:5">
      <c r="A4597" s="1">
        <v>45994</v>
      </c>
      <c r="B4597" t="s">
        <v>3479</v>
      </c>
      <c r="C4597" t="s">
        <v>20</v>
      </c>
      <c r="D4597" t="s">
        <v>5743</v>
      </c>
      <c r="E4597">
        <v>690</v>
      </c>
    </row>
    <row r="4598" spans="1:5">
      <c r="A4598" s="1">
        <v>45994</v>
      </c>
      <c r="B4598" t="s">
        <v>1541</v>
      </c>
      <c r="C4598" t="s">
        <v>20</v>
      </c>
      <c r="D4598" t="s">
        <v>5744</v>
      </c>
      <c r="E4598">
        <v>29086</v>
      </c>
    </row>
    <row r="4599" spans="1:5">
      <c r="A4599" s="1">
        <v>45994</v>
      </c>
      <c r="B4599" t="s">
        <v>375</v>
      </c>
      <c r="C4599" t="s">
        <v>20</v>
      </c>
      <c r="D4599" t="s">
        <v>5745</v>
      </c>
      <c r="E4599">
        <v>1078</v>
      </c>
    </row>
    <row r="4600" spans="1:5">
      <c r="A4600" s="1">
        <v>45995</v>
      </c>
      <c r="B4600" t="s">
        <v>1104</v>
      </c>
      <c r="C4600" t="s">
        <v>19</v>
      </c>
      <c r="D4600" t="s">
        <v>5746</v>
      </c>
      <c r="E4600">
        <v>1573</v>
      </c>
    </row>
    <row r="4601" spans="1:5">
      <c r="A4601" s="1">
        <v>45995</v>
      </c>
      <c r="B4601" t="s">
        <v>1075</v>
      </c>
      <c r="C4601" t="s">
        <v>20</v>
      </c>
      <c r="D4601" t="s">
        <v>5747</v>
      </c>
      <c r="E4601">
        <v>13200</v>
      </c>
    </row>
    <row r="4602" spans="1:5">
      <c r="A4602" s="1">
        <v>45995</v>
      </c>
      <c r="B4602" t="s">
        <v>50</v>
      </c>
      <c r="C4602" t="s">
        <v>20</v>
      </c>
      <c r="D4602" t="s">
        <v>5748</v>
      </c>
      <c r="E4602">
        <v>49500</v>
      </c>
    </row>
    <row r="4603" spans="1:5">
      <c r="A4603" s="1">
        <v>45995</v>
      </c>
      <c r="B4603" t="s">
        <v>2879</v>
      </c>
      <c r="C4603" t="s">
        <v>20</v>
      </c>
      <c r="D4603" t="s">
        <v>5749</v>
      </c>
      <c r="E4603">
        <v>2179</v>
      </c>
    </row>
    <row r="4604" spans="1:5">
      <c r="A4604" s="1">
        <v>45995</v>
      </c>
      <c r="B4604" t="s">
        <v>4947</v>
      </c>
      <c r="C4604" t="s">
        <v>20</v>
      </c>
      <c r="D4604" t="s">
        <v>5750</v>
      </c>
      <c r="E4604">
        <v>7690</v>
      </c>
    </row>
    <row r="4605" spans="1:5">
      <c r="A4605" s="1">
        <v>45995</v>
      </c>
      <c r="B4605" t="s">
        <v>875</v>
      </c>
      <c r="C4605" t="s">
        <v>20</v>
      </c>
      <c r="D4605" t="s">
        <v>5751</v>
      </c>
      <c r="E4605">
        <v>8125</v>
      </c>
    </row>
    <row r="4606" spans="1:5">
      <c r="A4606" s="1">
        <v>45995</v>
      </c>
      <c r="B4606" t="s">
        <v>854</v>
      </c>
      <c r="C4606" t="s">
        <v>20</v>
      </c>
      <c r="D4606" t="s">
        <v>5752</v>
      </c>
      <c r="E4606">
        <v>2745</v>
      </c>
    </row>
    <row r="4607" spans="1:5">
      <c r="A4607" s="1">
        <v>45995</v>
      </c>
      <c r="B4607" t="s">
        <v>875</v>
      </c>
      <c r="C4607" t="s">
        <v>20</v>
      </c>
      <c r="D4607" t="s">
        <v>5753</v>
      </c>
      <c r="E4607">
        <v>200</v>
      </c>
    </row>
    <row r="4608" spans="1:5">
      <c r="A4608" s="1">
        <v>45995</v>
      </c>
      <c r="B4608" t="s">
        <v>43</v>
      </c>
      <c r="C4608" t="s">
        <v>20</v>
      </c>
      <c r="D4608" t="s">
        <v>5754</v>
      </c>
      <c r="E4608">
        <v>120</v>
      </c>
    </row>
    <row r="4609" spans="1:5">
      <c r="A4609" s="1">
        <v>45995</v>
      </c>
      <c r="B4609" t="s">
        <v>5711</v>
      </c>
      <c r="C4609" t="s">
        <v>20</v>
      </c>
      <c r="D4609" t="s">
        <v>5755</v>
      </c>
      <c r="E4609">
        <v>977</v>
      </c>
    </row>
    <row r="4610" spans="1:5">
      <c r="A4610" s="1">
        <v>45995</v>
      </c>
      <c r="B4610" t="s">
        <v>1179</v>
      </c>
      <c r="C4610" t="s">
        <v>20</v>
      </c>
      <c r="D4610" t="s">
        <v>5756</v>
      </c>
      <c r="E4610">
        <v>20842</v>
      </c>
    </row>
    <row r="4611" spans="1:5">
      <c r="A4611" s="1">
        <v>45995</v>
      </c>
      <c r="B4611" t="s">
        <v>252</v>
      </c>
      <c r="C4611" t="s">
        <v>20</v>
      </c>
      <c r="D4611" t="s">
        <v>5757</v>
      </c>
      <c r="E4611">
        <v>1980</v>
      </c>
    </row>
    <row r="4612" spans="1:5">
      <c r="A4612" s="1">
        <v>45995</v>
      </c>
      <c r="B4612" t="s">
        <v>68</v>
      </c>
      <c r="C4612" t="s">
        <v>20</v>
      </c>
      <c r="D4612" t="s">
        <v>5758</v>
      </c>
      <c r="E4612">
        <v>5016</v>
      </c>
    </row>
    <row r="4613" spans="1:5">
      <c r="A4613" s="1">
        <v>45995</v>
      </c>
      <c r="B4613" t="s">
        <v>43</v>
      </c>
      <c r="C4613" t="s">
        <v>20</v>
      </c>
      <c r="D4613" t="s">
        <v>5759</v>
      </c>
      <c r="E4613">
        <v>4970</v>
      </c>
    </row>
    <row r="4614" spans="1:5">
      <c r="A4614" s="1">
        <v>45995</v>
      </c>
      <c r="B4614" t="s">
        <v>68</v>
      </c>
      <c r="C4614" t="s">
        <v>20</v>
      </c>
      <c r="D4614" t="s">
        <v>5760</v>
      </c>
      <c r="E4614">
        <v>1223</v>
      </c>
    </row>
    <row r="4615" spans="1:5">
      <c r="A4615" s="1">
        <v>45995</v>
      </c>
      <c r="B4615" t="s">
        <v>5761</v>
      </c>
      <c r="C4615" t="s">
        <v>20</v>
      </c>
      <c r="D4615" t="s">
        <v>5762</v>
      </c>
      <c r="E4615">
        <v>480</v>
      </c>
    </row>
    <row r="4616" spans="1:5">
      <c r="A4616" s="1">
        <v>45996</v>
      </c>
      <c r="B4616" t="s">
        <v>1106</v>
      </c>
      <c r="C4616" t="s">
        <v>19</v>
      </c>
      <c r="D4616" t="s">
        <v>5763</v>
      </c>
      <c r="E4616">
        <v>19450</v>
      </c>
    </row>
    <row r="4617" spans="1:5">
      <c r="A4617" s="1">
        <v>45996</v>
      </c>
      <c r="B4617" t="s">
        <v>76</v>
      </c>
      <c r="C4617" t="s">
        <v>20</v>
      </c>
      <c r="D4617" t="s">
        <v>5764</v>
      </c>
      <c r="E4617">
        <v>20150</v>
      </c>
    </row>
    <row r="4618" spans="1:5">
      <c r="A4618" s="1">
        <v>45996</v>
      </c>
      <c r="B4618" t="s">
        <v>1881</v>
      </c>
      <c r="C4618" t="s">
        <v>20</v>
      </c>
      <c r="D4618" t="s">
        <v>5765</v>
      </c>
      <c r="E4618">
        <v>990</v>
      </c>
    </row>
    <row r="4619" spans="1:5">
      <c r="A4619" s="1">
        <v>45996</v>
      </c>
      <c r="B4619" t="s">
        <v>5711</v>
      </c>
      <c r="C4619" t="s">
        <v>20</v>
      </c>
      <c r="D4619" t="s">
        <v>5766</v>
      </c>
      <c r="E4619">
        <v>2426</v>
      </c>
    </row>
    <row r="4620" spans="1:5">
      <c r="A4620" s="1">
        <v>45996</v>
      </c>
      <c r="B4620" t="s">
        <v>4329</v>
      </c>
      <c r="C4620" t="s">
        <v>20</v>
      </c>
      <c r="D4620" t="s">
        <v>5767</v>
      </c>
      <c r="E4620">
        <v>330</v>
      </c>
    </row>
    <row r="4621" spans="1:5">
      <c r="A4621" s="1">
        <v>45996</v>
      </c>
      <c r="B4621" t="s">
        <v>68</v>
      </c>
      <c r="C4621" t="s">
        <v>20</v>
      </c>
      <c r="D4621" t="s">
        <v>5768</v>
      </c>
      <c r="E4621">
        <v>1365</v>
      </c>
    </row>
    <row r="4622" spans="1:5">
      <c r="A4622" s="1">
        <v>45996</v>
      </c>
      <c r="B4622" t="s">
        <v>1066</v>
      </c>
      <c r="C4622" t="s">
        <v>20</v>
      </c>
      <c r="D4622" t="s">
        <v>5769</v>
      </c>
      <c r="E4622">
        <v>6200</v>
      </c>
    </row>
    <row r="4623" spans="1:5">
      <c r="A4623" s="1">
        <v>45996</v>
      </c>
      <c r="B4623" t="s">
        <v>5770</v>
      </c>
      <c r="C4623" t="s">
        <v>20</v>
      </c>
      <c r="D4623" t="s">
        <v>5771</v>
      </c>
      <c r="E4623">
        <v>10966</v>
      </c>
    </row>
    <row r="4624" spans="1:5">
      <c r="A4624" s="1">
        <v>45996</v>
      </c>
      <c r="B4624" t="s">
        <v>76</v>
      </c>
      <c r="C4624" t="s">
        <v>20</v>
      </c>
      <c r="D4624" t="s">
        <v>5772</v>
      </c>
      <c r="E4624">
        <v>8130</v>
      </c>
    </row>
    <row r="4625" spans="1:5">
      <c r="A4625" s="1">
        <v>45996</v>
      </c>
      <c r="B4625" t="s">
        <v>5773</v>
      </c>
      <c r="C4625" t="s">
        <v>20</v>
      </c>
      <c r="D4625" t="s">
        <v>5774</v>
      </c>
      <c r="E4625">
        <v>11140</v>
      </c>
    </row>
    <row r="4626" spans="1:5">
      <c r="A4626" s="1">
        <v>45996</v>
      </c>
      <c r="B4626" t="s">
        <v>5775</v>
      </c>
      <c r="C4626" t="s">
        <v>20</v>
      </c>
      <c r="D4626" t="s">
        <v>5776</v>
      </c>
      <c r="E4626">
        <v>5093</v>
      </c>
    </row>
    <row r="4627" spans="1:5">
      <c r="A4627" s="1">
        <v>45996</v>
      </c>
      <c r="B4627" t="s">
        <v>5661</v>
      </c>
      <c r="C4627" t="s">
        <v>20</v>
      </c>
      <c r="D4627" t="s">
        <v>5777</v>
      </c>
      <c r="E4627">
        <v>3100</v>
      </c>
    </row>
    <row r="4628" spans="1:5">
      <c r="A4628" s="1">
        <v>45996</v>
      </c>
      <c r="B4628" t="s">
        <v>2206</v>
      </c>
      <c r="C4628" t="s">
        <v>20</v>
      </c>
      <c r="D4628" t="s">
        <v>5778</v>
      </c>
      <c r="E4628">
        <v>15484</v>
      </c>
    </row>
    <row r="4629" spans="1:5">
      <c r="A4629" s="1">
        <v>45996</v>
      </c>
      <c r="B4629" t="s">
        <v>50</v>
      </c>
      <c r="C4629" t="s">
        <v>20</v>
      </c>
      <c r="D4629" t="s">
        <v>5779</v>
      </c>
      <c r="E4629">
        <v>200</v>
      </c>
    </row>
    <row r="4630" spans="1:5">
      <c r="A4630" s="1">
        <v>45996</v>
      </c>
      <c r="B4630" t="s">
        <v>5780</v>
      </c>
      <c r="C4630" t="s">
        <v>20</v>
      </c>
      <c r="D4630" t="s">
        <v>5781</v>
      </c>
      <c r="E4630">
        <v>6804</v>
      </c>
    </row>
    <row r="4631" spans="1:5">
      <c r="A4631" s="1">
        <v>45996</v>
      </c>
      <c r="B4631" t="s">
        <v>5069</v>
      </c>
      <c r="C4631" t="s">
        <v>20</v>
      </c>
      <c r="D4631" t="s">
        <v>5782</v>
      </c>
      <c r="E4631">
        <v>23487</v>
      </c>
    </row>
    <row r="4632" spans="1:5">
      <c r="A4632" s="1">
        <v>45996</v>
      </c>
      <c r="B4632" t="s">
        <v>2634</v>
      </c>
      <c r="C4632" t="s">
        <v>20</v>
      </c>
      <c r="D4632" t="s">
        <v>5783</v>
      </c>
      <c r="E4632">
        <v>8250</v>
      </c>
    </row>
    <row r="4633" spans="1:5">
      <c r="A4633" s="1">
        <v>45996</v>
      </c>
      <c r="B4633" t="s">
        <v>4312</v>
      </c>
      <c r="C4633" t="s">
        <v>20</v>
      </c>
      <c r="D4633" t="s">
        <v>5784</v>
      </c>
      <c r="E4633">
        <v>850</v>
      </c>
    </row>
    <row r="4634" spans="1:5">
      <c r="A4634" s="1">
        <v>45996</v>
      </c>
      <c r="B4634" t="s">
        <v>402</v>
      </c>
      <c r="C4634" t="s">
        <v>20</v>
      </c>
      <c r="D4634" t="s">
        <v>5785</v>
      </c>
      <c r="E4634">
        <v>200</v>
      </c>
    </row>
    <row r="4635" spans="1:5">
      <c r="A4635" s="1">
        <v>45996</v>
      </c>
      <c r="B4635" t="s">
        <v>1096</v>
      </c>
      <c r="C4635" t="s">
        <v>20</v>
      </c>
      <c r="D4635" t="s">
        <v>5786</v>
      </c>
      <c r="E4635">
        <v>528</v>
      </c>
    </row>
    <row r="4636" spans="1:5">
      <c r="A4636" s="1">
        <v>45996</v>
      </c>
      <c r="B4636" t="s">
        <v>50</v>
      </c>
      <c r="C4636" t="s">
        <v>20</v>
      </c>
      <c r="D4636" t="s">
        <v>5787</v>
      </c>
      <c r="E4636">
        <v>49500</v>
      </c>
    </row>
    <row r="4637" spans="1:5">
      <c r="A4637" s="1">
        <v>45997</v>
      </c>
      <c r="B4637" t="s">
        <v>5788</v>
      </c>
      <c r="C4637" t="s">
        <v>19</v>
      </c>
      <c r="D4637" t="s">
        <v>5789</v>
      </c>
      <c r="E4637">
        <v>5938</v>
      </c>
    </row>
    <row r="4638" spans="1:5">
      <c r="A4638" s="1">
        <v>45997</v>
      </c>
      <c r="B4638" t="s">
        <v>180</v>
      </c>
      <c r="C4638" t="s">
        <v>19</v>
      </c>
      <c r="D4638" t="s">
        <v>5790</v>
      </c>
      <c r="E4638">
        <v>16000</v>
      </c>
    </row>
    <row r="4639" spans="1:5">
      <c r="A4639" s="1">
        <v>45997</v>
      </c>
      <c r="B4639" t="s">
        <v>5791</v>
      </c>
      <c r="C4639" t="s">
        <v>19</v>
      </c>
      <c r="D4639" t="s">
        <v>5792</v>
      </c>
      <c r="E4639">
        <v>15088</v>
      </c>
    </row>
    <row r="4640" spans="1:5">
      <c r="A4640" s="1">
        <v>45997</v>
      </c>
      <c r="B4640" t="s">
        <v>76</v>
      </c>
      <c r="C4640" t="s">
        <v>20</v>
      </c>
      <c r="D4640" t="s">
        <v>5793</v>
      </c>
      <c r="E4640">
        <v>1860</v>
      </c>
    </row>
    <row r="4641" spans="1:5">
      <c r="A4641" s="1">
        <v>45997</v>
      </c>
      <c r="B4641" t="s">
        <v>5794</v>
      </c>
      <c r="C4641" t="s">
        <v>20</v>
      </c>
      <c r="D4641" t="s">
        <v>5795</v>
      </c>
      <c r="E4641">
        <v>1860</v>
      </c>
    </row>
    <row r="4642" spans="1:5">
      <c r="A4642" s="1">
        <v>45997</v>
      </c>
      <c r="B4642" t="s">
        <v>100</v>
      </c>
      <c r="C4642" t="s">
        <v>20</v>
      </c>
      <c r="D4642" t="s">
        <v>5796</v>
      </c>
      <c r="E4642">
        <v>3465</v>
      </c>
    </row>
    <row r="4643" spans="1:5">
      <c r="A4643" s="1">
        <v>45997</v>
      </c>
      <c r="B4643" t="s">
        <v>360</v>
      </c>
      <c r="C4643" t="s">
        <v>20</v>
      </c>
      <c r="D4643" t="s">
        <v>5797</v>
      </c>
      <c r="E4643">
        <v>2850</v>
      </c>
    </row>
    <row r="4644" spans="1:5">
      <c r="A4644" s="1">
        <v>45997</v>
      </c>
      <c r="B4644" t="s">
        <v>76</v>
      </c>
      <c r="C4644" t="s">
        <v>20</v>
      </c>
      <c r="D4644" t="s">
        <v>5798</v>
      </c>
      <c r="E4644">
        <v>348</v>
      </c>
    </row>
    <row r="4645" spans="1:5">
      <c r="A4645" s="1">
        <v>45997</v>
      </c>
      <c r="B4645" t="s">
        <v>43</v>
      </c>
      <c r="C4645" t="s">
        <v>20</v>
      </c>
      <c r="D4645" t="s">
        <v>5799</v>
      </c>
      <c r="E4645">
        <v>196</v>
      </c>
    </row>
    <row r="4646" spans="1:5">
      <c r="A4646" s="1">
        <v>45997</v>
      </c>
      <c r="B4646" t="s">
        <v>566</v>
      </c>
      <c r="C4646" t="s">
        <v>20</v>
      </c>
      <c r="D4646" t="s">
        <v>5800</v>
      </c>
      <c r="E4646">
        <v>1090</v>
      </c>
    </row>
    <row r="4647" spans="1:5">
      <c r="A4647" s="1">
        <v>45997</v>
      </c>
      <c r="B4647" t="s">
        <v>5773</v>
      </c>
      <c r="C4647" t="s">
        <v>20</v>
      </c>
      <c r="D4647" t="s">
        <v>5801</v>
      </c>
      <c r="E4647">
        <v>958</v>
      </c>
    </row>
    <row r="4648" spans="1:5">
      <c r="A4648" s="1">
        <v>45997</v>
      </c>
      <c r="B4648" t="s">
        <v>254</v>
      </c>
      <c r="C4648" t="s">
        <v>20</v>
      </c>
      <c r="D4648" t="s">
        <v>5802</v>
      </c>
      <c r="E4648">
        <v>650</v>
      </c>
    </row>
    <row r="4649" spans="1:5">
      <c r="A4649" s="1">
        <v>45997</v>
      </c>
      <c r="B4649" t="s">
        <v>5803</v>
      </c>
      <c r="C4649" t="s">
        <v>20</v>
      </c>
      <c r="D4649" t="s">
        <v>5804</v>
      </c>
      <c r="E4649">
        <v>740</v>
      </c>
    </row>
    <row r="4650" spans="1:5">
      <c r="A4650" s="1">
        <v>45997</v>
      </c>
      <c r="B4650" t="s">
        <v>35</v>
      </c>
      <c r="C4650" t="s">
        <v>20</v>
      </c>
      <c r="D4650" t="s">
        <v>5805</v>
      </c>
      <c r="E4650">
        <v>3440</v>
      </c>
    </row>
    <row r="4651" spans="1:5">
      <c r="A4651" s="1">
        <v>45997</v>
      </c>
      <c r="B4651" t="s">
        <v>3690</v>
      </c>
      <c r="C4651" t="s">
        <v>20</v>
      </c>
      <c r="D4651" t="s">
        <v>5806</v>
      </c>
      <c r="E4651">
        <v>16005</v>
      </c>
    </row>
    <row r="4652" spans="1:5">
      <c r="A4652" s="1">
        <v>45997</v>
      </c>
      <c r="B4652" t="s">
        <v>5351</v>
      </c>
      <c r="C4652" t="s">
        <v>20</v>
      </c>
      <c r="D4652" t="s">
        <v>5807</v>
      </c>
      <c r="E4652">
        <v>1340</v>
      </c>
    </row>
    <row r="4653" spans="1:5">
      <c r="A4653" s="1">
        <v>45997</v>
      </c>
      <c r="B4653" t="s">
        <v>222</v>
      </c>
      <c r="C4653" t="s">
        <v>20</v>
      </c>
      <c r="D4653" t="s">
        <v>5808</v>
      </c>
      <c r="E4653">
        <v>3858</v>
      </c>
    </row>
    <row r="4654" spans="1:5">
      <c r="A4654" s="1">
        <v>45997</v>
      </c>
      <c r="B4654" t="s">
        <v>1075</v>
      </c>
      <c r="C4654" t="s">
        <v>20</v>
      </c>
      <c r="D4654" t="s">
        <v>5809</v>
      </c>
      <c r="E4654">
        <v>3100</v>
      </c>
    </row>
    <row r="4655" spans="1:5">
      <c r="A4655" s="1">
        <v>45997</v>
      </c>
      <c r="B4655" t="s">
        <v>5810</v>
      </c>
      <c r="C4655" t="s">
        <v>20</v>
      </c>
      <c r="D4655" t="s">
        <v>5811</v>
      </c>
      <c r="E4655">
        <v>8838</v>
      </c>
    </row>
    <row r="4656" spans="1:5">
      <c r="A4656" s="1">
        <v>45997</v>
      </c>
      <c r="B4656" t="s">
        <v>5422</v>
      </c>
      <c r="C4656" t="s">
        <v>20</v>
      </c>
      <c r="D4656" t="s">
        <v>5812</v>
      </c>
      <c r="E4656">
        <v>14151</v>
      </c>
    </row>
    <row r="4657" spans="1:5">
      <c r="A4657" s="1">
        <v>45997</v>
      </c>
      <c r="B4657" t="s">
        <v>5813</v>
      </c>
      <c r="C4657" t="s">
        <v>20</v>
      </c>
      <c r="D4657" t="s">
        <v>5814</v>
      </c>
      <c r="E4657">
        <v>2740</v>
      </c>
    </row>
    <row r="4658" spans="1:5">
      <c r="A4658" s="1">
        <v>45997</v>
      </c>
      <c r="B4658" t="s">
        <v>1881</v>
      </c>
      <c r="C4658" t="s">
        <v>20</v>
      </c>
      <c r="D4658" t="s">
        <v>5815</v>
      </c>
      <c r="E4658">
        <v>310</v>
      </c>
    </row>
    <row r="4659" spans="1:5">
      <c r="A4659" s="1">
        <v>45997</v>
      </c>
      <c r="B4659" t="s">
        <v>4251</v>
      </c>
      <c r="C4659" t="s">
        <v>20</v>
      </c>
      <c r="D4659" t="s">
        <v>5816</v>
      </c>
      <c r="E4659">
        <v>5966</v>
      </c>
    </row>
    <row r="4660" spans="1:5">
      <c r="A4660" s="1">
        <v>45997</v>
      </c>
      <c r="B4660" t="s">
        <v>5773</v>
      </c>
      <c r="C4660" t="s">
        <v>20</v>
      </c>
      <c r="D4660" t="s">
        <v>5817</v>
      </c>
      <c r="E4660">
        <v>965</v>
      </c>
    </row>
    <row r="4661" spans="1:5">
      <c r="A4661" s="1">
        <v>45997</v>
      </c>
      <c r="B4661" t="s">
        <v>89</v>
      </c>
      <c r="C4661" t="s">
        <v>20</v>
      </c>
      <c r="D4661" t="s">
        <v>5818</v>
      </c>
      <c r="E4661">
        <v>319</v>
      </c>
    </row>
    <row r="4662" spans="1:5">
      <c r="A4662" s="1">
        <v>45997</v>
      </c>
      <c r="B4662" t="s">
        <v>43</v>
      </c>
      <c r="C4662" t="s">
        <v>20</v>
      </c>
      <c r="D4662" t="s">
        <v>5819</v>
      </c>
      <c r="E4662">
        <v>919</v>
      </c>
    </row>
    <row r="4663" spans="1:5">
      <c r="A4663" s="1">
        <v>45997</v>
      </c>
      <c r="B4663" t="s">
        <v>360</v>
      </c>
      <c r="C4663" t="s">
        <v>20</v>
      </c>
      <c r="D4663" t="s">
        <v>5820</v>
      </c>
      <c r="E4663">
        <v>5626</v>
      </c>
    </row>
    <row r="4664" spans="1:5">
      <c r="A4664" s="1">
        <v>45999</v>
      </c>
      <c r="B4664" t="s">
        <v>5821</v>
      </c>
      <c r="C4664" t="s">
        <v>19</v>
      </c>
      <c r="D4664" t="s">
        <v>5822</v>
      </c>
      <c r="E4664">
        <v>6875</v>
      </c>
    </row>
    <row r="4665" spans="1:5">
      <c r="A4665" s="1">
        <v>45999</v>
      </c>
      <c r="B4665" t="s">
        <v>5791</v>
      </c>
      <c r="C4665" t="s">
        <v>19</v>
      </c>
      <c r="D4665" t="s">
        <v>5823</v>
      </c>
      <c r="E4665">
        <v>4650</v>
      </c>
    </row>
    <row r="4666" spans="1:5">
      <c r="A4666" s="1">
        <v>45999</v>
      </c>
      <c r="B4666" t="s">
        <v>375</v>
      </c>
      <c r="C4666" t="s">
        <v>20</v>
      </c>
      <c r="D4666" t="s">
        <v>5824</v>
      </c>
      <c r="E4666">
        <v>300</v>
      </c>
    </row>
    <row r="4667" spans="1:5">
      <c r="A4667" s="1">
        <v>45999</v>
      </c>
      <c r="B4667" t="s">
        <v>460</v>
      </c>
      <c r="C4667" t="s">
        <v>20</v>
      </c>
      <c r="D4667" t="s">
        <v>5825</v>
      </c>
      <c r="E4667">
        <v>310</v>
      </c>
    </row>
    <row r="4668" spans="1:5">
      <c r="A4668" s="1">
        <v>45999</v>
      </c>
      <c r="B4668" t="s">
        <v>802</v>
      </c>
      <c r="C4668" t="s">
        <v>20</v>
      </c>
      <c r="D4668" t="s">
        <v>5826</v>
      </c>
      <c r="E4668">
        <v>1786</v>
      </c>
    </row>
    <row r="4669" spans="1:5">
      <c r="A4669" s="1">
        <v>45999</v>
      </c>
      <c r="B4669" t="s">
        <v>1196</v>
      </c>
      <c r="C4669" t="s">
        <v>20</v>
      </c>
      <c r="D4669" t="s">
        <v>5827</v>
      </c>
      <c r="E4669">
        <v>253</v>
      </c>
    </row>
    <row r="4670" spans="1:5">
      <c r="A4670" s="1">
        <v>45999</v>
      </c>
      <c r="B4670" t="s">
        <v>76</v>
      </c>
      <c r="C4670" t="s">
        <v>20</v>
      </c>
      <c r="D4670" t="s">
        <v>5828</v>
      </c>
      <c r="E4670">
        <v>21652</v>
      </c>
    </row>
    <row r="4671" spans="1:5">
      <c r="A4671" s="1">
        <v>45999</v>
      </c>
      <c r="B4671" t="s">
        <v>3690</v>
      </c>
      <c r="C4671" t="s">
        <v>20</v>
      </c>
      <c r="D4671" t="s">
        <v>5829</v>
      </c>
      <c r="E4671">
        <v>672</v>
      </c>
    </row>
    <row r="4672" spans="1:5">
      <c r="A4672" s="1">
        <v>45999</v>
      </c>
      <c r="B4672" t="s">
        <v>2592</v>
      </c>
      <c r="C4672" t="s">
        <v>20</v>
      </c>
      <c r="D4672" t="s">
        <v>5830</v>
      </c>
      <c r="E4672">
        <v>700</v>
      </c>
    </row>
    <row r="4673" spans="1:5">
      <c r="A4673" s="1">
        <v>45999</v>
      </c>
      <c r="B4673" t="s">
        <v>566</v>
      </c>
      <c r="C4673" t="s">
        <v>20</v>
      </c>
      <c r="D4673" t="s">
        <v>5831</v>
      </c>
      <c r="E4673">
        <v>150</v>
      </c>
    </row>
    <row r="4674" spans="1:5">
      <c r="A4674" s="1">
        <v>45999</v>
      </c>
      <c r="B4674" t="s">
        <v>254</v>
      </c>
      <c r="C4674" t="s">
        <v>20</v>
      </c>
      <c r="D4674" t="s">
        <v>5832</v>
      </c>
      <c r="E4674">
        <v>1240</v>
      </c>
    </row>
    <row r="4675" spans="1:5">
      <c r="A4675" s="1">
        <v>45999</v>
      </c>
      <c r="B4675" t="s">
        <v>4251</v>
      </c>
      <c r="C4675" t="s">
        <v>20</v>
      </c>
      <c r="D4675" t="s">
        <v>5833</v>
      </c>
      <c r="E4675">
        <v>3336</v>
      </c>
    </row>
    <row r="4676" spans="1:5">
      <c r="A4676" s="1">
        <v>45999</v>
      </c>
      <c r="B4676" t="s">
        <v>50</v>
      </c>
      <c r="C4676" t="s">
        <v>20</v>
      </c>
      <c r="D4676" t="s">
        <v>5834</v>
      </c>
      <c r="E4676">
        <v>1611</v>
      </c>
    </row>
    <row r="4677" spans="1:5">
      <c r="A4677" s="1">
        <v>45999</v>
      </c>
      <c r="B4677" t="s">
        <v>875</v>
      </c>
      <c r="C4677" t="s">
        <v>20</v>
      </c>
      <c r="D4677" t="s">
        <v>5835</v>
      </c>
      <c r="E4677">
        <v>200</v>
      </c>
    </row>
    <row r="4678" spans="1:5">
      <c r="A4678" s="1">
        <v>45999</v>
      </c>
      <c r="B4678" t="s">
        <v>5836</v>
      </c>
      <c r="C4678" t="s">
        <v>20</v>
      </c>
      <c r="D4678" t="s">
        <v>5837</v>
      </c>
      <c r="E4678">
        <v>1240</v>
      </c>
    </row>
    <row r="4679" spans="1:5">
      <c r="A4679" s="1">
        <v>45999</v>
      </c>
      <c r="B4679" t="s">
        <v>844</v>
      </c>
      <c r="C4679" t="s">
        <v>20</v>
      </c>
      <c r="D4679" t="s">
        <v>5838</v>
      </c>
      <c r="E4679">
        <v>340</v>
      </c>
    </row>
    <row r="4680" spans="1:5">
      <c r="A4680" s="1">
        <v>45999</v>
      </c>
      <c r="B4680" t="s">
        <v>4977</v>
      </c>
      <c r="C4680" t="s">
        <v>20</v>
      </c>
      <c r="D4680" t="s">
        <v>5839</v>
      </c>
      <c r="E4680">
        <v>19120</v>
      </c>
    </row>
    <row r="4681" spans="1:5">
      <c r="A4681" s="1">
        <v>45999</v>
      </c>
      <c r="B4681" t="s">
        <v>5840</v>
      </c>
      <c r="C4681" t="s">
        <v>20</v>
      </c>
      <c r="D4681" t="s">
        <v>5841</v>
      </c>
      <c r="E4681">
        <v>23004</v>
      </c>
    </row>
    <row r="4682" spans="1:5">
      <c r="A4682" s="1">
        <v>45999</v>
      </c>
      <c r="B4682" t="s">
        <v>5842</v>
      </c>
      <c r="C4682" t="s">
        <v>20</v>
      </c>
      <c r="D4682" t="s">
        <v>5843</v>
      </c>
      <c r="E4682">
        <v>18580</v>
      </c>
    </row>
    <row r="4683" spans="1:5">
      <c r="A4683" s="1">
        <v>45999</v>
      </c>
      <c r="B4683" t="s">
        <v>50</v>
      </c>
      <c r="C4683" t="s">
        <v>20</v>
      </c>
      <c r="D4683" t="s">
        <v>5844</v>
      </c>
      <c r="E4683">
        <v>320</v>
      </c>
    </row>
    <row r="4684" spans="1:5">
      <c r="A4684" s="1">
        <v>46000</v>
      </c>
      <c r="B4684" t="s">
        <v>4669</v>
      </c>
      <c r="C4684" t="s">
        <v>19</v>
      </c>
      <c r="D4684" t="s">
        <v>5845</v>
      </c>
      <c r="E4684">
        <v>2890</v>
      </c>
    </row>
    <row r="4685" spans="1:5">
      <c r="A4685" s="1">
        <v>46000</v>
      </c>
      <c r="B4685" t="s">
        <v>817</v>
      </c>
      <c r="C4685" t="s">
        <v>20</v>
      </c>
      <c r="D4685" t="s">
        <v>5846</v>
      </c>
      <c r="E4685">
        <v>6400</v>
      </c>
    </row>
    <row r="4686" spans="1:5">
      <c r="A4686" s="1">
        <v>46000</v>
      </c>
      <c r="B4686" t="s">
        <v>1397</v>
      </c>
      <c r="C4686" t="s">
        <v>20</v>
      </c>
      <c r="D4686" t="s">
        <v>5847</v>
      </c>
      <c r="E4686">
        <v>310</v>
      </c>
    </row>
    <row r="4687" spans="1:5">
      <c r="A4687" s="1">
        <v>46000</v>
      </c>
      <c r="B4687" t="s">
        <v>3306</v>
      </c>
      <c r="C4687" t="s">
        <v>20</v>
      </c>
      <c r="D4687" t="s">
        <v>5848</v>
      </c>
      <c r="E4687">
        <v>930</v>
      </c>
    </row>
    <row r="4688" spans="1:5">
      <c r="A4688" s="1">
        <v>46000</v>
      </c>
      <c r="B4688" t="s">
        <v>5849</v>
      </c>
      <c r="C4688" t="s">
        <v>20</v>
      </c>
      <c r="D4688" t="s">
        <v>5850</v>
      </c>
      <c r="E4688">
        <v>1568</v>
      </c>
    </row>
    <row r="4689" spans="1:5">
      <c r="A4689" s="1">
        <v>46000</v>
      </c>
      <c r="B4689" t="s">
        <v>68</v>
      </c>
      <c r="C4689" t="s">
        <v>20</v>
      </c>
      <c r="D4689" t="s">
        <v>5851</v>
      </c>
      <c r="E4689">
        <v>150</v>
      </c>
    </row>
    <row r="4690" spans="1:5">
      <c r="A4690" s="1">
        <v>46000</v>
      </c>
      <c r="B4690" t="s">
        <v>89</v>
      </c>
      <c r="C4690" t="s">
        <v>20</v>
      </c>
      <c r="D4690" t="s">
        <v>5852</v>
      </c>
      <c r="E4690">
        <v>255</v>
      </c>
    </row>
    <row r="4691" spans="1:5">
      <c r="A4691" s="1">
        <v>46000</v>
      </c>
      <c r="B4691" t="s">
        <v>5853</v>
      </c>
      <c r="C4691" t="s">
        <v>20</v>
      </c>
      <c r="D4691" t="s">
        <v>5854</v>
      </c>
      <c r="E4691">
        <v>8308</v>
      </c>
    </row>
    <row r="4692" spans="1:5">
      <c r="A4692" s="1">
        <v>46000</v>
      </c>
      <c r="B4692" t="s">
        <v>2592</v>
      </c>
      <c r="C4692" t="s">
        <v>20</v>
      </c>
      <c r="D4692" t="s">
        <v>5855</v>
      </c>
      <c r="E4692">
        <v>350</v>
      </c>
    </row>
    <row r="4693" spans="1:5">
      <c r="A4693" s="1">
        <v>46000</v>
      </c>
      <c r="B4693" t="s">
        <v>5856</v>
      </c>
      <c r="C4693" t="s">
        <v>20</v>
      </c>
      <c r="D4693" t="s">
        <v>5857</v>
      </c>
      <c r="E4693">
        <v>1730</v>
      </c>
    </row>
    <row r="4694" spans="1:5">
      <c r="A4694" s="1">
        <v>46000</v>
      </c>
      <c r="B4694" t="s">
        <v>5842</v>
      </c>
      <c r="C4694" t="s">
        <v>20</v>
      </c>
      <c r="D4694" t="s">
        <v>5858</v>
      </c>
      <c r="E4694">
        <v>2810</v>
      </c>
    </row>
    <row r="4695" spans="1:5">
      <c r="A4695" s="1">
        <v>46000</v>
      </c>
      <c r="B4695" t="s">
        <v>4251</v>
      </c>
      <c r="C4695" t="s">
        <v>20</v>
      </c>
      <c r="D4695" t="s">
        <v>5859</v>
      </c>
      <c r="E4695">
        <v>310</v>
      </c>
    </row>
    <row r="4696" spans="1:5">
      <c r="A4696" s="1">
        <v>46000</v>
      </c>
      <c r="B4696" t="s">
        <v>5860</v>
      </c>
      <c r="C4696" t="s">
        <v>20</v>
      </c>
      <c r="D4696" t="s">
        <v>5861</v>
      </c>
      <c r="E4696">
        <v>5639</v>
      </c>
    </row>
    <row r="4697" spans="1:5">
      <c r="A4697" s="1">
        <v>46001</v>
      </c>
      <c r="B4697" t="s">
        <v>4669</v>
      </c>
      <c r="C4697" t="s">
        <v>19</v>
      </c>
      <c r="D4697" t="s">
        <v>5862</v>
      </c>
      <c r="E4697">
        <v>6750</v>
      </c>
    </row>
    <row r="4698" spans="1:5">
      <c r="A4698" s="1">
        <v>46001</v>
      </c>
      <c r="B4698" t="s">
        <v>5863</v>
      </c>
      <c r="C4698" t="s">
        <v>19</v>
      </c>
      <c r="D4698" t="s">
        <v>5864</v>
      </c>
      <c r="E4698">
        <v>8664</v>
      </c>
    </row>
    <row r="4699" spans="1:5">
      <c r="A4699" s="1">
        <v>46001</v>
      </c>
      <c r="B4699" t="s">
        <v>1179</v>
      </c>
      <c r="C4699" t="s">
        <v>20</v>
      </c>
      <c r="D4699" t="s">
        <v>5865</v>
      </c>
      <c r="E4699">
        <v>46216</v>
      </c>
    </row>
    <row r="4700" spans="1:5">
      <c r="A4700" s="1">
        <v>46001</v>
      </c>
      <c r="B4700" t="s">
        <v>2452</v>
      </c>
      <c r="C4700" t="s">
        <v>20</v>
      </c>
      <c r="D4700" t="s">
        <v>5866</v>
      </c>
      <c r="E4700">
        <v>2505</v>
      </c>
    </row>
    <row r="4701" spans="1:5">
      <c r="A4701" s="1">
        <v>46001</v>
      </c>
      <c r="B4701" t="s">
        <v>5867</v>
      </c>
      <c r="C4701" t="s">
        <v>20</v>
      </c>
      <c r="D4701" t="s">
        <v>5868</v>
      </c>
      <c r="E4701">
        <v>1550</v>
      </c>
    </row>
    <row r="4702" spans="1:5">
      <c r="A4702" s="1">
        <v>46001</v>
      </c>
      <c r="B4702" t="s">
        <v>875</v>
      </c>
      <c r="C4702" t="s">
        <v>20</v>
      </c>
      <c r="D4702" t="s">
        <v>5869</v>
      </c>
      <c r="E4702">
        <v>22598</v>
      </c>
    </row>
    <row r="4703" spans="1:5">
      <c r="A4703" s="1">
        <v>46001</v>
      </c>
      <c r="B4703" t="s">
        <v>43</v>
      </c>
      <c r="C4703" t="s">
        <v>20</v>
      </c>
      <c r="D4703" t="s">
        <v>5870</v>
      </c>
      <c r="E4703">
        <v>502</v>
      </c>
    </row>
    <row r="4704" spans="1:5">
      <c r="A4704" s="1">
        <v>46001</v>
      </c>
      <c r="B4704" t="s">
        <v>5711</v>
      </c>
      <c r="C4704" t="s">
        <v>20</v>
      </c>
      <c r="D4704" t="s">
        <v>5871</v>
      </c>
      <c r="E4704">
        <v>1550</v>
      </c>
    </row>
    <row r="4705" spans="1:5">
      <c r="A4705" s="1">
        <v>46001</v>
      </c>
      <c r="B4705" t="s">
        <v>2399</v>
      </c>
      <c r="C4705" t="s">
        <v>20</v>
      </c>
      <c r="D4705" t="s">
        <v>5872</v>
      </c>
      <c r="E4705">
        <v>620</v>
      </c>
    </row>
    <row r="4706" spans="1:5">
      <c r="A4706" s="1">
        <v>46001</v>
      </c>
      <c r="B4706" t="s">
        <v>2679</v>
      </c>
      <c r="C4706" t="s">
        <v>20</v>
      </c>
      <c r="D4706" t="s">
        <v>5873</v>
      </c>
      <c r="E4706">
        <v>4886</v>
      </c>
    </row>
    <row r="4707" spans="1:5">
      <c r="A4707" s="1">
        <v>46001</v>
      </c>
      <c r="B4707" t="s">
        <v>2399</v>
      </c>
      <c r="C4707" t="s">
        <v>20</v>
      </c>
      <c r="D4707" t="s">
        <v>5874</v>
      </c>
      <c r="E4707">
        <v>6584</v>
      </c>
    </row>
    <row r="4708" spans="1:5">
      <c r="A4708" s="1">
        <v>46001</v>
      </c>
      <c r="B4708" t="s">
        <v>76</v>
      </c>
      <c r="C4708" t="s">
        <v>20</v>
      </c>
      <c r="D4708" t="s">
        <v>5875</v>
      </c>
      <c r="E4708">
        <v>13277</v>
      </c>
    </row>
    <row r="4709" spans="1:5">
      <c r="A4709" s="1">
        <v>46001</v>
      </c>
      <c r="B4709" t="s">
        <v>43</v>
      </c>
      <c r="C4709" t="s">
        <v>20</v>
      </c>
      <c r="D4709" t="s">
        <v>5876</v>
      </c>
      <c r="E4709">
        <v>9990</v>
      </c>
    </row>
    <row r="4710" spans="1:5">
      <c r="A4710" s="1">
        <v>46001</v>
      </c>
      <c r="B4710" t="s">
        <v>844</v>
      </c>
      <c r="C4710" t="s">
        <v>20</v>
      </c>
      <c r="D4710" t="s">
        <v>5877</v>
      </c>
      <c r="E4710">
        <v>3400</v>
      </c>
    </row>
    <row r="4711" spans="1:5">
      <c r="A4711" s="1">
        <v>46001</v>
      </c>
      <c r="B4711" t="s">
        <v>5878</v>
      </c>
      <c r="C4711" t="s">
        <v>20</v>
      </c>
      <c r="D4711" t="s">
        <v>5879</v>
      </c>
      <c r="E4711">
        <v>20110</v>
      </c>
    </row>
    <row r="4712" spans="1:5">
      <c r="A4712" s="1">
        <v>46001</v>
      </c>
      <c r="B4712" t="s">
        <v>35</v>
      </c>
      <c r="C4712" t="s">
        <v>20</v>
      </c>
      <c r="D4712" t="s">
        <v>5880</v>
      </c>
      <c r="E4712">
        <v>14785</v>
      </c>
    </row>
    <row r="4713" spans="1:5">
      <c r="A4713" s="1">
        <v>46001</v>
      </c>
      <c r="B4713" t="s">
        <v>43</v>
      </c>
      <c r="C4713" t="s">
        <v>20</v>
      </c>
      <c r="D4713" t="s">
        <v>5881</v>
      </c>
      <c r="E4713">
        <v>508</v>
      </c>
    </row>
    <row r="4714" spans="1:5">
      <c r="A4714" s="1">
        <v>46001</v>
      </c>
      <c r="B4714" t="s">
        <v>5882</v>
      </c>
      <c r="C4714" t="s">
        <v>20</v>
      </c>
      <c r="D4714" t="s">
        <v>5883</v>
      </c>
      <c r="E4714">
        <v>28525</v>
      </c>
    </row>
    <row r="4715" spans="1:5">
      <c r="A4715" s="1">
        <v>46001</v>
      </c>
      <c r="B4715" t="s">
        <v>50</v>
      </c>
      <c r="C4715" t="s">
        <v>20</v>
      </c>
      <c r="D4715" t="s">
        <v>5884</v>
      </c>
      <c r="E4715">
        <v>49500</v>
      </c>
    </row>
    <row r="4716" spans="1:5">
      <c r="A4716" s="1">
        <v>46001</v>
      </c>
      <c r="B4716" t="s">
        <v>1075</v>
      </c>
      <c r="C4716" t="s">
        <v>20</v>
      </c>
      <c r="D4716" t="s">
        <v>5885</v>
      </c>
      <c r="E4716">
        <v>3100</v>
      </c>
    </row>
    <row r="4717" spans="1:5">
      <c r="A4717" s="1">
        <v>46001</v>
      </c>
      <c r="B4717" t="s">
        <v>5842</v>
      </c>
      <c r="C4717" t="s">
        <v>20</v>
      </c>
      <c r="D4717" t="s">
        <v>5886</v>
      </c>
      <c r="E4717">
        <v>1521</v>
      </c>
    </row>
    <row r="4718" spans="1:5">
      <c r="A4718" s="1">
        <v>46001</v>
      </c>
      <c r="B4718" t="s">
        <v>254</v>
      </c>
      <c r="C4718" t="s">
        <v>20</v>
      </c>
      <c r="D4718" t="s">
        <v>5887</v>
      </c>
      <c r="E4718">
        <v>310</v>
      </c>
    </row>
    <row r="4719" spans="1:5">
      <c r="A4719" s="1">
        <v>46001</v>
      </c>
      <c r="B4719" t="s">
        <v>1206</v>
      </c>
      <c r="C4719" t="s">
        <v>20</v>
      </c>
      <c r="D4719" t="s">
        <v>5888</v>
      </c>
      <c r="E4719">
        <v>1710</v>
      </c>
    </row>
    <row r="4720" spans="1:5">
      <c r="A4720" s="1">
        <v>46001</v>
      </c>
      <c r="B4720" t="s">
        <v>5889</v>
      </c>
      <c r="C4720" t="s">
        <v>20</v>
      </c>
      <c r="D4720" t="s">
        <v>5890</v>
      </c>
      <c r="E4720">
        <v>25320</v>
      </c>
    </row>
    <row r="4721" spans="1:5">
      <c r="A4721" s="1">
        <v>46001</v>
      </c>
      <c r="B4721" t="s">
        <v>4977</v>
      </c>
      <c r="C4721" t="s">
        <v>20</v>
      </c>
      <c r="D4721" t="s">
        <v>5891</v>
      </c>
      <c r="E4721">
        <v>14974</v>
      </c>
    </row>
    <row r="4722" spans="1:5">
      <c r="A4722" s="1">
        <v>46002</v>
      </c>
      <c r="B4722" t="s">
        <v>2498</v>
      </c>
      <c r="C4722" t="s">
        <v>19</v>
      </c>
      <c r="D4722" t="s">
        <v>5892</v>
      </c>
      <c r="E4722">
        <v>4650</v>
      </c>
    </row>
    <row r="4723" spans="1:5">
      <c r="A4723" s="1">
        <v>46002</v>
      </c>
      <c r="B4723" t="s">
        <v>5893</v>
      </c>
      <c r="C4723" t="s">
        <v>19</v>
      </c>
      <c r="D4723" t="s">
        <v>5894</v>
      </c>
      <c r="E4723">
        <v>4736</v>
      </c>
    </row>
    <row r="4724" spans="1:5">
      <c r="A4724" s="1">
        <v>46002</v>
      </c>
      <c r="B4724" t="s">
        <v>5895</v>
      </c>
      <c r="C4724" t="s">
        <v>19</v>
      </c>
      <c r="D4724" t="s">
        <v>5896</v>
      </c>
      <c r="E4724">
        <v>3802</v>
      </c>
    </row>
    <row r="4725" spans="1:5">
      <c r="A4725" s="1">
        <v>46002</v>
      </c>
      <c r="B4725" t="s">
        <v>5791</v>
      </c>
      <c r="C4725" t="s">
        <v>19</v>
      </c>
      <c r="D4725" t="s">
        <v>5897</v>
      </c>
      <c r="E4725">
        <v>13926</v>
      </c>
    </row>
    <row r="4726" spans="1:5">
      <c r="A4726" s="1">
        <v>46002</v>
      </c>
      <c r="B4726" t="s">
        <v>2288</v>
      </c>
      <c r="C4726" t="s">
        <v>20</v>
      </c>
      <c r="D4726" t="s">
        <v>5898</v>
      </c>
      <c r="E4726">
        <v>3170</v>
      </c>
    </row>
    <row r="4727" spans="1:5">
      <c r="A4727" s="1">
        <v>46002</v>
      </c>
      <c r="B4727" t="s">
        <v>5899</v>
      </c>
      <c r="C4727" t="s">
        <v>20</v>
      </c>
      <c r="D4727" t="s">
        <v>5900</v>
      </c>
      <c r="E4727">
        <v>2680</v>
      </c>
    </row>
    <row r="4728" spans="1:5">
      <c r="A4728" s="1">
        <v>46002</v>
      </c>
      <c r="B4728" t="s">
        <v>3089</v>
      </c>
      <c r="C4728" t="s">
        <v>20</v>
      </c>
      <c r="D4728" t="s">
        <v>5901</v>
      </c>
      <c r="E4728">
        <v>9320</v>
      </c>
    </row>
    <row r="4729" spans="1:5">
      <c r="A4729" s="1">
        <v>46002</v>
      </c>
      <c r="B4729" t="s">
        <v>4906</v>
      </c>
      <c r="C4729" t="s">
        <v>20</v>
      </c>
      <c r="D4729" t="s">
        <v>5902</v>
      </c>
      <c r="E4729">
        <v>4438</v>
      </c>
    </row>
    <row r="4730" spans="1:5">
      <c r="A4730" s="1">
        <v>46002</v>
      </c>
      <c r="B4730" t="s">
        <v>3996</v>
      </c>
      <c r="C4730" t="s">
        <v>20</v>
      </c>
      <c r="D4730" t="s">
        <v>5903</v>
      </c>
      <c r="E4730">
        <v>3650</v>
      </c>
    </row>
    <row r="4731" spans="1:5">
      <c r="A4731" s="1">
        <v>46002</v>
      </c>
      <c r="B4731" t="s">
        <v>76</v>
      </c>
      <c r="C4731" t="s">
        <v>20</v>
      </c>
      <c r="D4731" t="s">
        <v>5904</v>
      </c>
      <c r="E4731">
        <v>6200</v>
      </c>
    </row>
    <row r="4732" spans="1:5">
      <c r="A4732" s="1">
        <v>46002</v>
      </c>
      <c r="B4732" t="s">
        <v>50</v>
      </c>
      <c r="C4732" t="s">
        <v>20</v>
      </c>
      <c r="D4732" t="s">
        <v>5905</v>
      </c>
      <c r="E4732">
        <v>3846</v>
      </c>
    </row>
    <row r="4733" spans="1:5">
      <c r="A4733" s="1">
        <v>46002</v>
      </c>
      <c r="B4733" t="s">
        <v>43</v>
      </c>
      <c r="C4733" t="s">
        <v>20</v>
      </c>
      <c r="D4733" t="s">
        <v>5906</v>
      </c>
      <c r="E4733">
        <v>4467</v>
      </c>
    </row>
    <row r="4734" spans="1:5">
      <c r="A4734" s="1">
        <v>46002</v>
      </c>
      <c r="B4734" t="s">
        <v>81</v>
      </c>
      <c r="C4734" t="s">
        <v>20</v>
      </c>
      <c r="D4734" t="s">
        <v>5907</v>
      </c>
      <c r="E4734">
        <v>3711</v>
      </c>
    </row>
    <row r="4735" spans="1:5">
      <c r="A4735" s="1">
        <v>46002</v>
      </c>
      <c r="B4735" t="s">
        <v>5908</v>
      </c>
      <c r="C4735" t="s">
        <v>20</v>
      </c>
      <c r="D4735" t="s">
        <v>5909</v>
      </c>
      <c r="E4735">
        <v>7000</v>
      </c>
    </row>
    <row r="4736" spans="1:5">
      <c r="A4736" s="1">
        <v>46002</v>
      </c>
      <c r="B4736" t="s">
        <v>35</v>
      </c>
      <c r="C4736" t="s">
        <v>20</v>
      </c>
      <c r="D4736" t="s">
        <v>5910</v>
      </c>
      <c r="E4736">
        <v>12054</v>
      </c>
    </row>
    <row r="4737" spans="1:5">
      <c r="A4737" s="1">
        <v>46002</v>
      </c>
      <c r="B4737" t="s">
        <v>5697</v>
      </c>
      <c r="C4737" t="s">
        <v>20</v>
      </c>
      <c r="D4737" t="s">
        <v>5911</v>
      </c>
      <c r="E4737">
        <v>3931</v>
      </c>
    </row>
    <row r="4738" spans="1:5">
      <c r="A4738" s="1">
        <v>46002</v>
      </c>
      <c r="B4738" t="s">
        <v>5912</v>
      </c>
      <c r="C4738" t="s">
        <v>20</v>
      </c>
      <c r="D4738" t="s">
        <v>5913</v>
      </c>
      <c r="E4738">
        <v>10074</v>
      </c>
    </row>
    <row r="4739" spans="1:5">
      <c r="A4739" s="1">
        <v>46002</v>
      </c>
      <c r="B4739" t="s">
        <v>265</v>
      </c>
      <c r="C4739" t="s">
        <v>20</v>
      </c>
      <c r="D4739" t="s">
        <v>5914</v>
      </c>
      <c r="E4739">
        <v>2302</v>
      </c>
    </row>
    <row r="4740" spans="1:5">
      <c r="A4740" s="1">
        <v>46003</v>
      </c>
      <c r="B4740" t="s">
        <v>180</v>
      </c>
      <c r="C4740" t="s">
        <v>19</v>
      </c>
      <c r="D4740" t="s">
        <v>5915</v>
      </c>
      <c r="E4740">
        <v>32000</v>
      </c>
    </row>
    <row r="4741" spans="1:5">
      <c r="A4741" s="1">
        <v>46003</v>
      </c>
      <c r="B4741" t="s">
        <v>1106</v>
      </c>
      <c r="C4741" t="s">
        <v>19</v>
      </c>
      <c r="D4741" t="s">
        <v>5916</v>
      </c>
      <c r="E4741">
        <v>69700</v>
      </c>
    </row>
    <row r="4742" spans="1:5">
      <c r="A4742" s="1">
        <v>46003</v>
      </c>
      <c r="B4742" t="s">
        <v>4144</v>
      </c>
      <c r="C4742" t="s">
        <v>20</v>
      </c>
      <c r="D4742" t="s">
        <v>5917</v>
      </c>
      <c r="E4742">
        <v>3100</v>
      </c>
    </row>
    <row r="4743" spans="1:5">
      <c r="A4743" s="1">
        <v>46003</v>
      </c>
      <c r="B4743" t="s">
        <v>50</v>
      </c>
      <c r="C4743" t="s">
        <v>20</v>
      </c>
      <c r="D4743" t="s">
        <v>5918</v>
      </c>
      <c r="E4743">
        <v>49500</v>
      </c>
    </row>
    <row r="4744" spans="1:5">
      <c r="A4744" s="1">
        <v>46003</v>
      </c>
      <c r="B4744" t="s">
        <v>557</v>
      </c>
      <c r="C4744" t="s">
        <v>20</v>
      </c>
      <c r="D4744" t="s">
        <v>5919</v>
      </c>
      <c r="E4744">
        <v>6186</v>
      </c>
    </row>
    <row r="4745" spans="1:5">
      <c r="A4745" s="1">
        <v>46003</v>
      </c>
      <c r="B4745" t="s">
        <v>2815</v>
      </c>
      <c r="C4745" t="s">
        <v>20</v>
      </c>
      <c r="D4745" t="s">
        <v>5920</v>
      </c>
      <c r="E4745">
        <v>1550</v>
      </c>
    </row>
    <row r="4746" spans="1:5">
      <c r="A4746" s="1">
        <v>46003</v>
      </c>
      <c r="B4746" t="s">
        <v>50</v>
      </c>
      <c r="C4746" t="s">
        <v>20</v>
      </c>
      <c r="D4746" t="s">
        <v>5921</v>
      </c>
      <c r="E4746">
        <v>49500</v>
      </c>
    </row>
    <row r="4747" spans="1:5">
      <c r="A4747" s="1">
        <v>46003</v>
      </c>
      <c r="B4747" t="s">
        <v>5867</v>
      </c>
      <c r="C4747" t="s">
        <v>20</v>
      </c>
      <c r="D4747" t="s">
        <v>5922</v>
      </c>
      <c r="E4747">
        <v>1712</v>
      </c>
    </row>
    <row r="4748" spans="1:5">
      <c r="A4748" s="1">
        <v>46003</v>
      </c>
      <c r="B4748" t="s">
        <v>50</v>
      </c>
      <c r="C4748" t="s">
        <v>20</v>
      </c>
      <c r="D4748" t="s">
        <v>5923</v>
      </c>
      <c r="E4748">
        <v>49500</v>
      </c>
    </row>
    <row r="4749" spans="1:5">
      <c r="A4749" s="1">
        <v>46003</v>
      </c>
      <c r="B4749" t="s">
        <v>76</v>
      </c>
      <c r="C4749" t="s">
        <v>20</v>
      </c>
      <c r="D4749" t="s">
        <v>5924</v>
      </c>
      <c r="E4749">
        <v>10342</v>
      </c>
    </row>
    <row r="4750" spans="1:5">
      <c r="A4750" s="1">
        <v>46003</v>
      </c>
      <c r="B4750" t="s">
        <v>5878</v>
      </c>
      <c r="C4750" t="s">
        <v>20</v>
      </c>
      <c r="D4750" t="s">
        <v>5925</v>
      </c>
      <c r="E4750">
        <v>3100</v>
      </c>
    </row>
    <row r="4751" spans="1:5">
      <c r="A4751" s="1">
        <v>46003</v>
      </c>
      <c r="B4751" t="s">
        <v>3089</v>
      </c>
      <c r="C4751" t="s">
        <v>20</v>
      </c>
      <c r="D4751" t="s">
        <v>5926</v>
      </c>
      <c r="E4751">
        <v>1687</v>
      </c>
    </row>
    <row r="4752" spans="1:5">
      <c r="A4752" s="1">
        <v>46003</v>
      </c>
      <c r="B4752" t="s">
        <v>1075</v>
      </c>
      <c r="C4752" t="s">
        <v>20</v>
      </c>
      <c r="D4752" t="s">
        <v>5927</v>
      </c>
      <c r="E4752">
        <v>6200</v>
      </c>
    </row>
    <row r="4753" spans="1:5">
      <c r="A4753" s="1">
        <v>46003</v>
      </c>
      <c r="B4753" t="s">
        <v>844</v>
      </c>
      <c r="C4753" t="s">
        <v>20</v>
      </c>
      <c r="D4753" t="s">
        <v>5928</v>
      </c>
      <c r="E4753">
        <v>425</v>
      </c>
    </row>
    <row r="4754" spans="1:5">
      <c r="A4754" s="1">
        <v>46003</v>
      </c>
      <c r="B4754" t="s">
        <v>50</v>
      </c>
      <c r="C4754" t="s">
        <v>20</v>
      </c>
      <c r="D4754" t="s">
        <v>5929</v>
      </c>
      <c r="E4754">
        <v>1168</v>
      </c>
    </row>
    <row r="4755" spans="1:5">
      <c r="A4755" s="1">
        <v>46003</v>
      </c>
      <c r="B4755" t="s">
        <v>50</v>
      </c>
      <c r="C4755" t="s">
        <v>20</v>
      </c>
      <c r="D4755" t="s">
        <v>5930</v>
      </c>
      <c r="E4755">
        <v>18</v>
      </c>
    </row>
    <row r="4756" spans="1:5">
      <c r="A4756" s="1">
        <v>46003</v>
      </c>
      <c r="B4756" t="s">
        <v>526</v>
      </c>
      <c r="C4756" t="s">
        <v>20</v>
      </c>
      <c r="D4756" t="s">
        <v>5931</v>
      </c>
      <c r="E4756">
        <v>14072</v>
      </c>
    </row>
    <row r="4757" spans="1:5">
      <c r="A4757" s="1">
        <v>46004</v>
      </c>
      <c r="B4757" t="s">
        <v>5893</v>
      </c>
      <c r="C4757" t="s">
        <v>19</v>
      </c>
      <c r="D4757" t="s">
        <v>5932</v>
      </c>
      <c r="E4757">
        <v>5737</v>
      </c>
    </row>
    <row r="4758" spans="1:5">
      <c r="A4758" s="1">
        <v>46004</v>
      </c>
      <c r="B4758" t="s">
        <v>1106</v>
      </c>
      <c r="C4758" t="s">
        <v>19</v>
      </c>
      <c r="D4758" t="s">
        <v>5933</v>
      </c>
      <c r="E4758">
        <v>9234</v>
      </c>
    </row>
    <row r="4759" spans="1:5">
      <c r="A4759" s="1">
        <v>46004</v>
      </c>
      <c r="B4759" t="s">
        <v>5934</v>
      </c>
      <c r="C4759" t="s">
        <v>20</v>
      </c>
      <c r="D4759" t="s">
        <v>5935</v>
      </c>
      <c r="E4759">
        <v>9970</v>
      </c>
    </row>
    <row r="4760" spans="1:5">
      <c r="A4760" s="1">
        <v>46004</v>
      </c>
      <c r="B4760" t="s">
        <v>1004</v>
      </c>
      <c r="C4760" t="s">
        <v>20</v>
      </c>
      <c r="D4760" t="s">
        <v>5936</v>
      </c>
      <c r="E4760">
        <v>2480</v>
      </c>
    </row>
    <row r="4761" spans="1:5">
      <c r="A4761" s="1">
        <v>46004</v>
      </c>
      <c r="B4761" t="s">
        <v>875</v>
      </c>
      <c r="C4761" t="s">
        <v>20</v>
      </c>
      <c r="D4761" t="s">
        <v>5937</v>
      </c>
      <c r="E4761">
        <v>2500</v>
      </c>
    </row>
    <row r="4762" spans="1:5">
      <c r="A4762" s="1">
        <v>46004</v>
      </c>
      <c r="B4762" t="s">
        <v>5105</v>
      </c>
      <c r="C4762" t="s">
        <v>20</v>
      </c>
      <c r="D4762" t="s">
        <v>5938</v>
      </c>
      <c r="E4762">
        <v>10</v>
      </c>
    </row>
    <row r="4763" spans="1:5">
      <c r="A4763" s="1">
        <v>46004</v>
      </c>
      <c r="B4763" t="s">
        <v>5105</v>
      </c>
      <c r="C4763" t="s">
        <v>20</v>
      </c>
      <c r="D4763" t="s">
        <v>5939</v>
      </c>
      <c r="E4763">
        <v>310</v>
      </c>
    </row>
    <row r="4764" spans="1:5">
      <c r="A4764" s="1">
        <v>46004</v>
      </c>
      <c r="B4764" t="s">
        <v>626</v>
      </c>
      <c r="C4764" t="s">
        <v>20</v>
      </c>
      <c r="D4764" t="s">
        <v>5940</v>
      </c>
      <c r="E4764">
        <v>320</v>
      </c>
    </row>
    <row r="4765" spans="1:5">
      <c r="A4765" s="1">
        <v>46004</v>
      </c>
      <c r="B4765" t="s">
        <v>5941</v>
      </c>
      <c r="C4765" t="s">
        <v>20</v>
      </c>
      <c r="D4765" t="s">
        <v>5942</v>
      </c>
      <c r="E4765">
        <v>22940</v>
      </c>
    </row>
    <row r="4766" spans="1:5">
      <c r="A4766" s="1">
        <v>46004</v>
      </c>
      <c r="B4766" t="s">
        <v>4906</v>
      </c>
      <c r="C4766" t="s">
        <v>20</v>
      </c>
      <c r="D4766" t="s">
        <v>5943</v>
      </c>
      <c r="E4766">
        <v>5865</v>
      </c>
    </row>
    <row r="4767" spans="1:5">
      <c r="A4767" s="1">
        <v>46004</v>
      </c>
      <c r="B4767" t="s">
        <v>5944</v>
      </c>
      <c r="C4767" t="s">
        <v>20</v>
      </c>
      <c r="D4767" t="s">
        <v>5945</v>
      </c>
      <c r="E4767">
        <v>2420</v>
      </c>
    </row>
    <row r="4768" spans="1:5">
      <c r="A4768" s="1">
        <v>46004</v>
      </c>
      <c r="B4768" t="s">
        <v>844</v>
      </c>
      <c r="C4768" t="s">
        <v>20</v>
      </c>
      <c r="D4768" t="s">
        <v>5946</v>
      </c>
      <c r="E4768">
        <v>350</v>
      </c>
    </row>
    <row r="4769" spans="1:5">
      <c r="A4769" s="1">
        <v>46004</v>
      </c>
      <c r="B4769" t="s">
        <v>5878</v>
      </c>
      <c r="C4769" t="s">
        <v>20</v>
      </c>
      <c r="D4769" t="s">
        <v>5947</v>
      </c>
      <c r="E4769">
        <v>3100</v>
      </c>
    </row>
    <row r="4770" spans="1:5">
      <c r="A4770" s="1">
        <v>46004</v>
      </c>
      <c r="B4770" t="s">
        <v>5842</v>
      </c>
      <c r="C4770" t="s">
        <v>20</v>
      </c>
      <c r="D4770" t="s">
        <v>5948</v>
      </c>
      <c r="E4770">
        <v>3100</v>
      </c>
    </row>
    <row r="4771" spans="1:5">
      <c r="A4771" s="1">
        <v>46004</v>
      </c>
      <c r="B4771" t="s">
        <v>4928</v>
      </c>
      <c r="C4771" t="s">
        <v>20</v>
      </c>
      <c r="D4771" t="s">
        <v>5949</v>
      </c>
      <c r="E4771">
        <v>6224</v>
      </c>
    </row>
    <row r="4772" spans="1:5">
      <c r="A4772" s="1">
        <v>46004</v>
      </c>
      <c r="B4772" t="s">
        <v>68</v>
      </c>
      <c r="C4772" t="s">
        <v>20</v>
      </c>
      <c r="D4772" t="s">
        <v>5950</v>
      </c>
      <c r="E4772">
        <v>1408</v>
      </c>
    </row>
    <row r="4773" spans="1:5">
      <c r="A4773" s="1">
        <v>46004</v>
      </c>
      <c r="B4773" t="s">
        <v>2452</v>
      </c>
      <c r="C4773" t="s">
        <v>20</v>
      </c>
      <c r="D4773" t="s">
        <v>5951</v>
      </c>
      <c r="E4773">
        <v>4849</v>
      </c>
    </row>
    <row r="4774" spans="1:5">
      <c r="A4774" s="1">
        <v>46004</v>
      </c>
      <c r="B4774" t="s">
        <v>5952</v>
      </c>
      <c r="C4774" t="s">
        <v>20</v>
      </c>
      <c r="D4774" t="s">
        <v>5953</v>
      </c>
      <c r="E4774">
        <v>300</v>
      </c>
    </row>
    <row r="4775" spans="1:5">
      <c r="A4775" s="1">
        <v>46004</v>
      </c>
      <c r="B4775" t="s">
        <v>844</v>
      </c>
      <c r="C4775" t="s">
        <v>20</v>
      </c>
      <c r="D4775" t="s">
        <v>5954</v>
      </c>
      <c r="E4775">
        <v>213</v>
      </c>
    </row>
    <row r="4776" spans="1:5">
      <c r="A4776" s="1">
        <v>46004</v>
      </c>
      <c r="B4776" t="s">
        <v>222</v>
      </c>
      <c r="C4776" t="s">
        <v>20</v>
      </c>
      <c r="D4776" t="s">
        <v>5955</v>
      </c>
      <c r="E4776">
        <v>602</v>
      </c>
    </row>
    <row r="4777" spans="1:5">
      <c r="A4777" s="1">
        <v>46004</v>
      </c>
      <c r="B4777" t="s">
        <v>89</v>
      </c>
      <c r="C4777" t="s">
        <v>20</v>
      </c>
      <c r="D4777" t="s">
        <v>5956</v>
      </c>
      <c r="E4777">
        <v>930</v>
      </c>
    </row>
    <row r="4778" spans="1:5">
      <c r="A4778" s="1">
        <v>46006</v>
      </c>
      <c r="B4778" t="s">
        <v>180</v>
      </c>
      <c r="C4778" t="s">
        <v>19</v>
      </c>
      <c r="D4778" t="s">
        <v>5957</v>
      </c>
      <c r="E4778">
        <v>2008</v>
      </c>
    </row>
    <row r="4779" spans="1:5">
      <c r="A4779" s="1">
        <v>46006</v>
      </c>
      <c r="B4779" t="s">
        <v>1106</v>
      </c>
      <c r="C4779" t="s">
        <v>19</v>
      </c>
      <c r="D4779" t="s">
        <v>5958</v>
      </c>
      <c r="E4779">
        <v>933</v>
      </c>
    </row>
    <row r="4780" spans="1:5">
      <c r="A4780" s="1">
        <v>46006</v>
      </c>
      <c r="B4780" t="s">
        <v>96</v>
      </c>
      <c r="C4780" t="s">
        <v>19</v>
      </c>
      <c r="D4780" t="s">
        <v>5959</v>
      </c>
      <c r="E4780">
        <v>12936</v>
      </c>
    </row>
    <row r="4781" spans="1:5">
      <c r="A4781" s="1">
        <v>46006</v>
      </c>
      <c r="B4781" t="s">
        <v>1106</v>
      </c>
      <c r="C4781" t="s">
        <v>19</v>
      </c>
      <c r="D4781" t="s">
        <v>5960</v>
      </c>
      <c r="E4781">
        <v>19390</v>
      </c>
    </row>
    <row r="4782" spans="1:5">
      <c r="A4782" s="1">
        <v>46006</v>
      </c>
      <c r="B4782" t="s">
        <v>35</v>
      </c>
      <c r="C4782" t="s">
        <v>20</v>
      </c>
      <c r="D4782" t="s">
        <v>5961</v>
      </c>
      <c r="E4782">
        <v>1197</v>
      </c>
    </row>
    <row r="4783" spans="1:5">
      <c r="A4783" s="1">
        <v>46006</v>
      </c>
      <c r="B4783" t="s">
        <v>2455</v>
      </c>
      <c r="C4783" t="s">
        <v>20</v>
      </c>
      <c r="D4783" t="s">
        <v>5962</v>
      </c>
      <c r="E4783">
        <v>6200</v>
      </c>
    </row>
    <row r="4784" spans="1:5">
      <c r="A4784" s="1">
        <v>46006</v>
      </c>
      <c r="B4784" t="s">
        <v>4144</v>
      </c>
      <c r="C4784" t="s">
        <v>20</v>
      </c>
      <c r="D4784" t="s">
        <v>5963</v>
      </c>
      <c r="E4784">
        <v>4650</v>
      </c>
    </row>
    <row r="4785" spans="1:5">
      <c r="A4785" s="1">
        <v>46006</v>
      </c>
      <c r="B4785" t="s">
        <v>254</v>
      </c>
      <c r="C4785" t="s">
        <v>20</v>
      </c>
      <c r="D4785" t="s">
        <v>5964</v>
      </c>
      <c r="E4785">
        <v>310</v>
      </c>
    </row>
    <row r="4786" spans="1:5">
      <c r="A4786" s="1">
        <v>46006</v>
      </c>
      <c r="B4786" t="s">
        <v>35</v>
      </c>
      <c r="C4786" t="s">
        <v>20</v>
      </c>
      <c r="D4786" t="s">
        <v>5965</v>
      </c>
      <c r="E4786">
        <v>13823</v>
      </c>
    </row>
    <row r="4787" spans="1:5">
      <c r="A4787" s="1">
        <v>46006</v>
      </c>
      <c r="B4787" t="s">
        <v>5840</v>
      </c>
      <c r="C4787" t="s">
        <v>20</v>
      </c>
      <c r="D4787" t="s">
        <v>5966</v>
      </c>
      <c r="E4787">
        <v>242</v>
      </c>
    </row>
    <row r="4788" spans="1:5">
      <c r="A4788" s="1">
        <v>46006</v>
      </c>
      <c r="B4788" t="s">
        <v>5941</v>
      </c>
      <c r="C4788" t="s">
        <v>20</v>
      </c>
      <c r="D4788" t="s">
        <v>5967</v>
      </c>
      <c r="E4788">
        <v>570</v>
      </c>
    </row>
    <row r="4789" spans="1:5">
      <c r="A4789" s="1">
        <v>46006</v>
      </c>
      <c r="B4789" t="s">
        <v>100</v>
      </c>
      <c r="C4789" t="s">
        <v>20</v>
      </c>
      <c r="D4789" t="s">
        <v>5968</v>
      </c>
      <c r="E4789">
        <v>10660</v>
      </c>
    </row>
    <row r="4790" spans="1:5">
      <c r="A4790" s="1">
        <v>46006</v>
      </c>
      <c r="B4790" t="s">
        <v>968</v>
      </c>
      <c r="C4790" t="s">
        <v>20</v>
      </c>
      <c r="D4790" t="s">
        <v>5969</v>
      </c>
      <c r="E4790">
        <v>4713</v>
      </c>
    </row>
    <row r="4791" spans="1:5">
      <c r="A4791" s="1">
        <v>46006</v>
      </c>
      <c r="B4791" t="s">
        <v>4928</v>
      </c>
      <c r="C4791" t="s">
        <v>20</v>
      </c>
      <c r="D4791" t="s">
        <v>5970</v>
      </c>
      <c r="E4791">
        <v>3300</v>
      </c>
    </row>
    <row r="4792" spans="1:5">
      <c r="A4792" s="1">
        <v>46006</v>
      </c>
      <c r="B4792" t="s">
        <v>5971</v>
      </c>
      <c r="C4792" t="s">
        <v>20</v>
      </c>
      <c r="D4792" t="s">
        <v>5972</v>
      </c>
      <c r="E4792">
        <v>2234</v>
      </c>
    </row>
    <row r="4793" spans="1:5">
      <c r="A4793" s="1">
        <v>46006</v>
      </c>
      <c r="B4793" t="s">
        <v>5973</v>
      </c>
      <c r="C4793" t="s">
        <v>20</v>
      </c>
      <c r="D4793" t="s">
        <v>5974</v>
      </c>
      <c r="E4793">
        <v>1137</v>
      </c>
    </row>
    <row r="4794" spans="1:5">
      <c r="A4794" s="1">
        <v>46006</v>
      </c>
      <c r="B4794" t="s">
        <v>2314</v>
      </c>
      <c r="C4794" t="s">
        <v>20</v>
      </c>
      <c r="D4794" t="s">
        <v>5975</v>
      </c>
      <c r="E4794">
        <v>4076</v>
      </c>
    </row>
    <row r="4795" spans="1:5">
      <c r="A4795" s="1">
        <v>46006</v>
      </c>
      <c r="B4795" t="s">
        <v>4050</v>
      </c>
      <c r="C4795" t="s">
        <v>20</v>
      </c>
      <c r="D4795" t="s">
        <v>5976</v>
      </c>
      <c r="E4795">
        <v>37792</v>
      </c>
    </row>
    <row r="4796" spans="1:5">
      <c r="A4796" s="1">
        <v>46006</v>
      </c>
      <c r="B4796" t="s">
        <v>5977</v>
      </c>
      <c r="C4796" t="s">
        <v>20</v>
      </c>
      <c r="D4796" t="s">
        <v>5978</v>
      </c>
      <c r="E4796">
        <v>4892</v>
      </c>
    </row>
    <row r="4797" spans="1:5">
      <c r="A4797" s="1">
        <v>46006</v>
      </c>
      <c r="B4797" t="s">
        <v>87</v>
      </c>
      <c r="C4797" t="s">
        <v>20</v>
      </c>
      <c r="D4797" t="s">
        <v>5979</v>
      </c>
      <c r="E4797">
        <v>1860</v>
      </c>
    </row>
    <row r="4798" spans="1:5">
      <c r="A4798" s="1">
        <v>46006</v>
      </c>
      <c r="B4798" t="s">
        <v>76</v>
      </c>
      <c r="C4798" t="s">
        <v>20</v>
      </c>
      <c r="D4798" t="s">
        <v>5980</v>
      </c>
      <c r="E4798">
        <v>20220</v>
      </c>
    </row>
    <row r="4799" spans="1:5">
      <c r="A4799" s="1">
        <v>46006</v>
      </c>
      <c r="B4799" t="s">
        <v>1816</v>
      </c>
      <c r="C4799" t="s">
        <v>20</v>
      </c>
      <c r="D4799" t="s">
        <v>5981</v>
      </c>
      <c r="E4799">
        <v>1282</v>
      </c>
    </row>
    <row r="4800" spans="1:5">
      <c r="A4800" s="1">
        <v>46006</v>
      </c>
      <c r="B4800" t="s">
        <v>5908</v>
      </c>
      <c r="C4800" t="s">
        <v>20</v>
      </c>
      <c r="D4800" t="s">
        <v>5982</v>
      </c>
      <c r="E4800">
        <v>7000</v>
      </c>
    </row>
    <row r="4801" spans="1:5">
      <c r="A4801" s="1">
        <v>46006</v>
      </c>
      <c r="B4801" t="s">
        <v>5840</v>
      </c>
      <c r="C4801" t="s">
        <v>20</v>
      </c>
      <c r="D4801" t="s">
        <v>5983</v>
      </c>
      <c r="E4801">
        <v>898</v>
      </c>
    </row>
    <row r="4802" spans="1:5">
      <c r="A4802" s="1">
        <v>46006</v>
      </c>
      <c r="B4802" t="s">
        <v>50</v>
      </c>
      <c r="C4802" t="s">
        <v>20</v>
      </c>
      <c r="D4802" t="s">
        <v>5984</v>
      </c>
      <c r="E4802">
        <v>12</v>
      </c>
    </row>
    <row r="4803" spans="1:5">
      <c r="A4803" s="1">
        <v>46006</v>
      </c>
      <c r="B4803" t="s">
        <v>43</v>
      </c>
      <c r="C4803" t="s">
        <v>20</v>
      </c>
      <c r="D4803" t="s">
        <v>5985</v>
      </c>
      <c r="E4803">
        <v>4930</v>
      </c>
    </row>
    <row r="4804" spans="1:5">
      <c r="A4804" s="1">
        <v>46006</v>
      </c>
      <c r="B4804" t="s">
        <v>5986</v>
      </c>
      <c r="C4804" t="s">
        <v>20</v>
      </c>
      <c r="D4804" t="s">
        <v>5987</v>
      </c>
      <c r="E4804">
        <v>15743</v>
      </c>
    </row>
    <row r="4805" spans="1:5">
      <c r="A4805" s="1">
        <v>46006</v>
      </c>
      <c r="B4805" t="s">
        <v>5986</v>
      </c>
      <c r="C4805" t="s">
        <v>20</v>
      </c>
      <c r="D4805" t="s">
        <v>5988</v>
      </c>
      <c r="E4805">
        <v>840</v>
      </c>
    </row>
    <row r="4806" spans="1:5">
      <c r="A4806" s="1">
        <v>46006</v>
      </c>
      <c r="B4806" t="s">
        <v>5986</v>
      </c>
      <c r="C4806" t="s">
        <v>20</v>
      </c>
      <c r="D4806" t="s">
        <v>5989</v>
      </c>
      <c r="E4806">
        <v>3538</v>
      </c>
    </row>
    <row r="4807" spans="1:5">
      <c r="A4807" s="1">
        <v>46006</v>
      </c>
      <c r="B4807" t="s">
        <v>5990</v>
      </c>
      <c r="C4807" t="s">
        <v>20</v>
      </c>
      <c r="D4807" t="s">
        <v>5991</v>
      </c>
      <c r="E4807">
        <v>300</v>
      </c>
    </row>
    <row r="4808" spans="1:5">
      <c r="A4808" s="1">
        <v>46007</v>
      </c>
      <c r="B4808" t="s">
        <v>1683</v>
      </c>
      <c r="C4808" t="s">
        <v>19</v>
      </c>
      <c r="D4808" t="s">
        <v>5992</v>
      </c>
      <c r="E4808">
        <v>3460</v>
      </c>
    </row>
    <row r="4809" spans="1:5">
      <c r="A4809" s="1">
        <v>46007</v>
      </c>
      <c r="B4809" t="s">
        <v>1516</v>
      </c>
      <c r="C4809" t="s">
        <v>19</v>
      </c>
      <c r="D4809" t="s">
        <v>5993</v>
      </c>
      <c r="E4809">
        <v>67750</v>
      </c>
    </row>
    <row r="4810" spans="1:5">
      <c r="A4810" s="1">
        <v>46007</v>
      </c>
      <c r="B4810" t="s">
        <v>68</v>
      </c>
      <c r="C4810" t="s">
        <v>20</v>
      </c>
      <c r="D4810" t="s">
        <v>5994</v>
      </c>
      <c r="E4810">
        <v>13035</v>
      </c>
    </row>
    <row r="4811" spans="1:5">
      <c r="A4811" s="1">
        <v>46007</v>
      </c>
      <c r="B4811" t="s">
        <v>68</v>
      </c>
      <c r="C4811" t="s">
        <v>20</v>
      </c>
      <c r="D4811" t="s">
        <v>5995</v>
      </c>
      <c r="E4811">
        <v>14236</v>
      </c>
    </row>
    <row r="4812" spans="1:5">
      <c r="A4812" s="1">
        <v>46007</v>
      </c>
      <c r="B4812" t="s">
        <v>68</v>
      </c>
      <c r="C4812" t="s">
        <v>20</v>
      </c>
      <c r="D4812" t="s">
        <v>5996</v>
      </c>
      <c r="E4812">
        <v>5815</v>
      </c>
    </row>
    <row r="4813" spans="1:5">
      <c r="A4813" s="1">
        <v>46007</v>
      </c>
      <c r="B4813" t="s">
        <v>68</v>
      </c>
      <c r="C4813" t="s">
        <v>20</v>
      </c>
      <c r="D4813" t="s">
        <v>5997</v>
      </c>
      <c r="E4813">
        <v>4860</v>
      </c>
    </row>
    <row r="4814" spans="1:5">
      <c r="A4814" s="1">
        <v>46007</v>
      </c>
      <c r="B4814" t="s">
        <v>5998</v>
      </c>
      <c r="C4814" t="s">
        <v>20</v>
      </c>
      <c r="D4814" t="s">
        <v>5999</v>
      </c>
      <c r="E4814">
        <v>620</v>
      </c>
    </row>
    <row r="4815" spans="1:5">
      <c r="A4815" s="1">
        <v>46007</v>
      </c>
      <c r="B4815" t="s">
        <v>6000</v>
      </c>
      <c r="C4815" t="s">
        <v>20</v>
      </c>
      <c r="D4815" t="s">
        <v>6001</v>
      </c>
      <c r="E4815">
        <v>300</v>
      </c>
    </row>
    <row r="4816" spans="1:5">
      <c r="A4816" s="1">
        <v>46007</v>
      </c>
      <c r="B4816" t="s">
        <v>6002</v>
      </c>
      <c r="C4816" t="s">
        <v>20</v>
      </c>
      <c r="D4816" t="s">
        <v>6003</v>
      </c>
      <c r="E4816">
        <v>310</v>
      </c>
    </row>
    <row r="4817" spans="1:5">
      <c r="A4817" s="1">
        <v>46007</v>
      </c>
      <c r="B4817" t="s">
        <v>100</v>
      </c>
      <c r="C4817" t="s">
        <v>20</v>
      </c>
      <c r="D4817" t="s">
        <v>6004</v>
      </c>
      <c r="E4817">
        <v>3500</v>
      </c>
    </row>
    <row r="4818" spans="1:5">
      <c r="A4818" s="1">
        <v>46007</v>
      </c>
      <c r="B4818" t="s">
        <v>4144</v>
      </c>
      <c r="C4818" t="s">
        <v>20</v>
      </c>
      <c r="D4818" t="s">
        <v>6005</v>
      </c>
      <c r="E4818">
        <v>504</v>
      </c>
    </row>
    <row r="4819" spans="1:5">
      <c r="A4819" s="1">
        <v>46007</v>
      </c>
      <c r="B4819" t="s">
        <v>6006</v>
      </c>
      <c r="C4819" t="s">
        <v>20</v>
      </c>
      <c r="D4819" t="s">
        <v>6007</v>
      </c>
      <c r="E4819">
        <v>22984</v>
      </c>
    </row>
    <row r="4820" spans="1:5">
      <c r="A4820" s="1">
        <v>46007</v>
      </c>
      <c r="B4820" t="s">
        <v>2455</v>
      </c>
      <c r="C4820" t="s">
        <v>20</v>
      </c>
      <c r="D4820" t="s">
        <v>6008</v>
      </c>
      <c r="E4820">
        <v>4768</v>
      </c>
    </row>
    <row r="4821" spans="1:5">
      <c r="A4821" s="1">
        <v>46007</v>
      </c>
      <c r="B4821" t="s">
        <v>50</v>
      </c>
      <c r="C4821" t="s">
        <v>20</v>
      </c>
      <c r="D4821" t="s">
        <v>6009</v>
      </c>
      <c r="E4821">
        <v>20</v>
      </c>
    </row>
    <row r="4822" spans="1:5">
      <c r="A4822" s="1">
        <v>46007</v>
      </c>
      <c r="B4822" t="s">
        <v>2999</v>
      </c>
      <c r="C4822" t="s">
        <v>20</v>
      </c>
      <c r="D4822" t="s">
        <v>6010</v>
      </c>
      <c r="E4822">
        <v>14043</v>
      </c>
    </row>
    <row r="4823" spans="1:5">
      <c r="A4823" s="1">
        <v>46007</v>
      </c>
      <c r="B4823" t="s">
        <v>6011</v>
      </c>
      <c r="C4823" t="s">
        <v>20</v>
      </c>
      <c r="D4823" t="s">
        <v>6012</v>
      </c>
      <c r="E4823">
        <v>310</v>
      </c>
    </row>
    <row r="4824" spans="1:5">
      <c r="A4824" s="1">
        <v>46007</v>
      </c>
      <c r="B4824" t="s">
        <v>1216</v>
      </c>
      <c r="C4824" t="s">
        <v>20</v>
      </c>
      <c r="D4824" t="s">
        <v>6013</v>
      </c>
      <c r="E4824">
        <v>2470</v>
      </c>
    </row>
    <row r="4825" spans="1:5">
      <c r="A4825" s="1">
        <v>46007</v>
      </c>
      <c r="B4825" t="s">
        <v>6014</v>
      </c>
      <c r="C4825" t="s">
        <v>20</v>
      </c>
      <c r="D4825" t="s">
        <v>6015</v>
      </c>
      <c r="E4825">
        <v>12</v>
      </c>
    </row>
    <row r="4826" spans="1:5">
      <c r="A4826" s="1">
        <v>46007</v>
      </c>
      <c r="B4826" t="s">
        <v>316</v>
      </c>
      <c r="C4826" t="s">
        <v>20</v>
      </c>
      <c r="D4826" t="s">
        <v>6016</v>
      </c>
      <c r="E4826">
        <v>182</v>
      </c>
    </row>
    <row r="4827" spans="1:5">
      <c r="A4827" s="1">
        <v>46007</v>
      </c>
      <c r="B4827" t="s">
        <v>4906</v>
      </c>
      <c r="C4827" t="s">
        <v>20</v>
      </c>
      <c r="D4827" t="s">
        <v>6017</v>
      </c>
      <c r="E4827">
        <v>20600</v>
      </c>
    </row>
    <row r="4828" spans="1:5">
      <c r="A4828" s="1">
        <v>46007</v>
      </c>
      <c r="B4828" t="s">
        <v>4928</v>
      </c>
      <c r="C4828" t="s">
        <v>20</v>
      </c>
      <c r="D4828" t="s">
        <v>6018</v>
      </c>
      <c r="E4828">
        <v>128</v>
      </c>
    </row>
    <row r="4829" spans="1:5">
      <c r="A4829" s="1">
        <v>46007</v>
      </c>
      <c r="B4829" t="s">
        <v>1196</v>
      </c>
      <c r="C4829" t="s">
        <v>20</v>
      </c>
      <c r="D4829" t="s">
        <v>6019</v>
      </c>
      <c r="E4829">
        <v>1037</v>
      </c>
    </row>
    <row r="4830" spans="1:5">
      <c r="A4830" s="1">
        <v>46007</v>
      </c>
      <c r="B4830" t="s">
        <v>3910</v>
      </c>
      <c r="C4830" t="s">
        <v>20</v>
      </c>
      <c r="D4830" t="s">
        <v>6020</v>
      </c>
      <c r="E4830">
        <v>40</v>
      </c>
    </row>
    <row r="4831" spans="1:5">
      <c r="A4831" s="1">
        <v>46007</v>
      </c>
      <c r="B4831" t="s">
        <v>35</v>
      </c>
      <c r="C4831" t="s">
        <v>20</v>
      </c>
      <c r="D4831" t="s">
        <v>6021</v>
      </c>
      <c r="E4831">
        <v>947</v>
      </c>
    </row>
    <row r="4832" spans="1:5">
      <c r="A4832" s="1">
        <v>46007</v>
      </c>
      <c r="B4832" t="s">
        <v>6022</v>
      </c>
      <c r="C4832" t="s">
        <v>20</v>
      </c>
      <c r="D4832" t="s">
        <v>6023</v>
      </c>
      <c r="E4832">
        <v>2792</v>
      </c>
    </row>
    <row r="4833" spans="1:5">
      <c r="A4833" s="1">
        <v>46007</v>
      </c>
      <c r="B4833" t="s">
        <v>5840</v>
      </c>
      <c r="C4833" t="s">
        <v>20</v>
      </c>
      <c r="D4833" t="s">
        <v>6024</v>
      </c>
      <c r="E4833">
        <v>951</v>
      </c>
    </row>
    <row r="4834" spans="1:5">
      <c r="A4834" s="1">
        <v>46007</v>
      </c>
      <c r="B4834" t="s">
        <v>50</v>
      </c>
      <c r="C4834" t="s">
        <v>20</v>
      </c>
      <c r="D4834" t="s">
        <v>6025</v>
      </c>
      <c r="E4834">
        <v>4610</v>
      </c>
    </row>
    <row r="4835" spans="1:5">
      <c r="A4835" s="1">
        <v>46008</v>
      </c>
      <c r="B4835" t="s">
        <v>1106</v>
      </c>
      <c r="C4835" t="s">
        <v>19</v>
      </c>
      <c r="D4835" t="s">
        <v>6026</v>
      </c>
      <c r="E4835">
        <v>26530</v>
      </c>
    </row>
    <row r="4836" spans="1:5">
      <c r="A4836" s="1">
        <v>46008</v>
      </c>
      <c r="B4836" t="s">
        <v>1104</v>
      </c>
      <c r="C4836" t="s">
        <v>19</v>
      </c>
      <c r="D4836" t="s">
        <v>6027</v>
      </c>
      <c r="E4836">
        <v>44962</v>
      </c>
    </row>
    <row r="4837" spans="1:5">
      <c r="A4837" s="1">
        <v>46008</v>
      </c>
      <c r="B4837" t="s">
        <v>2854</v>
      </c>
      <c r="C4837" t="s">
        <v>19</v>
      </c>
      <c r="D4837" t="s">
        <v>6028</v>
      </c>
      <c r="E4837">
        <v>32708</v>
      </c>
    </row>
    <row r="4838" spans="1:5">
      <c r="A4838" s="1">
        <v>46008</v>
      </c>
      <c r="B4838" t="s">
        <v>1216</v>
      </c>
      <c r="C4838" t="s">
        <v>20</v>
      </c>
      <c r="D4838" t="s">
        <v>6029</v>
      </c>
      <c r="E4838">
        <v>3100</v>
      </c>
    </row>
    <row r="4839" spans="1:5">
      <c r="A4839" s="1">
        <v>46008</v>
      </c>
      <c r="B4839" t="s">
        <v>50</v>
      </c>
      <c r="C4839" t="s">
        <v>20</v>
      </c>
      <c r="D4839" t="s">
        <v>6030</v>
      </c>
      <c r="E4839">
        <v>30</v>
      </c>
    </row>
    <row r="4840" spans="1:5">
      <c r="A4840" s="1">
        <v>46008</v>
      </c>
      <c r="B4840" t="s">
        <v>50</v>
      </c>
      <c r="C4840" t="s">
        <v>20</v>
      </c>
      <c r="D4840" t="s">
        <v>6031</v>
      </c>
      <c r="E4840">
        <v>310</v>
      </c>
    </row>
    <row r="4841" spans="1:5">
      <c r="A4841" s="1">
        <v>46008</v>
      </c>
      <c r="B4841" t="s">
        <v>6032</v>
      </c>
      <c r="C4841" t="s">
        <v>20</v>
      </c>
      <c r="D4841" t="s">
        <v>6033</v>
      </c>
      <c r="E4841">
        <v>3237</v>
      </c>
    </row>
    <row r="4842" spans="1:5">
      <c r="A4842" s="1">
        <v>46008</v>
      </c>
      <c r="B4842" t="s">
        <v>6034</v>
      </c>
      <c r="C4842" t="s">
        <v>20</v>
      </c>
      <c r="D4842" t="s">
        <v>6035</v>
      </c>
      <c r="E4842">
        <v>3351</v>
      </c>
    </row>
    <row r="4843" spans="1:5">
      <c r="A4843" s="1">
        <v>46008</v>
      </c>
      <c r="B4843" t="s">
        <v>3701</v>
      </c>
      <c r="C4843" t="s">
        <v>20</v>
      </c>
      <c r="D4843" t="s">
        <v>6036</v>
      </c>
      <c r="E4843">
        <v>24725</v>
      </c>
    </row>
    <row r="4844" spans="1:5">
      <c r="A4844" s="1">
        <v>46008</v>
      </c>
      <c r="B4844" t="s">
        <v>875</v>
      </c>
      <c r="C4844" t="s">
        <v>20</v>
      </c>
      <c r="D4844" t="s">
        <v>6037</v>
      </c>
      <c r="E4844">
        <v>15500</v>
      </c>
    </row>
    <row r="4845" spans="1:5">
      <c r="A4845" s="1">
        <v>46008</v>
      </c>
      <c r="B4845" t="s">
        <v>68</v>
      </c>
      <c r="C4845" t="s">
        <v>20</v>
      </c>
      <c r="D4845" t="s">
        <v>6038</v>
      </c>
      <c r="E4845">
        <v>685</v>
      </c>
    </row>
    <row r="4846" spans="1:5">
      <c r="A4846" s="1">
        <v>46008</v>
      </c>
      <c r="B4846" t="s">
        <v>193</v>
      </c>
      <c r="C4846" t="s">
        <v>20</v>
      </c>
      <c r="D4846" t="s">
        <v>6039</v>
      </c>
      <c r="E4846">
        <v>24284</v>
      </c>
    </row>
    <row r="4847" spans="1:5">
      <c r="A4847" s="1">
        <v>46008</v>
      </c>
      <c r="B4847" t="s">
        <v>35</v>
      </c>
      <c r="C4847" t="s">
        <v>20</v>
      </c>
      <c r="D4847" t="s">
        <v>6040</v>
      </c>
      <c r="E4847">
        <v>5265</v>
      </c>
    </row>
    <row r="4848" spans="1:5">
      <c r="A4848" s="1">
        <v>46008</v>
      </c>
      <c r="B4848" t="s">
        <v>5056</v>
      </c>
      <c r="C4848" t="s">
        <v>20</v>
      </c>
      <c r="D4848" t="s">
        <v>6041</v>
      </c>
      <c r="E4848">
        <v>434</v>
      </c>
    </row>
    <row r="4849" spans="1:5">
      <c r="A4849" s="1">
        <v>46008</v>
      </c>
      <c r="B4849" t="s">
        <v>2815</v>
      </c>
      <c r="C4849" t="s">
        <v>20</v>
      </c>
      <c r="D4849" t="s">
        <v>6042</v>
      </c>
      <c r="E4849">
        <v>9023</v>
      </c>
    </row>
    <row r="4850" spans="1:5">
      <c r="A4850" s="1">
        <v>46008</v>
      </c>
      <c r="B4850" t="s">
        <v>2455</v>
      </c>
      <c r="C4850" t="s">
        <v>20</v>
      </c>
      <c r="D4850" t="s">
        <v>6043</v>
      </c>
      <c r="E4850">
        <v>2657</v>
      </c>
    </row>
    <row r="4851" spans="1:5">
      <c r="A4851" s="1">
        <v>46008</v>
      </c>
      <c r="B4851" t="s">
        <v>681</v>
      </c>
      <c r="C4851" t="s">
        <v>20</v>
      </c>
      <c r="D4851" t="s">
        <v>6044</v>
      </c>
      <c r="E4851">
        <v>660</v>
      </c>
    </row>
    <row r="4852" spans="1:5">
      <c r="A4852" s="1">
        <v>46008</v>
      </c>
      <c r="B4852" t="s">
        <v>5878</v>
      </c>
      <c r="C4852" t="s">
        <v>20</v>
      </c>
      <c r="D4852" t="s">
        <v>6045</v>
      </c>
      <c r="E4852">
        <v>4442</v>
      </c>
    </row>
    <row r="4853" spans="1:5">
      <c r="A4853" s="1">
        <v>46008</v>
      </c>
      <c r="B4853" t="s">
        <v>193</v>
      </c>
      <c r="C4853" t="s">
        <v>20</v>
      </c>
      <c r="D4853" t="s">
        <v>6046</v>
      </c>
      <c r="E4853">
        <v>23455</v>
      </c>
    </row>
    <row r="4854" spans="1:5">
      <c r="A4854" s="1">
        <v>46008</v>
      </c>
      <c r="B4854" t="s">
        <v>5069</v>
      </c>
      <c r="C4854" t="s">
        <v>20</v>
      </c>
      <c r="D4854" t="s">
        <v>6047</v>
      </c>
      <c r="E4854">
        <v>6664</v>
      </c>
    </row>
    <row r="4855" spans="1:5">
      <c r="A4855" s="1">
        <v>46008</v>
      </c>
      <c r="B4855" t="s">
        <v>817</v>
      </c>
      <c r="C4855" t="s">
        <v>20</v>
      </c>
      <c r="D4855" t="s">
        <v>6048</v>
      </c>
      <c r="E4855">
        <v>6200</v>
      </c>
    </row>
    <row r="4856" spans="1:5">
      <c r="A4856" s="1">
        <v>46008</v>
      </c>
      <c r="B4856" t="s">
        <v>4013</v>
      </c>
      <c r="C4856" t="s">
        <v>20</v>
      </c>
      <c r="D4856" t="s">
        <v>6049</v>
      </c>
      <c r="E4856">
        <v>22287</v>
      </c>
    </row>
    <row r="4857" spans="1:5">
      <c r="A4857" s="1">
        <v>46008</v>
      </c>
      <c r="B4857" t="s">
        <v>3414</v>
      </c>
      <c r="C4857" t="s">
        <v>20</v>
      </c>
      <c r="D4857" t="s">
        <v>6050</v>
      </c>
      <c r="E4857">
        <v>310</v>
      </c>
    </row>
    <row r="4858" spans="1:5">
      <c r="A4858" s="1">
        <v>46008</v>
      </c>
      <c r="B4858" t="s">
        <v>6051</v>
      </c>
      <c r="C4858" t="s">
        <v>20</v>
      </c>
      <c r="D4858" t="s">
        <v>6052</v>
      </c>
      <c r="E4858">
        <v>310</v>
      </c>
    </row>
    <row r="4859" spans="1:5">
      <c r="A4859" s="1">
        <v>46009</v>
      </c>
      <c r="B4859" t="s">
        <v>2498</v>
      </c>
      <c r="C4859" t="s">
        <v>19</v>
      </c>
      <c r="D4859" t="s">
        <v>6053</v>
      </c>
      <c r="E4859">
        <v>12418</v>
      </c>
    </row>
    <row r="4860" spans="1:5">
      <c r="A4860" s="1">
        <v>46009</v>
      </c>
      <c r="B4860" t="s">
        <v>6054</v>
      </c>
      <c r="C4860" t="s">
        <v>19</v>
      </c>
      <c r="D4860" t="s">
        <v>6055</v>
      </c>
      <c r="E4860">
        <v>9557</v>
      </c>
    </row>
    <row r="4861" spans="1:5">
      <c r="A4861" s="1">
        <v>46009</v>
      </c>
      <c r="B4861" t="s">
        <v>2498</v>
      </c>
      <c r="C4861" t="s">
        <v>19</v>
      </c>
      <c r="D4861" t="s">
        <v>6056</v>
      </c>
      <c r="E4861">
        <v>120</v>
      </c>
    </row>
    <row r="4862" spans="1:5">
      <c r="A4862" s="1">
        <v>46009</v>
      </c>
      <c r="B4862" t="s">
        <v>76</v>
      </c>
      <c r="C4862" t="s">
        <v>20</v>
      </c>
      <c r="D4862" t="s">
        <v>6057</v>
      </c>
      <c r="E4862">
        <v>4650</v>
      </c>
    </row>
    <row r="4863" spans="1:5">
      <c r="A4863" s="1">
        <v>46009</v>
      </c>
      <c r="B4863" t="s">
        <v>6058</v>
      </c>
      <c r="C4863" t="s">
        <v>20</v>
      </c>
      <c r="D4863" t="s">
        <v>6059</v>
      </c>
      <c r="E4863">
        <v>600</v>
      </c>
    </row>
    <row r="4864" spans="1:5">
      <c r="A4864" s="1">
        <v>46009</v>
      </c>
      <c r="B4864" t="s">
        <v>4089</v>
      </c>
      <c r="C4864" t="s">
        <v>20</v>
      </c>
      <c r="D4864" t="s">
        <v>6060</v>
      </c>
      <c r="E4864">
        <v>20856</v>
      </c>
    </row>
    <row r="4865" spans="1:5">
      <c r="A4865" s="1">
        <v>46009</v>
      </c>
      <c r="B4865" t="s">
        <v>557</v>
      </c>
      <c r="C4865" t="s">
        <v>20</v>
      </c>
      <c r="D4865" t="s">
        <v>6061</v>
      </c>
      <c r="E4865">
        <v>16110</v>
      </c>
    </row>
    <row r="4866" spans="1:5">
      <c r="A4866" s="1">
        <v>46009</v>
      </c>
      <c r="B4866" t="s">
        <v>4144</v>
      </c>
      <c r="C4866" t="s">
        <v>20</v>
      </c>
      <c r="D4866" t="s">
        <v>6062</v>
      </c>
      <c r="E4866">
        <v>4650</v>
      </c>
    </row>
    <row r="4867" spans="1:5">
      <c r="A4867" s="1">
        <v>46009</v>
      </c>
      <c r="B4867" t="s">
        <v>6006</v>
      </c>
      <c r="C4867" t="s">
        <v>20</v>
      </c>
      <c r="D4867" t="s">
        <v>6063</v>
      </c>
      <c r="E4867">
        <v>160</v>
      </c>
    </row>
    <row r="4868" spans="1:5">
      <c r="A4868" s="1">
        <v>46009</v>
      </c>
      <c r="B4868" t="s">
        <v>844</v>
      </c>
      <c r="C4868" t="s">
        <v>20</v>
      </c>
      <c r="D4868" t="s">
        <v>6064</v>
      </c>
      <c r="E4868">
        <v>6800</v>
      </c>
    </row>
    <row r="4869" spans="1:5">
      <c r="A4869" s="1">
        <v>46009</v>
      </c>
      <c r="B4869" t="s">
        <v>5908</v>
      </c>
      <c r="C4869" t="s">
        <v>20</v>
      </c>
      <c r="D4869" t="s">
        <v>6065</v>
      </c>
      <c r="E4869">
        <v>7000</v>
      </c>
    </row>
    <row r="4870" spans="1:5">
      <c r="A4870" s="1">
        <v>46009</v>
      </c>
      <c r="B4870" t="s">
        <v>6066</v>
      </c>
      <c r="C4870" t="s">
        <v>20</v>
      </c>
      <c r="D4870" t="s">
        <v>6067</v>
      </c>
      <c r="E4870">
        <v>1451</v>
      </c>
    </row>
    <row r="4871" spans="1:5">
      <c r="A4871" s="1">
        <v>46009</v>
      </c>
      <c r="B4871" t="s">
        <v>76</v>
      </c>
      <c r="C4871" t="s">
        <v>20</v>
      </c>
      <c r="D4871" t="s">
        <v>6068</v>
      </c>
      <c r="E4871">
        <v>1550</v>
      </c>
    </row>
    <row r="4872" spans="1:5">
      <c r="A4872" s="1">
        <v>46009</v>
      </c>
      <c r="B4872" t="s">
        <v>2459</v>
      </c>
      <c r="C4872" t="s">
        <v>20</v>
      </c>
      <c r="D4872" t="s">
        <v>6069</v>
      </c>
      <c r="E4872">
        <v>3100</v>
      </c>
    </row>
    <row r="4873" spans="1:5">
      <c r="A4873" s="1">
        <v>46009</v>
      </c>
      <c r="B4873" t="s">
        <v>231</v>
      </c>
      <c r="C4873" t="s">
        <v>20</v>
      </c>
      <c r="D4873" t="s">
        <v>6070</v>
      </c>
      <c r="E4873">
        <v>18407</v>
      </c>
    </row>
    <row r="4874" spans="1:5">
      <c r="A4874" s="1">
        <v>46009</v>
      </c>
      <c r="B4874" t="s">
        <v>222</v>
      </c>
      <c r="C4874" t="s">
        <v>20</v>
      </c>
      <c r="D4874" t="s">
        <v>6071</v>
      </c>
      <c r="E4874">
        <v>620</v>
      </c>
    </row>
    <row r="4875" spans="1:5">
      <c r="A4875" s="1">
        <v>46009</v>
      </c>
      <c r="B4875" t="s">
        <v>4144</v>
      </c>
      <c r="C4875" t="s">
        <v>20</v>
      </c>
      <c r="D4875" t="s">
        <v>6072</v>
      </c>
      <c r="E4875">
        <v>213</v>
      </c>
    </row>
    <row r="4876" spans="1:5">
      <c r="A4876" s="1">
        <v>46009</v>
      </c>
      <c r="B4876" t="s">
        <v>802</v>
      </c>
      <c r="C4876" t="s">
        <v>20</v>
      </c>
      <c r="D4876" t="s">
        <v>6073</v>
      </c>
      <c r="E4876">
        <v>1315</v>
      </c>
    </row>
    <row r="4877" spans="1:5">
      <c r="A4877" s="1">
        <v>46009</v>
      </c>
      <c r="B4877" t="s">
        <v>68</v>
      </c>
      <c r="C4877" t="s">
        <v>20</v>
      </c>
      <c r="D4877" t="s">
        <v>6074</v>
      </c>
      <c r="E4877">
        <v>15264</v>
      </c>
    </row>
    <row r="4878" spans="1:5">
      <c r="A4878" s="1">
        <v>46009</v>
      </c>
      <c r="B4878" t="s">
        <v>526</v>
      </c>
      <c r="C4878" t="s">
        <v>20</v>
      </c>
      <c r="D4878" t="s">
        <v>6075</v>
      </c>
      <c r="E4878">
        <v>27355</v>
      </c>
    </row>
    <row r="4879" spans="1:5">
      <c r="A4879" s="1">
        <v>46009</v>
      </c>
      <c r="B4879" t="s">
        <v>5300</v>
      </c>
      <c r="C4879" t="s">
        <v>20</v>
      </c>
      <c r="D4879" t="s">
        <v>6076</v>
      </c>
      <c r="E4879">
        <v>3100</v>
      </c>
    </row>
    <row r="4880" spans="1:5">
      <c r="A4880" s="1">
        <v>46009</v>
      </c>
      <c r="B4880" t="s">
        <v>50</v>
      </c>
      <c r="C4880" t="s">
        <v>20</v>
      </c>
      <c r="D4880" t="s">
        <v>6077</v>
      </c>
      <c r="E4880">
        <v>12</v>
      </c>
    </row>
    <row r="4881" spans="1:5">
      <c r="A4881" s="1">
        <v>46009</v>
      </c>
      <c r="B4881" t="s">
        <v>156</v>
      </c>
      <c r="C4881" t="s">
        <v>20</v>
      </c>
      <c r="D4881" t="s">
        <v>6078</v>
      </c>
      <c r="E4881">
        <v>10745</v>
      </c>
    </row>
    <row r="4882" spans="1:5">
      <c r="A4882" s="1">
        <v>46009</v>
      </c>
      <c r="B4882" t="s">
        <v>2759</v>
      </c>
      <c r="C4882" t="s">
        <v>20</v>
      </c>
      <c r="D4882" t="s">
        <v>6079</v>
      </c>
      <c r="E4882">
        <v>38</v>
      </c>
    </row>
    <row r="4883" spans="1:5">
      <c r="A4883" s="1">
        <v>46010</v>
      </c>
      <c r="B4883" t="s">
        <v>2987</v>
      </c>
      <c r="C4883" t="s">
        <v>19</v>
      </c>
      <c r="D4883" t="s">
        <v>6080</v>
      </c>
      <c r="E4883">
        <v>474096</v>
      </c>
    </row>
    <row r="4884" spans="1:5">
      <c r="A4884" s="1">
        <v>46010</v>
      </c>
      <c r="B4884" t="s">
        <v>6054</v>
      </c>
      <c r="C4884" t="s">
        <v>19</v>
      </c>
      <c r="D4884" t="s">
        <v>6081</v>
      </c>
      <c r="E4884">
        <v>13827</v>
      </c>
    </row>
    <row r="4885" spans="1:5">
      <c r="A4885" s="1">
        <v>46010</v>
      </c>
      <c r="B4885" t="s">
        <v>180</v>
      </c>
      <c r="C4885" t="s">
        <v>19</v>
      </c>
      <c r="D4885" t="s">
        <v>6082</v>
      </c>
      <c r="E4885">
        <v>40910</v>
      </c>
    </row>
    <row r="4886" spans="1:5">
      <c r="A4886" s="1">
        <v>46010</v>
      </c>
      <c r="B4886" t="s">
        <v>6083</v>
      </c>
      <c r="C4886" t="s">
        <v>20</v>
      </c>
      <c r="D4886" t="s">
        <v>6084</v>
      </c>
      <c r="E4886">
        <v>591</v>
      </c>
    </row>
    <row r="4887" spans="1:5">
      <c r="A4887" s="1">
        <v>46010</v>
      </c>
      <c r="B4887" t="s">
        <v>4773</v>
      </c>
      <c r="C4887" t="s">
        <v>20</v>
      </c>
      <c r="D4887" t="s">
        <v>6085</v>
      </c>
      <c r="E4887">
        <v>2347</v>
      </c>
    </row>
    <row r="4888" spans="1:5">
      <c r="A4888" s="1">
        <v>46010</v>
      </c>
      <c r="B4888" t="s">
        <v>50</v>
      </c>
      <c r="C4888" t="s">
        <v>20</v>
      </c>
      <c r="D4888" t="s">
        <v>6086</v>
      </c>
      <c r="E4888">
        <v>12</v>
      </c>
    </row>
    <row r="4889" spans="1:5">
      <c r="A4889" s="1">
        <v>46010</v>
      </c>
      <c r="B4889" t="s">
        <v>932</v>
      </c>
      <c r="C4889" t="s">
        <v>20</v>
      </c>
      <c r="D4889" t="s">
        <v>6087</v>
      </c>
      <c r="E4889">
        <v>4875</v>
      </c>
    </row>
    <row r="4890" spans="1:5">
      <c r="A4890" s="1">
        <v>46010</v>
      </c>
      <c r="B4890" t="s">
        <v>4947</v>
      </c>
      <c r="C4890" t="s">
        <v>20</v>
      </c>
      <c r="D4890" t="s">
        <v>6088</v>
      </c>
      <c r="E4890">
        <v>3100</v>
      </c>
    </row>
    <row r="4891" spans="1:5">
      <c r="A4891" s="1">
        <v>46010</v>
      </c>
      <c r="B4891" t="s">
        <v>5376</v>
      </c>
      <c r="C4891" t="s">
        <v>20</v>
      </c>
      <c r="D4891" t="s">
        <v>6089</v>
      </c>
      <c r="E4891">
        <v>300</v>
      </c>
    </row>
    <row r="4892" spans="1:5">
      <c r="A4892" s="1">
        <v>46010</v>
      </c>
      <c r="B4892" t="s">
        <v>6090</v>
      </c>
      <c r="C4892" t="s">
        <v>20</v>
      </c>
      <c r="D4892" t="s">
        <v>6091</v>
      </c>
      <c r="E4892">
        <v>921</v>
      </c>
    </row>
    <row r="4893" spans="1:5">
      <c r="A4893" s="1">
        <v>46010</v>
      </c>
      <c r="B4893" t="s">
        <v>6092</v>
      </c>
      <c r="C4893" t="s">
        <v>20</v>
      </c>
      <c r="D4893" t="s">
        <v>6093</v>
      </c>
      <c r="E4893">
        <v>1334</v>
      </c>
    </row>
    <row r="4894" spans="1:5">
      <c r="A4894" s="1">
        <v>46010</v>
      </c>
      <c r="B4894" t="s">
        <v>2815</v>
      </c>
      <c r="C4894" t="s">
        <v>20</v>
      </c>
      <c r="D4894" t="s">
        <v>6094</v>
      </c>
      <c r="E4894">
        <v>85</v>
      </c>
    </row>
    <row r="4895" spans="1:5">
      <c r="A4895" s="1">
        <v>46010</v>
      </c>
      <c r="B4895" t="s">
        <v>50</v>
      </c>
      <c r="C4895" t="s">
        <v>20</v>
      </c>
      <c r="D4895" t="s">
        <v>6095</v>
      </c>
      <c r="E4895">
        <v>100</v>
      </c>
    </row>
    <row r="4896" spans="1:5">
      <c r="A4896" s="1">
        <v>46010</v>
      </c>
      <c r="B4896" t="s">
        <v>50</v>
      </c>
      <c r="C4896" t="s">
        <v>20</v>
      </c>
      <c r="D4896" t="s">
        <v>6096</v>
      </c>
      <c r="E4896">
        <v>310</v>
      </c>
    </row>
    <row r="4897" spans="1:5">
      <c r="A4897" s="1">
        <v>46010</v>
      </c>
      <c r="B4897" t="s">
        <v>6097</v>
      </c>
      <c r="C4897" t="s">
        <v>20</v>
      </c>
      <c r="D4897" t="s">
        <v>6098</v>
      </c>
      <c r="E4897">
        <v>7055</v>
      </c>
    </row>
    <row r="4898" spans="1:5">
      <c r="A4898" s="1">
        <v>46010</v>
      </c>
      <c r="B4898" t="s">
        <v>135</v>
      </c>
      <c r="C4898" t="s">
        <v>20</v>
      </c>
      <c r="D4898" t="s">
        <v>6099</v>
      </c>
      <c r="E4898">
        <v>23341</v>
      </c>
    </row>
    <row r="4899" spans="1:5">
      <c r="A4899" s="1">
        <v>46010</v>
      </c>
      <c r="B4899" t="s">
        <v>50</v>
      </c>
      <c r="C4899" t="s">
        <v>20</v>
      </c>
      <c r="D4899" t="s">
        <v>6100</v>
      </c>
      <c r="E4899">
        <v>17</v>
      </c>
    </row>
    <row r="4900" spans="1:5">
      <c r="A4900" s="1">
        <v>46010</v>
      </c>
      <c r="B4900" t="s">
        <v>6101</v>
      </c>
      <c r="C4900" t="s">
        <v>20</v>
      </c>
      <c r="D4900" t="s">
        <v>6102</v>
      </c>
      <c r="E4900">
        <v>10637</v>
      </c>
    </row>
    <row r="4901" spans="1:5">
      <c r="A4901" s="1">
        <v>46010</v>
      </c>
      <c r="B4901" t="s">
        <v>35</v>
      </c>
      <c r="C4901" t="s">
        <v>20</v>
      </c>
      <c r="D4901" t="s">
        <v>6103</v>
      </c>
      <c r="E4901">
        <v>48260</v>
      </c>
    </row>
    <row r="4902" spans="1:5">
      <c r="A4902" s="1">
        <v>46010</v>
      </c>
      <c r="B4902" t="s">
        <v>526</v>
      </c>
      <c r="C4902" t="s">
        <v>20</v>
      </c>
      <c r="D4902" t="s">
        <v>6104</v>
      </c>
      <c r="E4902">
        <v>607</v>
      </c>
    </row>
    <row r="4903" spans="1:5">
      <c r="A4903" s="1">
        <v>46010</v>
      </c>
      <c r="B4903" t="s">
        <v>50</v>
      </c>
      <c r="C4903" t="s">
        <v>20</v>
      </c>
      <c r="D4903" t="s">
        <v>6105</v>
      </c>
      <c r="E4903">
        <v>310</v>
      </c>
    </row>
    <row r="4904" spans="1:5">
      <c r="A4904" s="1">
        <v>46010</v>
      </c>
      <c r="B4904" t="s">
        <v>50</v>
      </c>
      <c r="C4904" t="s">
        <v>20</v>
      </c>
      <c r="D4904" t="s">
        <v>6106</v>
      </c>
      <c r="E4904">
        <v>50</v>
      </c>
    </row>
    <row r="4905" spans="1:5">
      <c r="A4905" s="1">
        <v>46010</v>
      </c>
      <c r="B4905" t="s">
        <v>875</v>
      </c>
      <c r="C4905" t="s">
        <v>20</v>
      </c>
      <c r="D4905" t="s">
        <v>6107</v>
      </c>
      <c r="E4905">
        <v>2177</v>
      </c>
    </row>
    <row r="4906" spans="1:5">
      <c r="A4906" s="1">
        <v>46010</v>
      </c>
      <c r="B4906" t="s">
        <v>3679</v>
      </c>
      <c r="C4906" t="s">
        <v>20</v>
      </c>
      <c r="D4906" t="s">
        <v>6108</v>
      </c>
      <c r="E4906">
        <v>310</v>
      </c>
    </row>
    <row r="4907" spans="1:5">
      <c r="A4907" s="1">
        <v>46011</v>
      </c>
      <c r="B4907" t="s">
        <v>6054</v>
      </c>
      <c r="C4907" t="s">
        <v>19</v>
      </c>
      <c r="D4907" t="s">
        <v>6109</v>
      </c>
      <c r="E4907">
        <v>21450</v>
      </c>
    </row>
    <row r="4908" spans="1:5">
      <c r="A4908" s="1">
        <v>46011</v>
      </c>
      <c r="B4908" t="s">
        <v>1075</v>
      </c>
      <c r="C4908" t="s">
        <v>20</v>
      </c>
      <c r="D4908" t="s">
        <v>6110</v>
      </c>
      <c r="E4908">
        <v>3100</v>
      </c>
    </row>
    <row r="4909" spans="1:5">
      <c r="A4909" s="1">
        <v>46011</v>
      </c>
      <c r="B4909" t="s">
        <v>3701</v>
      </c>
      <c r="C4909" t="s">
        <v>20</v>
      </c>
      <c r="D4909" t="s">
        <v>6111</v>
      </c>
      <c r="E4909">
        <v>32145</v>
      </c>
    </row>
    <row r="4910" spans="1:5">
      <c r="A4910" s="1">
        <v>46011</v>
      </c>
      <c r="B4910" t="s">
        <v>526</v>
      </c>
      <c r="C4910" t="s">
        <v>20</v>
      </c>
      <c r="D4910" t="s">
        <v>6112</v>
      </c>
      <c r="E4910">
        <v>290</v>
      </c>
    </row>
    <row r="4911" spans="1:5">
      <c r="A4911" s="1">
        <v>46011</v>
      </c>
      <c r="B4911" t="s">
        <v>6113</v>
      </c>
      <c r="C4911" t="s">
        <v>20</v>
      </c>
      <c r="D4911" t="s">
        <v>6114</v>
      </c>
      <c r="E4911">
        <v>150</v>
      </c>
    </row>
    <row r="4912" spans="1:5">
      <c r="A4912" s="1">
        <v>46011</v>
      </c>
      <c r="B4912" t="s">
        <v>5840</v>
      </c>
      <c r="C4912" t="s">
        <v>20</v>
      </c>
      <c r="D4912" t="s">
        <v>6115</v>
      </c>
      <c r="E4912">
        <v>125</v>
      </c>
    </row>
    <row r="4913" spans="1:5">
      <c r="A4913" s="1">
        <v>46011</v>
      </c>
      <c r="B4913" t="s">
        <v>50</v>
      </c>
      <c r="C4913" t="s">
        <v>20</v>
      </c>
      <c r="D4913" t="s">
        <v>6116</v>
      </c>
      <c r="E4913">
        <v>8</v>
      </c>
    </row>
    <row r="4914" spans="1:5">
      <c r="A4914" s="1">
        <v>46011</v>
      </c>
      <c r="B4914" t="s">
        <v>222</v>
      </c>
      <c r="C4914" t="s">
        <v>20</v>
      </c>
      <c r="D4914" t="s">
        <v>6117</v>
      </c>
      <c r="E4914">
        <v>4695</v>
      </c>
    </row>
    <row r="4915" spans="1:5">
      <c r="A4915" s="1">
        <v>46011</v>
      </c>
      <c r="B4915" t="s">
        <v>1196</v>
      </c>
      <c r="C4915" t="s">
        <v>20</v>
      </c>
      <c r="D4915" t="s">
        <v>6118</v>
      </c>
      <c r="E4915">
        <v>35</v>
      </c>
    </row>
    <row r="4916" spans="1:5">
      <c r="A4916" s="1">
        <v>46011</v>
      </c>
      <c r="B4916" t="s">
        <v>6101</v>
      </c>
      <c r="C4916" t="s">
        <v>20</v>
      </c>
      <c r="D4916" t="s">
        <v>6119</v>
      </c>
      <c r="E4916">
        <v>1624</v>
      </c>
    </row>
    <row r="4917" spans="1:5">
      <c r="A4917" s="1">
        <v>46011</v>
      </c>
      <c r="B4917" t="s">
        <v>5878</v>
      </c>
      <c r="C4917" t="s">
        <v>20</v>
      </c>
      <c r="D4917" t="s">
        <v>6120</v>
      </c>
      <c r="E4917">
        <v>1550</v>
      </c>
    </row>
    <row r="4918" spans="1:5">
      <c r="A4918" s="1">
        <v>46011</v>
      </c>
      <c r="B4918" t="s">
        <v>50</v>
      </c>
      <c r="C4918" t="s">
        <v>20</v>
      </c>
      <c r="D4918" t="s">
        <v>6121</v>
      </c>
      <c r="E4918">
        <v>20</v>
      </c>
    </row>
    <row r="4919" spans="1:5">
      <c r="A4919" s="1">
        <v>46011</v>
      </c>
      <c r="B4919" t="s">
        <v>35</v>
      </c>
      <c r="C4919" t="s">
        <v>20</v>
      </c>
      <c r="D4919" t="s">
        <v>6122</v>
      </c>
      <c r="E4919">
        <v>9850</v>
      </c>
    </row>
    <row r="4920" spans="1:5">
      <c r="A4920" s="1">
        <v>46011</v>
      </c>
      <c r="B4920" t="s">
        <v>1196</v>
      </c>
      <c r="C4920" t="s">
        <v>20</v>
      </c>
      <c r="D4920" t="s">
        <v>6123</v>
      </c>
      <c r="E4920">
        <v>3361</v>
      </c>
    </row>
    <row r="4921" spans="1:5">
      <c r="A4921" s="1">
        <v>46011</v>
      </c>
      <c r="B4921" t="s">
        <v>50</v>
      </c>
      <c r="C4921" t="s">
        <v>20</v>
      </c>
      <c r="D4921" t="s">
        <v>6124</v>
      </c>
      <c r="E4921">
        <v>8</v>
      </c>
    </row>
    <row r="4922" spans="1:5">
      <c r="A4922" s="1">
        <v>46013</v>
      </c>
      <c r="B4922" t="s">
        <v>1254</v>
      </c>
      <c r="C4922" t="s">
        <v>19</v>
      </c>
      <c r="D4922" t="s">
        <v>6125</v>
      </c>
      <c r="E4922">
        <v>3418</v>
      </c>
    </row>
    <row r="4923" spans="1:5">
      <c r="A4923" s="1">
        <v>46013</v>
      </c>
      <c r="B4923" t="s">
        <v>1104</v>
      </c>
      <c r="C4923" t="s">
        <v>19</v>
      </c>
      <c r="D4923" t="s">
        <v>6126</v>
      </c>
      <c r="E4923">
        <v>47588</v>
      </c>
    </row>
    <row r="4924" spans="1:5">
      <c r="A4924" s="1">
        <v>46013</v>
      </c>
      <c r="B4924" t="s">
        <v>5791</v>
      </c>
      <c r="C4924" t="s">
        <v>19</v>
      </c>
      <c r="D4924" t="s">
        <v>6127</v>
      </c>
      <c r="E4924">
        <v>1860</v>
      </c>
    </row>
    <row r="4925" spans="1:5">
      <c r="A4925" s="1">
        <v>46013</v>
      </c>
      <c r="B4925" t="s">
        <v>4669</v>
      </c>
      <c r="C4925" t="s">
        <v>19</v>
      </c>
      <c r="D4925" t="s">
        <v>6128</v>
      </c>
      <c r="E4925">
        <v>1946</v>
      </c>
    </row>
    <row r="4926" spans="1:5">
      <c r="A4926" s="1">
        <v>46013</v>
      </c>
      <c r="B4926" t="s">
        <v>5878</v>
      </c>
      <c r="C4926" t="s">
        <v>20</v>
      </c>
      <c r="D4926" t="s">
        <v>6129</v>
      </c>
      <c r="E4926">
        <v>930</v>
      </c>
    </row>
    <row r="4927" spans="1:5">
      <c r="A4927" s="1">
        <v>46013</v>
      </c>
      <c r="B4927" t="s">
        <v>681</v>
      </c>
      <c r="C4927" t="s">
        <v>20</v>
      </c>
      <c r="D4927" t="s">
        <v>6130</v>
      </c>
      <c r="E4927">
        <v>343</v>
      </c>
    </row>
    <row r="4928" spans="1:5">
      <c r="A4928" s="1">
        <v>46013</v>
      </c>
      <c r="B4928" t="s">
        <v>4921</v>
      </c>
      <c r="C4928" t="s">
        <v>20</v>
      </c>
      <c r="D4928" t="s">
        <v>6131</v>
      </c>
      <c r="E4928">
        <v>27480</v>
      </c>
    </row>
    <row r="4929" spans="1:5">
      <c r="A4929" s="1">
        <v>46013</v>
      </c>
      <c r="B4929" t="s">
        <v>254</v>
      </c>
      <c r="C4929" t="s">
        <v>20</v>
      </c>
      <c r="D4929" t="s">
        <v>6132</v>
      </c>
      <c r="E4929">
        <v>310</v>
      </c>
    </row>
    <row r="4930" spans="1:5">
      <c r="A4930" s="1">
        <v>46013</v>
      </c>
      <c r="B4930" t="s">
        <v>6133</v>
      </c>
      <c r="C4930" t="s">
        <v>20</v>
      </c>
      <c r="D4930" t="s">
        <v>6134</v>
      </c>
      <c r="E4930">
        <v>618</v>
      </c>
    </row>
    <row r="4931" spans="1:5">
      <c r="A4931" s="1">
        <v>46013</v>
      </c>
      <c r="B4931" t="s">
        <v>68</v>
      </c>
      <c r="C4931" t="s">
        <v>20</v>
      </c>
      <c r="D4931" t="s">
        <v>6135</v>
      </c>
      <c r="E4931">
        <v>2742</v>
      </c>
    </row>
    <row r="4932" spans="1:5">
      <c r="A4932" s="1">
        <v>46013</v>
      </c>
      <c r="B4932" t="s">
        <v>1075</v>
      </c>
      <c r="C4932" t="s">
        <v>20</v>
      </c>
      <c r="D4932" t="s">
        <v>6136</v>
      </c>
      <c r="E4932">
        <v>3720</v>
      </c>
    </row>
    <row r="4933" spans="1:5">
      <c r="A4933" s="1">
        <v>46013</v>
      </c>
      <c r="B4933" t="s">
        <v>2634</v>
      </c>
      <c r="C4933" t="s">
        <v>20</v>
      </c>
      <c r="D4933" t="s">
        <v>6137</v>
      </c>
      <c r="E4933">
        <v>4650</v>
      </c>
    </row>
    <row r="4934" spans="1:5">
      <c r="A4934" s="1">
        <v>46013</v>
      </c>
      <c r="B4934" t="s">
        <v>601</v>
      </c>
      <c r="C4934" t="s">
        <v>20</v>
      </c>
      <c r="D4934" t="s">
        <v>6138</v>
      </c>
      <c r="E4934">
        <v>37016</v>
      </c>
    </row>
    <row r="4935" spans="1:5">
      <c r="A4935" s="1">
        <v>46013</v>
      </c>
      <c r="B4935" t="s">
        <v>3519</v>
      </c>
      <c r="C4935" t="s">
        <v>20</v>
      </c>
      <c r="D4935" t="s">
        <v>6139</v>
      </c>
      <c r="E4935">
        <v>645</v>
      </c>
    </row>
    <row r="4936" spans="1:5">
      <c r="A4936" s="1">
        <v>46013</v>
      </c>
      <c r="B4936" t="s">
        <v>3333</v>
      </c>
      <c r="C4936" t="s">
        <v>20</v>
      </c>
      <c r="D4936" t="s">
        <v>6140</v>
      </c>
      <c r="E4936">
        <v>1480</v>
      </c>
    </row>
    <row r="4937" spans="1:5">
      <c r="A4937" s="1">
        <v>46013</v>
      </c>
      <c r="B4937" t="s">
        <v>35</v>
      </c>
      <c r="C4937" t="s">
        <v>20</v>
      </c>
      <c r="D4937" t="s">
        <v>6141</v>
      </c>
      <c r="E4937">
        <v>1190</v>
      </c>
    </row>
    <row r="4938" spans="1:5">
      <c r="A4938" s="1">
        <v>46013</v>
      </c>
      <c r="B4938" t="s">
        <v>6142</v>
      </c>
      <c r="C4938" t="s">
        <v>20</v>
      </c>
      <c r="D4938" t="s">
        <v>6143</v>
      </c>
      <c r="E4938">
        <v>13330</v>
      </c>
    </row>
    <row r="4939" spans="1:5">
      <c r="A4939" s="1">
        <v>46013</v>
      </c>
      <c r="B4939" t="s">
        <v>68</v>
      </c>
      <c r="C4939" t="s">
        <v>20</v>
      </c>
      <c r="D4939" t="s">
        <v>6144</v>
      </c>
      <c r="E4939">
        <v>2474</v>
      </c>
    </row>
    <row r="4940" spans="1:5">
      <c r="A4940" s="1">
        <v>46013</v>
      </c>
      <c r="B4940" t="s">
        <v>2634</v>
      </c>
      <c r="C4940" t="s">
        <v>20</v>
      </c>
      <c r="D4940" t="s">
        <v>6145</v>
      </c>
      <c r="E4940">
        <v>20010</v>
      </c>
    </row>
    <row r="4941" spans="1:5">
      <c r="A4941" s="1">
        <v>46013</v>
      </c>
      <c r="B4941" t="s">
        <v>68</v>
      </c>
      <c r="C4941" t="s">
        <v>20</v>
      </c>
      <c r="D4941" t="s">
        <v>6146</v>
      </c>
      <c r="E4941">
        <v>16047</v>
      </c>
    </row>
    <row r="4942" spans="1:5">
      <c r="A4942" s="1">
        <v>46013</v>
      </c>
      <c r="B4942" t="s">
        <v>68</v>
      </c>
      <c r="C4942" t="s">
        <v>20</v>
      </c>
      <c r="D4942" t="s">
        <v>6147</v>
      </c>
      <c r="E4942">
        <v>4108</v>
      </c>
    </row>
    <row r="4943" spans="1:5">
      <c r="A4943" s="1">
        <v>46013</v>
      </c>
      <c r="B4943" t="s">
        <v>5840</v>
      </c>
      <c r="C4943" t="s">
        <v>20</v>
      </c>
      <c r="D4943" t="s">
        <v>6148</v>
      </c>
      <c r="E4943">
        <v>1100</v>
      </c>
    </row>
    <row r="4944" spans="1:5">
      <c r="A4944" s="1">
        <v>46013</v>
      </c>
      <c r="B4944" t="s">
        <v>66</v>
      </c>
      <c r="C4944" t="s">
        <v>20</v>
      </c>
      <c r="D4944" t="s">
        <v>6149</v>
      </c>
      <c r="E4944">
        <v>805</v>
      </c>
    </row>
    <row r="4945" spans="1:5">
      <c r="A4945" s="1">
        <v>46014</v>
      </c>
      <c r="B4945" t="s">
        <v>6054</v>
      </c>
      <c r="C4945" t="s">
        <v>19</v>
      </c>
      <c r="D4945" t="s">
        <v>6150</v>
      </c>
      <c r="E4945">
        <v>16672</v>
      </c>
    </row>
    <row r="4946" spans="1:5">
      <c r="A4946" s="1">
        <v>46014</v>
      </c>
      <c r="B4946" t="s">
        <v>1106</v>
      </c>
      <c r="C4946" t="s">
        <v>19</v>
      </c>
      <c r="D4946" t="s">
        <v>6151</v>
      </c>
      <c r="E4946">
        <v>63707</v>
      </c>
    </row>
    <row r="4947" spans="1:5">
      <c r="A4947" s="1">
        <v>46014</v>
      </c>
      <c r="B4947" t="s">
        <v>1516</v>
      </c>
      <c r="C4947" t="s">
        <v>19</v>
      </c>
      <c r="D4947" t="s">
        <v>6152</v>
      </c>
      <c r="E4947">
        <v>3981</v>
      </c>
    </row>
    <row r="4948" spans="1:5">
      <c r="A4948" s="1">
        <v>46014</v>
      </c>
      <c r="B4948" t="s">
        <v>709</v>
      </c>
      <c r="C4948" t="s">
        <v>20</v>
      </c>
      <c r="D4948" t="s">
        <v>6153</v>
      </c>
      <c r="E4948">
        <v>3200</v>
      </c>
    </row>
    <row r="4949" spans="1:5">
      <c r="A4949" s="1">
        <v>46014</v>
      </c>
      <c r="B4949" t="s">
        <v>193</v>
      </c>
      <c r="C4949" t="s">
        <v>20</v>
      </c>
      <c r="D4949" t="s">
        <v>6154</v>
      </c>
      <c r="E4949">
        <v>9131</v>
      </c>
    </row>
    <row r="4950" spans="1:5">
      <c r="A4950" s="1">
        <v>46014</v>
      </c>
      <c r="B4950" t="s">
        <v>4773</v>
      </c>
      <c r="C4950" t="s">
        <v>20</v>
      </c>
      <c r="D4950" t="s">
        <v>6155</v>
      </c>
      <c r="E4950">
        <v>310</v>
      </c>
    </row>
    <row r="4951" spans="1:5">
      <c r="A4951" s="1">
        <v>46014</v>
      </c>
      <c r="B4951" t="s">
        <v>76</v>
      </c>
      <c r="C4951" t="s">
        <v>20</v>
      </c>
      <c r="D4951" t="s">
        <v>6156</v>
      </c>
      <c r="E4951">
        <v>17245</v>
      </c>
    </row>
    <row r="4952" spans="1:5">
      <c r="A4952" s="1">
        <v>46014</v>
      </c>
      <c r="B4952" t="s">
        <v>3701</v>
      </c>
      <c r="C4952" t="s">
        <v>20</v>
      </c>
      <c r="D4952" t="s">
        <v>6157</v>
      </c>
      <c r="E4952">
        <v>3100</v>
      </c>
    </row>
    <row r="4953" spans="1:5">
      <c r="A4953" s="1">
        <v>46014</v>
      </c>
      <c r="B4953" t="s">
        <v>6158</v>
      </c>
      <c r="C4953" t="s">
        <v>20</v>
      </c>
      <c r="D4953" t="s">
        <v>6159</v>
      </c>
      <c r="E4953">
        <v>1025</v>
      </c>
    </row>
    <row r="4954" spans="1:5">
      <c r="A4954" s="1">
        <v>46014</v>
      </c>
      <c r="B4954" t="s">
        <v>2143</v>
      </c>
      <c r="C4954" t="s">
        <v>20</v>
      </c>
      <c r="D4954" t="s">
        <v>6160</v>
      </c>
      <c r="E4954">
        <v>700</v>
      </c>
    </row>
    <row r="4955" spans="1:5">
      <c r="A4955" s="1">
        <v>46014</v>
      </c>
      <c r="B4955" t="s">
        <v>1066</v>
      </c>
      <c r="C4955" t="s">
        <v>20</v>
      </c>
      <c r="D4955" t="s">
        <v>6161</v>
      </c>
      <c r="E4955">
        <v>2170</v>
      </c>
    </row>
    <row r="4956" spans="1:5">
      <c r="A4956" s="1">
        <v>46014</v>
      </c>
      <c r="B4956" t="s">
        <v>526</v>
      </c>
      <c r="C4956" t="s">
        <v>20</v>
      </c>
      <c r="D4956" t="s">
        <v>6162</v>
      </c>
      <c r="E4956">
        <v>39372</v>
      </c>
    </row>
    <row r="4957" spans="1:5">
      <c r="A4957" s="1">
        <v>46014</v>
      </c>
      <c r="B4957" t="s">
        <v>6163</v>
      </c>
      <c r="C4957" t="s">
        <v>20</v>
      </c>
      <c r="D4957" t="s">
        <v>6164</v>
      </c>
      <c r="E4957">
        <v>5772</v>
      </c>
    </row>
    <row r="4958" spans="1:5">
      <c r="A4958" s="1">
        <v>46014</v>
      </c>
      <c r="B4958" t="s">
        <v>763</v>
      </c>
      <c r="C4958" t="s">
        <v>20</v>
      </c>
      <c r="D4958" t="s">
        <v>6165</v>
      </c>
      <c r="E4958">
        <v>657</v>
      </c>
    </row>
    <row r="4959" spans="1:5">
      <c r="A4959" s="1">
        <v>46014</v>
      </c>
      <c r="B4959" t="s">
        <v>875</v>
      </c>
      <c r="C4959" t="s">
        <v>20</v>
      </c>
      <c r="D4959" t="s">
        <v>6166</v>
      </c>
      <c r="E4959">
        <v>9300</v>
      </c>
    </row>
    <row r="4960" spans="1:5">
      <c r="A4960" s="1">
        <v>46014</v>
      </c>
      <c r="B4960" t="s">
        <v>6167</v>
      </c>
      <c r="C4960" t="s">
        <v>20</v>
      </c>
      <c r="D4960" t="s">
        <v>6168</v>
      </c>
      <c r="E4960">
        <v>4717</v>
      </c>
    </row>
    <row r="4961" spans="1:5">
      <c r="A4961" s="1">
        <v>46014</v>
      </c>
      <c r="B4961" t="s">
        <v>5941</v>
      </c>
      <c r="C4961" t="s">
        <v>20</v>
      </c>
      <c r="D4961" t="s">
        <v>6169</v>
      </c>
      <c r="E4961">
        <v>3287</v>
      </c>
    </row>
    <row r="4962" spans="1:5">
      <c r="A4962" s="1">
        <v>46014</v>
      </c>
      <c r="B4962" t="s">
        <v>321</v>
      </c>
      <c r="C4962" t="s">
        <v>20</v>
      </c>
      <c r="D4962" t="s">
        <v>6170</v>
      </c>
      <c r="E4962">
        <v>10651</v>
      </c>
    </row>
    <row r="4963" spans="1:5">
      <c r="A4963" s="1">
        <v>46014</v>
      </c>
      <c r="B4963" t="s">
        <v>35</v>
      </c>
      <c r="C4963" t="s">
        <v>20</v>
      </c>
      <c r="D4963" t="s">
        <v>6171</v>
      </c>
      <c r="E4963">
        <v>2757</v>
      </c>
    </row>
    <row r="4964" spans="1:5">
      <c r="A4964" s="1">
        <v>46014</v>
      </c>
      <c r="B4964" t="s">
        <v>50</v>
      </c>
      <c r="C4964" t="s">
        <v>20</v>
      </c>
      <c r="D4964" t="s">
        <v>6172</v>
      </c>
      <c r="E4964">
        <v>5991</v>
      </c>
    </row>
    <row r="4965" spans="1:5">
      <c r="A4965" s="1">
        <v>46014</v>
      </c>
      <c r="B4965" t="s">
        <v>3701</v>
      </c>
      <c r="C4965" t="s">
        <v>20</v>
      </c>
      <c r="D4965" t="s">
        <v>6173</v>
      </c>
      <c r="E4965">
        <v>1847</v>
      </c>
    </row>
    <row r="4966" spans="1:5">
      <c r="A4966" s="1">
        <v>46014</v>
      </c>
      <c r="B4966" t="s">
        <v>6174</v>
      </c>
      <c r="C4966" t="s">
        <v>20</v>
      </c>
      <c r="D4966" t="s">
        <v>6175</v>
      </c>
      <c r="E4966">
        <v>5916</v>
      </c>
    </row>
    <row r="4967" spans="1:5">
      <c r="A4967" s="1">
        <v>46014</v>
      </c>
      <c r="B4967" t="s">
        <v>6176</v>
      </c>
      <c r="C4967" t="s">
        <v>20</v>
      </c>
      <c r="D4967" t="s">
        <v>6177</v>
      </c>
      <c r="E4967">
        <v>1450</v>
      </c>
    </row>
    <row r="4968" spans="1:5">
      <c r="A4968" s="1">
        <v>46014</v>
      </c>
      <c r="B4968" t="s">
        <v>5215</v>
      </c>
      <c r="C4968" t="s">
        <v>20</v>
      </c>
      <c r="D4968" t="s">
        <v>6178</v>
      </c>
      <c r="E4968">
        <v>216</v>
      </c>
    </row>
    <row r="4969" spans="1:5">
      <c r="A4969" s="1">
        <v>46014</v>
      </c>
      <c r="B4969" t="s">
        <v>557</v>
      </c>
      <c r="C4969" t="s">
        <v>20</v>
      </c>
      <c r="D4969" t="s">
        <v>6179</v>
      </c>
      <c r="E4969">
        <v>5064</v>
      </c>
    </row>
    <row r="4970" spans="1:5">
      <c r="A4970" s="1">
        <v>46014</v>
      </c>
      <c r="B4970" t="s">
        <v>135</v>
      </c>
      <c r="C4970" t="s">
        <v>20</v>
      </c>
      <c r="D4970" t="s">
        <v>6180</v>
      </c>
      <c r="E4970">
        <v>6950</v>
      </c>
    </row>
    <row r="4971" spans="1:5">
      <c r="A4971" s="1">
        <v>46014</v>
      </c>
      <c r="B4971" t="s">
        <v>563</v>
      </c>
      <c r="C4971" t="s">
        <v>20</v>
      </c>
      <c r="D4971" t="s">
        <v>6181</v>
      </c>
      <c r="E4971">
        <v>620</v>
      </c>
    </row>
    <row r="4972" spans="1:5">
      <c r="A4972" s="1">
        <v>46015</v>
      </c>
      <c r="B4972" t="s">
        <v>6182</v>
      </c>
      <c r="C4972" t="s">
        <v>19</v>
      </c>
      <c r="D4972" t="s">
        <v>6183</v>
      </c>
      <c r="E4972">
        <v>24950</v>
      </c>
    </row>
    <row r="4973" spans="1:5">
      <c r="A4973" s="1">
        <v>46015</v>
      </c>
      <c r="B4973" t="s">
        <v>6184</v>
      </c>
      <c r="C4973" t="s">
        <v>20</v>
      </c>
      <c r="D4973" t="s">
        <v>6185</v>
      </c>
      <c r="E4973">
        <v>2608</v>
      </c>
    </row>
    <row r="4974" spans="1:5">
      <c r="A4974" s="1">
        <v>46015</v>
      </c>
      <c r="B4974" t="s">
        <v>50</v>
      </c>
      <c r="C4974" t="s">
        <v>20</v>
      </c>
      <c r="D4974" t="s">
        <v>6186</v>
      </c>
      <c r="E4974">
        <v>290</v>
      </c>
    </row>
    <row r="4975" spans="1:5">
      <c r="A4975" s="1">
        <v>46015</v>
      </c>
      <c r="B4975" t="s">
        <v>50</v>
      </c>
      <c r="C4975" t="s">
        <v>20</v>
      </c>
      <c r="D4975" t="s">
        <v>6187</v>
      </c>
      <c r="E4975">
        <v>18</v>
      </c>
    </row>
    <row r="4976" spans="1:5">
      <c r="A4976" s="1">
        <v>46015</v>
      </c>
      <c r="B4976" t="s">
        <v>188</v>
      </c>
      <c r="C4976" t="s">
        <v>20</v>
      </c>
      <c r="D4976" t="s">
        <v>6188</v>
      </c>
      <c r="E4976">
        <v>29200</v>
      </c>
    </row>
    <row r="4977" spans="1:5">
      <c r="A4977" s="1">
        <v>46015</v>
      </c>
      <c r="B4977" t="s">
        <v>6189</v>
      </c>
      <c r="C4977" t="s">
        <v>20</v>
      </c>
      <c r="D4977" t="s">
        <v>6190</v>
      </c>
      <c r="E4977">
        <v>1550</v>
      </c>
    </row>
    <row r="4978" spans="1:5">
      <c r="A4978" s="1">
        <v>46015</v>
      </c>
      <c r="B4978" t="s">
        <v>5941</v>
      </c>
      <c r="C4978" t="s">
        <v>20</v>
      </c>
      <c r="D4978" t="s">
        <v>6191</v>
      </c>
      <c r="E4978">
        <v>160</v>
      </c>
    </row>
    <row r="4979" spans="1:5">
      <c r="A4979" s="1">
        <v>46015</v>
      </c>
      <c r="B4979" t="s">
        <v>321</v>
      </c>
      <c r="C4979" t="s">
        <v>20</v>
      </c>
      <c r="D4979" t="s">
        <v>6192</v>
      </c>
      <c r="E4979">
        <v>762</v>
      </c>
    </row>
    <row r="4980" spans="1:5">
      <c r="A4980" s="1">
        <v>46015</v>
      </c>
      <c r="B4980" t="s">
        <v>1075</v>
      </c>
      <c r="C4980" t="s">
        <v>20</v>
      </c>
      <c r="D4980" t="s">
        <v>6193</v>
      </c>
      <c r="E4980">
        <v>1635</v>
      </c>
    </row>
    <row r="4981" spans="1:5">
      <c r="A4981" s="1">
        <v>46015</v>
      </c>
      <c r="B4981" t="s">
        <v>193</v>
      </c>
      <c r="C4981" t="s">
        <v>20</v>
      </c>
      <c r="D4981" t="s">
        <v>6194</v>
      </c>
      <c r="E4981">
        <v>42586</v>
      </c>
    </row>
    <row r="4982" spans="1:5">
      <c r="A4982" s="1">
        <v>46015</v>
      </c>
      <c r="B4982" t="s">
        <v>2879</v>
      </c>
      <c r="C4982" t="s">
        <v>20</v>
      </c>
      <c r="D4982" t="s">
        <v>6195</v>
      </c>
      <c r="E4982">
        <v>1553</v>
      </c>
    </row>
    <row r="4983" spans="1:5">
      <c r="A4983" s="1">
        <v>46015</v>
      </c>
      <c r="B4983" t="s">
        <v>6196</v>
      </c>
      <c r="C4983" t="s">
        <v>20</v>
      </c>
      <c r="D4983" t="s">
        <v>6197</v>
      </c>
      <c r="E4983">
        <v>40703</v>
      </c>
    </row>
    <row r="4984" spans="1:5">
      <c r="A4984" s="1">
        <v>46015</v>
      </c>
      <c r="B4984" t="s">
        <v>2815</v>
      </c>
      <c r="C4984" t="s">
        <v>20</v>
      </c>
      <c r="D4984" t="s">
        <v>6198</v>
      </c>
      <c r="E4984">
        <v>3100</v>
      </c>
    </row>
    <row r="4985" spans="1:5">
      <c r="A4985" s="1">
        <v>46015</v>
      </c>
      <c r="B4985" t="s">
        <v>68</v>
      </c>
      <c r="C4985" t="s">
        <v>20</v>
      </c>
      <c r="D4985" t="s">
        <v>6199</v>
      </c>
      <c r="E4985">
        <v>6208</v>
      </c>
    </row>
    <row r="4986" spans="1:5">
      <c r="A4986" s="1">
        <v>46015</v>
      </c>
      <c r="B4986" t="s">
        <v>66</v>
      </c>
      <c r="C4986" t="s">
        <v>20</v>
      </c>
      <c r="D4986" t="s">
        <v>6200</v>
      </c>
      <c r="E4986">
        <v>11</v>
      </c>
    </row>
    <row r="4987" spans="1:5">
      <c r="A4987" s="1">
        <v>46015</v>
      </c>
      <c r="B4987" t="s">
        <v>5683</v>
      </c>
      <c r="C4987" t="s">
        <v>20</v>
      </c>
      <c r="D4987" t="s">
        <v>6201</v>
      </c>
      <c r="E4987">
        <v>269</v>
      </c>
    </row>
    <row r="4988" spans="1:5">
      <c r="A4988" s="1">
        <v>46015</v>
      </c>
      <c r="B4988" t="s">
        <v>254</v>
      </c>
      <c r="C4988" t="s">
        <v>20</v>
      </c>
      <c r="D4988" t="s">
        <v>6202</v>
      </c>
      <c r="E4988">
        <v>310</v>
      </c>
    </row>
    <row r="4989" spans="1:5">
      <c r="A4989" s="1">
        <v>46017</v>
      </c>
      <c r="B4989" t="s">
        <v>2498</v>
      </c>
      <c r="C4989" t="s">
        <v>19</v>
      </c>
      <c r="D4989" t="s">
        <v>6203</v>
      </c>
      <c r="E4989">
        <v>1110</v>
      </c>
    </row>
    <row r="4990" spans="1:5">
      <c r="A4990" s="1">
        <v>46017</v>
      </c>
      <c r="B4990" t="s">
        <v>1104</v>
      </c>
      <c r="C4990" t="s">
        <v>19</v>
      </c>
      <c r="D4990" t="s">
        <v>6204</v>
      </c>
      <c r="E4990">
        <v>58575</v>
      </c>
    </row>
    <row r="4991" spans="1:5">
      <c r="A4991" s="1">
        <v>46017</v>
      </c>
      <c r="B4991" t="s">
        <v>588</v>
      </c>
      <c r="C4991" t="s">
        <v>19</v>
      </c>
      <c r="D4991" t="s">
        <v>6205</v>
      </c>
      <c r="E4991">
        <v>3992</v>
      </c>
    </row>
    <row r="4992" spans="1:5">
      <c r="A4992" s="1">
        <v>46017</v>
      </c>
      <c r="B4992" t="s">
        <v>6206</v>
      </c>
      <c r="C4992" t="s">
        <v>19</v>
      </c>
      <c r="D4992" t="s">
        <v>6207</v>
      </c>
      <c r="E4992">
        <v>9156</v>
      </c>
    </row>
    <row r="4993" spans="1:5">
      <c r="A4993" s="1">
        <v>46017</v>
      </c>
      <c r="B4993" t="s">
        <v>6208</v>
      </c>
      <c r="C4993" t="s">
        <v>20</v>
      </c>
      <c r="D4993" t="s">
        <v>6209</v>
      </c>
      <c r="E4993">
        <v>3227</v>
      </c>
    </row>
    <row r="4994" spans="1:5">
      <c r="A4994" s="1">
        <v>46017</v>
      </c>
      <c r="B4994" t="s">
        <v>220</v>
      </c>
      <c r="C4994" t="s">
        <v>20</v>
      </c>
      <c r="D4994" t="s">
        <v>6210</v>
      </c>
      <c r="E4994">
        <v>53460</v>
      </c>
    </row>
    <row r="4995" spans="1:5">
      <c r="A4995" s="1">
        <v>46017</v>
      </c>
      <c r="B4995" t="s">
        <v>6211</v>
      </c>
      <c r="C4995" t="s">
        <v>20</v>
      </c>
      <c r="D4995" t="s">
        <v>6212</v>
      </c>
      <c r="E4995">
        <v>1000</v>
      </c>
    </row>
    <row r="4996" spans="1:5">
      <c r="A4996" s="1">
        <v>46017</v>
      </c>
      <c r="B4996" t="s">
        <v>6213</v>
      </c>
      <c r="C4996" t="s">
        <v>20</v>
      </c>
      <c r="D4996" t="s">
        <v>6214</v>
      </c>
      <c r="E4996">
        <v>1500</v>
      </c>
    </row>
    <row r="4997" spans="1:5">
      <c r="A4997" s="1">
        <v>46017</v>
      </c>
      <c r="B4997" t="s">
        <v>5941</v>
      </c>
      <c r="C4997" t="s">
        <v>20</v>
      </c>
      <c r="D4997" t="s">
        <v>6215</v>
      </c>
      <c r="E4997">
        <v>235</v>
      </c>
    </row>
    <row r="4998" spans="1:5">
      <c r="A4998" s="1">
        <v>46017</v>
      </c>
      <c r="B4998" t="s">
        <v>81</v>
      </c>
      <c r="C4998" t="s">
        <v>20</v>
      </c>
      <c r="D4998" t="s">
        <v>6216</v>
      </c>
      <c r="E4998">
        <v>130</v>
      </c>
    </row>
    <row r="4999" spans="1:5">
      <c r="A4999" s="1">
        <v>46017</v>
      </c>
      <c r="B4999" t="s">
        <v>6217</v>
      </c>
      <c r="C4999" t="s">
        <v>20</v>
      </c>
      <c r="D4999" t="s">
        <v>6218</v>
      </c>
      <c r="E4999">
        <v>620</v>
      </c>
    </row>
    <row r="5000" spans="1:5">
      <c r="A5000" s="1">
        <v>46017</v>
      </c>
      <c r="B5000" t="s">
        <v>844</v>
      </c>
      <c r="C5000" t="s">
        <v>20</v>
      </c>
      <c r="D5000" t="s">
        <v>6219</v>
      </c>
      <c r="E5000">
        <v>30485</v>
      </c>
    </row>
    <row r="5001" spans="1:5">
      <c r="A5001" s="1">
        <v>46017</v>
      </c>
      <c r="B5001" t="s">
        <v>709</v>
      </c>
      <c r="C5001" t="s">
        <v>20</v>
      </c>
      <c r="D5001" t="s">
        <v>6220</v>
      </c>
      <c r="E5001">
        <v>1845</v>
      </c>
    </row>
    <row r="5002" spans="1:5">
      <c r="A5002" s="1">
        <v>46017</v>
      </c>
      <c r="B5002" t="s">
        <v>6221</v>
      </c>
      <c r="C5002" t="s">
        <v>20</v>
      </c>
      <c r="D5002" t="s">
        <v>6222</v>
      </c>
      <c r="E5002">
        <v>1774</v>
      </c>
    </row>
    <row r="5003" spans="1:5">
      <c r="A5003" s="1">
        <v>46017</v>
      </c>
      <c r="B5003" t="s">
        <v>6223</v>
      </c>
      <c r="C5003" t="s">
        <v>20</v>
      </c>
      <c r="D5003" t="s">
        <v>6224</v>
      </c>
      <c r="E5003">
        <v>250</v>
      </c>
    </row>
    <row r="5004" spans="1:5">
      <c r="A5004" s="1">
        <v>46017</v>
      </c>
      <c r="B5004" t="s">
        <v>4107</v>
      </c>
      <c r="C5004" t="s">
        <v>20</v>
      </c>
      <c r="D5004" t="s">
        <v>6225</v>
      </c>
      <c r="E5004">
        <v>2790</v>
      </c>
    </row>
    <row r="5005" spans="1:5">
      <c r="A5005" s="1">
        <v>46017</v>
      </c>
      <c r="B5005" t="s">
        <v>932</v>
      </c>
      <c r="C5005" t="s">
        <v>20</v>
      </c>
      <c r="D5005" t="s">
        <v>6226</v>
      </c>
      <c r="E5005">
        <v>4875</v>
      </c>
    </row>
    <row r="5006" spans="1:5">
      <c r="A5006" s="1">
        <v>46017</v>
      </c>
      <c r="B5006" t="s">
        <v>252</v>
      </c>
      <c r="C5006" t="s">
        <v>20</v>
      </c>
      <c r="D5006" t="s">
        <v>6227</v>
      </c>
      <c r="E5006">
        <v>15820</v>
      </c>
    </row>
    <row r="5007" spans="1:5">
      <c r="A5007" s="1">
        <v>46017</v>
      </c>
      <c r="B5007" t="s">
        <v>81</v>
      </c>
      <c r="C5007" t="s">
        <v>20</v>
      </c>
      <c r="D5007" t="s">
        <v>6228</v>
      </c>
      <c r="E5007">
        <v>32250</v>
      </c>
    </row>
    <row r="5008" spans="1:5">
      <c r="A5008" s="1">
        <v>46017</v>
      </c>
      <c r="B5008" t="s">
        <v>6229</v>
      </c>
      <c r="C5008" t="s">
        <v>20</v>
      </c>
      <c r="D5008" t="s">
        <v>6230</v>
      </c>
      <c r="E5008">
        <v>12814</v>
      </c>
    </row>
    <row r="5009" spans="1:5">
      <c r="A5009" s="1">
        <v>46017</v>
      </c>
      <c r="B5009" t="s">
        <v>50</v>
      </c>
      <c r="C5009" t="s">
        <v>20</v>
      </c>
      <c r="D5009" t="s">
        <v>6231</v>
      </c>
      <c r="E5009">
        <v>84</v>
      </c>
    </row>
    <row r="5010" spans="1:5">
      <c r="A5010" s="1">
        <v>46017</v>
      </c>
      <c r="B5010" t="s">
        <v>2455</v>
      </c>
      <c r="C5010" t="s">
        <v>20</v>
      </c>
      <c r="D5010" t="s">
        <v>6232</v>
      </c>
      <c r="E5010">
        <v>3100</v>
      </c>
    </row>
    <row r="5011" spans="1:5">
      <c r="A5011" s="1">
        <v>46017</v>
      </c>
      <c r="B5011" t="s">
        <v>6233</v>
      </c>
      <c r="C5011" t="s">
        <v>20</v>
      </c>
      <c r="D5011" t="s">
        <v>6234</v>
      </c>
      <c r="E5011">
        <v>2055</v>
      </c>
    </row>
    <row r="5012" spans="1:5">
      <c r="A5012" s="1">
        <v>46017</v>
      </c>
      <c r="B5012" t="s">
        <v>6235</v>
      </c>
      <c r="C5012" t="s">
        <v>20</v>
      </c>
      <c r="D5012" t="s">
        <v>6236</v>
      </c>
      <c r="E5012">
        <v>590</v>
      </c>
    </row>
    <row r="5013" spans="1:5">
      <c r="A5013" s="1">
        <v>46017</v>
      </c>
      <c r="B5013" t="s">
        <v>50</v>
      </c>
      <c r="C5013" t="s">
        <v>20</v>
      </c>
      <c r="D5013" t="s">
        <v>6237</v>
      </c>
      <c r="E5013">
        <v>850</v>
      </c>
    </row>
    <row r="5014" spans="1:5">
      <c r="A5014" s="1">
        <v>46017</v>
      </c>
      <c r="B5014" t="s">
        <v>526</v>
      </c>
      <c r="C5014" t="s">
        <v>20</v>
      </c>
      <c r="D5014" t="s">
        <v>6238</v>
      </c>
      <c r="E5014">
        <v>37776</v>
      </c>
    </row>
    <row r="5015" spans="1:5">
      <c r="A5015" s="1">
        <v>46017</v>
      </c>
      <c r="B5015" t="s">
        <v>254</v>
      </c>
      <c r="C5015" t="s">
        <v>20</v>
      </c>
      <c r="D5015" t="s">
        <v>6239</v>
      </c>
      <c r="E5015">
        <v>2440</v>
      </c>
    </row>
    <row r="5016" spans="1:5">
      <c r="A5016" s="1">
        <v>46018</v>
      </c>
      <c r="B5016" t="s">
        <v>2498</v>
      </c>
      <c r="C5016" t="s">
        <v>19</v>
      </c>
      <c r="D5016" t="s">
        <v>6240</v>
      </c>
      <c r="E5016">
        <v>7031</v>
      </c>
    </row>
    <row r="5017" spans="1:5">
      <c r="A5017" s="1">
        <v>46018</v>
      </c>
      <c r="B5017" t="s">
        <v>76</v>
      </c>
      <c r="C5017" t="s">
        <v>20</v>
      </c>
      <c r="D5017" t="s">
        <v>6241</v>
      </c>
      <c r="E5017">
        <v>1550</v>
      </c>
    </row>
    <row r="5018" spans="1:5">
      <c r="A5018" s="1">
        <v>46018</v>
      </c>
      <c r="B5018" t="s">
        <v>709</v>
      </c>
      <c r="C5018" t="s">
        <v>20</v>
      </c>
      <c r="D5018" t="s">
        <v>6242</v>
      </c>
      <c r="E5018">
        <v>738</v>
      </c>
    </row>
    <row r="5019" spans="1:5">
      <c r="A5019" s="1">
        <v>46018</v>
      </c>
      <c r="B5019" t="s">
        <v>50</v>
      </c>
      <c r="C5019" t="s">
        <v>20</v>
      </c>
      <c r="D5019" t="s">
        <v>6243</v>
      </c>
      <c r="E5019">
        <v>310</v>
      </c>
    </row>
    <row r="5020" spans="1:5">
      <c r="A5020" s="1">
        <v>46018</v>
      </c>
      <c r="B5020" t="s">
        <v>50</v>
      </c>
      <c r="C5020" t="s">
        <v>20</v>
      </c>
      <c r="D5020" t="s">
        <v>6244</v>
      </c>
      <c r="E5020">
        <v>310</v>
      </c>
    </row>
    <row r="5021" spans="1:5">
      <c r="A5021" s="1">
        <v>46018</v>
      </c>
      <c r="B5021" t="s">
        <v>526</v>
      </c>
      <c r="C5021" t="s">
        <v>20</v>
      </c>
      <c r="D5021" t="s">
        <v>6245</v>
      </c>
      <c r="E5021">
        <v>300</v>
      </c>
    </row>
    <row r="5022" spans="1:5">
      <c r="A5022" s="1">
        <v>46018</v>
      </c>
      <c r="B5022" t="s">
        <v>4089</v>
      </c>
      <c r="C5022" t="s">
        <v>20</v>
      </c>
      <c r="D5022" t="s">
        <v>6246</v>
      </c>
      <c r="E5022">
        <v>44472</v>
      </c>
    </row>
    <row r="5023" spans="1:5">
      <c r="A5023" s="1">
        <v>46018</v>
      </c>
      <c r="B5023" t="s">
        <v>6196</v>
      </c>
      <c r="C5023" t="s">
        <v>20</v>
      </c>
      <c r="D5023" t="s">
        <v>6247</v>
      </c>
      <c r="E5023">
        <v>3100</v>
      </c>
    </row>
    <row r="5024" spans="1:5">
      <c r="A5024" s="1">
        <v>46018</v>
      </c>
      <c r="B5024" t="s">
        <v>188</v>
      </c>
      <c r="C5024" t="s">
        <v>20</v>
      </c>
      <c r="D5024" t="s">
        <v>6248</v>
      </c>
      <c r="E5024">
        <v>4067</v>
      </c>
    </row>
    <row r="5025" spans="1:5">
      <c r="A5025" s="1">
        <v>46018</v>
      </c>
      <c r="B5025" t="s">
        <v>48</v>
      </c>
      <c r="C5025" t="s">
        <v>20</v>
      </c>
      <c r="D5025" t="s">
        <v>6249</v>
      </c>
      <c r="E5025">
        <v>10270</v>
      </c>
    </row>
    <row r="5026" spans="1:5">
      <c r="A5026" s="1">
        <v>46018</v>
      </c>
      <c r="B5026" t="s">
        <v>1457</v>
      </c>
      <c r="C5026" t="s">
        <v>20</v>
      </c>
      <c r="D5026" t="s">
        <v>6250</v>
      </c>
      <c r="E5026">
        <v>1237</v>
      </c>
    </row>
    <row r="5027" spans="1:5">
      <c r="A5027" s="1">
        <v>46018</v>
      </c>
      <c r="B5027" t="s">
        <v>6251</v>
      </c>
      <c r="C5027" t="s">
        <v>20</v>
      </c>
      <c r="D5027" t="s">
        <v>6252</v>
      </c>
      <c r="E5027">
        <v>11206</v>
      </c>
    </row>
    <row r="5028" spans="1:5">
      <c r="A5028" s="1">
        <v>46018</v>
      </c>
      <c r="B5028" t="s">
        <v>6253</v>
      </c>
      <c r="C5028" t="s">
        <v>20</v>
      </c>
      <c r="D5028" t="s">
        <v>6254</v>
      </c>
      <c r="E5028">
        <v>7165</v>
      </c>
    </row>
    <row r="5029" spans="1:5">
      <c r="A5029" s="1">
        <v>46018</v>
      </c>
      <c r="B5029" t="s">
        <v>6255</v>
      </c>
      <c r="C5029" t="s">
        <v>20</v>
      </c>
      <c r="D5029" t="s">
        <v>6256</v>
      </c>
      <c r="E5029">
        <v>103024</v>
      </c>
    </row>
    <row r="5030" spans="1:5">
      <c r="A5030" s="1">
        <v>46018</v>
      </c>
      <c r="B5030" t="s">
        <v>6257</v>
      </c>
      <c r="C5030" t="s">
        <v>20</v>
      </c>
      <c r="D5030" t="s">
        <v>6258</v>
      </c>
      <c r="E5030">
        <v>8220</v>
      </c>
    </row>
    <row r="5031" spans="1:5">
      <c r="A5031" s="1">
        <v>46018</v>
      </c>
      <c r="B5031" t="s">
        <v>6257</v>
      </c>
      <c r="C5031" t="s">
        <v>20</v>
      </c>
      <c r="D5031" t="s">
        <v>6259</v>
      </c>
      <c r="E5031">
        <v>340</v>
      </c>
    </row>
    <row r="5032" spans="1:5">
      <c r="A5032" s="1">
        <v>46018</v>
      </c>
      <c r="B5032" t="s">
        <v>50</v>
      </c>
      <c r="C5032" t="s">
        <v>20</v>
      </c>
      <c r="D5032" t="s">
        <v>6260</v>
      </c>
      <c r="E5032">
        <v>3432</v>
      </c>
    </row>
    <row r="5033" spans="1:5">
      <c r="A5033" s="1">
        <v>46018</v>
      </c>
      <c r="B5033" t="s">
        <v>50</v>
      </c>
      <c r="C5033" t="s">
        <v>20</v>
      </c>
      <c r="D5033" t="s">
        <v>6261</v>
      </c>
      <c r="E5033">
        <v>10</v>
      </c>
    </row>
    <row r="5034" spans="1:5">
      <c r="A5034" s="1">
        <v>46018</v>
      </c>
      <c r="B5034" t="s">
        <v>3500</v>
      </c>
      <c r="C5034" t="s">
        <v>20</v>
      </c>
      <c r="D5034" t="s">
        <v>6262</v>
      </c>
      <c r="E5034">
        <v>1980</v>
      </c>
    </row>
    <row r="5035" spans="1:5">
      <c r="A5035" s="1">
        <v>46018</v>
      </c>
      <c r="B5035" t="s">
        <v>35</v>
      </c>
      <c r="C5035" t="s">
        <v>20</v>
      </c>
      <c r="D5035" t="s">
        <v>6263</v>
      </c>
      <c r="E5035">
        <v>8478</v>
      </c>
    </row>
    <row r="5036" spans="1:5">
      <c r="A5036" s="1">
        <v>46018</v>
      </c>
      <c r="B5036" t="s">
        <v>5500</v>
      </c>
      <c r="C5036" t="s">
        <v>20</v>
      </c>
      <c r="D5036" t="s">
        <v>6264</v>
      </c>
      <c r="E5036">
        <v>30</v>
      </c>
    </row>
    <row r="5037" spans="1:5">
      <c r="A5037" s="1">
        <v>46018</v>
      </c>
      <c r="B5037" t="s">
        <v>1350</v>
      </c>
      <c r="C5037" t="s">
        <v>20</v>
      </c>
      <c r="D5037" t="s">
        <v>6265</v>
      </c>
      <c r="E5037">
        <v>30423</v>
      </c>
    </row>
    <row r="5038" spans="1:5">
      <c r="A5038" s="1">
        <v>46018</v>
      </c>
      <c r="B5038" t="s">
        <v>6266</v>
      </c>
      <c r="C5038" t="s">
        <v>20</v>
      </c>
      <c r="D5038" t="s">
        <v>6267</v>
      </c>
      <c r="E5038">
        <v>70</v>
      </c>
    </row>
    <row r="5039" spans="1:5">
      <c r="A5039" s="1">
        <v>46018</v>
      </c>
      <c r="B5039" t="s">
        <v>2534</v>
      </c>
      <c r="C5039" t="s">
        <v>20</v>
      </c>
      <c r="D5039" t="s">
        <v>6268</v>
      </c>
      <c r="E5039">
        <v>74</v>
      </c>
    </row>
    <row r="5040" spans="1:5">
      <c r="A5040" s="1">
        <v>46020</v>
      </c>
      <c r="B5040" t="s">
        <v>1021</v>
      </c>
      <c r="C5040" t="s">
        <v>19</v>
      </c>
      <c r="D5040" t="s">
        <v>6269</v>
      </c>
      <c r="E5040">
        <v>29416</v>
      </c>
    </row>
    <row r="5041" spans="1:5">
      <c r="A5041" s="1">
        <v>46020</v>
      </c>
      <c r="B5041" t="s">
        <v>2459</v>
      </c>
      <c r="C5041" t="s">
        <v>20</v>
      </c>
      <c r="D5041" t="s">
        <v>6270</v>
      </c>
      <c r="E5041">
        <v>1240</v>
      </c>
    </row>
    <row r="5042" spans="1:5">
      <c r="A5042" s="1">
        <v>46020</v>
      </c>
      <c r="B5042" t="s">
        <v>6271</v>
      </c>
      <c r="C5042" t="s">
        <v>20</v>
      </c>
      <c r="D5042" t="s">
        <v>6272</v>
      </c>
      <c r="E5042">
        <v>4650</v>
      </c>
    </row>
    <row r="5043" spans="1:5">
      <c r="A5043" s="1">
        <v>46020</v>
      </c>
      <c r="B5043" t="s">
        <v>76</v>
      </c>
      <c r="C5043" t="s">
        <v>20</v>
      </c>
      <c r="D5043" t="s">
        <v>6273</v>
      </c>
      <c r="E5043">
        <v>22200</v>
      </c>
    </row>
    <row r="5044" spans="1:5">
      <c r="A5044" s="1">
        <v>46020</v>
      </c>
      <c r="B5044" t="s">
        <v>6274</v>
      </c>
      <c r="C5044" t="s">
        <v>20</v>
      </c>
      <c r="D5044" t="s">
        <v>6275</v>
      </c>
      <c r="E5044">
        <v>310</v>
      </c>
    </row>
    <row r="5045" spans="1:5">
      <c r="A5045" s="1">
        <v>46020</v>
      </c>
      <c r="B5045" t="s">
        <v>50</v>
      </c>
      <c r="C5045" t="s">
        <v>20</v>
      </c>
      <c r="D5045" t="s">
        <v>6276</v>
      </c>
      <c r="E5045">
        <v>48000</v>
      </c>
    </row>
    <row r="5046" spans="1:5">
      <c r="A5046" s="1">
        <v>46020</v>
      </c>
      <c r="B5046" t="s">
        <v>220</v>
      </c>
      <c r="C5046" t="s">
        <v>20</v>
      </c>
      <c r="D5046" t="s">
        <v>6277</v>
      </c>
      <c r="E5046">
        <v>2766</v>
      </c>
    </row>
    <row r="5047" spans="1:5">
      <c r="A5047" s="1">
        <v>46020</v>
      </c>
      <c r="B5047" t="s">
        <v>6278</v>
      </c>
      <c r="C5047" t="s">
        <v>20</v>
      </c>
      <c r="D5047" t="s">
        <v>6279</v>
      </c>
      <c r="E5047">
        <v>2352</v>
      </c>
    </row>
    <row r="5048" spans="1:5">
      <c r="A5048" s="1">
        <v>46020</v>
      </c>
      <c r="B5048" t="s">
        <v>4144</v>
      </c>
      <c r="C5048" t="s">
        <v>20</v>
      </c>
      <c r="D5048" t="s">
        <v>6280</v>
      </c>
      <c r="E5048">
        <v>36171</v>
      </c>
    </row>
    <row r="5049" spans="1:5">
      <c r="A5049" s="1">
        <v>46020</v>
      </c>
      <c r="B5049" t="s">
        <v>526</v>
      </c>
      <c r="C5049" t="s">
        <v>20</v>
      </c>
      <c r="D5049" t="s">
        <v>6281</v>
      </c>
      <c r="E5049">
        <v>3978</v>
      </c>
    </row>
    <row r="5050" spans="1:5">
      <c r="A5050" s="1">
        <v>46020</v>
      </c>
      <c r="B5050" t="s">
        <v>252</v>
      </c>
      <c r="C5050" t="s">
        <v>20</v>
      </c>
      <c r="D5050" t="s">
        <v>6282</v>
      </c>
      <c r="E5050">
        <v>1750</v>
      </c>
    </row>
    <row r="5051" spans="1:5">
      <c r="A5051" s="1">
        <v>46020</v>
      </c>
      <c r="B5051" t="s">
        <v>5908</v>
      </c>
      <c r="C5051" t="s">
        <v>20</v>
      </c>
      <c r="D5051" t="s">
        <v>6283</v>
      </c>
      <c r="E5051">
        <v>8750</v>
      </c>
    </row>
    <row r="5052" spans="1:5">
      <c r="A5052" s="1">
        <v>46020</v>
      </c>
      <c r="B5052" t="s">
        <v>844</v>
      </c>
      <c r="C5052" t="s">
        <v>20</v>
      </c>
      <c r="D5052" t="s">
        <v>6284</v>
      </c>
      <c r="E5052">
        <v>80</v>
      </c>
    </row>
    <row r="5053" spans="1:5">
      <c r="A5053" s="1">
        <v>46020</v>
      </c>
      <c r="B5053" t="s">
        <v>1179</v>
      </c>
      <c r="C5053" t="s">
        <v>20</v>
      </c>
      <c r="D5053" t="s">
        <v>6285</v>
      </c>
      <c r="E5053">
        <v>34702</v>
      </c>
    </row>
    <row r="5054" spans="1:5">
      <c r="A5054" s="1">
        <v>46020</v>
      </c>
      <c r="B5054" t="s">
        <v>1051</v>
      </c>
      <c r="C5054" t="s">
        <v>20</v>
      </c>
      <c r="D5054" t="s">
        <v>6286</v>
      </c>
      <c r="E5054">
        <v>3100</v>
      </c>
    </row>
    <row r="5055" spans="1:5">
      <c r="A5055" s="1">
        <v>46020</v>
      </c>
      <c r="B5055" t="s">
        <v>6251</v>
      </c>
      <c r="C5055" t="s">
        <v>20</v>
      </c>
      <c r="D5055" t="s">
        <v>6287</v>
      </c>
      <c r="E5055">
        <v>10200</v>
      </c>
    </row>
    <row r="5056" spans="1:5">
      <c r="A5056" s="1">
        <v>46020</v>
      </c>
      <c r="B5056" t="s">
        <v>6288</v>
      </c>
      <c r="C5056" t="s">
        <v>20</v>
      </c>
      <c r="D5056" t="s">
        <v>6289</v>
      </c>
      <c r="E5056">
        <v>1240</v>
      </c>
    </row>
    <row r="5057" spans="1:5">
      <c r="A5057" s="1">
        <v>46020</v>
      </c>
      <c r="B5057" t="s">
        <v>100</v>
      </c>
      <c r="C5057" t="s">
        <v>20</v>
      </c>
      <c r="D5057" t="s">
        <v>6290</v>
      </c>
      <c r="E5057">
        <v>1167</v>
      </c>
    </row>
    <row r="5058" spans="1:5">
      <c r="A5058" s="1">
        <v>46020</v>
      </c>
      <c r="B5058" t="s">
        <v>193</v>
      </c>
      <c r="C5058" t="s">
        <v>20</v>
      </c>
      <c r="D5058" t="s">
        <v>6291</v>
      </c>
      <c r="E5058">
        <v>22634</v>
      </c>
    </row>
    <row r="5059" spans="1:5">
      <c r="A5059" s="1">
        <v>46020</v>
      </c>
      <c r="B5059" t="s">
        <v>4089</v>
      </c>
      <c r="C5059" t="s">
        <v>20</v>
      </c>
      <c r="D5059" t="s">
        <v>6292</v>
      </c>
      <c r="E5059">
        <v>8800</v>
      </c>
    </row>
    <row r="5060" spans="1:5">
      <c r="A5060" s="1">
        <v>46020</v>
      </c>
      <c r="B5060" t="s">
        <v>6293</v>
      </c>
      <c r="C5060" t="s">
        <v>20</v>
      </c>
      <c r="D5060" t="s">
        <v>6294</v>
      </c>
      <c r="E5060">
        <v>169002</v>
      </c>
    </row>
    <row r="5061" spans="1:5">
      <c r="A5061" s="1">
        <v>46020</v>
      </c>
      <c r="B5061" t="s">
        <v>932</v>
      </c>
      <c r="C5061" t="s">
        <v>20</v>
      </c>
      <c r="D5061" t="s">
        <v>6295</v>
      </c>
      <c r="E5061">
        <v>120</v>
      </c>
    </row>
    <row r="5062" spans="1:5">
      <c r="A5062" s="1">
        <v>46020</v>
      </c>
      <c r="B5062" t="s">
        <v>4144</v>
      </c>
      <c r="C5062" t="s">
        <v>20</v>
      </c>
      <c r="D5062" t="s">
        <v>6296</v>
      </c>
      <c r="E5062">
        <v>985</v>
      </c>
    </row>
    <row r="5063" spans="1:5">
      <c r="A5063" s="1">
        <v>46020</v>
      </c>
      <c r="B5063" t="s">
        <v>2020</v>
      </c>
      <c r="C5063" t="s">
        <v>20</v>
      </c>
      <c r="D5063" t="s">
        <v>6297</v>
      </c>
      <c r="E5063">
        <v>2316</v>
      </c>
    </row>
    <row r="5064" spans="1:5">
      <c r="A5064" s="1">
        <v>46020</v>
      </c>
      <c r="B5064" t="s">
        <v>6298</v>
      </c>
      <c r="C5064" t="s">
        <v>20</v>
      </c>
      <c r="D5064" t="s">
        <v>6299</v>
      </c>
      <c r="E5064">
        <v>8318</v>
      </c>
    </row>
    <row r="5065" spans="1:5">
      <c r="A5065" s="1">
        <v>46020</v>
      </c>
      <c r="B5065" t="s">
        <v>6300</v>
      </c>
      <c r="C5065" t="s">
        <v>20</v>
      </c>
      <c r="D5065" t="s">
        <v>6301</v>
      </c>
      <c r="E5065">
        <v>1141</v>
      </c>
    </row>
    <row r="5066" spans="1:5">
      <c r="A5066" s="1">
        <v>46021</v>
      </c>
      <c r="B5066" t="s">
        <v>6302</v>
      </c>
      <c r="C5066" t="s">
        <v>19</v>
      </c>
      <c r="D5066" t="s">
        <v>6303</v>
      </c>
      <c r="E5066">
        <v>24398</v>
      </c>
    </row>
    <row r="5067" spans="1:5">
      <c r="A5067" s="1">
        <v>46021</v>
      </c>
      <c r="B5067" t="s">
        <v>147</v>
      </c>
      <c r="C5067" t="s">
        <v>19</v>
      </c>
      <c r="D5067" t="s">
        <v>6304</v>
      </c>
      <c r="E5067">
        <v>136352</v>
      </c>
    </row>
    <row r="5068" spans="1:5">
      <c r="A5068" s="1">
        <v>46021</v>
      </c>
      <c r="B5068" t="s">
        <v>4833</v>
      </c>
      <c r="C5068" t="s">
        <v>19</v>
      </c>
      <c r="D5068" t="s">
        <v>6305</v>
      </c>
      <c r="E5068">
        <v>33317</v>
      </c>
    </row>
    <row r="5069" spans="1:5">
      <c r="A5069" s="1">
        <v>46021</v>
      </c>
      <c r="B5069" t="s">
        <v>76</v>
      </c>
      <c r="C5069" t="s">
        <v>20</v>
      </c>
      <c r="D5069" t="s">
        <v>6306</v>
      </c>
      <c r="E5069">
        <v>9300</v>
      </c>
    </row>
    <row r="5070" spans="1:5">
      <c r="A5070" s="1">
        <v>46021</v>
      </c>
      <c r="B5070" t="s">
        <v>50</v>
      </c>
      <c r="C5070" t="s">
        <v>20</v>
      </c>
      <c r="D5070" t="s">
        <v>6307</v>
      </c>
      <c r="E5070">
        <v>49500</v>
      </c>
    </row>
    <row r="5071" spans="1:5">
      <c r="A5071" s="1">
        <v>46021</v>
      </c>
      <c r="B5071" t="s">
        <v>50</v>
      </c>
      <c r="C5071" t="s">
        <v>20</v>
      </c>
      <c r="D5071" t="s">
        <v>6308</v>
      </c>
      <c r="E5071">
        <v>620</v>
      </c>
    </row>
    <row r="5072" spans="1:5">
      <c r="A5072" s="1">
        <v>46021</v>
      </c>
      <c r="B5072" t="s">
        <v>6309</v>
      </c>
      <c r="C5072" t="s">
        <v>20</v>
      </c>
      <c r="D5072" t="s">
        <v>6310</v>
      </c>
      <c r="E5072">
        <v>130</v>
      </c>
    </row>
    <row r="5073" spans="1:5">
      <c r="A5073" s="1">
        <v>46021</v>
      </c>
      <c r="B5073" t="s">
        <v>76</v>
      </c>
      <c r="C5073" t="s">
        <v>20</v>
      </c>
      <c r="D5073" t="s">
        <v>6311</v>
      </c>
      <c r="E5073">
        <v>3291</v>
      </c>
    </row>
    <row r="5074" spans="1:5">
      <c r="A5074" s="1">
        <v>46021</v>
      </c>
      <c r="B5074" t="s">
        <v>81</v>
      </c>
      <c r="C5074" t="s">
        <v>20</v>
      </c>
      <c r="D5074" t="s">
        <v>6312</v>
      </c>
      <c r="E5074">
        <v>610</v>
      </c>
    </row>
    <row r="5075" spans="1:5">
      <c r="A5075" s="1">
        <v>46021</v>
      </c>
      <c r="B5075" t="s">
        <v>6313</v>
      </c>
      <c r="C5075" t="s">
        <v>20</v>
      </c>
      <c r="D5075" t="s">
        <v>6314</v>
      </c>
      <c r="E5075">
        <v>5745</v>
      </c>
    </row>
    <row r="5076" spans="1:5">
      <c r="A5076" s="1">
        <v>46021</v>
      </c>
      <c r="B5076" t="s">
        <v>6167</v>
      </c>
      <c r="C5076" t="s">
        <v>20</v>
      </c>
      <c r="D5076" t="s">
        <v>6315</v>
      </c>
      <c r="E5076">
        <v>4650</v>
      </c>
    </row>
    <row r="5077" spans="1:5">
      <c r="A5077" s="1">
        <v>46021</v>
      </c>
      <c r="B5077" t="s">
        <v>6255</v>
      </c>
      <c r="C5077" t="s">
        <v>20</v>
      </c>
      <c r="D5077" t="s">
        <v>6316</v>
      </c>
      <c r="E5077">
        <v>560</v>
      </c>
    </row>
    <row r="5078" spans="1:5">
      <c r="A5078" s="1">
        <v>46021</v>
      </c>
      <c r="B5078" t="s">
        <v>802</v>
      </c>
      <c r="C5078" t="s">
        <v>20</v>
      </c>
      <c r="D5078" t="s">
        <v>6317</v>
      </c>
      <c r="E5078">
        <v>2381</v>
      </c>
    </row>
    <row r="5079" spans="1:5">
      <c r="A5079" s="1">
        <v>46021</v>
      </c>
      <c r="B5079" t="s">
        <v>76</v>
      </c>
      <c r="C5079" t="s">
        <v>20</v>
      </c>
      <c r="D5079" t="s">
        <v>6318</v>
      </c>
      <c r="E5079">
        <v>9838</v>
      </c>
    </row>
    <row r="5080" spans="1:5">
      <c r="A5080" s="1">
        <v>46021</v>
      </c>
      <c r="B5080" t="s">
        <v>5156</v>
      </c>
      <c r="C5080" t="s">
        <v>20</v>
      </c>
      <c r="D5080" t="s">
        <v>6319</v>
      </c>
      <c r="E5080">
        <v>448</v>
      </c>
    </row>
    <row r="5081" spans="1:5">
      <c r="A5081" s="1">
        <v>46021</v>
      </c>
      <c r="B5081" t="s">
        <v>3701</v>
      </c>
      <c r="C5081" t="s">
        <v>20</v>
      </c>
      <c r="D5081" t="s">
        <v>6320</v>
      </c>
      <c r="E5081">
        <v>4887</v>
      </c>
    </row>
    <row r="5082" spans="1:5">
      <c r="A5082" s="1">
        <v>46021</v>
      </c>
      <c r="B5082" t="s">
        <v>76</v>
      </c>
      <c r="C5082" t="s">
        <v>20</v>
      </c>
      <c r="D5082" t="s">
        <v>6321</v>
      </c>
      <c r="E5082">
        <v>5852</v>
      </c>
    </row>
    <row r="5083" spans="1:5">
      <c r="A5083" s="1">
        <v>46021</v>
      </c>
      <c r="B5083" t="s">
        <v>37</v>
      </c>
      <c r="C5083" t="s">
        <v>20</v>
      </c>
      <c r="D5083" t="s">
        <v>6322</v>
      </c>
      <c r="E5083">
        <v>3100</v>
      </c>
    </row>
    <row r="5084" spans="1:5">
      <c r="A5084" s="1">
        <v>46021</v>
      </c>
      <c r="B5084" t="s">
        <v>2815</v>
      </c>
      <c r="C5084" t="s">
        <v>20</v>
      </c>
      <c r="D5084" t="s">
        <v>6323</v>
      </c>
      <c r="E5084">
        <v>3100</v>
      </c>
    </row>
    <row r="5085" spans="1:5">
      <c r="A5085" s="1">
        <v>46021</v>
      </c>
      <c r="B5085" t="s">
        <v>6174</v>
      </c>
      <c r="C5085" t="s">
        <v>20</v>
      </c>
      <c r="D5085" t="s">
        <v>6324</v>
      </c>
      <c r="E5085">
        <v>130</v>
      </c>
    </row>
    <row r="5086" spans="1:5">
      <c r="A5086" s="1">
        <v>46021</v>
      </c>
      <c r="B5086" t="s">
        <v>875</v>
      </c>
      <c r="C5086" t="s">
        <v>20</v>
      </c>
      <c r="D5086" t="s">
        <v>6325</v>
      </c>
      <c r="E5086">
        <v>9300</v>
      </c>
    </row>
    <row r="5087" spans="1:5">
      <c r="A5087" s="1">
        <v>46021</v>
      </c>
      <c r="B5087" t="s">
        <v>50</v>
      </c>
      <c r="C5087" t="s">
        <v>20</v>
      </c>
      <c r="D5087" t="s">
        <v>6326</v>
      </c>
      <c r="E5087">
        <v>32100</v>
      </c>
    </row>
    <row r="5088" spans="1:5">
      <c r="A5088" s="1">
        <v>46021</v>
      </c>
      <c r="B5088" t="s">
        <v>6217</v>
      </c>
      <c r="C5088" t="s">
        <v>20</v>
      </c>
      <c r="D5088" t="s">
        <v>6327</v>
      </c>
      <c r="E5088">
        <v>22297</v>
      </c>
    </row>
    <row r="5089" spans="1:5">
      <c r="A5089" s="1">
        <v>46021</v>
      </c>
      <c r="B5089" t="s">
        <v>222</v>
      </c>
      <c r="C5089" t="s">
        <v>20</v>
      </c>
      <c r="D5089" t="s">
        <v>6328</v>
      </c>
      <c r="E5089">
        <v>1193</v>
      </c>
    </row>
    <row r="5090" spans="1:5">
      <c r="A5090" s="1">
        <v>46021</v>
      </c>
      <c r="B5090" t="s">
        <v>932</v>
      </c>
      <c r="C5090" t="s">
        <v>20</v>
      </c>
      <c r="D5090" t="s">
        <v>6329</v>
      </c>
      <c r="E5090">
        <v>77</v>
      </c>
    </row>
    <row r="5091" spans="1:5">
      <c r="A5091" s="1">
        <v>46021</v>
      </c>
      <c r="B5091" t="s">
        <v>6330</v>
      </c>
      <c r="C5091" t="s">
        <v>20</v>
      </c>
      <c r="D5091" t="s">
        <v>6331</v>
      </c>
      <c r="E5091">
        <v>1155</v>
      </c>
    </row>
    <row r="5092" spans="1:5">
      <c r="A5092" s="1">
        <v>46022</v>
      </c>
      <c r="B5092" t="s">
        <v>180</v>
      </c>
      <c r="C5092" t="s">
        <v>19</v>
      </c>
      <c r="D5092" t="s">
        <v>6332</v>
      </c>
      <c r="E5092">
        <v>32000</v>
      </c>
    </row>
    <row r="5093" spans="1:5">
      <c r="A5093" s="1">
        <v>46022</v>
      </c>
      <c r="B5093" t="s">
        <v>1104</v>
      </c>
      <c r="C5093" t="s">
        <v>19</v>
      </c>
      <c r="D5093" t="s">
        <v>6333</v>
      </c>
      <c r="E5093">
        <v>21976</v>
      </c>
    </row>
    <row r="5094" spans="1:5">
      <c r="A5094" s="1">
        <v>46022</v>
      </c>
      <c r="B5094" t="s">
        <v>6302</v>
      </c>
      <c r="C5094" t="s">
        <v>19</v>
      </c>
      <c r="D5094" t="s">
        <v>6334</v>
      </c>
      <c r="E5094">
        <v>2641</v>
      </c>
    </row>
    <row r="5095" spans="1:5">
      <c r="A5095" s="1">
        <v>46022</v>
      </c>
      <c r="B5095" t="s">
        <v>6335</v>
      </c>
      <c r="C5095" t="s">
        <v>19</v>
      </c>
      <c r="D5095" t="s">
        <v>6336</v>
      </c>
      <c r="E5095">
        <v>1452</v>
      </c>
    </row>
    <row r="5096" spans="1:5">
      <c r="A5096" s="1">
        <v>46022</v>
      </c>
      <c r="B5096" t="s">
        <v>2749</v>
      </c>
      <c r="C5096" t="s">
        <v>20</v>
      </c>
      <c r="D5096" t="s">
        <v>6337</v>
      </c>
      <c r="E5096">
        <v>930</v>
      </c>
    </row>
    <row r="5097" spans="1:5">
      <c r="A5097" s="1">
        <v>46022</v>
      </c>
      <c r="B5097" t="s">
        <v>5840</v>
      </c>
      <c r="C5097" t="s">
        <v>20</v>
      </c>
      <c r="D5097" t="s">
        <v>6338</v>
      </c>
      <c r="E5097">
        <v>225920</v>
      </c>
    </row>
    <row r="5098" spans="1:5">
      <c r="A5098" s="1">
        <v>46022</v>
      </c>
      <c r="B5098" t="s">
        <v>100</v>
      </c>
      <c r="C5098" t="s">
        <v>20</v>
      </c>
      <c r="D5098" t="s">
        <v>6339</v>
      </c>
      <c r="E5098">
        <v>17241</v>
      </c>
    </row>
    <row r="5099" spans="1:5">
      <c r="A5099" s="1">
        <v>46022</v>
      </c>
      <c r="B5099" t="s">
        <v>6167</v>
      </c>
      <c r="C5099" t="s">
        <v>20</v>
      </c>
      <c r="D5099" t="s">
        <v>6340</v>
      </c>
      <c r="E5099">
        <v>10715</v>
      </c>
    </row>
    <row r="5100" spans="1:5">
      <c r="A5100" s="1">
        <v>46022</v>
      </c>
      <c r="B5100" t="s">
        <v>50</v>
      </c>
      <c r="C5100" t="s">
        <v>20</v>
      </c>
      <c r="D5100" t="s">
        <v>6341</v>
      </c>
      <c r="E5100">
        <v>3198</v>
      </c>
    </row>
    <row r="5101" spans="1:5">
      <c r="A5101" s="1">
        <v>46022</v>
      </c>
      <c r="B5101" t="s">
        <v>50</v>
      </c>
      <c r="C5101" t="s">
        <v>20</v>
      </c>
      <c r="D5101" t="s">
        <v>6342</v>
      </c>
      <c r="E5101">
        <v>45000</v>
      </c>
    </row>
    <row r="5102" spans="1:5">
      <c r="A5102" s="1">
        <v>46022</v>
      </c>
      <c r="B5102" t="s">
        <v>321</v>
      </c>
      <c r="C5102" t="s">
        <v>20</v>
      </c>
      <c r="D5102" t="s">
        <v>6343</v>
      </c>
      <c r="E5102">
        <v>6775</v>
      </c>
    </row>
    <row r="5103" spans="1:5">
      <c r="A5103" s="1">
        <v>46022</v>
      </c>
      <c r="B5103" t="s">
        <v>2206</v>
      </c>
      <c r="C5103" t="s">
        <v>20</v>
      </c>
      <c r="D5103" t="s">
        <v>6344</v>
      </c>
      <c r="E5103">
        <v>27995</v>
      </c>
    </row>
    <row r="5104" spans="1:5">
      <c r="A5104" s="1">
        <v>46022</v>
      </c>
      <c r="B5104" t="s">
        <v>6345</v>
      </c>
      <c r="C5104" t="s">
        <v>20</v>
      </c>
      <c r="D5104" t="s">
        <v>6346</v>
      </c>
      <c r="E5104">
        <v>42056</v>
      </c>
    </row>
    <row r="5105" spans="1:5">
      <c r="A5105" s="1">
        <v>46022</v>
      </c>
      <c r="B5105" t="s">
        <v>526</v>
      </c>
      <c r="C5105" t="s">
        <v>20</v>
      </c>
      <c r="D5105" t="s">
        <v>6347</v>
      </c>
      <c r="E5105">
        <v>1080</v>
      </c>
    </row>
    <row r="5106" spans="1:5">
      <c r="A5106" s="1">
        <v>46022</v>
      </c>
      <c r="B5106" t="s">
        <v>6348</v>
      </c>
      <c r="C5106" t="s">
        <v>20</v>
      </c>
      <c r="D5106" t="s">
        <v>6349</v>
      </c>
      <c r="E5106">
        <v>3112</v>
      </c>
    </row>
    <row r="5107" spans="1:5">
      <c r="A5107" s="1">
        <v>46022</v>
      </c>
      <c r="B5107" t="s">
        <v>231</v>
      </c>
      <c r="C5107" t="s">
        <v>20</v>
      </c>
      <c r="D5107" t="s">
        <v>6350</v>
      </c>
      <c r="E5107">
        <v>34</v>
      </c>
    </row>
    <row r="5108" spans="1:5">
      <c r="A5108" s="1">
        <v>46022</v>
      </c>
      <c r="B5108" t="s">
        <v>601</v>
      </c>
      <c r="C5108" t="s">
        <v>20</v>
      </c>
      <c r="D5108" t="s">
        <v>6351</v>
      </c>
      <c r="E5108">
        <v>3748</v>
      </c>
    </row>
    <row r="5109" spans="1:5">
      <c r="A5109" s="1">
        <v>46022</v>
      </c>
      <c r="B5109" t="s">
        <v>2350</v>
      </c>
      <c r="C5109" t="s">
        <v>20</v>
      </c>
      <c r="D5109" t="s">
        <v>6352</v>
      </c>
      <c r="E5109">
        <v>90</v>
      </c>
    </row>
    <row r="5110" spans="1:5">
      <c r="A5110" s="1">
        <v>46022</v>
      </c>
      <c r="B5110" t="s">
        <v>6353</v>
      </c>
      <c r="C5110" t="s">
        <v>20</v>
      </c>
      <c r="D5110" t="s">
        <v>6354</v>
      </c>
      <c r="E5110">
        <v>948</v>
      </c>
    </row>
    <row r="5111" spans="1:5">
      <c r="A5111" s="1">
        <v>46022</v>
      </c>
      <c r="B5111" t="s">
        <v>6208</v>
      </c>
      <c r="C5111" t="s">
        <v>20</v>
      </c>
      <c r="D5111" t="s">
        <v>6355</v>
      </c>
      <c r="E5111">
        <v>400</v>
      </c>
    </row>
    <row r="5112" spans="1:5">
      <c r="A5112" s="1">
        <v>46023</v>
      </c>
      <c r="B5112" t="s">
        <v>180</v>
      </c>
      <c r="C5112" t="s">
        <v>19</v>
      </c>
      <c r="D5112" t="s">
        <v>6356</v>
      </c>
      <c r="E5112">
        <v>16000</v>
      </c>
    </row>
    <row r="5113" spans="1:5">
      <c r="A5113" s="1">
        <v>46023</v>
      </c>
      <c r="B5113" t="s">
        <v>586</v>
      </c>
      <c r="C5113" t="s">
        <v>19</v>
      </c>
      <c r="D5113" t="s">
        <v>6357</v>
      </c>
      <c r="E5113">
        <v>310</v>
      </c>
    </row>
    <row r="5114" spans="1:5">
      <c r="A5114" s="1">
        <v>46023</v>
      </c>
      <c r="B5114" t="s">
        <v>2851</v>
      </c>
      <c r="C5114" t="s">
        <v>19</v>
      </c>
      <c r="D5114" t="s">
        <v>6358</v>
      </c>
      <c r="E5114">
        <v>1860</v>
      </c>
    </row>
    <row r="5115" spans="1:5">
      <c r="A5115" s="1">
        <v>46023</v>
      </c>
      <c r="B5115" t="s">
        <v>1104</v>
      </c>
      <c r="C5115" t="s">
        <v>19</v>
      </c>
      <c r="D5115" t="s">
        <v>6359</v>
      </c>
      <c r="E5115">
        <v>14424</v>
      </c>
    </row>
    <row r="5116" spans="1:5">
      <c r="A5116" s="1">
        <v>46023</v>
      </c>
      <c r="B5116" t="s">
        <v>50</v>
      </c>
      <c r="C5116" t="s">
        <v>20</v>
      </c>
      <c r="D5116" t="s">
        <v>6360</v>
      </c>
      <c r="E5116">
        <v>310</v>
      </c>
    </row>
    <row r="5117" spans="1:5">
      <c r="A5117" s="1">
        <v>46023</v>
      </c>
      <c r="B5117" t="s">
        <v>50</v>
      </c>
      <c r="C5117" t="s">
        <v>20</v>
      </c>
      <c r="D5117" t="s">
        <v>6361</v>
      </c>
      <c r="E5117">
        <v>550</v>
      </c>
    </row>
    <row r="5118" spans="1:5">
      <c r="A5118" s="1">
        <v>46023</v>
      </c>
      <c r="B5118" t="s">
        <v>50</v>
      </c>
      <c r="C5118" t="s">
        <v>20</v>
      </c>
      <c r="D5118" t="s">
        <v>6362</v>
      </c>
      <c r="E5118">
        <v>620</v>
      </c>
    </row>
    <row r="5119" spans="1:5">
      <c r="A5119" s="1">
        <v>46023</v>
      </c>
      <c r="B5119" t="s">
        <v>50</v>
      </c>
      <c r="C5119" t="s">
        <v>20</v>
      </c>
      <c r="D5119" t="s">
        <v>6363</v>
      </c>
      <c r="E5119">
        <v>320</v>
      </c>
    </row>
    <row r="5120" spans="1:5">
      <c r="A5120" s="1">
        <v>46023</v>
      </c>
      <c r="B5120" t="s">
        <v>932</v>
      </c>
      <c r="C5120" t="s">
        <v>20</v>
      </c>
      <c r="D5120" t="s">
        <v>6364</v>
      </c>
      <c r="E5120">
        <v>6400</v>
      </c>
    </row>
    <row r="5121" spans="1:5">
      <c r="A5121" s="1">
        <v>46023</v>
      </c>
      <c r="B5121" t="s">
        <v>4928</v>
      </c>
      <c r="C5121" t="s">
        <v>20</v>
      </c>
      <c r="D5121" t="s">
        <v>6365</v>
      </c>
      <c r="E5121">
        <v>1550</v>
      </c>
    </row>
    <row r="5122" spans="1:5">
      <c r="A5122" s="1">
        <v>46023</v>
      </c>
      <c r="B5122" t="s">
        <v>709</v>
      </c>
      <c r="C5122" t="s">
        <v>20</v>
      </c>
      <c r="D5122" t="s">
        <v>6366</v>
      </c>
      <c r="E5122">
        <v>5220</v>
      </c>
    </row>
    <row r="5123" spans="1:5">
      <c r="A5123" s="1">
        <v>46023</v>
      </c>
      <c r="B5123" t="s">
        <v>6367</v>
      </c>
      <c r="C5123" t="s">
        <v>20</v>
      </c>
      <c r="D5123" t="s">
        <v>6368</v>
      </c>
      <c r="E5123">
        <v>180</v>
      </c>
    </row>
    <row r="5124" spans="1:5">
      <c r="A5124" s="1">
        <v>46023</v>
      </c>
      <c r="B5124" t="s">
        <v>45</v>
      </c>
      <c r="C5124" t="s">
        <v>20</v>
      </c>
      <c r="D5124" t="s">
        <v>6369</v>
      </c>
      <c r="E5124">
        <v>3463</v>
      </c>
    </row>
    <row r="5125" spans="1:5">
      <c r="A5125" s="1">
        <v>46023</v>
      </c>
      <c r="B5125" t="s">
        <v>45</v>
      </c>
      <c r="C5125" t="s">
        <v>20</v>
      </c>
      <c r="D5125" t="s">
        <v>6370</v>
      </c>
      <c r="E5125">
        <v>900</v>
      </c>
    </row>
    <row r="5126" spans="1:5">
      <c r="A5126" s="1">
        <v>46023</v>
      </c>
      <c r="B5126" t="s">
        <v>2314</v>
      </c>
      <c r="C5126" t="s">
        <v>20</v>
      </c>
      <c r="D5126" t="s">
        <v>6371</v>
      </c>
      <c r="E5126">
        <v>17660</v>
      </c>
    </row>
    <row r="5127" spans="1:5">
      <c r="A5127" s="1">
        <v>46023</v>
      </c>
      <c r="B5127" t="s">
        <v>188</v>
      </c>
      <c r="C5127" t="s">
        <v>20</v>
      </c>
      <c r="D5127" t="s">
        <v>6372</v>
      </c>
      <c r="E5127">
        <v>3100</v>
      </c>
    </row>
    <row r="5128" spans="1:5">
      <c r="A5128" s="1">
        <v>46023</v>
      </c>
      <c r="B5128" t="s">
        <v>566</v>
      </c>
      <c r="C5128" t="s">
        <v>20</v>
      </c>
      <c r="D5128" t="s">
        <v>6373</v>
      </c>
      <c r="E5128">
        <v>160</v>
      </c>
    </row>
    <row r="5129" spans="1:5">
      <c r="A5129" s="1">
        <v>46023</v>
      </c>
      <c r="B5129" t="s">
        <v>6374</v>
      </c>
      <c r="C5129" t="s">
        <v>20</v>
      </c>
      <c r="D5129" t="s">
        <v>6375</v>
      </c>
      <c r="E5129">
        <v>33649</v>
      </c>
    </row>
    <row r="5130" spans="1:5">
      <c r="A5130" s="1">
        <v>46023</v>
      </c>
      <c r="B5130" t="s">
        <v>2206</v>
      </c>
      <c r="C5130" t="s">
        <v>20</v>
      </c>
      <c r="D5130" t="s">
        <v>6376</v>
      </c>
      <c r="E5130">
        <v>1185</v>
      </c>
    </row>
    <row r="5131" spans="1:5">
      <c r="A5131" s="1">
        <v>46023</v>
      </c>
      <c r="B5131" t="s">
        <v>239</v>
      </c>
      <c r="C5131" t="s">
        <v>20</v>
      </c>
      <c r="D5131" t="s">
        <v>6377</v>
      </c>
      <c r="E5131">
        <v>6492</v>
      </c>
    </row>
    <row r="5132" spans="1:5">
      <c r="A5132" s="1">
        <v>46023</v>
      </c>
      <c r="B5132" t="s">
        <v>2206</v>
      </c>
      <c r="C5132" t="s">
        <v>20</v>
      </c>
      <c r="D5132" t="s">
        <v>6378</v>
      </c>
      <c r="E5132">
        <v>2368</v>
      </c>
    </row>
    <row r="5133" spans="1:5">
      <c r="A5133" s="1">
        <v>46023</v>
      </c>
      <c r="B5133" t="s">
        <v>1280</v>
      </c>
      <c r="C5133" t="s">
        <v>20</v>
      </c>
      <c r="D5133" t="s">
        <v>6379</v>
      </c>
      <c r="E5133">
        <v>7498</v>
      </c>
    </row>
    <row r="5134" spans="1:5">
      <c r="A5134" s="1">
        <v>46023</v>
      </c>
      <c r="B5134" t="s">
        <v>575</v>
      </c>
      <c r="C5134" t="s">
        <v>20</v>
      </c>
      <c r="D5134" t="s">
        <v>6380</v>
      </c>
      <c r="E5134">
        <v>240</v>
      </c>
    </row>
    <row r="5135" spans="1:5">
      <c r="A5135" s="1">
        <v>46024</v>
      </c>
      <c r="B5135" t="s">
        <v>6381</v>
      </c>
      <c r="C5135" t="s">
        <v>19</v>
      </c>
      <c r="D5135" t="s">
        <v>6382</v>
      </c>
      <c r="E5135">
        <v>874</v>
      </c>
    </row>
    <row r="5136" spans="1:5">
      <c r="A5136" s="1">
        <v>46024</v>
      </c>
      <c r="B5136" t="s">
        <v>1104</v>
      </c>
      <c r="C5136" t="s">
        <v>19</v>
      </c>
      <c r="D5136" t="s">
        <v>6383</v>
      </c>
      <c r="E5136">
        <v>4565</v>
      </c>
    </row>
    <row r="5137" spans="1:5">
      <c r="A5137" s="1">
        <v>46024</v>
      </c>
      <c r="B5137" t="s">
        <v>6302</v>
      </c>
      <c r="C5137" t="s">
        <v>19</v>
      </c>
      <c r="D5137" t="s">
        <v>6384</v>
      </c>
      <c r="E5137">
        <v>14030</v>
      </c>
    </row>
    <row r="5138" spans="1:5">
      <c r="A5138" s="1">
        <v>46024</v>
      </c>
      <c r="B5138" t="s">
        <v>50</v>
      </c>
      <c r="C5138" t="s">
        <v>20</v>
      </c>
      <c r="D5138" t="s">
        <v>6385</v>
      </c>
      <c r="E5138">
        <v>305</v>
      </c>
    </row>
    <row r="5139" spans="1:5">
      <c r="A5139" s="1">
        <v>46024</v>
      </c>
      <c r="B5139" t="s">
        <v>1066</v>
      </c>
      <c r="C5139" t="s">
        <v>20</v>
      </c>
      <c r="D5139" t="s">
        <v>6386</v>
      </c>
      <c r="E5139">
        <v>12707</v>
      </c>
    </row>
    <row r="5140" spans="1:5">
      <c r="A5140" s="1">
        <v>46024</v>
      </c>
      <c r="B5140" t="s">
        <v>76</v>
      </c>
      <c r="C5140" t="s">
        <v>20</v>
      </c>
      <c r="D5140" t="s">
        <v>6387</v>
      </c>
      <c r="E5140">
        <v>500</v>
      </c>
    </row>
    <row r="5141" spans="1:5">
      <c r="A5141" s="1">
        <v>46024</v>
      </c>
      <c r="B5141" t="s">
        <v>6278</v>
      </c>
      <c r="C5141" t="s">
        <v>20</v>
      </c>
      <c r="D5141" t="s">
        <v>6388</v>
      </c>
      <c r="E5141">
        <v>57358</v>
      </c>
    </row>
    <row r="5142" spans="1:5">
      <c r="A5142" s="1">
        <v>46024</v>
      </c>
      <c r="B5142" t="s">
        <v>68</v>
      </c>
      <c r="C5142" t="s">
        <v>20</v>
      </c>
      <c r="D5142" t="s">
        <v>6389</v>
      </c>
      <c r="E5142">
        <v>6605</v>
      </c>
    </row>
    <row r="5143" spans="1:5">
      <c r="A5143" s="1">
        <v>46024</v>
      </c>
      <c r="B5143" t="s">
        <v>526</v>
      </c>
      <c r="C5143" t="s">
        <v>20</v>
      </c>
      <c r="D5143" t="s">
        <v>6390</v>
      </c>
      <c r="E5143">
        <v>13058</v>
      </c>
    </row>
    <row r="5144" spans="1:5">
      <c r="A5144" s="1">
        <v>46024</v>
      </c>
      <c r="B5144" t="s">
        <v>43</v>
      </c>
      <c r="C5144" t="s">
        <v>20</v>
      </c>
      <c r="D5144" t="s">
        <v>6391</v>
      </c>
      <c r="E5144">
        <v>3000</v>
      </c>
    </row>
    <row r="5145" spans="1:5">
      <c r="A5145" s="1">
        <v>46024</v>
      </c>
      <c r="B5145" t="s">
        <v>915</v>
      </c>
      <c r="C5145" t="s">
        <v>20</v>
      </c>
      <c r="D5145" t="s">
        <v>6392</v>
      </c>
      <c r="E5145">
        <v>6400</v>
      </c>
    </row>
    <row r="5146" spans="1:5">
      <c r="A5146" s="1">
        <v>46024</v>
      </c>
      <c r="B5146" t="s">
        <v>575</v>
      </c>
      <c r="C5146" t="s">
        <v>20</v>
      </c>
      <c r="D5146" t="s">
        <v>6393</v>
      </c>
      <c r="E5146">
        <v>120</v>
      </c>
    </row>
    <row r="5147" spans="1:5">
      <c r="A5147" s="1">
        <v>46024</v>
      </c>
      <c r="B5147" t="s">
        <v>6142</v>
      </c>
      <c r="C5147" t="s">
        <v>20</v>
      </c>
      <c r="D5147" t="s">
        <v>6394</v>
      </c>
      <c r="E5147">
        <v>8700</v>
      </c>
    </row>
    <row r="5148" spans="1:5">
      <c r="A5148" s="1">
        <v>46024</v>
      </c>
      <c r="B5148" t="s">
        <v>4144</v>
      </c>
      <c r="C5148" t="s">
        <v>20</v>
      </c>
      <c r="D5148" t="s">
        <v>6395</v>
      </c>
      <c r="E5148">
        <v>10416</v>
      </c>
    </row>
    <row r="5149" spans="1:5">
      <c r="A5149" s="1">
        <v>46024</v>
      </c>
      <c r="B5149" t="s">
        <v>6255</v>
      </c>
      <c r="C5149" t="s">
        <v>20</v>
      </c>
      <c r="D5149" t="s">
        <v>6396</v>
      </c>
      <c r="E5149">
        <v>710</v>
      </c>
    </row>
    <row r="5150" spans="1:5">
      <c r="A5150" s="1">
        <v>46024</v>
      </c>
      <c r="B5150" t="s">
        <v>6397</v>
      </c>
      <c r="C5150" t="s">
        <v>20</v>
      </c>
      <c r="D5150" t="s">
        <v>6398</v>
      </c>
      <c r="E5150">
        <v>422</v>
      </c>
    </row>
    <row r="5151" spans="1:5">
      <c r="A5151" s="1">
        <v>46024</v>
      </c>
      <c r="B5151" t="s">
        <v>2399</v>
      </c>
      <c r="C5151" t="s">
        <v>20</v>
      </c>
      <c r="D5151" t="s">
        <v>6399</v>
      </c>
      <c r="E5151">
        <v>620</v>
      </c>
    </row>
    <row r="5152" spans="1:5">
      <c r="A5152" s="1">
        <v>46024</v>
      </c>
      <c r="B5152" t="s">
        <v>239</v>
      </c>
      <c r="C5152" t="s">
        <v>20</v>
      </c>
      <c r="D5152" t="s">
        <v>6400</v>
      </c>
      <c r="E5152">
        <v>666</v>
      </c>
    </row>
    <row r="5153" spans="1:5">
      <c r="A5153" s="1">
        <v>46024</v>
      </c>
      <c r="B5153" t="s">
        <v>100</v>
      </c>
      <c r="C5153" t="s">
        <v>20</v>
      </c>
      <c r="D5153" t="s">
        <v>6401</v>
      </c>
      <c r="E5153">
        <v>458</v>
      </c>
    </row>
    <row r="5154" spans="1:5">
      <c r="A5154" s="1">
        <v>46024</v>
      </c>
      <c r="B5154" t="s">
        <v>6348</v>
      </c>
      <c r="C5154" t="s">
        <v>20</v>
      </c>
      <c r="D5154" t="s">
        <v>6402</v>
      </c>
      <c r="E5154">
        <v>1550</v>
      </c>
    </row>
    <row r="5155" spans="1:5">
      <c r="A5155" s="1">
        <v>46024</v>
      </c>
      <c r="B5155" t="s">
        <v>744</v>
      </c>
      <c r="C5155" t="s">
        <v>20</v>
      </c>
      <c r="D5155" t="s">
        <v>6403</v>
      </c>
      <c r="E5155">
        <v>7231</v>
      </c>
    </row>
    <row r="5156" spans="1:5">
      <c r="A5156" s="1">
        <v>46024</v>
      </c>
      <c r="B5156" t="s">
        <v>37</v>
      </c>
      <c r="C5156" t="s">
        <v>20</v>
      </c>
      <c r="D5156" t="s">
        <v>6404</v>
      </c>
      <c r="E5156">
        <v>430</v>
      </c>
    </row>
    <row r="5157" spans="1:5">
      <c r="A5157" s="1">
        <v>46025</v>
      </c>
      <c r="B5157" t="s">
        <v>96</v>
      </c>
      <c r="C5157" t="s">
        <v>19</v>
      </c>
      <c r="D5157" t="s">
        <v>6405</v>
      </c>
      <c r="E5157">
        <v>20210</v>
      </c>
    </row>
    <row r="5158" spans="1:5">
      <c r="A5158" s="1">
        <v>46025</v>
      </c>
      <c r="B5158" t="s">
        <v>5788</v>
      </c>
      <c r="C5158" t="s">
        <v>19</v>
      </c>
      <c r="D5158" t="s">
        <v>6406</v>
      </c>
      <c r="E5158">
        <v>83275</v>
      </c>
    </row>
    <row r="5159" spans="1:5">
      <c r="A5159" s="1">
        <v>46025</v>
      </c>
      <c r="B5159" t="s">
        <v>76</v>
      </c>
      <c r="C5159" t="s">
        <v>20</v>
      </c>
      <c r="D5159" t="s">
        <v>6407</v>
      </c>
      <c r="E5159">
        <v>3100</v>
      </c>
    </row>
    <row r="5160" spans="1:5">
      <c r="A5160" s="1">
        <v>46025</v>
      </c>
      <c r="B5160" t="s">
        <v>6408</v>
      </c>
      <c r="C5160" t="s">
        <v>20</v>
      </c>
      <c r="D5160" t="s">
        <v>6409</v>
      </c>
      <c r="E5160">
        <v>930</v>
      </c>
    </row>
    <row r="5161" spans="1:5">
      <c r="A5161" s="1">
        <v>46025</v>
      </c>
      <c r="B5161" t="s">
        <v>4144</v>
      </c>
      <c r="C5161" t="s">
        <v>20</v>
      </c>
      <c r="D5161" t="s">
        <v>6410</v>
      </c>
      <c r="E5161">
        <v>665</v>
      </c>
    </row>
    <row r="5162" spans="1:5">
      <c r="A5162" s="1">
        <v>46025</v>
      </c>
      <c r="B5162" t="s">
        <v>316</v>
      </c>
      <c r="C5162" t="s">
        <v>20</v>
      </c>
      <c r="D5162" t="s">
        <v>6411</v>
      </c>
      <c r="E5162">
        <v>381</v>
      </c>
    </row>
    <row r="5163" spans="1:5">
      <c r="A5163" s="1">
        <v>46025</v>
      </c>
      <c r="B5163" t="s">
        <v>43</v>
      </c>
      <c r="C5163" t="s">
        <v>20</v>
      </c>
      <c r="D5163" t="s">
        <v>6412</v>
      </c>
      <c r="E5163">
        <v>61386</v>
      </c>
    </row>
    <row r="5164" spans="1:5">
      <c r="A5164" s="1">
        <v>46025</v>
      </c>
      <c r="B5164" t="s">
        <v>50</v>
      </c>
      <c r="C5164" t="s">
        <v>20</v>
      </c>
      <c r="D5164" t="s">
        <v>6413</v>
      </c>
      <c r="E5164">
        <v>11</v>
      </c>
    </row>
    <row r="5165" spans="1:5">
      <c r="A5165" s="1">
        <v>46025</v>
      </c>
      <c r="B5165" t="s">
        <v>6414</v>
      </c>
      <c r="C5165" t="s">
        <v>20</v>
      </c>
      <c r="D5165" t="s">
        <v>6415</v>
      </c>
      <c r="E5165">
        <v>11208</v>
      </c>
    </row>
    <row r="5166" spans="1:5">
      <c r="A5166" s="1">
        <v>46025</v>
      </c>
      <c r="B5166" t="s">
        <v>1937</v>
      </c>
      <c r="C5166" t="s">
        <v>20</v>
      </c>
      <c r="D5166" t="s">
        <v>6416</v>
      </c>
      <c r="E5166">
        <v>1326</v>
      </c>
    </row>
    <row r="5167" spans="1:5">
      <c r="A5167" s="1">
        <v>46025</v>
      </c>
      <c r="B5167" t="s">
        <v>6374</v>
      </c>
      <c r="C5167" t="s">
        <v>20</v>
      </c>
      <c r="D5167" t="s">
        <v>6417</v>
      </c>
      <c r="E5167">
        <v>250</v>
      </c>
    </row>
    <row r="5168" spans="1:5">
      <c r="A5168" s="1">
        <v>46025</v>
      </c>
      <c r="B5168" t="s">
        <v>6345</v>
      </c>
      <c r="C5168" t="s">
        <v>20</v>
      </c>
      <c r="D5168" t="s">
        <v>6418</v>
      </c>
      <c r="E5168">
        <v>1251</v>
      </c>
    </row>
    <row r="5169" spans="1:5">
      <c r="A5169" s="1">
        <v>46025</v>
      </c>
      <c r="B5169" t="s">
        <v>220</v>
      </c>
      <c r="C5169" t="s">
        <v>20</v>
      </c>
      <c r="D5169" t="s">
        <v>6419</v>
      </c>
      <c r="E5169">
        <v>26720</v>
      </c>
    </row>
    <row r="5170" spans="1:5">
      <c r="A5170" s="1">
        <v>46025</v>
      </c>
      <c r="B5170" t="s">
        <v>222</v>
      </c>
      <c r="C5170" t="s">
        <v>20</v>
      </c>
      <c r="D5170" t="s">
        <v>6420</v>
      </c>
      <c r="E5170">
        <v>1550</v>
      </c>
    </row>
    <row r="5171" spans="1:5">
      <c r="A5171" s="1">
        <v>46025</v>
      </c>
      <c r="B5171" t="s">
        <v>76</v>
      </c>
      <c r="C5171" t="s">
        <v>20</v>
      </c>
      <c r="D5171" t="s">
        <v>6421</v>
      </c>
      <c r="E5171">
        <v>7801</v>
      </c>
    </row>
    <row r="5172" spans="1:5">
      <c r="A5172" s="1">
        <v>46025</v>
      </c>
      <c r="B5172" t="s">
        <v>5188</v>
      </c>
      <c r="C5172" t="s">
        <v>20</v>
      </c>
      <c r="D5172" t="s">
        <v>6422</v>
      </c>
      <c r="E5172">
        <v>101880</v>
      </c>
    </row>
    <row r="5173" spans="1:5">
      <c r="A5173" s="1">
        <v>46025</v>
      </c>
      <c r="B5173" t="s">
        <v>2206</v>
      </c>
      <c r="C5173" t="s">
        <v>20</v>
      </c>
      <c r="D5173" t="s">
        <v>6423</v>
      </c>
      <c r="E5173">
        <v>175</v>
      </c>
    </row>
    <row r="5174" spans="1:5">
      <c r="A5174" s="1">
        <v>46025</v>
      </c>
      <c r="B5174" t="s">
        <v>802</v>
      </c>
      <c r="C5174" t="s">
        <v>20</v>
      </c>
      <c r="D5174" t="s">
        <v>6424</v>
      </c>
      <c r="E5174">
        <v>1476</v>
      </c>
    </row>
    <row r="5175" spans="1:5">
      <c r="A5175" s="1">
        <v>46025</v>
      </c>
      <c r="B5175" t="s">
        <v>1350</v>
      </c>
      <c r="C5175" t="s">
        <v>20</v>
      </c>
      <c r="D5175" t="s">
        <v>6425</v>
      </c>
      <c r="E5175">
        <v>34578</v>
      </c>
    </row>
    <row r="5176" spans="1:5">
      <c r="A5176" s="1">
        <v>46025</v>
      </c>
      <c r="B5176" t="s">
        <v>6426</v>
      </c>
      <c r="C5176" t="s">
        <v>20</v>
      </c>
      <c r="D5176" t="s">
        <v>6427</v>
      </c>
      <c r="E5176">
        <v>3100</v>
      </c>
    </row>
    <row r="5177" spans="1:5">
      <c r="A5177" s="1">
        <v>46025</v>
      </c>
      <c r="B5177" t="s">
        <v>6167</v>
      </c>
      <c r="C5177" t="s">
        <v>20</v>
      </c>
      <c r="D5177" t="s">
        <v>6428</v>
      </c>
      <c r="E5177">
        <v>4650</v>
      </c>
    </row>
    <row r="5178" spans="1:5">
      <c r="A5178" s="1">
        <v>46025</v>
      </c>
      <c r="B5178" t="s">
        <v>6429</v>
      </c>
      <c r="C5178" t="s">
        <v>20</v>
      </c>
      <c r="D5178" t="s">
        <v>6430</v>
      </c>
      <c r="E5178">
        <v>9406</v>
      </c>
    </row>
    <row r="5179" spans="1:5">
      <c r="A5179" s="1">
        <v>46025</v>
      </c>
      <c r="B5179" t="s">
        <v>3998</v>
      </c>
      <c r="C5179" t="s">
        <v>20</v>
      </c>
      <c r="D5179" t="s">
        <v>6431</v>
      </c>
      <c r="E5179">
        <v>500</v>
      </c>
    </row>
    <row r="5180" spans="1:5">
      <c r="A5180" s="1">
        <v>46025</v>
      </c>
      <c r="B5180" t="s">
        <v>6432</v>
      </c>
      <c r="C5180" t="s">
        <v>20</v>
      </c>
      <c r="D5180" t="s">
        <v>6433</v>
      </c>
      <c r="E5180">
        <v>5345</v>
      </c>
    </row>
    <row r="5181" spans="1:5">
      <c r="A5181" s="1">
        <v>46025</v>
      </c>
      <c r="B5181" t="s">
        <v>642</v>
      </c>
      <c r="C5181" t="s">
        <v>20</v>
      </c>
      <c r="D5181" t="s">
        <v>6434</v>
      </c>
      <c r="E5181">
        <v>310</v>
      </c>
    </row>
    <row r="5182" spans="1:5">
      <c r="A5182" s="1">
        <v>46025</v>
      </c>
      <c r="B5182" t="s">
        <v>6374</v>
      </c>
      <c r="C5182" t="s">
        <v>20</v>
      </c>
      <c r="D5182" t="s">
        <v>6435</v>
      </c>
      <c r="E5182">
        <v>1600</v>
      </c>
    </row>
    <row r="5183" spans="1:5">
      <c r="A5183" s="1">
        <v>46025</v>
      </c>
      <c r="B5183" t="s">
        <v>1004</v>
      </c>
      <c r="C5183" t="s">
        <v>20</v>
      </c>
      <c r="D5183" t="s">
        <v>6436</v>
      </c>
      <c r="E5183">
        <v>1750</v>
      </c>
    </row>
    <row r="5184" spans="1:5">
      <c r="A5184" s="1">
        <v>46027</v>
      </c>
      <c r="B5184" t="s">
        <v>1104</v>
      </c>
      <c r="C5184" t="s">
        <v>19</v>
      </c>
      <c r="D5184" t="s">
        <v>6437</v>
      </c>
      <c r="E5184">
        <v>4018</v>
      </c>
    </row>
    <row r="5185" spans="1:5">
      <c r="A5185" s="1">
        <v>46027</v>
      </c>
      <c r="B5185" t="s">
        <v>1104</v>
      </c>
      <c r="C5185" t="s">
        <v>19</v>
      </c>
      <c r="D5185" t="s">
        <v>6438</v>
      </c>
      <c r="E5185">
        <v>1550</v>
      </c>
    </row>
    <row r="5186" spans="1:5">
      <c r="A5186" s="1">
        <v>46027</v>
      </c>
      <c r="B5186" t="s">
        <v>56</v>
      </c>
      <c r="C5186" t="s">
        <v>19</v>
      </c>
      <c r="D5186" t="s">
        <v>6439</v>
      </c>
      <c r="E5186">
        <v>6231</v>
      </c>
    </row>
    <row r="5187" spans="1:5">
      <c r="A5187" s="1">
        <v>46027</v>
      </c>
      <c r="B5187" t="s">
        <v>6440</v>
      </c>
      <c r="C5187" t="s">
        <v>19</v>
      </c>
      <c r="D5187" t="s">
        <v>6441</v>
      </c>
      <c r="E5187">
        <v>10914</v>
      </c>
    </row>
    <row r="5188" spans="1:5">
      <c r="A5188" s="1">
        <v>46027</v>
      </c>
      <c r="B5188" t="s">
        <v>76</v>
      </c>
      <c r="C5188" t="s">
        <v>20</v>
      </c>
      <c r="D5188" t="s">
        <v>6442</v>
      </c>
      <c r="E5188">
        <v>6200</v>
      </c>
    </row>
    <row r="5189" spans="1:5">
      <c r="A5189" s="1">
        <v>46027</v>
      </c>
      <c r="B5189" t="s">
        <v>6443</v>
      </c>
      <c r="C5189" t="s">
        <v>20</v>
      </c>
      <c r="D5189" t="s">
        <v>6444</v>
      </c>
      <c r="E5189">
        <v>2931</v>
      </c>
    </row>
    <row r="5190" spans="1:5">
      <c r="A5190" s="1">
        <v>46027</v>
      </c>
      <c r="B5190" t="s">
        <v>50</v>
      </c>
      <c r="C5190" t="s">
        <v>20</v>
      </c>
      <c r="D5190" t="s">
        <v>6445</v>
      </c>
      <c r="E5190">
        <v>310</v>
      </c>
    </row>
    <row r="5191" spans="1:5">
      <c r="A5191" s="1">
        <v>46027</v>
      </c>
      <c r="B5191" t="s">
        <v>50</v>
      </c>
      <c r="C5191" t="s">
        <v>20</v>
      </c>
      <c r="D5191" t="s">
        <v>6446</v>
      </c>
      <c r="E5191">
        <v>310</v>
      </c>
    </row>
    <row r="5192" spans="1:5">
      <c r="A5192" s="1">
        <v>46027</v>
      </c>
      <c r="B5192" t="s">
        <v>642</v>
      </c>
      <c r="C5192" t="s">
        <v>20</v>
      </c>
      <c r="D5192" t="s">
        <v>6447</v>
      </c>
      <c r="E5192">
        <v>310</v>
      </c>
    </row>
    <row r="5193" spans="1:5">
      <c r="A5193" s="1">
        <v>46027</v>
      </c>
      <c r="B5193" t="s">
        <v>50</v>
      </c>
      <c r="C5193" t="s">
        <v>20</v>
      </c>
      <c r="D5193" t="s">
        <v>6448</v>
      </c>
      <c r="E5193">
        <v>620</v>
      </c>
    </row>
    <row r="5194" spans="1:5">
      <c r="A5194" s="1">
        <v>46027</v>
      </c>
      <c r="B5194" t="s">
        <v>4144</v>
      </c>
      <c r="C5194" t="s">
        <v>20</v>
      </c>
      <c r="D5194" t="s">
        <v>6449</v>
      </c>
      <c r="E5194">
        <v>240</v>
      </c>
    </row>
    <row r="5195" spans="1:5">
      <c r="A5195" s="1">
        <v>46027</v>
      </c>
      <c r="B5195" t="s">
        <v>321</v>
      </c>
      <c r="C5195" t="s">
        <v>20</v>
      </c>
      <c r="D5195" t="s">
        <v>6450</v>
      </c>
      <c r="E5195">
        <v>268</v>
      </c>
    </row>
    <row r="5196" spans="1:5">
      <c r="A5196" s="1">
        <v>46027</v>
      </c>
      <c r="B5196" t="s">
        <v>254</v>
      </c>
      <c r="C5196" t="s">
        <v>20</v>
      </c>
      <c r="D5196" t="s">
        <v>6451</v>
      </c>
      <c r="E5196">
        <v>1240</v>
      </c>
    </row>
    <row r="5197" spans="1:5">
      <c r="A5197" s="1">
        <v>46027</v>
      </c>
      <c r="B5197" t="s">
        <v>2455</v>
      </c>
      <c r="C5197" t="s">
        <v>20</v>
      </c>
      <c r="D5197" t="s">
        <v>6452</v>
      </c>
      <c r="E5197">
        <v>1240</v>
      </c>
    </row>
    <row r="5198" spans="1:5">
      <c r="A5198" s="1">
        <v>46027</v>
      </c>
      <c r="B5198" t="s">
        <v>1066</v>
      </c>
      <c r="C5198" t="s">
        <v>20</v>
      </c>
      <c r="D5198" t="s">
        <v>6453</v>
      </c>
      <c r="E5198">
        <v>1380</v>
      </c>
    </row>
    <row r="5199" spans="1:5">
      <c r="A5199" s="1">
        <v>46027</v>
      </c>
      <c r="B5199" t="s">
        <v>875</v>
      </c>
      <c r="C5199" t="s">
        <v>20</v>
      </c>
      <c r="D5199" t="s">
        <v>6454</v>
      </c>
      <c r="E5199">
        <v>11300</v>
      </c>
    </row>
    <row r="5200" spans="1:5">
      <c r="A5200" s="1">
        <v>46027</v>
      </c>
      <c r="B5200" t="s">
        <v>6455</v>
      </c>
      <c r="C5200" t="s">
        <v>20</v>
      </c>
      <c r="D5200" t="s">
        <v>6456</v>
      </c>
      <c r="E5200">
        <v>1547</v>
      </c>
    </row>
    <row r="5201" spans="1:5">
      <c r="A5201" s="1">
        <v>46027</v>
      </c>
      <c r="B5201" t="s">
        <v>6221</v>
      </c>
      <c r="C5201" t="s">
        <v>20</v>
      </c>
      <c r="D5201" t="s">
        <v>6457</v>
      </c>
      <c r="E5201">
        <v>843</v>
      </c>
    </row>
    <row r="5202" spans="1:5">
      <c r="A5202" s="1">
        <v>46027</v>
      </c>
      <c r="B5202" t="s">
        <v>6458</v>
      </c>
      <c r="C5202" t="s">
        <v>20</v>
      </c>
      <c r="D5202" t="s">
        <v>6459</v>
      </c>
      <c r="E5202">
        <v>25290</v>
      </c>
    </row>
    <row r="5203" spans="1:5">
      <c r="A5203" s="1">
        <v>46027</v>
      </c>
      <c r="B5203" t="s">
        <v>50</v>
      </c>
      <c r="C5203" t="s">
        <v>20</v>
      </c>
      <c r="D5203" t="s">
        <v>6460</v>
      </c>
      <c r="E5203">
        <v>30</v>
      </c>
    </row>
    <row r="5204" spans="1:5">
      <c r="A5204" s="1">
        <v>46027</v>
      </c>
      <c r="B5204" t="s">
        <v>1026</v>
      </c>
      <c r="C5204" t="s">
        <v>20</v>
      </c>
      <c r="D5204" t="s">
        <v>6461</v>
      </c>
      <c r="E5204">
        <v>2790</v>
      </c>
    </row>
    <row r="5205" spans="1:5">
      <c r="A5205" s="1">
        <v>46027</v>
      </c>
      <c r="B5205" t="s">
        <v>35</v>
      </c>
      <c r="C5205" t="s">
        <v>20</v>
      </c>
      <c r="D5205" t="s">
        <v>6462</v>
      </c>
      <c r="E5205">
        <v>65</v>
      </c>
    </row>
    <row r="5206" spans="1:5">
      <c r="A5206" s="1">
        <v>46028</v>
      </c>
      <c r="B5206" t="s">
        <v>6440</v>
      </c>
      <c r="C5206" t="s">
        <v>19</v>
      </c>
      <c r="D5206" t="s">
        <v>6463</v>
      </c>
      <c r="E5206">
        <v>6400</v>
      </c>
    </row>
    <row r="5207" spans="1:5">
      <c r="A5207" s="1">
        <v>46028</v>
      </c>
      <c r="B5207" t="s">
        <v>6440</v>
      </c>
      <c r="C5207" t="s">
        <v>19</v>
      </c>
      <c r="D5207" t="s">
        <v>6464</v>
      </c>
      <c r="E5207">
        <v>1196</v>
      </c>
    </row>
    <row r="5208" spans="1:5">
      <c r="A5208" s="1">
        <v>46028</v>
      </c>
      <c r="B5208" t="s">
        <v>1901</v>
      </c>
      <c r="C5208" t="s">
        <v>19</v>
      </c>
      <c r="D5208" t="s">
        <v>6465</v>
      </c>
      <c r="E5208">
        <v>620</v>
      </c>
    </row>
    <row r="5209" spans="1:5">
      <c r="A5209" s="1">
        <v>46028</v>
      </c>
      <c r="B5209" t="s">
        <v>6278</v>
      </c>
      <c r="C5209" t="s">
        <v>20</v>
      </c>
      <c r="D5209" t="s">
        <v>6466</v>
      </c>
      <c r="E5209">
        <v>49520</v>
      </c>
    </row>
    <row r="5210" spans="1:5">
      <c r="A5210" s="1">
        <v>46028</v>
      </c>
      <c r="B5210" t="s">
        <v>4144</v>
      </c>
      <c r="C5210" t="s">
        <v>20</v>
      </c>
      <c r="D5210" t="s">
        <v>6467</v>
      </c>
      <c r="E5210">
        <v>12525</v>
      </c>
    </row>
    <row r="5211" spans="1:5">
      <c r="A5211" s="1">
        <v>46028</v>
      </c>
      <c r="B5211" t="s">
        <v>6142</v>
      </c>
      <c r="C5211" t="s">
        <v>20</v>
      </c>
      <c r="D5211" t="s">
        <v>6468</v>
      </c>
      <c r="E5211">
        <v>19533</v>
      </c>
    </row>
    <row r="5212" spans="1:5">
      <c r="A5212" s="1">
        <v>46028</v>
      </c>
      <c r="B5212" t="s">
        <v>817</v>
      </c>
      <c r="C5212" t="s">
        <v>20</v>
      </c>
      <c r="D5212" t="s">
        <v>6469</v>
      </c>
      <c r="E5212">
        <v>15500</v>
      </c>
    </row>
    <row r="5213" spans="1:5">
      <c r="A5213" s="1">
        <v>46028</v>
      </c>
      <c r="B5213" t="s">
        <v>835</v>
      </c>
      <c r="C5213" t="s">
        <v>20</v>
      </c>
      <c r="D5213" t="s">
        <v>6470</v>
      </c>
      <c r="E5213">
        <v>22795</v>
      </c>
    </row>
    <row r="5214" spans="1:5">
      <c r="A5214" s="1">
        <v>46028</v>
      </c>
      <c r="B5214" t="s">
        <v>135</v>
      </c>
      <c r="C5214" t="s">
        <v>20</v>
      </c>
      <c r="D5214" t="s">
        <v>6471</v>
      </c>
      <c r="E5214">
        <v>562</v>
      </c>
    </row>
    <row r="5215" spans="1:5">
      <c r="A5215" s="1">
        <v>46028</v>
      </c>
      <c r="B5215" t="s">
        <v>1350</v>
      </c>
      <c r="C5215" t="s">
        <v>20</v>
      </c>
      <c r="D5215" t="s">
        <v>6472</v>
      </c>
      <c r="E5215">
        <v>375</v>
      </c>
    </row>
    <row r="5216" spans="1:5">
      <c r="A5216" s="1">
        <v>46028</v>
      </c>
      <c r="B5216" t="s">
        <v>137</v>
      </c>
      <c r="C5216" t="s">
        <v>20</v>
      </c>
      <c r="D5216" t="s">
        <v>6473</v>
      </c>
      <c r="E5216">
        <v>120</v>
      </c>
    </row>
    <row r="5217" spans="1:5">
      <c r="A5217" s="1">
        <v>46028</v>
      </c>
      <c r="B5217" t="s">
        <v>1179</v>
      </c>
      <c r="C5217" t="s">
        <v>20</v>
      </c>
      <c r="D5217" t="s">
        <v>6474</v>
      </c>
      <c r="E5217">
        <v>28725</v>
      </c>
    </row>
    <row r="5218" spans="1:5">
      <c r="A5218" s="1">
        <v>46028</v>
      </c>
      <c r="B5218" t="s">
        <v>6348</v>
      </c>
      <c r="C5218" t="s">
        <v>20</v>
      </c>
      <c r="D5218" t="s">
        <v>6475</v>
      </c>
      <c r="E5218">
        <v>1240</v>
      </c>
    </row>
    <row r="5219" spans="1:5">
      <c r="A5219" s="1">
        <v>46029</v>
      </c>
      <c r="B5219" t="s">
        <v>2498</v>
      </c>
      <c r="C5219" t="s">
        <v>19</v>
      </c>
      <c r="D5219" t="s">
        <v>6476</v>
      </c>
      <c r="E5219">
        <v>255</v>
      </c>
    </row>
    <row r="5220" spans="1:5">
      <c r="A5220" s="1">
        <v>46029</v>
      </c>
      <c r="B5220" t="s">
        <v>2679</v>
      </c>
      <c r="C5220" t="s">
        <v>20</v>
      </c>
      <c r="D5220" t="s">
        <v>6477</v>
      </c>
      <c r="E5220">
        <v>3100</v>
      </c>
    </row>
    <row r="5221" spans="1:5">
      <c r="A5221" s="1">
        <v>46029</v>
      </c>
      <c r="B5221" t="s">
        <v>2679</v>
      </c>
      <c r="C5221" t="s">
        <v>20</v>
      </c>
      <c r="D5221" t="s">
        <v>6478</v>
      </c>
      <c r="E5221">
        <v>5670</v>
      </c>
    </row>
    <row r="5222" spans="1:5">
      <c r="A5222" s="1">
        <v>46029</v>
      </c>
      <c r="B5222" t="s">
        <v>1066</v>
      </c>
      <c r="C5222" t="s">
        <v>20</v>
      </c>
      <c r="D5222" t="s">
        <v>6479</v>
      </c>
      <c r="E5222">
        <v>5622</v>
      </c>
    </row>
    <row r="5223" spans="1:5">
      <c r="A5223" s="1">
        <v>46029</v>
      </c>
      <c r="B5223" t="s">
        <v>321</v>
      </c>
      <c r="C5223" t="s">
        <v>20</v>
      </c>
      <c r="D5223" t="s">
        <v>6480</v>
      </c>
      <c r="E5223">
        <v>4907</v>
      </c>
    </row>
    <row r="5224" spans="1:5">
      <c r="A5224" s="1">
        <v>46029</v>
      </c>
      <c r="B5224" t="s">
        <v>4144</v>
      </c>
      <c r="C5224" t="s">
        <v>20</v>
      </c>
      <c r="D5224" t="s">
        <v>6481</v>
      </c>
      <c r="E5224">
        <v>1354</v>
      </c>
    </row>
    <row r="5225" spans="1:5">
      <c r="A5225" s="1">
        <v>46029</v>
      </c>
      <c r="B5225" t="s">
        <v>1350</v>
      </c>
      <c r="C5225" t="s">
        <v>20</v>
      </c>
      <c r="D5225" t="s">
        <v>6482</v>
      </c>
      <c r="E5225">
        <v>23050</v>
      </c>
    </row>
    <row r="5226" spans="1:5">
      <c r="A5226" s="1">
        <v>46029</v>
      </c>
      <c r="B5226" t="s">
        <v>378</v>
      </c>
      <c r="C5226" t="s">
        <v>20</v>
      </c>
      <c r="D5226" t="s">
        <v>6483</v>
      </c>
      <c r="E5226">
        <v>310</v>
      </c>
    </row>
    <row r="5227" spans="1:5">
      <c r="A5227" s="1">
        <v>46029</v>
      </c>
      <c r="B5227" t="s">
        <v>1179</v>
      </c>
      <c r="C5227" t="s">
        <v>20</v>
      </c>
      <c r="D5227" t="s">
        <v>6484</v>
      </c>
      <c r="E5227">
        <v>6155</v>
      </c>
    </row>
    <row r="5228" spans="1:5">
      <c r="A5228" s="1">
        <v>46029</v>
      </c>
      <c r="B5228" t="s">
        <v>6485</v>
      </c>
      <c r="C5228" t="s">
        <v>20</v>
      </c>
      <c r="D5228" t="s">
        <v>6486</v>
      </c>
      <c r="E5228">
        <v>4143</v>
      </c>
    </row>
    <row r="5229" spans="1:5">
      <c r="A5229" s="1">
        <v>46029</v>
      </c>
      <c r="B5229" t="s">
        <v>6429</v>
      </c>
      <c r="C5229" t="s">
        <v>20</v>
      </c>
      <c r="D5229" t="s">
        <v>6487</v>
      </c>
      <c r="E5229">
        <v>26457</v>
      </c>
    </row>
    <row r="5230" spans="1:5">
      <c r="A5230" s="1">
        <v>46029</v>
      </c>
      <c r="B5230" t="s">
        <v>1644</v>
      </c>
      <c r="C5230" t="s">
        <v>20</v>
      </c>
      <c r="D5230" t="s">
        <v>6488</v>
      </c>
      <c r="E5230">
        <v>835</v>
      </c>
    </row>
    <row r="5231" spans="1:5">
      <c r="A5231" s="1">
        <v>46029</v>
      </c>
      <c r="B5231" t="s">
        <v>1075</v>
      </c>
      <c r="C5231" t="s">
        <v>20</v>
      </c>
      <c r="D5231" t="s">
        <v>6489</v>
      </c>
      <c r="E5231">
        <v>310</v>
      </c>
    </row>
    <row r="5232" spans="1:5">
      <c r="A5232" s="1">
        <v>46029</v>
      </c>
      <c r="B5232" t="s">
        <v>642</v>
      </c>
      <c r="C5232" t="s">
        <v>20</v>
      </c>
      <c r="D5232" t="s">
        <v>6490</v>
      </c>
      <c r="E5232">
        <v>4880</v>
      </c>
    </row>
    <row r="5233" spans="1:5">
      <c r="A5233" s="1">
        <v>46029</v>
      </c>
      <c r="B5233" t="s">
        <v>6491</v>
      </c>
      <c r="C5233" t="s">
        <v>20</v>
      </c>
      <c r="D5233" t="s">
        <v>6492</v>
      </c>
      <c r="E5233">
        <v>4824</v>
      </c>
    </row>
    <row r="5234" spans="1:5">
      <c r="A5234" s="1">
        <v>46029</v>
      </c>
      <c r="B5234" t="s">
        <v>3425</v>
      </c>
      <c r="C5234" t="s">
        <v>20</v>
      </c>
      <c r="D5234" t="s">
        <v>6493</v>
      </c>
      <c r="E5234">
        <v>1130</v>
      </c>
    </row>
    <row r="5235" spans="1:5">
      <c r="A5235" s="1">
        <v>46029</v>
      </c>
      <c r="B5235" t="s">
        <v>137</v>
      </c>
      <c r="C5235" t="s">
        <v>20</v>
      </c>
      <c r="D5235" t="s">
        <v>6494</v>
      </c>
      <c r="E5235">
        <v>320</v>
      </c>
    </row>
    <row r="5236" spans="1:5">
      <c r="A5236" s="1">
        <v>46030</v>
      </c>
      <c r="B5236" t="s">
        <v>96</v>
      </c>
      <c r="C5236" t="s">
        <v>19</v>
      </c>
      <c r="D5236" t="s">
        <v>6495</v>
      </c>
      <c r="E5236">
        <v>3394</v>
      </c>
    </row>
    <row r="5237" spans="1:5">
      <c r="A5237" s="1">
        <v>46030</v>
      </c>
      <c r="B5237" t="s">
        <v>1381</v>
      </c>
      <c r="C5237" t="s">
        <v>19</v>
      </c>
      <c r="D5237" t="s">
        <v>6496</v>
      </c>
      <c r="E5237">
        <v>34193</v>
      </c>
    </row>
    <row r="5238" spans="1:5">
      <c r="A5238" s="1">
        <v>46030</v>
      </c>
      <c r="B5238" t="s">
        <v>239</v>
      </c>
      <c r="C5238" t="s">
        <v>20</v>
      </c>
      <c r="D5238" t="s">
        <v>6497</v>
      </c>
      <c r="E5238">
        <v>4342</v>
      </c>
    </row>
    <row r="5239" spans="1:5">
      <c r="A5239" s="1">
        <v>46030</v>
      </c>
      <c r="B5239" t="s">
        <v>50</v>
      </c>
      <c r="C5239" t="s">
        <v>20</v>
      </c>
      <c r="D5239" t="s">
        <v>6498</v>
      </c>
      <c r="E5239">
        <v>310</v>
      </c>
    </row>
    <row r="5240" spans="1:5">
      <c r="A5240" s="1">
        <v>46030</v>
      </c>
      <c r="B5240" t="s">
        <v>50</v>
      </c>
      <c r="C5240" t="s">
        <v>20</v>
      </c>
      <c r="D5240" t="s">
        <v>6499</v>
      </c>
      <c r="E5240">
        <v>310</v>
      </c>
    </row>
    <row r="5241" spans="1:5">
      <c r="A5241" s="1">
        <v>46030</v>
      </c>
      <c r="B5241" t="s">
        <v>6278</v>
      </c>
      <c r="C5241" t="s">
        <v>20</v>
      </c>
      <c r="D5241" t="s">
        <v>6500</v>
      </c>
      <c r="E5241">
        <v>9656</v>
      </c>
    </row>
    <row r="5242" spans="1:5">
      <c r="A5242" s="1">
        <v>46030</v>
      </c>
      <c r="B5242" t="s">
        <v>50</v>
      </c>
      <c r="C5242" t="s">
        <v>20</v>
      </c>
      <c r="D5242" t="s">
        <v>6501</v>
      </c>
      <c r="E5242">
        <v>20</v>
      </c>
    </row>
    <row r="5243" spans="1:5">
      <c r="A5243" s="1">
        <v>46030</v>
      </c>
      <c r="B5243" t="s">
        <v>6502</v>
      </c>
      <c r="C5243" t="s">
        <v>20</v>
      </c>
      <c r="D5243" t="s">
        <v>6503</v>
      </c>
      <c r="E5243">
        <v>620</v>
      </c>
    </row>
    <row r="5244" spans="1:5">
      <c r="A5244" s="1">
        <v>46030</v>
      </c>
      <c r="B5244" t="s">
        <v>6000</v>
      </c>
      <c r="C5244" t="s">
        <v>20</v>
      </c>
      <c r="D5244" t="s">
        <v>6504</v>
      </c>
      <c r="E5244">
        <v>68</v>
      </c>
    </row>
    <row r="5245" spans="1:5">
      <c r="A5245" s="1">
        <v>46030</v>
      </c>
      <c r="B5245" t="s">
        <v>2444</v>
      </c>
      <c r="C5245" t="s">
        <v>20</v>
      </c>
      <c r="D5245" t="s">
        <v>6505</v>
      </c>
      <c r="E5245">
        <v>1904</v>
      </c>
    </row>
    <row r="5246" spans="1:5">
      <c r="A5246" s="1">
        <v>46030</v>
      </c>
      <c r="B5246" t="s">
        <v>802</v>
      </c>
      <c r="C5246" t="s">
        <v>20</v>
      </c>
      <c r="D5246" t="s">
        <v>6506</v>
      </c>
      <c r="E5246">
        <v>1048</v>
      </c>
    </row>
    <row r="5247" spans="1:5">
      <c r="A5247" s="1">
        <v>46030</v>
      </c>
      <c r="B5247" t="s">
        <v>4144</v>
      </c>
      <c r="C5247" t="s">
        <v>20</v>
      </c>
      <c r="D5247" t="s">
        <v>6507</v>
      </c>
      <c r="E5247">
        <v>310</v>
      </c>
    </row>
    <row r="5248" spans="1:5">
      <c r="A5248" s="1">
        <v>46030</v>
      </c>
      <c r="B5248" t="s">
        <v>135</v>
      </c>
      <c r="C5248" t="s">
        <v>20</v>
      </c>
      <c r="D5248" t="s">
        <v>6508</v>
      </c>
      <c r="E5248">
        <v>12730</v>
      </c>
    </row>
    <row r="5249" spans="1:5">
      <c r="A5249" s="1">
        <v>46030</v>
      </c>
      <c r="B5249" t="s">
        <v>6429</v>
      </c>
      <c r="C5249" t="s">
        <v>20</v>
      </c>
      <c r="D5249" t="s">
        <v>6509</v>
      </c>
      <c r="E5249">
        <v>1357</v>
      </c>
    </row>
    <row r="5250" spans="1:5">
      <c r="A5250" s="1">
        <v>46030</v>
      </c>
      <c r="B5250" t="s">
        <v>68</v>
      </c>
      <c r="C5250" t="s">
        <v>20</v>
      </c>
      <c r="D5250" t="s">
        <v>6510</v>
      </c>
      <c r="E5250">
        <v>6652</v>
      </c>
    </row>
    <row r="5251" spans="1:5">
      <c r="A5251" s="1">
        <v>46030</v>
      </c>
      <c r="B5251" t="s">
        <v>50</v>
      </c>
      <c r="C5251" t="s">
        <v>20</v>
      </c>
      <c r="D5251" t="s">
        <v>6511</v>
      </c>
      <c r="E5251">
        <v>1591</v>
      </c>
    </row>
    <row r="5252" spans="1:5">
      <c r="A5252" s="1">
        <v>46030</v>
      </c>
      <c r="B5252" t="s">
        <v>6512</v>
      </c>
      <c r="C5252" t="s">
        <v>20</v>
      </c>
      <c r="D5252" t="s">
        <v>6513</v>
      </c>
      <c r="E5252">
        <v>3100</v>
      </c>
    </row>
    <row r="5253" spans="1:5">
      <c r="A5253" s="1">
        <v>46030</v>
      </c>
      <c r="B5253" t="s">
        <v>5376</v>
      </c>
      <c r="C5253" t="s">
        <v>20</v>
      </c>
      <c r="D5253" t="s">
        <v>6514</v>
      </c>
      <c r="E5253">
        <v>9600</v>
      </c>
    </row>
    <row r="5254" spans="1:5">
      <c r="A5254" s="1">
        <v>46030</v>
      </c>
      <c r="B5254" t="s">
        <v>6426</v>
      </c>
      <c r="C5254" t="s">
        <v>20</v>
      </c>
      <c r="D5254" t="s">
        <v>6515</v>
      </c>
      <c r="E5254">
        <v>9058</v>
      </c>
    </row>
    <row r="5255" spans="1:5">
      <c r="A5255" s="1">
        <v>46030</v>
      </c>
      <c r="B5255" t="s">
        <v>81</v>
      </c>
      <c r="C5255" t="s">
        <v>20</v>
      </c>
      <c r="D5255" t="s">
        <v>6516</v>
      </c>
      <c r="E5255">
        <v>100</v>
      </c>
    </row>
    <row r="5256" spans="1:5">
      <c r="A5256" s="1">
        <v>46031</v>
      </c>
      <c r="B5256" t="s">
        <v>4833</v>
      </c>
      <c r="C5256" t="s">
        <v>19</v>
      </c>
      <c r="D5256" t="s">
        <v>6517</v>
      </c>
      <c r="E5256">
        <v>6400</v>
      </c>
    </row>
    <row r="5257" spans="1:5">
      <c r="A5257" s="1">
        <v>46031</v>
      </c>
      <c r="B5257" t="s">
        <v>4833</v>
      </c>
      <c r="C5257" t="s">
        <v>19</v>
      </c>
      <c r="D5257" t="s">
        <v>6518</v>
      </c>
      <c r="E5257">
        <v>2476</v>
      </c>
    </row>
    <row r="5258" spans="1:5">
      <c r="A5258" s="1">
        <v>46031</v>
      </c>
      <c r="B5258" t="s">
        <v>76</v>
      </c>
      <c r="C5258" t="s">
        <v>20</v>
      </c>
      <c r="D5258" t="s">
        <v>6519</v>
      </c>
      <c r="E5258">
        <v>10964</v>
      </c>
    </row>
    <row r="5259" spans="1:5">
      <c r="A5259" s="1">
        <v>46031</v>
      </c>
      <c r="B5259" t="s">
        <v>2649</v>
      </c>
      <c r="C5259" t="s">
        <v>20</v>
      </c>
      <c r="D5259" t="s">
        <v>6520</v>
      </c>
      <c r="E5259">
        <v>1330</v>
      </c>
    </row>
    <row r="5260" spans="1:5">
      <c r="A5260" s="1">
        <v>46031</v>
      </c>
      <c r="B5260" t="s">
        <v>6278</v>
      </c>
      <c r="C5260" t="s">
        <v>20</v>
      </c>
      <c r="D5260" t="s">
        <v>6521</v>
      </c>
      <c r="E5260">
        <v>248</v>
      </c>
    </row>
    <row r="5261" spans="1:5">
      <c r="A5261" s="1">
        <v>46031</v>
      </c>
      <c r="B5261" t="s">
        <v>43</v>
      </c>
      <c r="C5261" t="s">
        <v>20</v>
      </c>
      <c r="D5261" t="s">
        <v>6522</v>
      </c>
      <c r="E5261">
        <v>61152</v>
      </c>
    </row>
    <row r="5262" spans="1:5">
      <c r="A5262" s="1">
        <v>46031</v>
      </c>
      <c r="B5262" t="s">
        <v>6523</v>
      </c>
      <c r="C5262" t="s">
        <v>20</v>
      </c>
      <c r="D5262" t="s">
        <v>6524</v>
      </c>
      <c r="E5262">
        <v>252330</v>
      </c>
    </row>
    <row r="5263" spans="1:5">
      <c r="A5263" s="1">
        <v>46031</v>
      </c>
      <c r="B5263" t="s">
        <v>68</v>
      </c>
      <c r="C5263" t="s">
        <v>20</v>
      </c>
      <c r="D5263" t="s">
        <v>6525</v>
      </c>
      <c r="E5263">
        <v>3798</v>
      </c>
    </row>
    <row r="5264" spans="1:5">
      <c r="A5264" s="1">
        <v>46031</v>
      </c>
      <c r="B5264" t="s">
        <v>50</v>
      </c>
      <c r="C5264" t="s">
        <v>20</v>
      </c>
      <c r="D5264" t="s">
        <v>6526</v>
      </c>
      <c r="E5264">
        <v>20</v>
      </c>
    </row>
    <row r="5265" spans="1:5">
      <c r="A5265" s="1">
        <v>46031</v>
      </c>
      <c r="B5265" t="s">
        <v>802</v>
      </c>
      <c r="C5265" t="s">
        <v>20</v>
      </c>
      <c r="D5265" t="s">
        <v>6527</v>
      </c>
      <c r="E5265">
        <v>27825</v>
      </c>
    </row>
    <row r="5266" spans="1:5">
      <c r="A5266" s="1">
        <v>46031</v>
      </c>
      <c r="B5266" t="s">
        <v>526</v>
      </c>
      <c r="C5266" t="s">
        <v>20</v>
      </c>
      <c r="D5266" t="s">
        <v>6528</v>
      </c>
      <c r="E5266">
        <v>2018</v>
      </c>
    </row>
    <row r="5267" spans="1:5">
      <c r="A5267" s="1">
        <v>46031</v>
      </c>
      <c r="B5267" t="s">
        <v>231</v>
      </c>
      <c r="C5267" t="s">
        <v>20</v>
      </c>
      <c r="D5267" t="s">
        <v>6529</v>
      </c>
      <c r="E5267">
        <v>5782</v>
      </c>
    </row>
    <row r="5268" spans="1:5">
      <c r="A5268" s="1">
        <v>46031</v>
      </c>
      <c r="B5268" t="s">
        <v>802</v>
      </c>
      <c r="C5268" t="s">
        <v>20</v>
      </c>
      <c r="D5268" t="s">
        <v>6530</v>
      </c>
      <c r="E5268">
        <v>1735</v>
      </c>
    </row>
    <row r="5269" spans="1:5">
      <c r="A5269" s="1">
        <v>46031</v>
      </c>
      <c r="B5269" t="s">
        <v>6531</v>
      </c>
      <c r="C5269" t="s">
        <v>20</v>
      </c>
      <c r="D5269" t="s">
        <v>6532</v>
      </c>
      <c r="E5269">
        <v>6031</v>
      </c>
    </row>
    <row r="5270" spans="1:5">
      <c r="A5270" s="1">
        <v>46031</v>
      </c>
      <c r="B5270" t="s">
        <v>1350</v>
      </c>
      <c r="C5270" t="s">
        <v>20</v>
      </c>
      <c r="D5270" t="s">
        <v>6533</v>
      </c>
      <c r="E5270">
        <v>20628</v>
      </c>
    </row>
    <row r="5271" spans="1:5">
      <c r="A5271" s="1">
        <v>46031</v>
      </c>
      <c r="B5271" t="s">
        <v>2314</v>
      </c>
      <c r="C5271" t="s">
        <v>20</v>
      </c>
      <c r="D5271" t="s">
        <v>6534</v>
      </c>
      <c r="E5271">
        <v>6592</v>
      </c>
    </row>
    <row r="5272" spans="1:5">
      <c r="A5272" s="1">
        <v>46031</v>
      </c>
      <c r="B5272" t="s">
        <v>50</v>
      </c>
      <c r="C5272" t="s">
        <v>20</v>
      </c>
      <c r="D5272" t="s">
        <v>6535</v>
      </c>
      <c r="E5272">
        <v>11</v>
      </c>
    </row>
    <row r="5273" spans="1:5">
      <c r="A5273" s="1">
        <v>46031</v>
      </c>
      <c r="B5273" t="s">
        <v>6536</v>
      </c>
      <c r="C5273" t="s">
        <v>20</v>
      </c>
      <c r="D5273" t="s">
        <v>6537</v>
      </c>
      <c r="E5273">
        <v>33860</v>
      </c>
    </row>
    <row r="5274" spans="1:5">
      <c r="A5274" s="1">
        <v>46031</v>
      </c>
      <c r="B5274" t="s">
        <v>6538</v>
      </c>
      <c r="C5274" t="s">
        <v>20</v>
      </c>
      <c r="D5274" t="s">
        <v>6539</v>
      </c>
      <c r="E5274">
        <v>37460</v>
      </c>
    </row>
    <row r="5275" spans="1:5">
      <c r="A5275" s="1">
        <v>46031</v>
      </c>
      <c r="B5275" t="s">
        <v>68</v>
      </c>
      <c r="C5275" t="s">
        <v>20</v>
      </c>
      <c r="D5275" t="s">
        <v>6540</v>
      </c>
      <c r="E5275">
        <v>1230</v>
      </c>
    </row>
    <row r="5276" spans="1:5">
      <c r="A5276" s="1">
        <v>46031</v>
      </c>
      <c r="B5276" t="s">
        <v>254</v>
      </c>
      <c r="C5276" t="s">
        <v>20</v>
      </c>
      <c r="D5276" t="s">
        <v>6541</v>
      </c>
      <c r="E5276">
        <v>1600</v>
      </c>
    </row>
    <row r="5277" spans="1:5">
      <c r="A5277" s="1">
        <v>46031</v>
      </c>
      <c r="B5277" t="s">
        <v>68</v>
      </c>
      <c r="C5277" t="s">
        <v>20</v>
      </c>
      <c r="D5277" t="s">
        <v>6542</v>
      </c>
      <c r="E5277">
        <v>375</v>
      </c>
    </row>
    <row r="5278" spans="1:5">
      <c r="A5278" s="1">
        <v>46031</v>
      </c>
      <c r="B5278" t="s">
        <v>4144</v>
      </c>
      <c r="C5278" t="s">
        <v>20</v>
      </c>
      <c r="D5278" t="s">
        <v>6543</v>
      </c>
      <c r="E5278">
        <v>880</v>
      </c>
    </row>
    <row r="5279" spans="1:5">
      <c r="A5279" s="1">
        <v>46031</v>
      </c>
      <c r="B5279" t="s">
        <v>6426</v>
      </c>
      <c r="C5279" t="s">
        <v>20</v>
      </c>
      <c r="D5279" t="s">
        <v>6544</v>
      </c>
      <c r="E5279">
        <v>320</v>
      </c>
    </row>
    <row r="5280" spans="1:5">
      <c r="A5280" s="1">
        <v>46032</v>
      </c>
      <c r="B5280" t="s">
        <v>6440</v>
      </c>
      <c r="C5280" t="s">
        <v>19</v>
      </c>
      <c r="D5280" t="s">
        <v>6545</v>
      </c>
      <c r="E5280">
        <v>9600</v>
      </c>
    </row>
    <row r="5281" spans="1:5">
      <c r="A5281" s="1">
        <v>46032</v>
      </c>
      <c r="B5281" t="s">
        <v>6546</v>
      </c>
      <c r="C5281" t="s">
        <v>19</v>
      </c>
      <c r="D5281" t="s">
        <v>6547</v>
      </c>
      <c r="E5281">
        <v>6400</v>
      </c>
    </row>
    <row r="5282" spans="1:5">
      <c r="A5282" s="1">
        <v>46032</v>
      </c>
      <c r="B5282" t="s">
        <v>6440</v>
      </c>
      <c r="C5282" t="s">
        <v>19</v>
      </c>
      <c r="D5282" t="s">
        <v>6548</v>
      </c>
      <c r="E5282">
        <v>6400</v>
      </c>
    </row>
    <row r="5283" spans="1:5">
      <c r="A5283" s="1">
        <v>46032</v>
      </c>
      <c r="B5283" t="s">
        <v>4833</v>
      </c>
      <c r="C5283" t="s">
        <v>19</v>
      </c>
      <c r="D5283" t="s">
        <v>6549</v>
      </c>
      <c r="E5283">
        <v>320</v>
      </c>
    </row>
    <row r="5284" spans="1:5">
      <c r="A5284" s="1">
        <v>46032</v>
      </c>
      <c r="B5284" t="s">
        <v>2329</v>
      </c>
      <c r="C5284" t="s">
        <v>19</v>
      </c>
      <c r="D5284" t="s">
        <v>6550</v>
      </c>
      <c r="E5284">
        <v>44520</v>
      </c>
    </row>
    <row r="5285" spans="1:5">
      <c r="A5285" s="1">
        <v>46032</v>
      </c>
      <c r="B5285" t="s">
        <v>50</v>
      </c>
      <c r="C5285" t="s">
        <v>20</v>
      </c>
      <c r="D5285" t="s">
        <v>6551</v>
      </c>
      <c r="E5285">
        <v>320</v>
      </c>
    </row>
    <row r="5286" spans="1:5">
      <c r="A5286" s="1">
        <v>46032</v>
      </c>
      <c r="B5286" t="s">
        <v>254</v>
      </c>
      <c r="C5286" t="s">
        <v>20</v>
      </c>
      <c r="D5286" t="s">
        <v>6552</v>
      </c>
      <c r="E5286">
        <v>960</v>
      </c>
    </row>
    <row r="5287" spans="1:5">
      <c r="A5287" s="1">
        <v>46032</v>
      </c>
      <c r="B5287" t="s">
        <v>6553</v>
      </c>
      <c r="C5287" t="s">
        <v>20</v>
      </c>
      <c r="D5287" t="s">
        <v>6554</v>
      </c>
      <c r="E5287">
        <v>29134</v>
      </c>
    </row>
    <row r="5288" spans="1:5">
      <c r="A5288" s="1">
        <v>46032</v>
      </c>
      <c r="B5288" t="s">
        <v>4329</v>
      </c>
      <c r="C5288" t="s">
        <v>20</v>
      </c>
      <c r="D5288" t="s">
        <v>6555</v>
      </c>
      <c r="E5288">
        <v>200</v>
      </c>
    </row>
    <row r="5289" spans="1:5">
      <c r="A5289" s="1">
        <v>46032</v>
      </c>
      <c r="B5289" t="s">
        <v>6022</v>
      </c>
      <c r="C5289" t="s">
        <v>20</v>
      </c>
      <c r="D5289" t="s">
        <v>6556</v>
      </c>
      <c r="E5289">
        <v>1240</v>
      </c>
    </row>
    <row r="5290" spans="1:5">
      <c r="A5290" s="1">
        <v>46032</v>
      </c>
      <c r="B5290" t="s">
        <v>2399</v>
      </c>
      <c r="C5290" t="s">
        <v>20</v>
      </c>
      <c r="D5290" t="s">
        <v>6557</v>
      </c>
      <c r="E5290">
        <v>640</v>
      </c>
    </row>
    <row r="5291" spans="1:5">
      <c r="A5291" s="1">
        <v>46032</v>
      </c>
      <c r="B5291" t="s">
        <v>1179</v>
      </c>
      <c r="C5291" t="s">
        <v>20</v>
      </c>
      <c r="D5291" t="s">
        <v>6558</v>
      </c>
      <c r="E5291">
        <v>5610</v>
      </c>
    </row>
    <row r="5292" spans="1:5">
      <c r="A5292" s="1">
        <v>46032</v>
      </c>
      <c r="B5292" t="s">
        <v>188</v>
      </c>
      <c r="C5292" t="s">
        <v>20</v>
      </c>
      <c r="D5292" t="s">
        <v>6559</v>
      </c>
      <c r="E5292">
        <v>3835</v>
      </c>
    </row>
    <row r="5293" spans="1:5">
      <c r="A5293" s="1">
        <v>46032</v>
      </c>
      <c r="B5293" t="s">
        <v>2679</v>
      </c>
      <c r="C5293" t="s">
        <v>20</v>
      </c>
      <c r="D5293" t="s">
        <v>6560</v>
      </c>
      <c r="E5293">
        <v>2876</v>
      </c>
    </row>
    <row r="5294" spans="1:5">
      <c r="A5294" s="1">
        <v>46032</v>
      </c>
      <c r="B5294" t="s">
        <v>817</v>
      </c>
      <c r="C5294" t="s">
        <v>20</v>
      </c>
      <c r="D5294" t="s">
        <v>6561</v>
      </c>
      <c r="E5294">
        <v>6400</v>
      </c>
    </row>
    <row r="5295" spans="1:5">
      <c r="A5295" s="1">
        <v>46032</v>
      </c>
      <c r="B5295" t="s">
        <v>254</v>
      </c>
      <c r="C5295" t="s">
        <v>20</v>
      </c>
      <c r="D5295" t="s">
        <v>6562</v>
      </c>
      <c r="E5295">
        <v>960</v>
      </c>
    </row>
    <row r="5296" spans="1:5">
      <c r="A5296" s="1">
        <v>46032</v>
      </c>
      <c r="B5296" t="s">
        <v>802</v>
      </c>
      <c r="C5296" t="s">
        <v>20</v>
      </c>
      <c r="D5296" t="s">
        <v>6563</v>
      </c>
      <c r="E5296">
        <v>475</v>
      </c>
    </row>
    <row r="5297" spans="1:5">
      <c r="A5297" s="1">
        <v>46032</v>
      </c>
      <c r="B5297" t="s">
        <v>43</v>
      </c>
      <c r="C5297" t="s">
        <v>20</v>
      </c>
      <c r="D5297" t="s">
        <v>6564</v>
      </c>
      <c r="E5297">
        <v>2224</v>
      </c>
    </row>
    <row r="5298" spans="1:5">
      <c r="A5298" s="1">
        <v>46032</v>
      </c>
      <c r="B5298" t="s">
        <v>5941</v>
      </c>
      <c r="C5298" t="s">
        <v>20</v>
      </c>
      <c r="D5298" t="s">
        <v>6565</v>
      </c>
      <c r="E5298">
        <v>22475</v>
      </c>
    </row>
    <row r="5299" spans="1:5">
      <c r="A5299" s="1">
        <v>46032</v>
      </c>
      <c r="B5299" t="s">
        <v>1066</v>
      </c>
      <c r="C5299" t="s">
        <v>20</v>
      </c>
      <c r="D5299" t="s">
        <v>6566</v>
      </c>
      <c r="E5299">
        <v>3200</v>
      </c>
    </row>
    <row r="5300" spans="1:5">
      <c r="A5300" s="1">
        <v>46032</v>
      </c>
      <c r="B5300" t="s">
        <v>6567</v>
      </c>
      <c r="C5300" t="s">
        <v>20</v>
      </c>
      <c r="D5300" t="s">
        <v>6568</v>
      </c>
      <c r="E5300">
        <v>50</v>
      </c>
    </row>
    <row r="5301" spans="1:5">
      <c r="A5301" s="1">
        <v>46032</v>
      </c>
      <c r="B5301" t="s">
        <v>2288</v>
      </c>
      <c r="C5301" t="s">
        <v>20</v>
      </c>
      <c r="D5301" t="s">
        <v>6569</v>
      </c>
      <c r="E5301">
        <v>10085</v>
      </c>
    </row>
    <row r="5302" spans="1:5">
      <c r="A5302" s="1">
        <v>46032</v>
      </c>
      <c r="B5302" t="s">
        <v>50</v>
      </c>
      <c r="C5302" t="s">
        <v>20</v>
      </c>
      <c r="D5302" t="s">
        <v>6570</v>
      </c>
      <c r="E5302">
        <v>20</v>
      </c>
    </row>
    <row r="5303" spans="1:5">
      <c r="A5303" s="1">
        <v>46032</v>
      </c>
      <c r="B5303" t="s">
        <v>6426</v>
      </c>
      <c r="C5303" t="s">
        <v>20</v>
      </c>
      <c r="D5303" t="s">
        <v>6571</v>
      </c>
      <c r="E5303">
        <v>2880</v>
      </c>
    </row>
    <row r="5304" spans="1:5">
      <c r="A5304" s="1">
        <v>46032</v>
      </c>
      <c r="B5304" t="s">
        <v>1529</v>
      </c>
      <c r="C5304" t="s">
        <v>20</v>
      </c>
      <c r="D5304" t="s">
        <v>6572</v>
      </c>
      <c r="E5304">
        <v>751</v>
      </c>
    </row>
    <row r="5305" spans="1:5">
      <c r="A5305" s="1">
        <v>46032</v>
      </c>
      <c r="B5305" t="s">
        <v>2288</v>
      </c>
      <c r="C5305" t="s">
        <v>20</v>
      </c>
      <c r="D5305" t="s">
        <v>6573</v>
      </c>
      <c r="E5305">
        <v>3088</v>
      </c>
    </row>
    <row r="5306" spans="1:5">
      <c r="A5306" s="1">
        <v>46032</v>
      </c>
      <c r="B5306" t="s">
        <v>526</v>
      </c>
      <c r="C5306" t="s">
        <v>20</v>
      </c>
      <c r="D5306" t="s">
        <v>6574</v>
      </c>
      <c r="E5306">
        <v>6828</v>
      </c>
    </row>
    <row r="5307" spans="1:5">
      <c r="A5307" s="1">
        <v>46032</v>
      </c>
      <c r="B5307" t="s">
        <v>2649</v>
      </c>
      <c r="C5307" t="s">
        <v>20</v>
      </c>
      <c r="D5307" t="s">
        <v>6575</v>
      </c>
      <c r="E5307">
        <v>1330</v>
      </c>
    </row>
    <row r="5308" spans="1:5">
      <c r="A5308" s="1">
        <v>46032</v>
      </c>
      <c r="B5308" t="s">
        <v>1457</v>
      </c>
      <c r="C5308" t="s">
        <v>20</v>
      </c>
      <c r="D5308" t="s">
        <v>6576</v>
      </c>
      <c r="E5308">
        <v>603</v>
      </c>
    </row>
    <row r="5309" spans="1:5">
      <c r="A5309" s="1">
        <v>46032</v>
      </c>
      <c r="B5309" t="s">
        <v>932</v>
      </c>
      <c r="C5309" t="s">
        <v>20</v>
      </c>
      <c r="D5309" t="s">
        <v>6577</v>
      </c>
      <c r="E5309">
        <v>4875</v>
      </c>
    </row>
    <row r="5310" spans="1:5">
      <c r="A5310" s="1">
        <v>46032</v>
      </c>
      <c r="B5310" t="s">
        <v>6578</v>
      </c>
      <c r="C5310" t="s">
        <v>20</v>
      </c>
      <c r="D5310" t="s">
        <v>6579</v>
      </c>
      <c r="E5310">
        <v>24064</v>
      </c>
    </row>
    <row r="5311" spans="1:5">
      <c r="A5311" s="1">
        <v>46032</v>
      </c>
      <c r="B5311" t="s">
        <v>48</v>
      </c>
      <c r="C5311" t="s">
        <v>20</v>
      </c>
      <c r="D5311" t="s">
        <v>6580</v>
      </c>
      <c r="E5311">
        <v>92157</v>
      </c>
    </row>
    <row r="5312" spans="1:5">
      <c r="A5312" s="1">
        <v>46032</v>
      </c>
      <c r="B5312" t="s">
        <v>6581</v>
      </c>
      <c r="C5312" t="s">
        <v>20</v>
      </c>
      <c r="D5312" t="s">
        <v>6582</v>
      </c>
      <c r="E5312">
        <v>2981</v>
      </c>
    </row>
    <row r="5313" spans="1:5">
      <c r="A5313" s="1">
        <v>46034</v>
      </c>
      <c r="B5313" t="s">
        <v>1106</v>
      </c>
      <c r="C5313" t="s">
        <v>19</v>
      </c>
      <c r="D5313" t="s">
        <v>6583</v>
      </c>
      <c r="E5313">
        <v>9037</v>
      </c>
    </row>
    <row r="5314" spans="1:5">
      <c r="A5314" s="1">
        <v>46034</v>
      </c>
      <c r="B5314" t="s">
        <v>6440</v>
      </c>
      <c r="C5314" t="s">
        <v>19</v>
      </c>
      <c r="D5314" t="s">
        <v>6584</v>
      </c>
      <c r="E5314">
        <v>596</v>
      </c>
    </row>
    <row r="5315" spans="1:5">
      <c r="A5315" s="1">
        <v>46034</v>
      </c>
      <c r="B5315" t="s">
        <v>4669</v>
      </c>
      <c r="C5315" t="s">
        <v>19</v>
      </c>
      <c r="D5315" t="s">
        <v>6585</v>
      </c>
      <c r="E5315">
        <v>2970</v>
      </c>
    </row>
    <row r="5316" spans="1:5">
      <c r="A5316" s="1">
        <v>46034</v>
      </c>
      <c r="B5316" t="s">
        <v>56</v>
      </c>
      <c r="C5316" t="s">
        <v>19</v>
      </c>
      <c r="D5316" t="s">
        <v>6586</v>
      </c>
      <c r="E5316">
        <v>2577</v>
      </c>
    </row>
    <row r="5317" spans="1:5">
      <c r="A5317" s="1">
        <v>46034</v>
      </c>
      <c r="B5317" t="s">
        <v>5893</v>
      </c>
      <c r="C5317" t="s">
        <v>19</v>
      </c>
      <c r="D5317" t="s">
        <v>6587</v>
      </c>
      <c r="E5317">
        <v>5333</v>
      </c>
    </row>
    <row r="5318" spans="1:5">
      <c r="A5318" s="1">
        <v>46034</v>
      </c>
      <c r="B5318" t="s">
        <v>6588</v>
      </c>
      <c r="C5318" t="s">
        <v>19</v>
      </c>
      <c r="D5318" t="s">
        <v>6589</v>
      </c>
      <c r="E5318">
        <v>8723</v>
      </c>
    </row>
    <row r="5319" spans="1:5">
      <c r="A5319" s="1">
        <v>46034</v>
      </c>
      <c r="B5319" t="s">
        <v>222</v>
      </c>
      <c r="C5319" t="s">
        <v>20</v>
      </c>
      <c r="D5319" t="s">
        <v>6590</v>
      </c>
      <c r="E5319">
        <v>2240</v>
      </c>
    </row>
    <row r="5320" spans="1:5">
      <c r="A5320" s="1">
        <v>46034</v>
      </c>
      <c r="B5320" t="s">
        <v>254</v>
      </c>
      <c r="C5320" t="s">
        <v>20</v>
      </c>
      <c r="D5320" t="s">
        <v>6591</v>
      </c>
      <c r="E5320">
        <v>960</v>
      </c>
    </row>
    <row r="5321" spans="1:5">
      <c r="A5321" s="1">
        <v>46034</v>
      </c>
      <c r="B5321" t="s">
        <v>43</v>
      </c>
      <c r="C5321" t="s">
        <v>20</v>
      </c>
      <c r="D5321" t="s">
        <v>6592</v>
      </c>
      <c r="E5321">
        <v>12601</v>
      </c>
    </row>
    <row r="5322" spans="1:5">
      <c r="A5322" s="1">
        <v>46034</v>
      </c>
      <c r="B5322" t="s">
        <v>781</v>
      </c>
      <c r="C5322" t="s">
        <v>20</v>
      </c>
      <c r="D5322" t="s">
        <v>6593</v>
      </c>
      <c r="E5322">
        <v>640</v>
      </c>
    </row>
    <row r="5323" spans="1:5">
      <c r="A5323" s="1">
        <v>46034</v>
      </c>
      <c r="B5323" t="s">
        <v>2708</v>
      </c>
      <c r="C5323" t="s">
        <v>20</v>
      </c>
      <c r="D5323" t="s">
        <v>6594</v>
      </c>
      <c r="E5323">
        <v>9710</v>
      </c>
    </row>
    <row r="5324" spans="1:5">
      <c r="A5324" s="1">
        <v>46034</v>
      </c>
      <c r="B5324" t="s">
        <v>2634</v>
      </c>
      <c r="C5324" t="s">
        <v>20</v>
      </c>
      <c r="D5324" t="s">
        <v>6595</v>
      </c>
      <c r="E5324">
        <v>2560</v>
      </c>
    </row>
    <row r="5325" spans="1:5">
      <c r="A5325" s="1">
        <v>46034</v>
      </c>
      <c r="B5325" t="s">
        <v>802</v>
      </c>
      <c r="C5325" t="s">
        <v>20</v>
      </c>
      <c r="D5325" t="s">
        <v>6596</v>
      </c>
      <c r="E5325">
        <v>1160</v>
      </c>
    </row>
    <row r="5326" spans="1:5">
      <c r="A5326" s="1">
        <v>46034</v>
      </c>
      <c r="B5326" t="s">
        <v>1400</v>
      </c>
      <c r="C5326" t="s">
        <v>20</v>
      </c>
      <c r="D5326" t="s">
        <v>6597</v>
      </c>
      <c r="E5326">
        <v>140</v>
      </c>
    </row>
    <row r="5327" spans="1:5">
      <c r="A5327" s="1">
        <v>46034</v>
      </c>
      <c r="B5327" t="s">
        <v>6278</v>
      </c>
      <c r="C5327" t="s">
        <v>20</v>
      </c>
      <c r="D5327" t="s">
        <v>6598</v>
      </c>
      <c r="E5327">
        <v>57147</v>
      </c>
    </row>
    <row r="5328" spans="1:5">
      <c r="A5328" s="1">
        <v>46034</v>
      </c>
      <c r="B5328" t="s">
        <v>6599</v>
      </c>
      <c r="C5328" t="s">
        <v>20</v>
      </c>
      <c r="D5328" t="s">
        <v>6600</v>
      </c>
      <c r="E5328">
        <v>4487</v>
      </c>
    </row>
    <row r="5329" spans="1:5">
      <c r="A5329" s="1">
        <v>46034</v>
      </c>
      <c r="B5329" t="s">
        <v>5840</v>
      </c>
      <c r="C5329" t="s">
        <v>20</v>
      </c>
      <c r="D5329" t="s">
        <v>6601</v>
      </c>
      <c r="E5329">
        <v>965</v>
      </c>
    </row>
    <row r="5330" spans="1:5">
      <c r="A5330" s="1">
        <v>46034</v>
      </c>
      <c r="B5330" t="s">
        <v>570</v>
      </c>
      <c r="C5330" t="s">
        <v>20</v>
      </c>
      <c r="D5330" t="s">
        <v>6602</v>
      </c>
      <c r="E5330">
        <v>1181</v>
      </c>
    </row>
    <row r="5331" spans="1:5">
      <c r="A5331" s="1">
        <v>46034</v>
      </c>
      <c r="B5331" t="s">
        <v>6603</v>
      </c>
      <c r="C5331" t="s">
        <v>20</v>
      </c>
      <c r="D5331" t="s">
        <v>6604</v>
      </c>
      <c r="E5331">
        <v>73530</v>
      </c>
    </row>
    <row r="5332" spans="1:5">
      <c r="A5332" s="1">
        <v>46034</v>
      </c>
      <c r="B5332" t="s">
        <v>6605</v>
      </c>
      <c r="C5332" t="s">
        <v>20</v>
      </c>
      <c r="D5332" t="s">
        <v>6606</v>
      </c>
      <c r="E5332">
        <v>640</v>
      </c>
    </row>
    <row r="5333" spans="1:5">
      <c r="A5333" s="1">
        <v>46034</v>
      </c>
      <c r="B5333" t="s">
        <v>526</v>
      </c>
      <c r="C5333" t="s">
        <v>20</v>
      </c>
      <c r="D5333" t="s">
        <v>6607</v>
      </c>
      <c r="E5333">
        <v>8336</v>
      </c>
    </row>
    <row r="5334" spans="1:5">
      <c r="A5334" s="1">
        <v>46034</v>
      </c>
      <c r="B5334" t="s">
        <v>252</v>
      </c>
      <c r="C5334" t="s">
        <v>20</v>
      </c>
      <c r="D5334" t="s">
        <v>6608</v>
      </c>
      <c r="E5334">
        <v>1800</v>
      </c>
    </row>
    <row r="5335" spans="1:5">
      <c r="A5335" s="1">
        <v>46035</v>
      </c>
      <c r="B5335" t="s">
        <v>6609</v>
      </c>
      <c r="C5335" t="s">
        <v>19</v>
      </c>
      <c r="D5335" t="s">
        <v>6610</v>
      </c>
      <c r="E5335">
        <v>6260</v>
      </c>
    </row>
    <row r="5336" spans="1:5">
      <c r="A5336" s="1">
        <v>46035</v>
      </c>
      <c r="B5336" t="s">
        <v>216</v>
      </c>
      <c r="C5336" t="s">
        <v>19</v>
      </c>
      <c r="D5336" t="s">
        <v>6611</v>
      </c>
      <c r="E5336">
        <v>330</v>
      </c>
    </row>
    <row r="5337" spans="1:5">
      <c r="A5337" s="1">
        <v>46035</v>
      </c>
      <c r="B5337" t="s">
        <v>5398</v>
      </c>
      <c r="C5337" t="s">
        <v>19</v>
      </c>
      <c r="D5337" t="s">
        <v>6612</v>
      </c>
      <c r="E5337">
        <v>10672</v>
      </c>
    </row>
    <row r="5338" spans="1:5">
      <c r="A5338" s="1">
        <v>46035</v>
      </c>
      <c r="B5338" t="s">
        <v>6613</v>
      </c>
      <c r="C5338" t="s">
        <v>19</v>
      </c>
      <c r="D5338" t="s">
        <v>6614</v>
      </c>
      <c r="E5338">
        <v>32568</v>
      </c>
    </row>
    <row r="5339" spans="1:5">
      <c r="A5339" s="1">
        <v>46035</v>
      </c>
      <c r="B5339" t="s">
        <v>6615</v>
      </c>
      <c r="C5339" t="s">
        <v>20</v>
      </c>
      <c r="D5339" t="s">
        <v>6616</v>
      </c>
      <c r="E5339">
        <v>5520</v>
      </c>
    </row>
    <row r="5340" spans="1:5">
      <c r="A5340" s="1">
        <v>46035</v>
      </c>
      <c r="B5340" t="s">
        <v>4928</v>
      </c>
      <c r="C5340" t="s">
        <v>20</v>
      </c>
      <c r="D5340" t="s">
        <v>6617</v>
      </c>
      <c r="E5340">
        <v>640</v>
      </c>
    </row>
    <row r="5341" spans="1:5">
      <c r="A5341" s="1">
        <v>46035</v>
      </c>
      <c r="B5341" t="s">
        <v>107</v>
      </c>
      <c r="C5341" t="s">
        <v>20</v>
      </c>
      <c r="D5341" t="s">
        <v>6618</v>
      </c>
      <c r="E5341">
        <v>2064</v>
      </c>
    </row>
    <row r="5342" spans="1:5">
      <c r="A5342" s="1">
        <v>46035</v>
      </c>
      <c r="B5342" t="s">
        <v>222</v>
      </c>
      <c r="C5342" t="s">
        <v>20</v>
      </c>
      <c r="D5342" t="s">
        <v>6619</v>
      </c>
      <c r="E5342">
        <v>1280</v>
      </c>
    </row>
    <row r="5343" spans="1:5">
      <c r="A5343" s="1">
        <v>46035</v>
      </c>
      <c r="B5343" t="s">
        <v>35</v>
      </c>
      <c r="C5343" t="s">
        <v>20</v>
      </c>
      <c r="D5343" t="s">
        <v>6620</v>
      </c>
      <c r="E5343">
        <v>9004</v>
      </c>
    </row>
    <row r="5344" spans="1:5">
      <c r="A5344" s="1">
        <v>46035</v>
      </c>
      <c r="B5344" t="s">
        <v>5416</v>
      </c>
      <c r="C5344" t="s">
        <v>20</v>
      </c>
      <c r="D5344" t="s">
        <v>6621</v>
      </c>
      <c r="E5344">
        <v>8395</v>
      </c>
    </row>
    <row r="5345" spans="1:5">
      <c r="A5345" s="1">
        <v>46035</v>
      </c>
      <c r="B5345" t="s">
        <v>6622</v>
      </c>
      <c r="C5345" t="s">
        <v>20</v>
      </c>
      <c r="D5345" t="s">
        <v>6623</v>
      </c>
      <c r="E5345">
        <v>3100</v>
      </c>
    </row>
    <row r="5346" spans="1:5">
      <c r="A5346" s="1">
        <v>46035</v>
      </c>
      <c r="B5346" t="s">
        <v>6622</v>
      </c>
      <c r="C5346" t="s">
        <v>20</v>
      </c>
      <c r="D5346" t="s">
        <v>6624</v>
      </c>
      <c r="E5346">
        <v>100</v>
      </c>
    </row>
    <row r="5347" spans="1:5">
      <c r="A5347" s="1">
        <v>46035</v>
      </c>
      <c r="B5347" t="s">
        <v>254</v>
      </c>
      <c r="C5347" t="s">
        <v>20</v>
      </c>
      <c r="D5347" t="s">
        <v>6625</v>
      </c>
      <c r="E5347">
        <v>500</v>
      </c>
    </row>
    <row r="5348" spans="1:5">
      <c r="A5348" s="1">
        <v>46035</v>
      </c>
      <c r="B5348" t="s">
        <v>781</v>
      </c>
      <c r="C5348" t="s">
        <v>20</v>
      </c>
      <c r="D5348" t="s">
        <v>6626</v>
      </c>
      <c r="E5348">
        <v>640</v>
      </c>
    </row>
    <row r="5349" spans="1:5">
      <c r="A5349" s="1">
        <v>46035</v>
      </c>
      <c r="B5349" t="s">
        <v>6627</v>
      </c>
      <c r="C5349" t="s">
        <v>20</v>
      </c>
      <c r="D5349" t="s">
        <v>6628</v>
      </c>
      <c r="E5349">
        <v>5960</v>
      </c>
    </row>
    <row r="5350" spans="1:5">
      <c r="A5350" s="1">
        <v>46035</v>
      </c>
      <c r="B5350" t="s">
        <v>45</v>
      </c>
      <c r="C5350" t="s">
        <v>20</v>
      </c>
      <c r="D5350" t="s">
        <v>6629</v>
      </c>
      <c r="E5350">
        <v>1977</v>
      </c>
    </row>
    <row r="5351" spans="1:5">
      <c r="A5351" s="1">
        <v>46035</v>
      </c>
      <c r="B5351" t="s">
        <v>193</v>
      </c>
      <c r="C5351" t="s">
        <v>20</v>
      </c>
      <c r="D5351" t="s">
        <v>6630</v>
      </c>
      <c r="E5351">
        <v>4111</v>
      </c>
    </row>
    <row r="5352" spans="1:5">
      <c r="A5352" s="1">
        <v>46035</v>
      </c>
      <c r="B5352" t="s">
        <v>6455</v>
      </c>
      <c r="C5352" t="s">
        <v>20</v>
      </c>
      <c r="D5352" t="s">
        <v>6631</v>
      </c>
      <c r="E5352">
        <v>3682</v>
      </c>
    </row>
    <row r="5353" spans="1:5">
      <c r="A5353" s="1">
        <v>46035</v>
      </c>
      <c r="B5353" t="s">
        <v>6538</v>
      </c>
      <c r="C5353" t="s">
        <v>20</v>
      </c>
      <c r="D5353" t="s">
        <v>6632</v>
      </c>
      <c r="E5353">
        <v>696</v>
      </c>
    </row>
    <row r="5354" spans="1:5">
      <c r="A5354" s="1">
        <v>46035</v>
      </c>
      <c r="B5354" t="s">
        <v>1607</v>
      </c>
      <c r="C5354" t="s">
        <v>20</v>
      </c>
      <c r="D5354" t="s">
        <v>6633</v>
      </c>
      <c r="E5354">
        <v>50</v>
      </c>
    </row>
    <row r="5355" spans="1:5">
      <c r="A5355" s="1">
        <v>46035</v>
      </c>
      <c r="B5355" t="s">
        <v>6429</v>
      </c>
      <c r="C5355" t="s">
        <v>20</v>
      </c>
      <c r="D5355" t="s">
        <v>6634</v>
      </c>
      <c r="E5355">
        <v>32447</v>
      </c>
    </row>
    <row r="5356" spans="1:5">
      <c r="A5356" s="1">
        <v>46035</v>
      </c>
      <c r="B5356" t="s">
        <v>321</v>
      </c>
      <c r="C5356" t="s">
        <v>20</v>
      </c>
      <c r="D5356" t="s">
        <v>6635</v>
      </c>
      <c r="E5356">
        <v>11090</v>
      </c>
    </row>
    <row r="5357" spans="1:5">
      <c r="A5357" s="1">
        <v>46035</v>
      </c>
      <c r="B5357" t="s">
        <v>135</v>
      </c>
      <c r="C5357" t="s">
        <v>20</v>
      </c>
      <c r="D5357" t="s">
        <v>6636</v>
      </c>
      <c r="E5357">
        <v>960</v>
      </c>
    </row>
    <row r="5358" spans="1:5">
      <c r="A5358" s="1">
        <v>46035</v>
      </c>
      <c r="B5358" t="s">
        <v>107</v>
      </c>
      <c r="C5358" t="s">
        <v>20</v>
      </c>
      <c r="D5358" t="s">
        <v>6637</v>
      </c>
      <c r="E5358">
        <v>25960</v>
      </c>
    </row>
    <row r="5359" spans="1:5">
      <c r="A5359" s="1">
        <v>46035</v>
      </c>
      <c r="B5359" t="s">
        <v>6538</v>
      </c>
      <c r="C5359" t="s">
        <v>20</v>
      </c>
      <c r="D5359" t="s">
        <v>6638</v>
      </c>
      <c r="E5359">
        <v>27901</v>
      </c>
    </row>
    <row r="5360" spans="1:5">
      <c r="A5360" s="1">
        <v>46035</v>
      </c>
      <c r="B5360" t="s">
        <v>856</v>
      </c>
      <c r="C5360" t="s">
        <v>20</v>
      </c>
      <c r="D5360" t="s">
        <v>6639</v>
      </c>
      <c r="E5360">
        <v>7292</v>
      </c>
    </row>
    <row r="5361" spans="1:5">
      <c r="A5361" s="1">
        <v>46035</v>
      </c>
      <c r="B5361" t="s">
        <v>2314</v>
      </c>
      <c r="C5361" t="s">
        <v>20</v>
      </c>
      <c r="D5361" t="s">
        <v>6640</v>
      </c>
      <c r="E5361">
        <v>5895</v>
      </c>
    </row>
    <row r="5362" spans="1:5">
      <c r="A5362" s="1">
        <v>46035</v>
      </c>
      <c r="B5362" t="s">
        <v>50</v>
      </c>
      <c r="C5362" t="s">
        <v>20</v>
      </c>
      <c r="D5362" t="s">
        <v>6641</v>
      </c>
      <c r="E5362">
        <v>8</v>
      </c>
    </row>
    <row r="5363" spans="1:5">
      <c r="A5363" s="1">
        <v>46035</v>
      </c>
      <c r="B5363" t="s">
        <v>3414</v>
      </c>
      <c r="C5363" t="s">
        <v>20</v>
      </c>
      <c r="D5363" t="s">
        <v>6642</v>
      </c>
      <c r="E5363">
        <v>189</v>
      </c>
    </row>
    <row r="5364" spans="1:5">
      <c r="A5364" s="1">
        <v>46036</v>
      </c>
      <c r="B5364" t="s">
        <v>6440</v>
      </c>
      <c r="C5364" t="s">
        <v>19</v>
      </c>
      <c r="D5364" t="s">
        <v>6643</v>
      </c>
      <c r="E5364">
        <v>6282</v>
      </c>
    </row>
    <row r="5365" spans="1:5">
      <c r="A5365" s="1">
        <v>46036</v>
      </c>
      <c r="B5365" t="s">
        <v>6440</v>
      </c>
      <c r="C5365" t="s">
        <v>19</v>
      </c>
      <c r="D5365" t="s">
        <v>6644</v>
      </c>
      <c r="E5365">
        <v>215</v>
      </c>
    </row>
    <row r="5366" spans="1:5">
      <c r="A5366" s="1">
        <v>46036</v>
      </c>
      <c r="B5366" t="s">
        <v>180</v>
      </c>
      <c r="C5366" t="s">
        <v>19</v>
      </c>
      <c r="D5366" t="s">
        <v>6645</v>
      </c>
      <c r="E5366">
        <v>16000</v>
      </c>
    </row>
    <row r="5367" spans="1:5">
      <c r="A5367" s="1">
        <v>46036</v>
      </c>
      <c r="B5367" t="s">
        <v>1196</v>
      </c>
      <c r="C5367" t="s">
        <v>20</v>
      </c>
      <c r="D5367" t="s">
        <v>6646</v>
      </c>
      <c r="E5367">
        <v>320</v>
      </c>
    </row>
    <row r="5368" spans="1:5">
      <c r="A5368" s="1">
        <v>46036</v>
      </c>
      <c r="B5368" t="s">
        <v>89</v>
      </c>
      <c r="C5368" t="s">
        <v>20</v>
      </c>
      <c r="D5368" t="s">
        <v>6647</v>
      </c>
      <c r="E5368">
        <v>640</v>
      </c>
    </row>
    <row r="5369" spans="1:5">
      <c r="A5369" s="1">
        <v>46036</v>
      </c>
      <c r="B5369" t="s">
        <v>875</v>
      </c>
      <c r="C5369" t="s">
        <v>20</v>
      </c>
      <c r="D5369" t="s">
        <v>6648</v>
      </c>
      <c r="E5369">
        <v>6122</v>
      </c>
    </row>
    <row r="5370" spans="1:5">
      <c r="A5370" s="1">
        <v>46036</v>
      </c>
      <c r="B5370" t="s">
        <v>360</v>
      </c>
      <c r="C5370" t="s">
        <v>20</v>
      </c>
      <c r="D5370" t="s">
        <v>6649</v>
      </c>
      <c r="E5370">
        <v>330</v>
      </c>
    </row>
    <row r="5371" spans="1:5">
      <c r="A5371" s="1">
        <v>46036</v>
      </c>
      <c r="B5371" t="s">
        <v>526</v>
      </c>
      <c r="C5371" t="s">
        <v>20</v>
      </c>
      <c r="D5371" t="s">
        <v>6650</v>
      </c>
      <c r="E5371">
        <v>90</v>
      </c>
    </row>
    <row r="5372" spans="1:5">
      <c r="A5372" s="1">
        <v>46036</v>
      </c>
      <c r="B5372" t="s">
        <v>321</v>
      </c>
      <c r="C5372" t="s">
        <v>20</v>
      </c>
      <c r="D5372" t="s">
        <v>6651</v>
      </c>
      <c r="E5372">
        <v>1523</v>
      </c>
    </row>
    <row r="5373" spans="1:5">
      <c r="A5373" s="1">
        <v>46036</v>
      </c>
      <c r="B5373" t="s">
        <v>844</v>
      </c>
      <c r="C5373" t="s">
        <v>20</v>
      </c>
      <c r="D5373" t="s">
        <v>6652</v>
      </c>
      <c r="E5373">
        <v>943</v>
      </c>
    </row>
    <row r="5374" spans="1:5">
      <c r="A5374" s="1">
        <v>46036</v>
      </c>
      <c r="B5374" t="s">
        <v>2412</v>
      </c>
      <c r="C5374" t="s">
        <v>20</v>
      </c>
      <c r="D5374" t="s">
        <v>6653</v>
      </c>
      <c r="E5374">
        <v>660</v>
      </c>
    </row>
    <row r="5375" spans="1:5">
      <c r="A5375" s="1">
        <v>46036</v>
      </c>
      <c r="B5375" t="s">
        <v>802</v>
      </c>
      <c r="C5375" t="s">
        <v>20</v>
      </c>
      <c r="D5375" t="s">
        <v>6654</v>
      </c>
      <c r="E5375">
        <v>387</v>
      </c>
    </row>
    <row r="5376" spans="1:5">
      <c r="A5376" s="1">
        <v>46036</v>
      </c>
      <c r="B5376" t="s">
        <v>763</v>
      </c>
      <c r="C5376" t="s">
        <v>20</v>
      </c>
      <c r="D5376" t="s">
        <v>6655</v>
      </c>
      <c r="E5376">
        <v>4825</v>
      </c>
    </row>
    <row r="5377" spans="1:5">
      <c r="A5377" s="1">
        <v>46036</v>
      </c>
      <c r="B5377" t="s">
        <v>252</v>
      </c>
      <c r="C5377" t="s">
        <v>20</v>
      </c>
      <c r="D5377" t="s">
        <v>6656</v>
      </c>
      <c r="E5377">
        <v>7066</v>
      </c>
    </row>
    <row r="5378" spans="1:5">
      <c r="A5378" s="1">
        <v>46036</v>
      </c>
      <c r="B5378" t="s">
        <v>763</v>
      </c>
      <c r="C5378" t="s">
        <v>20</v>
      </c>
      <c r="D5378" t="s">
        <v>6657</v>
      </c>
      <c r="E5378">
        <v>1295</v>
      </c>
    </row>
    <row r="5379" spans="1:5">
      <c r="A5379" s="1">
        <v>46036</v>
      </c>
      <c r="B5379" t="s">
        <v>6523</v>
      </c>
      <c r="C5379" t="s">
        <v>20</v>
      </c>
      <c r="D5379" t="s">
        <v>6658</v>
      </c>
      <c r="E5379">
        <v>170</v>
      </c>
    </row>
    <row r="5380" spans="1:5">
      <c r="A5380" s="1">
        <v>46036</v>
      </c>
      <c r="B5380" t="s">
        <v>5990</v>
      </c>
      <c r="C5380" t="s">
        <v>20</v>
      </c>
      <c r="D5380" t="s">
        <v>6659</v>
      </c>
      <c r="E5380">
        <v>286</v>
      </c>
    </row>
    <row r="5381" spans="1:5">
      <c r="A5381" s="1">
        <v>46036</v>
      </c>
      <c r="B5381" t="s">
        <v>6426</v>
      </c>
      <c r="C5381" t="s">
        <v>20</v>
      </c>
      <c r="D5381" t="s">
        <v>6660</v>
      </c>
      <c r="E5381">
        <v>12900</v>
      </c>
    </row>
    <row r="5382" spans="1:5">
      <c r="A5382" s="1">
        <v>46037</v>
      </c>
      <c r="B5382" t="s">
        <v>6661</v>
      </c>
      <c r="C5382" t="s">
        <v>19</v>
      </c>
      <c r="D5382" t="s">
        <v>6662</v>
      </c>
      <c r="E5382">
        <v>16195</v>
      </c>
    </row>
    <row r="5383" spans="1:5">
      <c r="A5383" s="1">
        <v>46037</v>
      </c>
      <c r="B5383" t="s">
        <v>6663</v>
      </c>
      <c r="C5383" t="s">
        <v>19</v>
      </c>
      <c r="D5383" t="s">
        <v>6664</v>
      </c>
      <c r="E5383">
        <v>6233</v>
      </c>
    </row>
    <row r="5384" spans="1:5">
      <c r="A5384" s="1">
        <v>46037</v>
      </c>
      <c r="B5384" t="s">
        <v>6609</v>
      </c>
      <c r="C5384" t="s">
        <v>19</v>
      </c>
      <c r="D5384" t="s">
        <v>6665</v>
      </c>
      <c r="E5384">
        <v>34730</v>
      </c>
    </row>
    <row r="5385" spans="1:5">
      <c r="A5385" s="1">
        <v>46037</v>
      </c>
      <c r="B5385" t="s">
        <v>6663</v>
      </c>
      <c r="C5385" t="s">
        <v>19</v>
      </c>
      <c r="D5385" t="s">
        <v>6666</v>
      </c>
      <c r="E5385">
        <v>13063</v>
      </c>
    </row>
    <row r="5386" spans="1:5">
      <c r="A5386" s="1">
        <v>46037</v>
      </c>
      <c r="B5386" t="s">
        <v>6663</v>
      </c>
      <c r="C5386" t="s">
        <v>19</v>
      </c>
      <c r="D5386" t="s">
        <v>6667</v>
      </c>
      <c r="E5386">
        <v>388</v>
      </c>
    </row>
    <row r="5387" spans="1:5">
      <c r="A5387" s="1">
        <v>46037</v>
      </c>
      <c r="B5387" t="s">
        <v>6668</v>
      </c>
      <c r="C5387" t="s">
        <v>20</v>
      </c>
      <c r="D5387" t="s">
        <v>6669</v>
      </c>
      <c r="E5387">
        <v>1280</v>
      </c>
    </row>
    <row r="5388" spans="1:5">
      <c r="A5388" s="1">
        <v>46037</v>
      </c>
      <c r="B5388" t="s">
        <v>6670</v>
      </c>
      <c r="C5388" t="s">
        <v>20</v>
      </c>
      <c r="D5388" t="s">
        <v>6671</v>
      </c>
      <c r="E5388">
        <v>22207</v>
      </c>
    </row>
    <row r="5389" spans="1:5">
      <c r="A5389" s="1">
        <v>46037</v>
      </c>
      <c r="B5389" t="s">
        <v>5840</v>
      </c>
      <c r="C5389" t="s">
        <v>20</v>
      </c>
      <c r="D5389" t="s">
        <v>6672</v>
      </c>
      <c r="E5389">
        <v>1000</v>
      </c>
    </row>
    <row r="5390" spans="1:5">
      <c r="A5390" s="1">
        <v>46037</v>
      </c>
      <c r="B5390" t="s">
        <v>254</v>
      </c>
      <c r="C5390" t="s">
        <v>20</v>
      </c>
      <c r="D5390" t="s">
        <v>6673</v>
      </c>
      <c r="E5390">
        <v>1280</v>
      </c>
    </row>
    <row r="5391" spans="1:5">
      <c r="A5391" s="1">
        <v>46037</v>
      </c>
      <c r="B5391" t="s">
        <v>321</v>
      </c>
      <c r="C5391" t="s">
        <v>20</v>
      </c>
      <c r="D5391" t="s">
        <v>6674</v>
      </c>
      <c r="E5391">
        <v>1133</v>
      </c>
    </row>
    <row r="5392" spans="1:5">
      <c r="A5392" s="1">
        <v>46037</v>
      </c>
      <c r="B5392" t="s">
        <v>50</v>
      </c>
      <c r="C5392" t="s">
        <v>20</v>
      </c>
      <c r="D5392" t="s">
        <v>6675</v>
      </c>
      <c r="E5392">
        <v>10</v>
      </c>
    </row>
    <row r="5393" spans="1:5">
      <c r="A5393" s="1">
        <v>46037</v>
      </c>
      <c r="B5393" t="s">
        <v>6278</v>
      </c>
      <c r="C5393" t="s">
        <v>20</v>
      </c>
      <c r="D5393" t="s">
        <v>6676</v>
      </c>
      <c r="E5393">
        <v>1618</v>
      </c>
    </row>
    <row r="5394" spans="1:5">
      <c r="A5394" s="1">
        <v>46037</v>
      </c>
      <c r="B5394" t="s">
        <v>756</v>
      </c>
      <c r="C5394" t="s">
        <v>20</v>
      </c>
      <c r="D5394" t="s">
        <v>6677</v>
      </c>
      <c r="E5394">
        <v>1783</v>
      </c>
    </row>
    <row r="5395" spans="1:5">
      <c r="A5395" s="1">
        <v>46037</v>
      </c>
      <c r="B5395" t="s">
        <v>5941</v>
      </c>
      <c r="C5395" t="s">
        <v>20</v>
      </c>
      <c r="D5395" t="s">
        <v>6678</v>
      </c>
      <c r="E5395">
        <v>4692</v>
      </c>
    </row>
    <row r="5396" spans="1:5">
      <c r="A5396" s="1">
        <v>46037</v>
      </c>
      <c r="B5396" t="s">
        <v>856</v>
      </c>
      <c r="C5396" t="s">
        <v>20</v>
      </c>
      <c r="D5396" t="s">
        <v>6679</v>
      </c>
      <c r="E5396">
        <v>11803</v>
      </c>
    </row>
    <row r="5397" spans="1:5">
      <c r="A5397" s="1">
        <v>46037</v>
      </c>
      <c r="B5397" t="s">
        <v>6538</v>
      </c>
      <c r="C5397" t="s">
        <v>20</v>
      </c>
      <c r="D5397" t="s">
        <v>6680</v>
      </c>
      <c r="E5397">
        <v>3063</v>
      </c>
    </row>
    <row r="5398" spans="1:5">
      <c r="A5398" s="1">
        <v>46037</v>
      </c>
      <c r="B5398" t="s">
        <v>254</v>
      </c>
      <c r="C5398" t="s">
        <v>20</v>
      </c>
      <c r="D5398" t="s">
        <v>6681</v>
      </c>
      <c r="E5398">
        <v>1280</v>
      </c>
    </row>
    <row r="5399" spans="1:5">
      <c r="A5399" s="1">
        <v>46037</v>
      </c>
      <c r="B5399" t="s">
        <v>35</v>
      </c>
      <c r="C5399" t="s">
        <v>20</v>
      </c>
      <c r="D5399" t="s">
        <v>6682</v>
      </c>
      <c r="E5399">
        <v>1864</v>
      </c>
    </row>
    <row r="5400" spans="1:5">
      <c r="A5400" s="1">
        <v>46037</v>
      </c>
      <c r="B5400" t="s">
        <v>135</v>
      </c>
      <c r="C5400" t="s">
        <v>20</v>
      </c>
      <c r="D5400" t="s">
        <v>6683</v>
      </c>
      <c r="E5400">
        <v>6840</v>
      </c>
    </row>
    <row r="5401" spans="1:5">
      <c r="A5401" s="1">
        <v>46037</v>
      </c>
      <c r="B5401" t="s">
        <v>6684</v>
      </c>
      <c r="C5401" t="s">
        <v>20</v>
      </c>
      <c r="D5401" t="s">
        <v>6685</v>
      </c>
      <c r="E5401">
        <v>4512</v>
      </c>
    </row>
    <row r="5402" spans="1:5">
      <c r="A5402" s="1">
        <v>46037</v>
      </c>
      <c r="B5402" t="s">
        <v>6686</v>
      </c>
      <c r="C5402" t="s">
        <v>20</v>
      </c>
      <c r="D5402" t="s">
        <v>6687</v>
      </c>
      <c r="E5402">
        <v>140</v>
      </c>
    </row>
    <row r="5403" spans="1:5">
      <c r="A5403" s="1">
        <v>46038</v>
      </c>
      <c r="B5403" t="s">
        <v>6609</v>
      </c>
      <c r="C5403" t="s">
        <v>19</v>
      </c>
      <c r="D5403" t="s">
        <v>6688</v>
      </c>
      <c r="E5403">
        <v>1795</v>
      </c>
    </row>
    <row r="5404" spans="1:5">
      <c r="A5404" s="1">
        <v>46038</v>
      </c>
      <c r="B5404" t="s">
        <v>6663</v>
      </c>
      <c r="C5404" t="s">
        <v>19</v>
      </c>
      <c r="D5404" t="s">
        <v>6689</v>
      </c>
      <c r="E5404">
        <v>480</v>
      </c>
    </row>
    <row r="5405" spans="1:5">
      <c r="A5405" s="1">
        <v>46038</v>
      </c>
      <c r="B5405" t="s">
        <v>6670</v>
      </c>
      <c r="C5405" t="s">
        <v>20</v>
      </c>
      <c r="D5405" t="s">
        <v>6690</v>
      </c>
      <c r="E5405">
        <v>6200</v>
      </c>
    </row>
    <row r="5406" spans="1:5">
      <c r="A5406" s="1">
        <v>46038</v>
      </c>
      <c r="B5406" t="s">
        <v>6615</v>
      </c>
      <c r="C5406" t="s">
        <v>20</v>
      </c>
      <c r="D5406" t="s">
        <v>6691</v>
      </c>
      <c r="E5406">
        <v>3061</v>
      </c>
    </row>
    <row r="5407" spans="1:5">
      <c r="A5407" s="1">
        <v>46038</v>
      </c>
      <c r="B5407" t="s">
        <v>5188</v>
      </c>
      <c r="C5407" t="s">
        <v>20</v>
      </c>
      <c r="D5407" t="s">
        <v>6692</v>
      </c>
      <c r="E5407">
        <v>108407</v>
      </c>
    </row>
    <row r="5408" spans="1:5">
      <c r="A5408" s="1">
        <v>46038</v>
      </c>
      <c r="B5408" t="s">
        <v>4928</v>
      </c>
      <c r="C5408" t="s">
        <v>20</v>
      </c>
      <c r="D5408" t="s">
        <v>6693</v>
      </c>
      <c r="E5408">
        <v>320</v>
      </c>
    </row>
    <row r="5409" spans="1:5">
      <c r="A5409" s="1">
        <v>46038</v>
      </c>
      <c r="B5409" t="s">
        <v>76</v>
      </c>
      <c r="C5409" t="s">
        <v>20</v>
      </c>
      <c r="D5409" t="s">
        <v>6694</v>
      </c>
      <c r="E5409">
        <v>711</v>
      </c>
    </row>
    <row r="5410" spans="1:5">
      <c r="A5410" s="1">
        <v>46038</v>
      </c>
      <c r="B5410" t="s">
        <v>6695</v>
      </c>
      <c r="C5410" t="s">
        <v>20</v>
      </c>
      <c r="D5410" t="s">
        <v>6696</v>
      </c>
      <c r="E5410">
        <v>9000</v>
      </c>
    </row>
    <row r="5411" spans="1:5">
      <c r="A5411" s="1">
        <v>46038</v>
      </c>
      <c r="B5411" t="s">
        <v>4144</v>
      </c>
      <c r="C5411" t="s">
        <v>20</v>
      </c>
      <c r="D5411" t="s">
        <v>6697</v>
      </c>
      <c r="E5411">
        <v>640</v>
      </c>
    </row>
    <row r="5412" spans="1:5">
      <c r="A5412" s="1">
        <v>46038</v>
      </c>
      <c r="B5412" t="s">
        <v>254</v>
      </c>
      <c r="C5412" t="s">
        <v>20</v>
      </c>
      <c r="D5412" t="s">
        <v>6698</v>
      </c>
      <c r="E5412">
        <v>320</v>
      </c>
    </row>
    <row r="5413" spans="1:5">
      <c r="A5413" s="1">
        <v>46038</v>
      </c>
      <c r="B5413" t="s">
        <v>6668</v>
      </c>
      <c r="C5413" t="s">
        <v>20</v>
      </c>
      <c r="D5413" t="s">
        <v>6699</v>
      </c>
      <c r="E5413">
        <v>620</v>
      </c>
    </row>
    <row r="5414" spans="1:5">
      <c r="A5414" s="1">
        <v>46038</v>
      </c>
      <c r="B5414" t="s">
        <v>76</v>
      </c>
      <c r="C5414" t="s">
        <v>20</v>
      </c>
      <c r="D5414" t="s">
        <v>6700</v>
      </c>
      <c r="E5414">
        <v>1513</v>
      </c>
    </row>
    <row r="5415" spans="1:5">
      <c r="A5415" s="1">
        <v>46038</v>
      </c>
      <c r="B5415" t="s">
        <v>526</v>
      </c>
      <c r="C5415" t="s">
        <v>20</v>
      </c>
      <c r="D5415" t="s">
        <v>6701</v>
      </c>
      <c r="E5415">
        <v>481</v>
      </c>
    </row>
    <row r="5416" spans="1:5">
      <c r="A5416" s="1">
        <v>46038</v>
      </c>
      <c r="B5416" t="s">
        <v>6702</v>
      </c>
      <c r="C5416" t="s">
        <v>20</v>
      </c>
      <c r="D5416" t="s">
        <v>6703</v>
      </c>
      <c r="E5416">
        <v>16543</v>
      </c>
    </row>
    <row r="5417" spans="1:5">
      <c r="A5417" s="1">
        <v>46038</v>
      </c>
      <c r="B5417" t="s">
        <v>76</v>
      </c>
      <c r="C5417" t="s">
        <v>20</v>
      </c>
      <c r="D5417" t="s">
        <v>6704</v>
      </c>
      <c r="E5417">
        <v>11275</v>
      </c>
    </row>
    <row r="5418" spans="1:5">
      <c r="A5418" s="1">
        <v>46038</v>
      </c>
      <c r="B5418" t="s">
        <v>360</v>
      </c>
      <c r="C5418" t="s">
        <v>20</v>
      </c>
      <c r="D5418" t="s">
        <v>6705</v>
      </c>
      <c r="E5418">
        <v>5720</v>
      </c>
    </row>
    <row r="5419" spans="1:5">
      <c r="A5419" s="1">
        <v>46038</v>
      </c>
      <c r="B5419" t="s">
        <v>854</v>
      </c>
      <c r="C5419" t="s">
        <v>20</v>
      </c>
      <c r="D5419" t="s">
        <v>6706</v>
      </c>
      <c r="E5419">
        <v>17783</v>
      </c>
    </row>
    <row r="5420" spans="1:5">
      <c r="A5420" s="1">
        <v>46038</v>
      </c>
      <c r="B5420" t="s">
        <v>6278</v>
      </c>
      <c r="C5420" t="s">
        <v>20</v>
      </c>
      <c r="D5420" t="s">
        <v>6707</v>
      </c>
      <c r="E5420">
        <v>1150</v>
      </c>
    </row>
    <row r="5421" spans="1:5">
      <c r="A5421" s="1">
        <v>46038</v>
      </c>
      <c r="B5421" t="s">
        <v>6708</v>
      </c>
      <c r="C5421" t="s">
        <v>20</v>
      </c>
      <c r="D5421" t="s">
        <v>6709</v>
      </c>
      <c r="E5421">
        <v>4103</v>
      </c>
    </row>
    <row r="5422" spans="1:5">
      <c r="A5422" s="1">
        <v>46038</v>
      </c>
      <c r="B5422" t="s">
        <v>135</v>
      </c>
      <c r="C5422" t="s">
        <v>20</v>
      </c>
      <c r="D5422" t="s">
        <v>6710</v>
      </c>
      <c r="E5422">
        <v>5713</v>
      </c>
    </row>
    <row r="5423" spans="1:5">
      <c r="A5423" s="1">
        <v>46038</v>
      </c>
      <c r="B5423" t="s">
        <v>6711</v>
      </c>
      <c r="C5423" t="s">
        <v>20</v>
      </c>
      <c r="D5423" t="s">
        <v>6712</v>
      </c>
      <c r="E5423">
        <v>320</v>
      </c>
    </row>
    <row r="5424" spans="1:5">
      <c r="A5424" s="1">
        <v>46038</v>
      </c>
      <c r="B5424" t="s">
        <v>6397</v>
      </c>
      <c r="C5424" t="s">
        <v>20</v>
      </c>
      <c r="D5424" t="s">
        <v>6713</v>
      </c>
      <c r="E5424">
        <v>1073</v>
      </c>
    </row>
    <row r="5425" spans="1:5">
      <c r="A5425" s="1">
        <v>46038</v>
      </c>
      <c r="B5425" t="s">
        <v>6714</v>
      </c>
      <c r="C5425" t="s">
        <v>20</v>
      </c>
      <c r="D5425" t="s">
        <v>6715</v>
      </c>
      <c r="E5425">
        <v>320</v>
      </c>
    </row>
    <row r="5426" spans="1:5">
      <c r="A5426" s="1">
        <v>46038</v>
      </c>
      <c r="B5426" t="s">
        <v>188</v>
      </c>
      <c r="C5426" t="s">
        <v>20</v>
      </c>
      <c r="D5426" t="s">
        <v>6716</v>
      </c>
      <c r="E5426">
        <v>4424</v>
      </c>
    </row>
    <row r="5427" spans="1:5">
      <c r="A5427" s="1">
        <v>46038</v>
      </c>
      <c r="B5427" t="s">
        <v>2233</v>
      </c>
      <c r="C5427" t="s">
        <v>20</v>
      </c>
      <c r="D5427" t="s">
        <v>6717</v>
      </c>
      <c r="E5427">
        <v>22646</v>
      </c>
    </row>
    <row r="5428" spans="1:5">
      <c r="A5428" s="1">
        <v>46038</v>
      </c>
      <c r="B5428" t="s">
        <v>6455</v>
      </c>
      <c r="C5428" t="s">
        <v>20</v>
      </c>
      <c r="D5428" t="s">
        <v>6718</v>
      </c>
      <c r="E5428">
        <v>1298</v>
      </c>
    </row>
    <row r="5429" spans="1:5">
      <c r="A5429" s="1">
        <v>46038</v>
      </c>
      <c r="B5429" t="s">
        <v>43</v>
      </c>
      <c r="C5429" t="s">
        <v>20</v>
      </c>
      <c r="D5429" t="s">
        <v>6719</v>
      </c>
      <c r="E5429">
        <v>93564</v>
      </c>
    </row>
    <row r="5430" spans="1:5">
      <c r="A5430" s="1">
        <v>46038</v>
      </c>
      <c r="B5430" t="s">
        <v>43</v>
      </c>
      <c r="C5430" t="s">
        <v>20</v>
      </c>
      <c r="D5430" t="s">
        <v>6720</v>
      </c>
      <c r="E5430">
        <v>270</v>
      </c>
    </row>
    <row r="5431" spans="1:5">
      <c r="A5431" s="1">
        <v>46038</v>
      </c>
      <c r="B5431" t="s">
        <v>76</v>
      </c>
      <c r="C5431" t="s">
        <v>20</v>
      </c>
      <c r="D5431" t="s">
        <v>6721</v>
      </c>
      <c r="E5431">
        <v>4004</v>
      </c>
    </row>
    <row r="5432" spans="1:5">
      <c r="A5432" s="1">
        <v>46038</v>
      </c>
      <c r="B5432" t="s">
        <v>68</v>
      </c>
      <c r="C5432" t="s">
        <v>20</v>
      </c>
      <c r="D5432" t="s">
        <v>6722</v>
      </c>
      <c r="E5432">
        <v>6667</v>
      </c>
    </row>
    <row r="5433" spans="1:5">
      <c r="A5433" s="1">
        <v>46038</v>
      </c>
      <c r="B5433" t="s">
        <v>2314</v>
      </c>
      <c r="C5433" t="s">
        <v>20</v>
      </c>
      <c r="D5433" t="s">
        <v>6723</v>
      </c>
      <c r="E5433">
        <v>1657</v>
      </c>
    </row>
    <row r="5434" spans="1:5">
      <c r="A5434" s="1">
        <v>46038</v>
      </c>
      <c r="B5434" t="s">
        <v>6278</v>
      </c>
      <c r="C5434" t="s">
        <v>20</v>
      </c>
      <c r="D5434" t="s">
        <v>6724</v>
      </c>
      <c r="E5434">
        <v>2319</v>
      </c>
    </row>
    <row r="5435" spans="1:5">
      <c r="A5435" s="1">
        <v>46038</v>
      </c>
      <c r="B5435" t="s">
        <v>2634</v>
      </c>
      <c r="C5435" t="s">
        <v>20</v>
      </c>
      <c r="D5435" t="s">
        <v>6725</v>
      </c>
      <c r="E5435">
        <v>2847</v>
      </c>
    </row>
    <row r="5436" spans="1:5">
      <c r="A5436" s="1">
        <v>46038</v>
      </c>
      <c r="B5436" t="s">
        <v>50</v>
      </c>
      <c r="C5436" t="s">
        <v>20</v>
      </c>
      <c r="D5436" t="s">
        <v>6726</v>
      </c>
      <c r="E5436">
        <v>18</v>
      </c>
    </row>
    <row r="5437" spans="1:5">
      <c r="A5437" s="1">
        <v>46039</v>
      </c>
      <c r="B5437" t="s">
        <v>6727</v>
      </c>
      <c r="C5437" t="s">
        <v>19</v>
      </c>
      <c r="D5437" t="s">
        <v>6728</v>
      </c>
      <c r="E5437">
        <v>1280</v>
      </c>
    </row>
    <row r="5438" spans="1:5">
      <c r="A5438" s="1">
        <v>46039</v>
      </c>
      <c r="B5438" t="s">
        <v>6661</v>
      </c>
      <c r="C5438" t="s">
        <v>19</v>
      </c>
      <c r="D5438" t="s">
        <v>6729</v>
      </c>
      <c r="E5438">
        <v>460</v>
      </c>
    </row>
    <row r="5439" spans="1:5">
      <c r="A5439" s="1">
        <v>46039</v>
      </c>
      <c r="B5439" t="s">
        <v>180</v>
      </c>
      <c r="C5439" t="s">
        <v>19</v>
      </c>
      <c r="D5439" t="s">
        <v>6730</v>
      </c>
      <c r="E5439">
        <v>32000</v>
      </c>
    </row>
    <row r="5440" spans="1:5">
      <c r="A5440" s="1">
        <v>46039</v>
      </c>
      <c r="B5440" t="s">
        <v>68</v>
      </c>
      <c r="C5440" t="s">
        <v>20</v>
      </c>
      <c r="D5440" t="s">
        <v>6731</v>
      </c>
      <c r="E5440">
        <v>300</v>
      </c>
    </row>
    <row r="5441" spans="1:5">
      <c r="A5441" s="1">
        <v>46039</v>
      </c>
      <c r="B5441" t="s">
        <v>875</v>
      </c>
      <c r="C5441" t="s">
        <v>20</v>
      </c>
      <c r="D5441" t="s">
        <v>6732</v>
      </c>
      <c r="E5441">
        <v>3336</v>
      </c>
    </row>
    <row r="5442" spans="1:5">
      <c r="A5442" s="1">
        <v>46039</v>
      </c>
      <c r="B5442" t="s">
        <v>370</v>
      </c>
      <c r="C5442" t="s">
        <v>20</v>
      </c>
      <c r="D5442" t="s">
        <v>6733</v>
      </c>
      <c r="E5442">
        <v>460</v>
      </c>
    </row>
    <row r="5443" spans="1:5">
      <c r="A5443" s="1">
        <v>46039</v>
      </c>
      <c r="B5443" t="s">
        <v>932</v>
      </c>
      <c r="C5443" t="s">
        <v>20</v>
      </c>
      <c r="D5443" t="s">
        <v>6734</v>
      </c>
      <c r="E5443">
        <v>6400</v>
      </c>
    </row>
    <row r="5444" spans="1:5">
      <c r="A5444" s="1">
        <v>46039</v>
      </c>
      <c r="B5444" t="s">
        <v>6735</v>
      </c>
      <c r="C5444" t="s">
        <v>20</v>
      </c>
      <c r="D5444" t="s">
        <v>6736</v>
      </c>
      <c r="E5444">
        <v>21433</v>
      </c>
    </row>
    <row r="5445" spans="1:5">
      <c r="A5445" s="1">
        <v>46039</v>
      </c>
      <c r="B5445" t="s">
        <v>43</v>
      </c>
      <c r="C5445" t="s">
        <v>20</v>
      </c>
      <c r="D5445" t="s">
        <v>6737</v>
      </c>
      <c r="E5445">
        <v>859</v>
      </c>
    </row>
    <row r="5446" spans="1:5">
      <c r="A5446" s="1">
        <v>46039</v>
      </c>
      <c r="B5446" t="s">
        <v>6702</v>
      </c>
      <c r="C5446" t="s">
        <v>20</v>
      </c>
      <c r="D5446" t="s">
        <v>6738</v>
      </c>
      <c r="E5446">
        <v>18790</v>
      </c>
    </row>
    <row r="5447" spans="1:5">
      <c r="A5447" s="1">
        <v>46039</v>
      </c>
      <c r="B5447" t="s">
        <v>6739</v>
      </c>
      <c r="C5447" t="s">
        <v>20</v>
      </c>
      <c r="D5447" t="s">
        <v>6740</v>
      </c>
      <c r="E5447">
        <v>866</v>
      </c>
    </row>
    <row r="5448" spans="1:5">
      <c r="A5448" s="1">
        <v>46039</v>
      </c>
      <c r="B5448" t="s">
        <v>137</v>
      </c>
      <c r="C5448" t="s">
        <v>20</v>
      </c>
      <c r="D5448" t="s">
        <v>6741</v>
      </c>
      <c r="E5448">
        <v>60</v>
      </c>
    </row>
    <row r="5449" spans="1:5">
      <c r="A5449" s="1">
        <v>46039</v>
      </c>
      <c r="B5449" t="s">
        <v>35</v>
      </c>
      <c r="C5449" t="s">
        <v>20</v>
      </c>
      <c r="D5449" t="s">
        <v>6742</v>
      </c>
      <c r="E5449">
        <v>2137</v>
      </c>
    </row>
    <row r="5450" spans="1:5">
      <c r="A5450" s="1">
        <v>46039</v>
      </c>
      <c r="B5450" t="s">
        <v>239</v>
      </c>
      <c r="C5450" t="s">
        <v>20</v>
      </c>
      <c r="D5450" t="s">
        <v>6743</v>
      </c>
      <c r="E5450">
        <v>2655</v>
      </c>
    </row>
    <row r="5451" spans="1:5">
      <c r="A5451" s="1">
        <v>46039</v>
      </c>
      <c r="B5451" t="s">
        <v>50</v>
      </c>
      <c r="C5451" t="s">
        <v>20</v>
      </c>
      <c r="D5451" t="s">
        <v>6744</v>
      </c>
      <c r="E5451">
        <v>20</v>
      </c>
    </row>
    <row r="5452" spans="1:5">
      <c r="A5452" s="1">
        <v>46039</v>
      </c>
      <c r="B5452" t="s">
        <v>844</v>
      </c>
      <c r="C5452" t="s">
        <v>20</v>
      </c>
      <c r="D5452" t="s">
        <v>6745</v>
      </c>
      <c r="E5452">
        <v>3150</v>
      </c>
    </row>
    <row r="5453" spans="1:5">
      <c r="A5453" s="1">
        <v>46039</v>
      </c>
      <c r="B5453" t="s">
        <v>6408</v>
      </c>
      <c r="C5453" t="s">
        <v>20</v>
      </c>
      <c r="D5453" t="s">
        <v>6746</v>
      </c>
      <c r="E5453">
        <v>1600</v>
      </c>
    </row>
    <row r="5454" spans="1:5">
      <c r="A5454" s="1">
        <v>46039</v>
      </c>
      <c r="B5454" t="s">
        <v>4695</v>
      </c>
      <c r="C5454" t="s">
        <v>20</v>
      </c>
      <c r="D5454" t="s">
        <v>6747</v>
      </c>
      <c r="E5454">
        <v>1834</v>
      </c>
    </row>
    <row r="5455" spans="1:5">
      <c r="A5455" s="1">
        <v>46039</v>
      </c>
      <c r="B5455" t="s">
        <v>6748</v>
      </c>
      <c r="C5455" t="s">
        <v>20</v>
      </c>
      <c r="D5455" t="s">
        <v>6749</v>
      </c>
      <c r="E5455">
        <v>1833</v>
      </c>
    </row>
    <row r="5456" spans="1:5">
      <c r="A5456" s="1">
        <v>46039</v>
      </c>
      <c r="B5456" t="s">
        <v>48</v>
      </c>
      <c r="C5456" t="s">
        <v>20</v>
      </c>
      <c r="D5456" t="s">
        <v>6750</v>
      </c>
      <c r="E5456">
        <v>28520</v>
      </c>
    </row>
    <row r="5457" spans="1:5">
      <c r="A5457" s="1">
        <v>46039</v>
      </c>
      <c r="B5457" t="s">
        <v>6211</v>
      </c>
      <c r="C5457" t="s">
        <v>20</v>
      </c>
      <c r="D5457" t="s">
        <v>6751</v>
      </c>
      <c r="E5457">
        <v>640</v>
      </c>
    </row>
    <row r="5458" spans="1:5">
      <c r="A5458" s="1">
        <v>46039</v>
      </c>
      <c r="B5458" t="s">
        <v>6702</v>
      </c>
      <c r="C5458" t="s">
        <v>20</v>
      </c>
      <c r="D5458" t="s">
        <v>6752</v>
      </c>
      <c r="E5458">
        <v>260</v>
      </c>
    </row>
    <row r="5459" spans="1:5">
      <c r="A5459" s="1">
        <v>46041</v>
      </c>
      <c r="B5459" t="s">
        <v>6753</v>
      </c>
      <c r="C5459" t="s">
        <v>19</v>
      </c>
      <c r="D5459" t="s">
        <v>6754</v>
      </c>
      <c r="E5459">
        <v>15500</v>
      </c>
    </row>
    <row r="5460" spans="1:5">
      <c r="A5460" s="1">
        <v>46041</v>
      </c>
      <c r="B5460" t="s">
        <v>2329</v>
      </c>
      <c r="C5460" t="s">
        <v>19</v>
      </c>
      <c r="D5460" t="s">
        <v>6755</v>
      </c>
      <c r="E5460">
        <v>30587</v>
      </c>
    </row>
    <row r="5461" spans="1:5" ht="43.5">
      <c r="A5461" s="1">
        <v>46041</v>
      </c>
      <c r="B5461" s="2" t="s">
        <v>6756</v>
      </c>
      <c r="C5461" t="s">
        <v>19</v>
      </c>
      <c r="D5461" t="s">
        <v>6757</v>
      </c>
      <c r="E5461">
        <v>6360</v>
      </c>
    </row>
    <row r="5462" spans="1:5">
      <c r="A5462" s="1">
        <v>46041</v>
      </c>
      <c r="B5462" t="s">
        <v>6753</v>
      </c>
      <c r="C5462" t="s">
        <v>19</v>
      </c>
      <c r="D5462" t="s">
        <v>6758</v>
      </c>
      <c r="E5462">
        <v>109342</v>
      </c>
    </row>
    <row r="5463" spans="1:5">
      <c r="A5463" s="1">
        <v>46041</v>
      </c>
      <c r="B5463" t="s">
        <v>2563</v>
      </c>
      <c r="C5463" t="s">
        <v>19</v>
      </c>
      <c r="D5463" t="s">
        <v>6759</v>
      </c>
      <c r="E5463">
        <v>3298</v>
      </c>
    </row>
    <row r="5464" spans="1:5">
      <c r="A5464" s="1">
        <v>46041</v>
      </c>
      <c r="B5464" t="s">
        <v>6760</v>
      </c>
      <c r="C5464" t="s">
        <v>19</v>
      </c>
      <c r="D5464" t="s">
        <v>6761</v>
      </c>
      <c r="E5464">
        <v>22186</v>
      </c>
    </row>
    <row r="5465" spans="1:5">
      <c r="A5465" s="1">
        <v>46041</v>
      </c>
      <c r="B5465" t="s">
        <v>96</v>
      </c>
      <c r="C5465" t="s">
        <v>19</v>
      </c>
      <c r="D5465" t="s">
        <v>6762</v>
      </c>
      <c r="E5465">
        <v>442</v>
      </c>
    </row>
    <row r="5466" spans="1:5">
      <c r="A5466" s="1">
        <v>46041</v>
      </c>
      <c r="B5466" t="s">
        <v>50</v>
      </c>
      <c r="C5466" t="s">
        <v>20</v>
      </c>
      <c r="D5466" t="s">
        <v>6763</v>
      </c>
      <c r="E5466">
        <v>30</v>
      </c>
    </row>
    <row r="5467" spans="1:5">
      <c r="A5467" s="1">
        <v>46041</v>
      </c>
      <c r="B5467" t="s">
        <v>76</v>
      </c>
      <c r="C5467" t="s">
        <v>20</v>
      </c>
      <c r="D5467" t="s">
        <v>6764</v>
      </c>
      <c r="E5467">
        <v>640</v>
      </c>
    </row>
    <row r="5468" spans="1:5">
      <c r="A5468" s="1">
        <v>46041</v>
      </c>
      <c r="B5468" t="s">
        <v>4050</v>
      </c>
      <c r="C5468" t="s">
        <v>20</v>
      </c>
      <c r="D5468" t="s">
        <v>6765</v>
      </c>
      <c r="E5468">
        <v>57526</v>
      </c>
    </row>
    <row r="5469" spans="1:5">
      <c r="A5469" s="1">
        <v>46041</v>
      </c>
      <c r="B5469" t="s">
        <v>763</v>
      </c>
      <c r="C5469" t="s">
        <v>20</v>
      </c>
      <c r="D5469" t="s">
        <v>6766</v>
      </c>
      <c r="E5469">
        <v>16002</v>
      </c>
    </row>
    <row r="5470" spans="1:5">
      <c r="A5470" s="1">
        <v>46041</v>
      </c>
      <c r="B5470" t="s">
        <v>50</v>
      </c>
      <c r="C5470" t="s">
        <v>20</v>
      </c>
      <c r="D5470" t="s">
        <v>6767</v>
      </c>
      <c r="E5470">
        <v>20</v>
      </c>
    </row>
    <row r="5471" spans="1:5">
      <c r="A5471" s="1">
        <v>46041</v>
      </c>
      <c r="B5471" t="s">
        <v>6768</v>
      </c>
      <c r="C5471" t="s">
        <v>20</v>
      </c>
      <c r="D5471" t="s">
        <v>6769</v>
      </c>
      <c r="E5471">
        <v>3016</v>
      </c>
    </row>
    <row r="5472" spans="1:5">
      <c r="A5472" s="1">
        <v>46041</v>
      </c>
      <c r="B5472" t="s">
        <v>6426</v>
      </c>
      <c r="C5472" t="s">
        <v>20</v>
      </c>
      <c r="D5472" t="s">
        <v>6770</v>
      </c>
      <c r="E5472">
        <v>1317</v>
      </c>
    </row>
    <row r="5473" spans="1:5">
      <c r="A5473" s="1">
        <v>46041</v>
      </c>
      <c r="B5473" t="s">
        <v>1075</v>
      </c>
      <c r="C5473" t="s">
        <v>20</v>
      </c>
      <c r="D5473" t="s">
        <v>6771</v>
      </c>
      <c r="E5473">
        <v>3100</v>
      </c>
    </row>
    <row r="5474" spans="1:5">
      <c r="A5474" s="1">
        <v>46041</v>
      </c>
      <c r="B5474" t="s">
        <v>1182</v>
      </c>
      <c r="C5474" t="s">
        <v>20</v>
      </c>
      <c r="D5474" t="s">
        <v>6772</v>
      </c>
      <c r="E5474">
        <v>48344</v>
      </c>
    </row>
    <row r="5475" spans="1:5">
      <c r="A5475" s="1">
        <v>46041</v>
      </c>
      <c r="B5475" t="s">
        <v>50</v>
      </c>
      <c r="C5475" t="s">
        <v>20</v>
      </c>
      <c r="D5475" t="s">
        <v>6773</v>
      </c>
      <c r="E5475">
        <v>20</v>
      </c>
    </row>
    <row r="5476" spans="1:5">
      <c r="A5476" s="1">
        <v>46041</v>
      </c>
      <c r="B5476" t="s">
        <v>48</v>
      </c>
      <c r="C5476" t="s">
        <v>20</v>
      </c>
      <c r="D5476" t="s">
        <v>6774</v>
      </c>
      <c r="E5476">
        <v>33102</v>
      </c>
    </row>
    <row r="5477" spans="1:5">
      <c r="A5477" s="1">
        <v>46041</v>
      </c>
      <c r="B5477" t="s">
        <v>6775</v>
      </c>
      <c r="C5477" t="s">
        <v>20</v>
      </c>
      <c r="D5477" t="s">
        <v>6776</v>
      </c>
      <c r="E5477">
        <v>30</v>
      </c>
    </row>
    <row r="5478" spans="1:5">
      <c r="A5478" s="1">
        <v>46041</v>
      </c>
      <c r="B5478" t="s">
        <v>50</v>
      </c>
      <c r="C5478" t="s">
        <v>20</v>
      </c>
      <c r="D5478" t="s">
        <v>6777</v>
      </c>
      <c r="E5478">
        <v>1650</v>
      </c>
    </row>
    <row r="5479" spans="1:5">
      <c r="A5479" s="1">
        <v>46041</v>
      </c>
      <c r="B5479" t="s">
        <v>50</v>
      </c>
      <c r="C5479" t="s">
        <v>20</v>
      </c>
      <c r="D5479" t="s">
        <v>6778</v>
      </c>
      <c r="E5479">
        <v>12</v>
      </c>
    </row>
    <row r="5480" spans="1:5">
      <c r="A5480" s="1">
        <v>46041</v>
      </c>
      <c r="B5480" t="s">
        <v>4329</v>
      </c>
      <c r="C5480" t="s">
        <v>20</v>
      </c>
      <c r="D5480" t="s">
        <v>6779</v>
      </c>
      <c r="E5480">
        <v>960</v>
      </c>
    </row>
    <row r="5481" spans="1:5">
      <c r="A5481" s="1">
        <v>46041</v>
      </c>
      <c r="B5481" t="s">
        <v>6780</v>
      </c>
      <c r="C5481" t="s">
        <v>20</v>
      </c>
      <c r="D5481" t="s">
        <v>6781</v>
      </c>
      <c r="E5481">
        <v>5883</v>
      </c>
    </row>
    <row r="5482" spans="1:5">
      <c r="A5482" s="1">
        <v>46041</v>
      </c>
      <c r="B5482" t="s">
        <v>50</v>
      </c>
      <c r="C5482" t="s">
        <v>20</v>
      </c>
      <c r="D5482" t="s">
        <v>6782</v>
      </c>
      <c r="E5482">
        <v>200</v>
      </c>
    </row>
    <row r="5483" spans="1:5">
      <c r="A5483" s="1">
        <v>46041</v>
      </c>
      <c r="B5483" t="s">
        <v>2679</v>
      </c>
      <c r="C5483" t="s">
        <v>20</v>
      </c>
      <c r="D5483" t="s">
        <v>6783</v>
      </c>
      <c r="E5483">
        <v>250</v>
      </c>
    </row>
    <row r="5484" spans="1:5">
      <c r="A5484" s="1">
        <v>46041</v>
      </c>
      <c r="B5484" t="s">
        <v>50</v>
      </c>
      <c r="C5484" t="s">
        <v>20</v>
      </c>
      <c r="D5484" t="s">
        <v>6784</v>
      </c>
      <c r="E5484">
        <v>320</v>
      </c>
    </row>
    <row r="5485" spans="1:5">
      <c r="A5485" s="1">
        <v>46041</v>
      </c>
      <c r="B5485" t="s">
        <v>6615</v>
      </c>
      <c r="C5485" t="s">
        <v>20</v>
      </c>
      <c r="D5485" t="s">
        <v>6785</v>
      </c>
      <c r="E5485">
        <v>2911</v>
      </c>
    </row>
    <row r="5486" spans="1:5">
      <c r="A5486" s="1">
        <v>46041</v>
      </c>
      <c r="B5486" t="s">
        <v>656</v>
      </c>
      <c r="C5486" t="s">
        <v>20</v>
      </c>
      <c r="D5486" t="s">
        <v>6786</v>
      </c>
      <c r="E5486">
        <v>10695</v>
      </c>
    </row>
    <row r="5487" spans="1:5">
      <c r="A5487" s="1">
        <v>46042</v>
      </c>
      <c r="B5487" t="s">
        <v>6546</v>
      </c>
      <c r="C5487" t="s">
        <v>19</v>
      </c>
      <c r="D5487" t="s">
        <v>6787</v>
      </c>
      <c r="E5487">
        <v>12048</v>
      </c>
    </row>
    <row r="5488" spans="1:5">
      <c r="A5488" s="1">
        <v>46042</v>
      </c>
      <c r="B5488" t="s">
        <v>4149</v>
      </c>
      <c r="C5488" t="s">
        <v>20</v>
      </c>
      <c r="D5488" t="s">
        <v>6788</v>
      </c>
      <c r="E5488">
        <v>4738</v>
      </c>
    </row>
    <row r="5489" spans="1:5">
      <c r="A5489" s="1">
        <v>46042</v>
      </c>
      <c r="B5489" t="s">
        <v>817</v>
      </c>
      <c r="C5489" t="s">
        <v>20</v>
      </c>
      <c r="D5489" t="s">
        <v>6789</v>
      </c>
      <c r="E5489">
        <v>8000</v>
      </c>
    </row>
    <row r="5490" spans="1:5">
      <c r="A5490" s="1">
        <v>46042</v>
      </c>
      <c r="B5490" t="s">
        <v>316</v>
      </c>
      <c r="C5490" t="s">
        <v>20</v>
      </c>
      <c r="D5490" t="s">
        <v>6790</v>
      </c>
      <c r="E5490">
        <v>365</v>
      </c>
    </row>
    <row r="5491" spans="1:5">
      <c r="A5491" s="1">
        <v>46042</v>
      </c>
      <c r="B5491" t="s">
        <v>360</v>
      </c>
      <c r="C5491" t="s">
        <v>20</v>
      </c>
      <c r="D5491" t="s">
        <v>6791</v>
      </c>
      <c r="E5491">
        <v>4032</v>
      </c>
    </row>
    <row r="5492" spans="1:5">
      <c r="A5492" s="1">
        <v>46042</v>
      </c>
      <c r="B5492" t="s">
        <v>43</v>
      </c>
      <c r="C5492" t="s">
        <v>20</v>
      </c>
      <c r="D5492" t="s">
        <v>6792</v>
      </c>
      <c r="E5492">
        <v>184</v>
      </c>
    </row>
    <row r="5493" spans="1:5">
      <c r="A5493" s="1">
        <v>46042</v>
      </c>
      <c r="B5493" t="s">
        <v>252</v>
      </c>
      <c r="C5493" t="s">
        <v>20</v>
      </c>
      <c r="D5493" t="s">
        <v>6793</v>
      </c>
      <c r="E5493">
        <v>2160</v>
      </c>
    </row>
    <row r="5494" spans="1:5">
      <c r="A5494" s="1">
        <v>46042</v>
      </c>
      <c r="B5494" t="s">
        <v>45</v>
      </c>
      <c r="C5494" t="s">
        <v>20</v>
      </c>
      <c r="D5494" t="s">
        <v>6794</v>
      </c>
      <c r="E5494">
        <v>1535</v>
      </c>
    </row>
    <row r="5495" spans="1:5">
      <c r="A5495" s="1">
        <v>46042</v>
      </c>
      <c r="B5495" t="s">
        <v>6795</v>
      </c>
      <c r="C5495" t="s">
        <v>20</v>
      </c>
      <c r="D5495" t="s">
        <v>6796</v>
      </c>
      <c r="E5495">
        <v>1020</v>
      </c>
    </row>
    <row r="5496" spans="1:5">
      <c r="A5496" s="1">
        <v>46042</v>
      </c>
      <c r="B5496" t="s">
        <v>844</v>
      </c>
      <c r="C5496" t="s">
        <v>20</v>
      </c>
      <c r="D5496" t="s">
        <v>6797</v>
      </c>
      <c r="E5496">
        <v>3200</v>
      </c>
    </row>
    <row r="5497" spans="1:5">
      <c r="A5497" s="1">
        <v>46042</v>
      </c>
      <c r="B5497" t="s">
        <v>756</v>
      </c>
      <c r="C5497" t="s">
        <v>20</v>
      </c>
      <c r="D5497" t="s">
        <v>6798</v>
      </c>
      <c r="E5497">
        <v>16383</v>
      </c>
    </row>
    <row r="5498" spans="1:5">
      <c r="A5498" s="1">
        <v>46042</v>
      </c>
      <c r="B5498" t="s">
        <v>35</v>
      </c>
      <c r="C5498" t="s">
        <v>20</v>
      </c>
      <c r="D5498" t="s">
        <v>6799</v>
      </c>
      <c r="E5498">
        <v>1457</v>
      </c>
    </row>
    <row r="5499" spans="1:5">
      <c r="A5499" s="1">
        <v>46042</v>
      </c>
      <c r="B5499" t="s">
        <v>50</v>
      </c>
      <c r="C5499" t="s">
        <v>20</v>
      </c>
      <c r="D5499" t="s">
        <v>6800</v>
      </c>
      <c r="E5499">
        <v>1100</v>
      </c>
    </row>
    <row r="5500" spans="1:5">
      <c r="A5500" s="1">
        <v>46042</v>
      </c>
      <c r="B5500" t="s">
        <v>254</v>
      </c>
      <c r="C5500" t="s">
        <v>20</v>
      </c>
      <c r="D5500" t="s">
        <v>6801</v>
      </c>
      <c r="E5500">
        <v>1280</v>
      </c>
    </row>
    <row r="5501" spans="1:5">
      <c r="A5501" s="1">
        <v>46043</v>
      </c>
      <c r="B5501" t="s">
        <v>586</v>
      </c>
      <c r="C5501" t="s">
        <v>19</v>
      </c>
      <c r="D5501" t="s">
        <v>6802</v>
      </c>
      <c r="E5501">
        <v>320</v>
      </c>
    </row>
    <row r="5502" spans="1:5">
      <c r="A5502" s="1">
        <v>46043</v>
      </c>
      <c r="B5502" t="s">
        <v>1216</v>
      </c>
      <c r="C5502" t="s">
        <v>20</v>
      </c>
      <c r="D5502" t="s">
        <v>6803</v>
      </c>
      <c r="E5502">
        <v>5580</v>
      </c>
    </row>
    <row r="5503" spans="1:5">
      <c r="A5503" s="1">
        <v>46043</v>
      </c>
      <c r="B5503" t="s">
        <v>87</v>
      </c>
      <c r="C5503" t="s">
        <v>20</v>
      </c>
      <c r="D5503" t="s">
        <v>6804</v>
      </c>
      <c r="E5503">
        <v>1600</v>
      </c>
    </row>
    <row r="5504" spans="1:5">
      <c r="A5504" s="1">
        <v>46043</v>
      </c>
      <c r="B5504" t="s">
        <v>50</v>
      </c>
      <c r="C5504" t="s">
        <v>20</v>
      </c>
      <c r="D5504" t="s">
        <v>6805</v>
      </c>
      <c r="E5504">
        <v>2680</v>
      </c>
    </row>
    <row r="5505" spans="1:5">
      <c r="A5505" s="1">
        <v>46043</v>
      </c>
      <c r="B5505" t="s">
        <v>222</v>
      </c>
      <c r="C5505" t="s">
        <v>20</v>
      </c>
      <c r="D5505" t="s">
        <v>6806</v>
      </c>
      <c r="E5505">
        <v>640</v>
      </c>
    </row>
    <row r="5506" spans="1:5">
      <c r="A5506" s="1">
        <v>46043</v>
      </c>
      <c r="B5506" t="s">
        <v>135</v>
      </c>
      <c r="C5506" t="s">
        <v>20</v>
      </c>
      <c r="D5506" t="s">
        <v>6807</v>
      </c>
      <c r="E5506">
        <v>94</v>
      </c>
    </row>
    <row r="5507" spans="1:5">
      <c r="A5507" s="1">
        <v>46043</v>
      </c>
      <c r="B5507" t="s">
        <v>6536</v>
      </c>
      <c r="C5507" t="s">
        <v>20</v>
      </c>
      <c r="D5507" t="s">
        <v>6808</v>
      </c>
      <c r="E5507">
        <v>16510</v>
      </c>
    </row>
    <row r="5508" spans="1:5">
      <c r="A5508" s="1">
        <v>46043</v>
      </c>
      <c r="B5508" t="s">
        <v>35</v>
      </c>
      <c r="C5508" t="s">
        <v>20</v>
      </c>
      <c r="D5508" t="s">
        <v>6809</v>
      </c>
      <c r="E5508">
        <v>4426</v>
      </c>
    </row>
    <row r="5509" spans="1:5">
      <c r="A5509" s="1">
        <v>46043</v>
      </c>
      <c r="B5509" t="s">
        <v>6780</v>
      </c>
      <c r="C5509" t="s">
        <v>20</v>
      </c>
      <c r="D5509" t="s">
        <v>6810</v>
      </c>
      <c r="E5509">
        <v>2840</v>
      </c>
    </row>
    <row r="5510" spans="1:5">
      <c r="A5510" s="1">
        <v>46043</v>
      </c>
      <c r="B5510" t="s">
        <v>50</v>
      </c>
      <c r="C5510" t="s">
        <v>20</v>
      </c>
      <c r="D5510" t="s">
        <v>6811</v>
      </c>
      <c r="E5510">
        <v>10</v>
      </c>
    </row>
    <row r="5511" spans="1:5">
      <c r="A5511" s="1">
        <v>46043</v>
      </c>
      <c r="B5511" t="s">
        <v>6603</v>
      </c>
      <c r="C5511" t="s">
        <v>20</v>
      </c>
      <c r="D5511" t="s">
        <v>6812</v>
      </c>
      <c r="E5511">
        <v>10700</v>
      </c>
    </row>
    <row r="5512" spans="1:5">
      <c r="A5512" s="1">
        <v>46043</v>
      </c>
      <c r="B5512" t="s">
        <v>6813</v>
      </c>
      <c r="C5512" t="s">
        <v>20</v>
      </c>
      <c r="D5512" t="s">
        <v>6814</v>
      </c>
      <c r="E5512">
        <v>1200</v>
      </c>
    </row>
    <row r="5513" spans="1:5">
      <c r="A5513" s="1">
        <v>46043</v>
      </c>
      <c r="B5513" t="s">
        <v>331</v>
      </c>
      <c r="C5513" t="s">
        <v>20</v>
      </c>
      <c r="D5513" t="s">
        <v>6815</v>
      </c>
      <c r="E5513">
        <v>92184</v>
      </c>
    </row>
    <row r="5514" spans="1:5">
      <c r="A5514" s="1">
        <v>46043</v>
      </c>
      <c r="B5514" t="s">
        <v>1394</v>
      </c>
      <c r="C5514" t="s">
        <v>20</v>
      </c>
      <c r="D5514" t="s">
        <v>6816</v>
      </c>
      <c r="E5514">
        <v>2095</v>
      </c>
    </row>
    <row r="5515" spans="1:5">
      <c r="A5515" s="1">
        <v>46043</v>
      </c>
      <c r="B5515" t="s">
        <v>754</v>
      </c>
      <c r="C5515" t="s">
        <v>20</v>
      </c>
      <c r="D5515" t="s">
        <v>6817</v>
      </c>
      <c r="E5515">
        <v>22760</v>
      </c>
    </row>
    <row r="5516" spans="1:5">
      <c r="A5516" s="1">
        <v>46043</v>
      </c>
      <c r="B5516" t="s">
        <v>6818</v>
      </c>
      <c r="C5516" t="s">
        <v>20</v>
      </c>
      <c r="D5516" t="s">
        <v>6819</v>
      </c>
      <c r="E5516">
        <v>110</v>
      </c>
    </row>
    <row r="5517" spans="1:5">
      <c r="A5517" s="1">
        <v>46043</v>
      </c>
      <c r="B5517" t="s">
        <v>601</v>
      </c>
      <c r="C5517" t="s">
        <v>20</v>
      </c>
      <c r="D5517" t="s">
        <v>6820</v>
      </c>
      <c r="E5517">
        <v>11564</v>
      </c>
    </row>
    <row r="5518" spans="1:5">
      <c r="A5518" s="1">
        <v>46043</v>
      </c>
      <c r="B5518" t="s">
        <v>763</v>
      </c>
      <c r="C5518" t="s">
        <v>20</v>
      </c>
      <c r="D5518" t="s">
        <v>6821</v>
      </c>
      <c r="E5518">
        <v>4306</v>
      </c>
    </row>
    <row r="5519" spans="1:5">
      <c r="A5519" s="1">
        <v>46043</v>
      </c>
      <c r="B5519" t="s">
        <v>6426</v>
      </c>
      <c r="C5519" t="s">
        <v>20</v>
      </c>
      <c r="D5519" t="s">
        <v>6822</v>
      </c>
      <c r="E5519">
        <v>960</v>
      </c>
    </row>
    <row r="5520" spans="1:5">
      <c r="A5520" s="1">
        <v>46043</v>
      </c>
      <c r="B5520" t="s">
        <v>1075</v>
      </c>
      <c r="C5520" t="s">
        <v>20</v>
      </c>
      <c r="D5520" t="s">
        <v>6823</v>
      </c>
      <c r="E5520">
        <v>4650</v>
      </c>
    </row>
    <row r="5521" spans="1:5">
      <c r="A5521" s="1">
        <v>46043</v>
      </c>
      <c r="B5521" t="s">
        <v>6824</v>
      </c>
      <c r="C5521" t="s">
        <v>20</v>
      </c>
      <c r="D5521" t="s">
        <v>6825</v>
      </c>
      <c r="E5521">
        <v>920</v>
      </c>
    </row>
    <row r="5522" spans="1:5">
      <c r="A5522" s="1">
        <v>46043</v>
      </c>
      <c r="B5522" t="s">
        <v>6278</v>
      </c>
      <c r="C5522" t="s">
        <v>20</v>
      </c>
      <c r="D5522" t="s">
        <v>6826</v>
      </c>
      <c r="E5522">
        <v>31105</v>
      </c>
    </row>
    <row r="5523" spans="1:5">
      <c r="A5523" s="1">
        <v>46043</v>
      </c>
      <c r="B5523" t="s">
        <v>2634</v>
      </c>
      <c r="C5523" t="s">
        <v>20</v>
      </c>
      <c r="D5523" t="s">
        <v>6827</v>
      </c>
      <c r="E5523">
        <v>1840</v>
      </c>
    </row>
    <row r="5524" spans="1:5">
      <c r="A5524" s="1">
        <v>46044</v>
      </c>
      <c r="B5524" t="s">
        <v>6828</v>
      </c>
      <c r="C5524" t="s">
        <v>19</v>
      </c>
      <c r="D5524" t="s">
        <v>6829</v>
      </c>
      <c r="E5524">
        <v>7532</v>
      </c>
    </row>
    <row r="5525" spans="1:5">
      <c r="A5525" s="1">
        <v>46044</v>
      </c>
      <c r="B5525" t="s">
        <v>6830</v>
      </c>
      <c r="C5525" t="s">
        <v>19</v>
      </c>
      <c r="D5525" t="s">
        <v>6831</v>
      </c>
      <c r="E5525">
        <v>1920</v>
      </c>
    </row>
    <row r="5526" spans="1:5">
      <c r="A5526" s="1">
        <v>46044</v>
      </c>
      <c r="B5526" t="s">
        <v>2498</v>
      </c>
      <c r="C5526" t="s">
        <v>19</v>
      </c>
      <c r="D5526" t="s">
        <v>6832</v>
      </c>
      <c r="E5526">
        <v>9600</v>
      </c>
    </row>
    <row r="5527" spans="1:5">
      <c r="A5527" s="1">
        <v>46044</v>
      </c>
      <c r="B5527" t="s">
        <v>6833</v>
      </c>
      <c r="C5527" t="s">
        <v>19</v>
      </c>
      <c r="D5527" t="s">
        <v>6834</v>
      </c>
      <c r="E5527">
        <v>10876</v>
      </c>
    </row>
    <row r="5528" spans="1:5">
      <c r="A5528" s="1">
        <v>46044</v>
      </c>
      <c r="B5528" t="s">
        <v>6833</v>
      </c>
      <c r="C5528" t="s">
        <v>19</v>
      </c>
      <c r="D5528" t="s">
        <v>6835</v>
      </c>
      <c r="E5528">
        <v>1513</v>
      </c>
    </row>
    <row r="5529" spans="1:5">
      <c r="A5529" s="1">
        <v>46044</v>
      </c>
      <c r="B5529" t="s">
        <v>6271</v>
      </c>
      <c r="C5529" t="s">
        <v>20</v>
      </c>
      <c r="D5529" t="s">
        <v>6836</v>
      </c>
      <c r="E5529">
        <v>640</v>
      </c>
    </row>
    <row r="5530" spans="1:5">
      <c r="A5530" s="1">
        <v>46044</v>
      </c>
      <c r="B5530" t="s">
        <v>197</v>
      </c>
      <c r="C5530" t="s">
        <v>20</v>
      </c>
      <c r="D5530" t="s">
        <v>6837</v>
      </c>
      <c r="E5530">
        <v>640</v>
      </c>
    </row>
    <row r="5531" spans="1:5">
      <c r="A5531" s="1">
        <v>46044</v>
      </c>
      <c r="B5531" t="s">
        <v>50</v>
      </c>
      <c r="C5531" t="s">
        <v>20</v>
      </c>
      <c r="D5531" t="s">
        <v>6838</v>
      </c>
      <c r="E5531">
        <v>640</v>
      </c>
    </row>
    <row r="5532" spans="1:5">
      <c r="A5532" s="1">
        <v>46044</v>
      </c>
      <c r="B5532" t="s">
        <v>50</v>
      </c>
      <c r="C5532" t="s">
        <v>20</v>
      </c>
      <c r="D5532" t="s">
        <v>6839</v>
      </c>
      <c r="E5532">
        <v>20</v>
      </c>
    </row>
    <row r="5533" spans="1:5">
      <c r="A5533" s="1">
        <v>46044</v>
      </c>
      <c r="B5533" t="s">
        <v>6840</v>
      </c>
      <c r="C5533" t="s">
        <v>20</v>
      </c>
      <c r="D5533" t="s">
        <v>6841</v>
      </c>
      <c r="E5533">
        <v>5200</v>
      </c>
    </row>
    <row r="5534" spans="1:5">
      <c r="A5534" s="1">
        <v>46044</v>
      </c>
      <c r="B5534" t="s">
        <v>360</v>
      </c>
      <c r="C5534" t="s">
        <v>20</v>
      </c>
      <c r="D5534" t="s">
        <v>6842</v>
      </c>
      <c r="E5534">
        <v>10585</v>
      </c>
    </row>
    <row r="5535" spans="1:5">
      <c r="A5535" s="1">
        <v>46044</v>
      </c>
      <c r="B5535" t="s">
        <v>4947</v>
      </c>
      <c r="C5535" t="s">
        <v>20</v>
      </c>
      <c r="D5535" t="s">
        <v>6843</v>
      </c>
      <c r="E5535">
        <v>1600</v>
      </c>
    </row>
    <row r="5536" spans="1:5">
      <c r="A5536" s="1">
        <v>46044</v>
      </c>
      <c r="B5536" t="s">
        <v>6844</v>
      </c>
      <c r="C5536" t="s">
        <v>20</v>
      </c>
      <c r="D5536" t="s">
        <v>6845</v>
      </c>
      <c r="E5536">
        <v>5503</v>
      </c>
    </row>
    <row r="5537" spans="1:5">
      <c r="A5537" s="1">
        <v>46044</v>
      </c>
      <c r="B5537" t="s">
        <v>6846</v>
      </c>
      <c r="C5537" t="s">
        <v>20</v>
      </c>
      <c r="D5537" t="s">
        <v>6847</v>
      </c>
      <c r="E5537">
        <v>100</v>
      </c>
    </row>
    <row r="5538" spans="1:5">
      <c r="A5538" s="1">
        <v>46044</v>
      </c>
      <c r="B5538" t="s">
        <v>6848</v>
      </c>
      <c r="C5538" t="s">
        <v>20</v>
      </c>
      <c r="D5538" t="s">
        <v>6849</v>
      </c>
      <c r="E5538">
        <v>8707</v>
      </c>
    </row>
    <row r="5539" spans="1:5">
      <c r="A5539" s="1">
        <v>46044</v>
      </c>
      <c r="B5539" t="s">
        <v>6848</v>
      </c>
      <c r="C5539" t="s">
        <v>20</v>
      </c>
      <c r="D5539" t="s">
        <v>6850</v>
      </c>
      <c r="E5539">
        <v>357</v>
      </c>
    </row>
    <row r="5540" spans="1:5">
      <c r="A5540" s="1">
        <v>46044</v>
      </c>
      <c r="B5540" t="s">
        <v>1182</v>
      </c>
      <c r="C5540" t="s">
        <v>20</v>
      </c>
      <c r="D5540" t="s">
        <v>6851</v>
      </c>
      <c r="E5540">
        <v>43790</v>
      </c>
    </row>
    <row r="5541" spans="1:5">
      <c r="A5541" s="1">
        <v>46044</v>
      </c>
      <c r="B5541" t="s">
        <v>6278</v>
      </c>
      <c r="C5541" t="s">
        <v>20</v>
      </c>
      <c r="D5541" t="s">
        <v>6852</v>
      </c>
      <c r="E5541">
        <v>9164</v>
      </c>
    </row>
    <row r="5542" spans="1:5">
      <c r="A5542" s="1">
        <v>46044</v>
      </c>
      <c r="B5542" t="s">
        <v>455</v>
      </c>
      <c r="C5542" t="s">
        <v>20</v>
      </c>
      <c r="D5542" t="s">
        <v>6853</v>
      </c>
      <c r="E5542">
        <v>78135</v>
      </c>
    </row>
    <row r="5543" spans="1:5">
      <c r="A5543" s="1">
        <v>46044</v>
      </c>
      <c r="B5543" t="s">
        <v>1135</v>
      </c>
      <c r="C5543" t="s">
        <v>20</v>
      </c>
      <c r="D5543" t="s">
        <v>6854</v>
      </c>
      <c r="E5543">
        <v>1600</v>
      </c>
    </row>
    <row r="5544" spans="1:5">
      <c r="A5544" s="1">
        <v>46044</v>
      </c>
      <c r="B5544" t="s">
        <v>763</v>
      </c>
      <c r="C5544" t="s">
        <v>20</v>
      </c>
      <c r="D5544" t="s">
        <v>6855</v>
      </c>
      <c r="E5544">
        <v>180</v>
      </c>
    </row>
    <row r="5545" spans="1:5">
      <c r="A5545" s="1">
        <v>46044</v>
      </c>
      <c r="B5545" t="s">
        <v>43</v>
      </c>
      <c r="C5545" t="s">
        <v>20</v>
      </c>
      <c r="D5545" t="s">
        <v>6856</v>
      </c>
      <c r="E5545">
        <v>1443</v>
      </c>
    </row>
    <row r="5546" spans="1:5">
      <c r="A5546" s="1">
        <v>46044</v>
      </c>
      <c r="B5546" t="s">
        <v>5100</v>
      </c>
      <c r="C5546" t="s">
        <v>20</v>
      </c>
      <c r="D5546" t="s">
        <v>6857</v>
      </c>
      <c r="E5546">
        <v>200</v>
      </c>
    </row>
    <row r="5547" spans="1:5">
      <c r="A5547" s="1">
        <v>46045</v>
      </c>
      <c r="B5547" t="s">
        <v>6753</v>
      </c>
      <c r="C5547" t="s">
        <v>19</v>
      </c>
      <c r="D5547" t="s">
        <v>6858</v>
      </c>
      <c r="E5547">
        <v>1335</v>
      </c>
    </row>
    <row r="5548" spans="1:5">
      <c r="A5548" s="1">
        <v>46045</v>
      </c>
      <c r="B5548" t="s">
        <v>6859</v>
      </c>
      <c r="C5548" t="s">
        <v>19</v>
      </c>
      <c r="D5548" t="s">
        <v>6860</v>
      </c>
      <c r="E5548">
        <v>10024</v>
      </c>
    </row>
    <row r="5549" spans="1:5">
      <c r="A5549" s="1">
        <v>46045</v>
      </c>
      <c r="B5549" t="s">
        <v>76</v>
      </c>
      <c r="C5549" t="s">
        <v>20</v>
      </c>
      <c r="D5549" t="s">
        <v>6861</v>
      </c>
      <c r="E5549">
        <v>1600</v>
      </c>
    </row>
    <row r="5550" spans="1:5">
      <c r="A5550" s="1">
        <v>46045</v>
      </c>
      <c r="B5550" t="s">
        <v>50</v>
      </c>
      <c r="C5550" t="s">
        <v>20</v>
      </c>
      <c r="D5550" t="s">
        <v>6862</v>
      </c>
      <c r="E5550">
        <v>320</v>
      </c>
    </row>
    <row r="5551" spans="1:5">
      <c r="A5551" s="1">
        <v>46045</v>
      </c>
      <c r="B5551" t="s">
        <v>50</v>
      </c>
      <c r="C5551" t="s">
        <v>20</v>
      </c>
      <c r="D5551" t="s">
        <v>6863</v>
      </c>
      <c r="E5551">
        <v>20</v>
      </c>
    </row>
    <row r="5552" spans="1:5">
      <c r="A5552" s="1">
        <v>46045</v>
      </c>
      <c r="B5552" t="s">
        <v>844</v>
      </c>
      <c r="C5552" t="s">
        <v>20</v>
      </c>
      <c r="D5552" t="s">
        <v>6864</v>
      </c>
      <c r="E5552">
        <v>6400</v>
      </c>
    </row>
    <row r="5553" spans="1:5">
      <c r="A5553" s="1">
        <v>46045</v>
      </c>
      <c r="B5553" t="s">
        <v>854</v>
      </c>
      <c r="C5553" t="s">
        <v>20</v>
      </c>
      <c r="D5553" t="s">
        <v>6865</v>
      </c>
      <c r="E5553">
        <v>4165</v>
      </c>
    </row>
    <row r="5554" spans="1:5">
      <c r="A5554" s="1">
        <v>46045</v>
      </c>
      <c r="B5554" t="s">
        <v>50</v>
      </c>
      <c r="C5554" t="s">
        <v>20</v>
      </c>
      <c r="D5554" t="s">
        <v>6866</v>
      </c>
      <c r="E5554">
        <v>375</v>
      </c>
    </row>
    <row r="5555" spans="1:5">
      <c r="A5555" s="1">
        <v>46045</v>
      </c>
      <c r="B5555" t="s">
        <v>3701</v>
      </c>
      <c r="C5555" t="s">
        <v>20</v>
      </c>
      <c r="D5555" t="s">
        <v>6867</v>
      </c>
      <c r="E5555">
        <v>6214</v>
      </c>
    </row>
    <row r="5556" spans="1:5">
      <c r="A5556" s="1">
        <v>46045</v>
      </c>
      <c r="B5556" t="s">
        <v>254</v>
      </c>
      <c r="C5556" t="s">
        <v>20</v>
      </c>
      <c r="D5556" t="s">
        <v>6868</v>
      </c>
      <c r="E5556">
        <v>1600</v>
      </c>
    </row>
    <row r="5557" spans="1:5">
      <c r="A5557" s="1">
        <v>46045</v>
      </c>
      <c r="B5557" t="s">
        <v>6869</v>
      </c>
      <c r="C5557" t="s">
        <v>20</v>
      </c>
      <c r="D5557" t="s">
        <v>6870</v>
      </c>
      <c r="E5557">
        <v>42791</v>
      </c>
    </row>
    <row r="5558" spans="1:5">
      <c r="A5558" s="1">
        <v>46045</v>
      </c>
      <c r="B5558" t="s">
        <v>50</v>
      </c>
      <c r="C5558" t="s">
        <v>20</v>
      </c>
      <c r="D5558" t="s">
        <v>6871</v>
      </c>
      <c r="E5558">
        <v>302</v>
      </c>
    </row>
    <row r="5559" spans="1:5">
      <c r="A5559" s="1">
        <v>46045</v>
      </c>
      <c r="B5559" t="s">
        <v>526</v>
      </c>
      <c r="C5559" t="s">
        <v>20</v>
      </c>
      <c r="D5559" t="s">
        <v>6872</v>
      </c>
      <c r="E5559">
        <v>4776</v>
      </c>
    </row>
    <row r="5560" spans="1:5">
      <c r="A5560" s="1">
        <v>46045</v>
      </c>
      <c r="B5560" t="s">
        <v>1457</v>
      </c>
      <c r="C5560" t="s">
        <v>20</v>
      </c>
      <c r="D5560" t="s">
        <v>6873</v>
      </c>
      <c r="E5560">
        <v>1230</v>
      </c>
    </row>
    <row r="5561" spans="1:5">
      <c r="A5561" s="1">
        <v>46045</v>
      </c>
      <c r="B5561" t="s">
        <v>2916</v>
      </c>
      <c r="C5561" t="s">
        <v>20</v>
      </c>
      <c r="D5561" t="s">
        <v>6874</v>
      </c>
      <c r="E5561">
        <v>3246</v>
      </c>
    </row>
    <row r="5562" spans="1:5">
      <c r="A5562" s="1">
        <v>46045</v>
      </c>
      <c r="B5562" t="s">
        <v>4089</v>
      </c>
      <c r="C5562" t="s">
        <v>20</v>
      </c>
      <c r="D5562" t="s">
        <v>6875</v>
      </c>
      <c r="E5562">
        <v>47715</v>
      </c>
    </row>
    <row r="5563" spans="1:5">
      <c r="A5563" s="1">
        <v>46045</v>
      </c>
      <c r="B5563" t="s">
        <v>566</v>
      </c>
      <c r="C5563" t="s">
        <v>20</v>
      </c>
      <c r="D5563" t="s">
        <v>6876</v>
      </c>
      <c r="E5563">
        <v>1905</v>
      </c>
    </row>
    <row r="5564" spans="1:5">
      <c r="A5564" s="1">
        <v>46045</v>
      </c>
      <c r="B5564" t="s">
        <v>6877</v>
      </c>
      <c r="C5564" t="s">
        <v>20</v>
      </c>
      <c r="D5564" t="s">
        <v>6878</v>
      </c>
      <c r="E5564">
        <v>770</v>
      </c>
    </row>
    <row r="5565" spans="1:5">
      <c r="A5565" s="1">
        <v>46045</v>
      </c>
      <c r="B5565" t="s">
        <v>6603</v>
      </c>
      <c r="C5565" t="s">
        <v>20</v>
      </c>
      <c r="D5565" t="s">
        <v>6879</v>
      </c>
      <c r="E5565">
        <v>4646</v>
      </c>
    </row>
    <row r="5566" spans="1:5">
      <c r="A5566" s="1">
        <v>46045</v>
      </c>
      <c r="B5566" t="s">
        <v>570</v>
      </c>
      <c r="C5566" t="s">
        <v>20</v>
      </c>
      <c r="D5566" t="s">
        <v>6880</v>
      </c>
      <c r="E5566">
        <v>110</v>
      </c>
    </row>
    <row r="5567" spans="1:5">
      <c r="A5567" s="1">
        <v>46045</v>
      </c>
      <c r="B5567" t="s">
        <v>6881</v>
      </c>
      <c r="C5567" t="s">
        <v>20</v>
      </c>
      <c r="D5567" t="s">
        <v>6882</v>
      </c>
      <c r="E5567">
        <v>385</v>
      </c>
    </row>
    <row r="5568" spans="1:5">
      <c r="A5568" s="1">
        <v>46046</v>
      </c>
      <c r="B5568" t="s">
        <v>1254</v>
      </c>
      <c r="C5568" t="s">
        <v>19</v>
      </c>
      <c r="D5568" t="s">
        <v>6883</v>
      </c>
      <c r="E5568">
        <v>769</v>
      </c>
    </row>
    <row r="5569" spans="1:5">
      <c r="A5569" s="1">
        <v>46046</v>
      </c>
      <c r="B5569" t="s">
        <v>6753</v>
      </c>
      <c r="C5569" t="s">
        <v>19</v>
      </c>
      <c r="D5569" t="s">
        <v>6884</v>
      </c>
      <c r="E5569">
        <v>440</v>
      </c>
    </row>
    <row r="5570" spans="1:5">
      <c r="A5570" s="1">
        <v>46046</v>
      </c>
      <c r="B5570" t="s">
        <v>6546</v>
      </c>
      <c r="C5570" t="s">
        <v>19</v>
      </c>
      <c r="D5570" t="s">
        <v>6885</v>
      </c>
      <c r="E5570">
        <v>7134</v>
      </c>
    </row>
    <row r="5571" spans="1:5">
      <c r="A5571" s="1">
        <v>46046</v>
      </c>
      <c r="B5571" t="s">
        <v>6546</v>
      </c>
      <c r="C5571" t="s">
        <v>19</v>
      </c>
      <c r="D5571" t="s">
        <v>6886</v>
      </c>
      <c r="E5571">
        <v>4012</v>
      </c>
    </row>
    <row r="5572" spans="1:5">
      <c r="A5572" s="1">
        <v>46046</v>
      </c>
      <c r="B5572" t="s">
        <v>6381</v>
      </c>
      <c r="C5572" t="s">
        <v>19</v>
      </c>
      <c r="D5572" t="s">
        <v>6887</v>
      </c>
      <c r="E5572">
        <v>1513</v>
      </c>
    </row>
    <row r="5573" spans="1:5">
      <c r="A5573" s="1">
        <v>46046</v>
      </c>
      <c r="B5573" t="s">
        <v>1135</v>
      </c>
      <c r="C5573" t="s">
        <v>20</v>
      </c>
      <c r="D5573" t="s">
        <v>6888</v>
      </c>
      <c r="E5573">
        <v>2000</v>
      </c>
    </row>
    <row r="5574" spans="1:5">
      <c r="A5574" s="1">
        <v>46046</v>
      </c>
      <c r="B5574" t="s">
        <v>6889</v>
      </c>
      <c r="C5574" t="s">
        <v>20</v>
      </c>
      <c r="D5574" t="s">
        <v>6890</v>
      </c>
      <c r="E5574">
        <v>50</v>
      </c>
    </row>
    <row r="5575" spans="1:5">
      <c r="A5575" s="1">
        <v>46046</v>
      </c>
      <c r="B5575" t="s">
        <v>50</v>
      </c>
      <c r="C5575" t="s">
        <v>20</v>
      </c>
      <c r="D5575" t="s">
        <v>6891</v>
      </c>
      <c r="E5575">
        <v>320</v>
      </c>
    </row>
    <row r="5576" spans="1:5">
      <c r="A5576" s="1">
        <v>46046</v>
      </c>
      <c r="B5576" t="s">
        <v>781</v>
      </c>
      <c r="C5576" t="s">
        <v>20</v>
      </c>
      <c r="D5576" t="s">
        <v>6892</v>
      </c>
      <c r="E5576">
        <v>2220</v>
      </c>
    </row>
    <row r="5577" spans="1:5">
      <c r="A5577" s="1">
        <v>46046</v>
      </c>
      <c r="B5577" t="s">
        <v>756</v>
      </c>
      <c r="C5577" t="s">
        <v>20</v>
      </c>
      <c r="D5577" t="s">
        <v>6893</v>
      </c>
      <c r="E5577">
        <v>8430</v>
      </c>
    </row>
    <row r="5578" spans="1:5">
      <c r="A5578" s="1">
        <v>46046</v>
      </c>
      <c r="B5578" t="s">
        <v>1075</v>
      </c>
      <c r="C5578" t="s">
        <v>20</v>
      </c>
      <c r="D5578" t="s">
        <v>6894</v>
      </c>
      <c r="E5578">
        <v>3100</v>
      </c>
    </row>
    <row r="5579" spans="1:5">
      <c r="A5579" s="1">
        <v>46046</v>
      </c>
      <c r="B5579" t="s">
        <v>6426</v>
      </c>
      <c r="C5579" t="s">
        <v>20</v>
      </c>
      <c r="D5579" t="s">
        <v>6895</v>
      </c>
      <c r="E5579">
        <v>20783</v>
      </c>
    </row>
    <row r="5580" spans="1:5">
      <c r="A5580" s="1">
        <v>46046</v>
      </c>
      <c r="B5580" t="s">
        <v>6695</v>
      </c>
      <c r="C5580" t="s">
        <v>20</v>
      </c>
      <c r="D5580" t="s">
        <v>6896</v>
      </c>
      <c r="E5580">
        <v>3720</v>
      </c>
    </row>
    <row r="5581" spans="1:5">
      <c r="A5581" s="1">
        <v>46046</v>
      </c>
      <c r="B5581" t="s">
        <v>2427</v>
      </c>
      <c r="C5581" t="s">
        <v>20</v>
      </c>
      <c r="D5581" t="s">
        <v>6897</v>
      </c>
      <c r="E5581">
        <v>2433</v>
      </c>
    </row>
    <row r="5582" spans="1:5">
      <c r="A5582" s="1">
        <v>46046</v>
      </c>
      <c r="B5582" t="s">
        <v>1182</v>
      </c>
      <c r="C5582" t="s">
        <v>20</v>
      </c>
      <c r="D5582" t="s">
        <v>6898</v>
      </c>
      <c r="E5582">
        <v>1266</v>
      </c>
    </row>
    <row r="5583" spans="1:5">
      <c r="A5583" s="1">
        <v>46046</v>
      </c>
      <c r="B5583" t="s">
        <v>2567</v>
      </c>
      <c r="C5583" t="s">
        <v>20</v>
      </c>
      <c r="D5583" t="s">
        <v>6899</v>
      </c>
      <c r="E5583">
        <v>585</v>
      </c>
    </row>
    <row r="5584" spans="1:5">
      <c r="A5584" s="1">
        <v>46046</v>
      </c>
      <c r="B5584" t="s">
        <v>100</v>
      </c>
      <c r="C5584" t="s">
        <v>20</v>
      </c>
      <c r="D5584" t="s">
        <v>6900</v>
      </c>
      <c r="E5584">
        <v>770</v>
      </c>
    </row>
    <row r="5585" spans="1:5">
      <c r="A5585" s="1">
        <v>46046</v>
      </c>
      <c r="B5585" t="s">
        <v>2679</v>
      </c>
      <c r="C5585" t="s">
        <v>20</v>
      </c>
      <c r="D5585" t="s">
        <v>6901</v>
      </c>
      <c r="E5585">
        <v>1398</v>
      </c>
    </row>
    <row r="5586" spans="1:5">
      <c r="A5586" s="1">
        <v>46046</v>
      </c>
      <c r="B5586" t="s">
        <v>43</v>
      </c>
      <c r="C5586" t="s">
        <v>20</v>
      </c>
      <c r="D5586" t="s">
        <v>6902</v>
      </c>
      <c r="E5586">
        <v>2717</v>
      </c>
    </row>
    <row r="5587" spans="1:5">
      <c r="A5587" s="1">
        <v>46046</v>
      </c>
      <c r="B5587" t="s">
        <v>2966</v>
      </c>
      <c r="C5587" t="s">
        <v>20</v>
      </c>
      <c r="D5587" t="s">
        <v>6903</v>
      </c>
      <c r="E5587">
        <v>6100</v>
      </c>
    </row>
    <row r="5588" spans="1:5">
      <c r="A5588" s="1">
        <v>46046</v>
      </c>
      <c r="B5588" t="s">
        <v>50</v>
      </c>
      <c r="C5588" t="s">
        <v>20</v>
      </c>
      <c r="D5588" t="s">
        <v>6904</v>
      </c>
      <c r="E5588">
        <v>598</v>
      </c>
    </row>
    <row r="5589" spans="1:5">
      <c r="A5589" s="1">
        <v>46046</v>
      </c>
      <c r="B5589" t="s">
        <v>856</v>
      </c>
      <c r="C5589" t="s">
        <v>20</v>
      </c>
      <c r="D5589" t="s">
        <v>6905</v>
      </c>
      <c r="E5589">
        <v>2553</v>
      </c>
    </row>
    <row r="5590" spans="1:5">
      <c r="A5590" s="1">
        <v>46046</v>
      </c>
      <c r="B5590" t="s">
        <v>50</v>
      </c>
      <c r="C5590" t="s">
        <v>20</v>
      </c>
      <c r="D5590" t="s">
        <v>6906</v>
      </c>
      <c r="E5590">
        <v>250</v>
      </c>
    </row>
    <row r="5591" spans="1:5">
      <c r="A5591" s="1">
        <v>46046</v>
      </c>
      <c r="B5591" t="s">
        <v>50</v>
      </c>
      <c r="C5591" t="s">
        <v>20</v>
      </c>
      <c r="D5591" t="s">
        <v>6907</v>
      </c>
      <c r="E5591">
        <v>30</v>
      </c>
    </row>
    <row r="5592" spans="1:5">
      <c r="A5592" s="1">
        <v>46046</v>
      </c>
      <c r="B5592" t="s">
        <v>4980</v>
      </c>
      <c r="C5592" t="s">
        <v>20</v>
      </c>
      <c r="D5592" t="s">
        <v>6908</v>
      </c>
      <c r="E5592">
        <v>640</v>
      </c>
    </row>
    <row r="5593" spans="1:5">
      <c r="A5593" s="1">
        <v>46046</v>
      </c>
      <c r="B5593" t="s">
        <v>6909</v>
      </c>
      <c r="C5593" t="s">
        <v>20</v>
      </c>
      <c r="D5593" t="s">
        <v>6910</v>
      </c>
      <c r="E5593">
        <v>225</v>
      </c>
    </row>
    <row r="5594" spans="1:5">
      <c r="A5594" s="1">
        <v>46046</v>
      </c>
      <c r="B5594" t="s">
        <v>628</v>
      </c>
      <c r="C5594" t="s">
        <v>20</v>
      </c>
      <c r="D5594" t="s">
        <v>6911</v>
      </c>
      <c r="E5594">
        <v>563</v>
      </c>
    </row>
    <row r="5595" spans="1:5">
      <c r="A5595" s="1">
        <v>46046</v>
      </c>
      <c r="B5595" t="s">
        <v>5513</v>
      </c>
      <c r="C5595" t="s">
        <v>20</v>
      </c>
      <c r="D5595" t="s">
        <v>6912</v>
      </c>
      <c r="E5595">
        <v>3205</v>
      </c>
    </row>
    <row r="5596" spans="1:5">
      <c r="A5596" s="1">
        <v>46046</v>
      </c>
      <c r="B5596" t="s">
        <v>6426</v>
      </c>
      <c r="C5596" t="s">
        <v>20</v>
      </c>
      <c r="D5596" t="s">
        <v>6913</v>
      </c>
      <c r="E5596">
        <v>12796</v>
      </c>
    </row>
    <row r="5597" spans="1:5">
      <c r="A5597" s="1">
        <v>46046</v>
      </c>
      <c r="B5597" t="s">
        <v>6914</v>
      </c>
      <c r="C5597" t="s">
        <v>20</v>
      </c>
      <c r="D5597" t="s">
        <v>6915</v>
      </c>
      <c r="E5597">
        <v>20804</v>
      </c>
    </row>
    <row r="5598" spans="1:5">
      <c r="A5598" s="1">
        <v>46046</v>
      </c>
      <c r="B5598" t="s">
        <v>781</v>
      </c>
      <c r="C5598" t="s">
        <v>20</v>
      </c>
      <c r="D5598" t="s">
        <v>6916</v>
      </c>
      <c r="E5598">
        <v>320</v>
      </c>
    </row>
    <row r="5599" spans="1:5">
      <c r="A5599" s="1">
        <v>46046</v>
      </c>
      <c r="B5599" t="s">
        <v>50</v>
      </c>
      <c r="C5599" t="s">
        <v>20</v>
      </c>
      <c r="D5599" t="s">
        <v>6917</v>
      </c>
      <c r="E5599">
        <v>20</v>
      </c>
    </row>
    <row r="5600" spans="1:5">
      <c r="A5600" s="1">
        <v>46046</v>
      </c>
      <c r="B5600" t="s">
        <v>6918</v>
      </c>
      <c r="C5600" t="s">
        <v>20</v>
      </c>
      <c r="D5600" t="s">
        <v>6919</v>
      </c>
      <c r="E5600">
        <v>4392</v>
      </c>
    </row>
    <row r="5601" spans="1:5">
      <c r="A5601" s="1">
        <v>46046</v>
      </c>
      <c r="B5601" t="s">
        <v>76</v>
      </c>
      <c r="C5601" t="s">
        <v>20</v>
      </c>
      <c r="D5601" t="s">
        <v>6920</v>
      </c>
      <c r="E5601">
        <v>10778</v>
      </c>
    </row>
    <row r="5602" spans="1:5">
      <c r="A5602" s="1">
        <v>46046</v>
      </c>
      <c r="B5602" t="s">
        <v>76</v>
      </c>
      <c r="C5602" t="s">
        <v>20</v>
      </c>
      <c r="D5602" t="s">
        <v>6921</v>
      </c>
      <c r="E5602">
        <v>170</v>
      </c>
    </row>
    <row r="5603" spans="1:5">
      <c r="A5603" s="1">
        <v>46046</v>
      </c>
      <c r="B5603" t="s">
        <v>6922</v>
      </c>
      <c r="C5603" t="s">
        <v>20</v>
      </c>
      <c r="D5603" t="s">
        <v>6923</v>
      </c>
      <c r="E5603">
        <v>1486</v>
      </c>
    </row>
    <row r="5604" spans="1:5">
      <c r="A5604" s="1">
        <v>46046</v>
      </c>
      <c r="B5604" t="s">
        <v>566</v>
      </c>
      <c r="C5604" t="s">
        <v>20</v>
      </c>
      <c r="D5604" t="s">
        <v>6924</v>
      </c>
      <c r="E5604">
        <v>2306</v>
      </c>
    </row>
    <row r="5605" spans="1:5">
      <c r="A5605" s="1">
        <v>46046</v>
      </c>
      <c r="B5605" t="s">
        <v>1350</v>
      </c>
      <c r="C5605" t="s">
        <v>20</v>
      </c>
      <c r="D5605" t="s">
        <v>6925</v>
      </c>
      <c r="E5605">
        <v>26679</v>
      </c>
    </row>
    <row r="5606" spans="1:5">
      <c r="A5606" s="1">
        <v>46046</v>
      </c>
      <c r="B5606" t="s">
        <v>2099</v>
      </c>
      <c r="C5606" t="s">
        <v>20</v>
      </c>
      <c r="D5606" t="s">
        <v>6926</v>
      </c>
      <c r="E5606">
        <v>18041</v>
      </c>
    </row>
    <row r="5607" spans="1:5">
      <c r="A5607" s="1">
        <v>46046</v>
      </c>
      <c r="B5607" t="s">
        <v>50</v>
      </c>
      <c r="C5607" t="s">
        <v>20</v>
      </c>
      <c r="D5607" t="s">
        <v>6927</v>
      </c>
      <c r="E5607">
        <v>12</v>
      </c>
    </row>
    <row r="5608" spans="1:5">
      <c r="A5608" s="1">
        <v>46046</v>
      </c>
      <c r="B5608" t="s">
        <v>6928</v>
      </c>
      <c r="C5608" t="s">
        <v>20</v>
      </c>
      <c r="D5608" t="s">
        <v>6929</v>
      </c>
      <c r="E5608">
        <v>520</v>
      </c>
    </row>
    <row r="5609" spans="1:5">
      <c r="A5609" s="1">
        <v>46048</v>
      </c>
      <c r="B5609" t="s">
        <v>6859</v>
      </c>
      <c r="C5609" t="s">
        <v>19</v>
      </c>
      <c r="D5609" t="s">
        <v>6930</v>
      </c>
      <c r="E5609">
        <v>1612</v>
      </c>
    </row>
    <row r="5610" spans="1:5">
      <c r="A5610" s="1">
        <v>46048</v>
      </c>
      <c r="B5610" t="s">
        <v>6588</v>
      </c>
      <c r="C5610" t="s">
        <v>19</v>
      </c>
      <c r="D5610" t="s">
        <v>6931</v>
      </c>
      <c r="E5610">
        <v>18607</v>
      </c>
    </row>
    <row r="5611" spans="1:5">
      <c r="A5611" s="1">
        <v>46048</v>
      </c>
      <c r="B5611" t="s">
        <v>50</v>
      </c>
      <c r="C5611" t="s">
        <v>20</v>
      </c>
      <c r="D5611" t="s">
        <v>6932</v>
      </c>
      <c r="E5611">
        <v>960</v>
      </c>
    </row>
    <row r="5612" spans="1:5">
      <c r="A5612" s="1">
        <v>46048</v>
      </c>
      <c r="B5612" t="s">
        <v>6846</v>
      </c>
      <c r="C5612" t="s">
        <v>20</v>
      </c>
      <c r="D5612" t="s">
        <v>6933</v>
      </c>
      <c r="E5612">
        <v>1280</v>
      </c>
    </row>
    <row r="5613" spans="1:5">
      <c r="A5613" s="1">
        <v>46048</v>
      </c>
      <c r="B5613" t="s">
        <v>2815</v>
      </c>
      <c r="C5613" t="s">
        <v>20</v>
      </c>
      <c r="D5613" t="s">
        <v>6934</v>
      </c>
      <c r="E5613">
        <v>3436</v>
      </c>
    </row>
    <row r="5614" spans="1:5">
      <c r="A5614" s="1">
        <v>46048</v>
      </c>
      <c r="B5614" t="s">
        <v>2099</v>
      </c>
      <c r="C5614" t="s">
        <v>20</v>
      </c>
      <c r="D5614" t="s">
        <v>6935</v>
      </c>
      <c r="E5614">
        <v>4835</v>
      </c>
    </row>
    <row r="5615" spans="1:5">
      <c r="A5615" s="1">
        <v>46048</v>
      </c>
      <c r="B5615" t="s">
        <v>6936</v>
      </c>
      <c r="C5615" t="s">
        <v>20</v>
      </c>
      <c r="D5615" t="s">
        <v>6937</v>
      </c>
      <c r="E5615">
        <v>22344</v>
      </c>
    </row>
    <row r="5616" spans="1:5">
      <c r="A5616" s="1">
        <v>46048</v>
      </c>
      <c r="B5616" t="s">
        <v>6938</v>
      </c>
      <c r="C5616" t="s">
        <v>20</v>
      </c>
      <c r="D5616" t="s">
        <v>6939</v>
      </c>
      <c r="E5616">
        <v>2280</v>
      </c>
    </row>
    <row r="5617" spans="1:5">
      <c r="A5617" s="1">
        <v>46048</v>
      </c>
      <c r="B5617" t="s">
        <v>6940</v>
      </c>
      <c r="C5617" t="s">
        <v>20</v>
      </c>
      <c r="D5617" t="s">
        <v>6941</v>
      </c>
      <c r="E5617">
        <v>338</v>
      </c>
    </row>
    <row r="5618" spans="1:5">
      <c r="A5618" s="1">
        <v>46048</v>
      </c>
      <c r="B5618" t="s">
        <v>68</v>
      </c>
      <c r="C5618" t="s">
        <v>20</v>
      </c>
      <c r="D5618" t="s">
        <v>6942</v>
      </c>
      <c r="E5618">
        <v>450</v>
      </c>
    </row>
    <row r="5619" spans="1:5">
      <c r="A5619" s="1">
        <v>46048</v>
      </c>
      <c r="B5619" t="s">
        <v>4980</v>
      </c>
      <c r="C5619" t="s">
        <v>20</v>
      </c>
      <c r="D5619" t="s">
        <v>6943</v>
      </c>
      <c r="E5619">
        <v>320</v>
      </c>
    </row>
    <row r="5620" spans="1:5">
      <c r="A5620" s="1">
        <v>46048</v>
      </c>
      <c r="B5620" t="s">
        <v>5069</v>
      </c>
      <c r="C5620" t="s">
        <v>20</v>
      </c>
      <c r="D5620" t="s">
        <v>6944</v>
      </c>
      <c r="E5620">
        <v>5092</v>
      </c>
    </row>
    <row r="5621" spans="1:5">
      <c r="A5621" s="1">
        <v>46048</v>
      </c>
      <c r="B5621" t="s">
        <v>35</v>
      </c>
      <c r="C5621" t="s">
        <v>20</v>
      </c>
      <c r="D5621" t="s">
        <v>6945</v>
      </c>
      <c r="E5621">
        <v>33653</v>
      </c>
    </row>
    <row r="5622" spans="1:5">
      <c r="A5622" s="1">
        <v>46048</v>
      </c>
      <c r="B5622" t="s">
        <v>6288</v>
      </c>
      <c r="C5622" t="s">
        <v>20</v>
      </c>
      <c r="D5622" t="s">
        <v>6946</v>
      </c>
      <c r="E5622">
        <v>29446</v>
      </c>
    </row>
    <row r="5623" spans="1:5">
      <c r="A5623" s="1">
        <v>46048</v>
      </c>
      <c r="B5623" t="s">
        <v>6940</v>
      </c>
      <c r="C5623" t="s">
        <v>20</v>
      </c>
      <c r="D5623" t="s">
        <v>6947</v>
      </c>
      <c r="E5623">
        <v>610</v>
      </c>
    </row>
    <row r="5624" spans="1:5">
      <c r="A5624" s="1">
        <v>46048</v>
      </c>
      <c r="B5624" t="s">
        <v>1075</v>
      </c>
      <c r="C5624" t="s">
        <v>20</v>
      </c>
      <c r="D5624" t="s">
        <v>6948</v>
      </c>
      <c r="E5624">
        <v>640</v>
      </c>
    </row>
    <row r="5625" spans="1:5">
      <c r="A5625" s="1">
        <v>46048</v>
      </c>
      <c r="B5625" t="s">
        <v>6949</v>
      </c>
      <c r="C5625" t="s">
        <v>20</v>
      </c>
      <c r="D5625" t="s">
        <v>6950</v>
      </c>
      <c r="E5625">
        <v>640</v>
      </c>
    </row>
    <row r="5626" spans="1:5">
      <c r="A5626" s="1">
        <v>46049</v>
      </c>
      <c r="B5626" t="s">
        <v>216</v>
      </c>
      <c r="C5626" t="s">
        <v>19</v>
      </c>
      <c r="D5626" t="s">
        <v>6951</v>
      </c>
      <c r="E5626">
        <v>5706</v>
      </c>
    </row>
    <row r="5627" spans="1:5">
      <c r="A5627" s="1">
        <v>46049</v>
      </c>
      <c r="B5627" t="s">
        <v>50</v>
      </c>
      <c r="C5627" t="s">
        <v>20</v>
      </c>
      <c r="D5627" t="s">
        <v>6952</v>
      </c>
      <c r="E5627">
        <v>350</v>
      </c>
    </row>
    <row r="5628" spans="1:5">
      <c r="A5628" s="1">
        <v>46049</v>
      </c>
      <c r="B5628" t="s">
        <v>4239</v>
      </c>
      <c r="C5628" t="s">
        <v>20</v>
      </c>
      <c r="D5628" t="s">
        <v>6953</v>
      </c>
      <c r="E5628">
        <v>640</v>
      </c>
    </row>
    <row r="5629" spans="1:5">
      <c r="A5629" s="1">
        <v>46049</v>
      </c>
      <c r="B5629" t="s">
        <v>2233</v>
      </c>
      <c r="C5629" t="s">
        <v>20</v>
      </c>
      <c r="D5629" t="s">
        <v>6954</v>
      </c>
      <c r="E5629">
        <v>6620</v>
      </c>
    </row>
    <row r="5630" spans="1:5">
      <c r="A5630" s="1">
        <v>46049</v>
      </c>
      <c r="B5630" t="s">
        <v>50</v>
      </c>
      <c r="C5630" t="s">
        <v>20</v>
      </c>
      <c r="D5630" t="s">
        <v>6955</v>
      </c>
      <c r="E5630">
        <v>20</v>
      </c>
    </row>
    <row r="5631" spans="1:5">
      <c r="A5631" s="1">
        <v>46049</v>
      </c>
      <c r="B5631" t="s">
        <v>2099</v>
      </c>
      <c r="C5631" t="s">
        <v>20</v>
      </c>
      <c r="D5631" t="s">
        <v>6956</v>
      </c>
      <c r="E5631">
        <v>8850</v>
      </c>
    </row>
    <row r="5632" spans="1:5">
      <c r="A5632" s="1">
        <v>46049</v>
      </c>
      <c r="B5632" t="s">
        <v>43</v>
      </c>
      <c r="C5632" t="s">
        <v>20</v>
      </c>
      <c r="D5632" t="s">
        <v>6957</v>
      </c>
      <c r="E5632">
        <v>3160</v>
      </c>
    </row>
    <row r="5633" spans="1:5">
      <c r="A5633" s="1">
        <v>46049</v>
      </c>
      <c r="B5633" t="s">
        <v>4312</v>
      </c>
      <c r="C5633" t="s">
        <v>20</v>
      </c>
      <c r="D5633" t="s">
        <v>6958</v>
      </c>
      <c r="E5633">
        <v>4805</v>
      </c>
    </row>
    <row r="5634" spans="1:5">
      <c r="A5634" s="1">
        <v>46049</v>
      </c>
      <c r="B5634" t="s">
        <v>6959</v>
      </c>
      <c r="C5634" t="s">
        <v>20</v>
      </c>
      <c r="D5634" t="s">
        <v>6960</v>
      </c>
      <c r="E5634">
        <v>240</v>
      </c>
    </row>
    <row r="5635" spans="1:5">
      <c r="A5635" s="1">
        <v>46049</v>
      </c>
      <c r="B5635" t="s">
        <v>6961</v>
      </c>
      <c r="C5635" t="s">
        <v>20</v>
      </c>
      <c r="D5635" t="s">
        <v>6962</v>
      </c>
      <c r="E5635">
        <v>4424</v>
      </c>
    </row>
    <row r="5636" spans="1:5">
      <c r="A5636" s="1">
        <v>46049</v>
      </c>
      <c r="B5636" t="s">
        <v>1075</v>
      </c>
      <c r="C5636" t="s">
        <v>20</v>
      </c>
      <c r="D5636" t="s">
        <v>6963</v>
      </c>
      <c r="E5636">
        <v>4650</v>
      </c>
    </row>
    <row r="5637" spans="1:5">
      <c r="A5637" s="1">
        <v>46049</v>
      </c>
      <c r="B5637" t="s">
        <v>50</v>
      </c>
      <c r="C5637" t="s">
        <v>20</v>
      </c>
      <c r="D5637" t="s">
        <v>6964</v>
      </c>
      <c r="E5637">
        <v>850</v>
      </c>
    </row>
    <row r="5638" spans="1:5">
      <c r="A5638" s="1">
        <v>46050</v>
      </c>
      <c r="B5638" t="s">
        <v>586</v>
      </c>
      <c r="C5638" t="s">
        <v>19</v>
      </c>
      <c r="D5638" t="s">
        <v>6965</v>
      </c>
      <c r="E5638">
        <v>1600</v>
      </c>
    </row>
    <row r="5639" spans="1:5">
      <c r="A5639" s="1">
        <v>46050</v>
      </c>
      <c r="B5639" t="s">
        <v>2329</v>
      </c>
      <c r="C5639" t="s">
        <v>19</v>
      </c>
      <c r="D5639" t="s">
        <v>6966</v>
      </c>
      <c r="E5639">
        <v>58294</v>
      </c>
    </row>
    <row r="5640" spans="1:5">
      <c r="A5640" s="1">
        <v>46050</v>
      </c>
      <c r="B5640" t="s">
        <v>147</v>
      </c>
      <c r="C5640" t="s">
        <v>19</v>
      </c>
      <c r="D5640" t="s">
        <v>6967</v>
      </c>
      <c r="E5640">
        <v>136172</v>
      </c>
    </row>
    <row r="5641" spans="1:5">
      <c r="A5641" s="1">
        <v>46050</v>
      </c>
      <c r="B5641" t="s">
        <v>6968</v>
      </c>
      <c r="C5641" t="s">
        <v>19</v>
      </c>
      <c r="D5641" t="s">
        <v>6969</v>
      </c>
      <c r="E5641">
        <v>985</v>
      </c>
    </row>
    <row r="5642" spans="1:5">
      <c r="A5642" s="1">
        <v>46050</v>
      </c>
      <c r="B5642" t="s">
        <v>6959</v>
      </c>
      <c r="C5642" t="s">
        <v>20</v>
      </c>
      <c r="D5642" t="s">
        <v>6970</v>
      </c>
      <c r="E5642">
        <v>6400</v>
      </c>
    </row>
    <row r="5643" spans="1:5">
      <c r="A5643" s="1">
        <v>46050</v>
      </c>
      <c r="B5643" t="s">
        <v>239</v>
      </c>
      <c r="C5643" t="s">
        <v>20</v>
      </c>
      <c r="D5643" t="s">
        <v>6971</v>
      </c>
      <c r="E5643">
        <v>460</v>
      </c>
    </row>
    <row r="5644" spans="1:5">
      <c r="A5644" s="1">
        <v>46050</v>
      </c>
      <c r="B5644" t="s">
        <v>76</v>
      </c>
      <c r="C5644" t="s">
        <v>20</v>
      </c>
      <c r="D5644" t="s">
        <v>6972</v>
      </c>
      <c r="E5644">
        <v>700</v>
      </c>
    </row>
    <row r="5645" spans="1:5">
      <c r="A5645" s="1">
        <v>46050</v>
      </c>
      <c r="B5645" t="s">
        <v>68</v>
      </c>
      <c r="C5645" t="s">
        <v>20</v>
      </c>
      <c r="D5645" t="s">
        <v>6973</v>
      </c>
      <c r="E5645">
        <v>6757</v>
      </c>
    </row>
    <row r="5646" spans="1:5">
      <c r="A5646" s="1">
        <v>46050</v>
      </c>
      <c r="B5646" t="s">
        <v>5086</v>
      </c>
      <c r="C5646" t="s">
        <v>20</v>
      </c>
      <c r="D5646" t="s">
        <v>6974</v>
      </c>
      <c r="E5646">
        <v>13764</v>
      </c>
    </row>
    <row r="5647" spans="1:5">
      <c r="A5647" s="1">
        <v>46050</v>
      </c>
      <c r="B5647" t="s">
        <v>66</v>
      </c>
      <c r="C5647" t="s">
        <v>20</v>
      </c>
      <c r="D5647" t="s">
        <v>6975</v>
      </c>
      <c r="E5647">
        <v>90</v>
      </c>
    </row>
    <row r="5648" spans="1:5">
      <c r="A5648" s="1">
        <v>46050</v>
      </c>
      <c r="B5648" t="s">
        <v>188</v>
      </c>
      <c r="C5648" t="s">
        <v>20</v>
      </c>
      <c r="D5648" t="s">
        <v>6976</v>
      </c>
      <c r="E5648">
        <v>5140</v>
      </c>
    </row>
    <row r="5649" spans="1:5">
      <c r="A5649" s="1">
        <v>46050</v>
      </c>
      <c r="B5649" t="s">
        <v>1075</v>
      </c>
      <c r="C5649" t="s">
        <v>20</v>
      </c>
      <c r="D5649" t="s">
        <v>6977</v>
      </c>
      <c r="E5649">
        <v>310</v>
      </c>
    </row>
    <row r="5650" spans="1:5">
      <c r="A5650" s="1">
        <v>46050</v>
      </c>
      <c r="B5650" t="s">
        <v>254</v>
      </c>
      <c r="C5650" t="s">
        <v>20</v>
      </c>
      <c r="D5650" t="s">
        <v>6978</v>
      </c>
      <c r="E5650">
        <v>4063</v>
      </c>
    </row>
    <row r="5651" spans="1:5">
      <c r="A5651" s="1">
        <v>46050</v>
      </c>
      <c r="B5651" t="s">
        <v>43</v>
      </c>
      <c r="C5651" t="s">
        <v>20</v>
      </c>
      <c r="D5651" t="s">
        <v>6979</v>
      </c>
      <c r="E5651">
        <v>1374</v>
      </c>
    </row>
    <row r="5652" spans="1:5">
      <c r="A5652" s="1">
        <v>46050</v>
      </c>
      <c r="B5652" t="s">
        <v>875</v>
      </c>
      <c r="C5652" t="s">
        <v>20</v>
      </c>
      <c r="D5652" t="s">
        <v>6980</v>
      </c>
      <c r="E5652">
        <v>490</v>
      </c>
    </row>
    <row r="5653" spans="1:5">
      <c r="A5653" s="1">
        <v>46050</v>
      </c>
      <c r="B5653" t="s">
        <v>2350</v>
      </c>
      <c r="C5653" t="s">
        <v>20</v>
      </c>
      <c r="D5653" t="s">
        <v>6981</v>
      </c>
      <c r="E5653">
        <v>770</v>
      </c>
    </row>
    <row r="5654" spans="1:5">
      <c r="A5654" s="1">
        <v>46050</v>
      </c>
      <c r="B5654" t="s">
        <v>6982</v>
      </c>
      <c r="C5654" t="s">
        <v>20</v>
      </c>
      <c r="D5654" t="s">
        <v>6983</v>
      </c>
      <c r="E5654">
        <v>1411</v>
      </c>
    </row>
    <row r="5655" spans="1:5">
      <c r="A5655" s="1">
        <v>46050</v>
      </c>
      <c r="B5655" t="s">
        <v>5069</v>
      </c>
      <c r="C5655" t="s">
        <v>20</v>
      </c>
      <c r="D5655" t="s">
        <v>6984</v>
      </c>
      <c r="E5655">
        <v>9836</v>
      </c>
    </row>
    <row r="5656" spans="1:5">
      <c r="A5656" s="1">
        <v>46050</v>
      </c>
      <c r="B5656" t="s">
        <v>6985</v>
      </c>
      <c r="C5656" t="s">
        <v>20</v>
      </c>
      <c r="D5656" t="s">
        <v>6986</v>
      </c>
      <c r="E5656">
        <v>21635</v>
      </c>
    </row>
    <row r="5657" spans="1:5">
      <c r="A5657" s="1">
        <v>46050</v>
      </c>
      <c r="B5657" t="s">
        <v>6987</v>
      </c>
      <c r="C5657" t="s">
        <v>20</v>
      </c>
      <c r="D5657" t="s">
        <v>6988</v>
      </c>
      <c r="E5657">
        <v>13634</v>
      </c>
    </row>
    <row r="5658" spans="1:5">
      <c r="A5658" s="1">
        <v>46050</v>
      </c>
      <c r="B5658" t="s">
        <v>6989</v>
      </c>
      <c r="C5658" t="s">
        <v>20</v>
      </c>
      <c r="D5658" t="s">
        <v>6990</v>
      </c>
      <c r="E5658">
        <v>750</v>
      </c>
    </row>
    <row r="5659" spans="1:5">
      <c r="A5659" s="1">
        <v>46050</v>
      </c>
      <c r="B5659" t="s">
        <v>6991</v>
      </c>
      <c r="C5659" t="s">
        <v>20</v>
      </c>
      <c r="D5659" t="s">
        <v>6992</v>
      </c>
      <c r="E5659">
        <v>50</v>
      </c>
    </row>
    <row r="5660" spans="1:5">
      <c r="A5660" s="1">
        <v>46051</v>
      </c>
      <c r="B5660" t="s">
        <v>6753</v>
      </c>
      <c r="C5660" t="s">
        <v>19</v>
      </c>
      <c r="D5660" t="s">
        <v>6993</v>
      </c>
      <c r="E5660">
        <v>20150</v>
      </c>
    </row>
    <row r="5661" spans="1:5">
      <c r="A5661" s="1">
        <v>46051</v>
      </c>
      <c r="B5661" t="s">
        <v>3109</v>
      </c>
      <c r="C5661" t="s">
        <v>19</v>
      </c>
      <c r="D5661" t="s">
        <v>6994</v>
      </c>
      <c r="E5661">
        <v>960</v>
      </c>
    </row>
    <row r="5662" spans="1:5">
      <c r="A5662" s="1">
        <v>46051</v>
      </c>
      <c r="B5662" t="s">
        <v>4669</v>
      </c>
      <c r="C5662" t="s">
        <v>19</v>
      </c>
      <c r="D5662" t="s">
        <v>6995</v>
      </c>
      <c r="E5662">
        <v>6820</v>
      </c>
    </row>
    <row r="5663" spans="1:5">
      <c r="A5663" s="1">
        <v>46051</v>
      </c>
      <c r="B5663" t="s">
        <v>50</v>
      </c>
      <c r="C5663" t="s">
        <v>20</v>
      </c>
      <c r="D5663" t="s">
        <v>6996</v>
      </c>
      <c r="E5663">
        <v>320</v>
      </c>
    </row>
    <row r="5664" spans="1:5">
      <c r="A5664" s="1">
        <v>46051</v>
      </c>
      <c r="B5664" t="s">
        <v>932</v>
      </c>
      <c r="C5664" t="s">
        <v>20</v>
      </c>
      <c r="D5664" t="s">
        <v>6997</v>
      </c>
      <c r="E5664">
        <v>2200</v>
      </c>
    </row>
    <row r="5665" spans="1:5">
      <c r="A5665" s="1">
        <v>46051</v>
      </c>
      <c r="B5665" t="s">
        <v>6998</v>
      </c>
      <c r="C5665" t="s">
        <v>20</v>
      </c>
      <c r="D5665" t="s">
        <v>6999</v>
      </c>
      <c r="E5665">
        <v>3106</v>
      </c>
    </row>
    <row r="5666" spans="1:5">
      <c r="A5666" s="1">
        <v>46051</v>
      </c>
      <c r="B5666" t="s">
        <v>5416</v>
      </c>
      <c r="C5666" t="s">
        <v>20</v>
      </c>
      <c r="D5666" t="s">
        <v>7000</v>
      </c>
      <c r="E5666">
        <v>9394</v>
      </c>
    </row>
    <row r="5667" spans="1:5">
      <c r="A5667" s="1">
        <v>46051</v>
      </c>
      <c r="B5667" t="s">
        <v>6278</v>
      </c>
      <c r="C5667" t="s">
        <v>20</v>
      </c>
      <c r="D5667" t="s">
        <v>7001</v>
      </c>
      <c r="E5667">
        <v>4800</v>
      </c>
    </row>
    <row r="5668" spans="1:5">
      <c r="A5668" s="1">
        <v>46051</v>
      </c>
      <c r="B5668" t="s">
        <v>50</v>
      </c>
      <c r="C5668" t="s">
        <v>20</v>
      </c>
      <c r="D5668" t="s">
        <v>7002</v>
      </c>
      <c r="E5668">
        <v>1343</v>
      </c>
    </row>
    <row r="5669" spans="1:5">
      <c r="A5669" s="1">
        <v>46051</v>
      </c>
      <c r="B5669" t="s">
        <v>7003</v>
      </c>
      <c r="C5669" t="s">
        <v>20</v>
      </c>
      <c r="D5669" t="s">
        <v>7004</v>
      </c>
      <c r="E5669">
        <v>12760</v>
      </c>
    </row>
    <row r="5670" spans="1:5">
      <c r="A5670" s="1">
        <v>46051</v>
      </c>
      <c r="B5670" t="s">
        <v>875</v>
      </c>
      <c r="C5670" t="s">
        <v>20</v>
      </c>
      <c r="D5670" t="s">
        <v>7005</v>
      </c>
      <c r="E5670">
        <v>1777</v>
      </c>
    </row>
    <row r="5671" spans="1:5">
      <c r="A5671" s="1">
        <v>46051</v>
      </c>
      <c r="B5671" t="s">
        <v>5086</v>
      </c>
      <c r="C5671" t="s">
        <v>20</v>
      </c>
      <c r="D5671" t="s">
        <v>7006</v>
      </c>
      <c r="E5671">
        <v>7860</v>
      </c>
    </row>
    <row r="5672" spans="1:5">
      <c r="A5672" s="1">
        <v>46051</v>
      </c>
      <c r="B5672" t="s">
        <v>844</v>
      </c>
      <c r="C5672" t="s">
        <v>20</v>
      </c>
      <c r="D5672" t="s">
        <v>7007</v>
      </c>
      <c r="E5672">
        <v>6400</v>
      </c>
    </row>
    <row r="5673" spans="1:5">
      <c r="A5673" s="1">
        <v>46051</v>
      </c>
      <c r="B5673" t="s">
        <v>68</v>
      </c>
      <c r="C5673" t="s">
        <v>20</v>
      </c>
      <c r="D5673" t="s">
        <v>7008</v>
      </c>
      <c r="E5673">
        <v>84</v>
      </c>
    </row>
    <row r="5674" spans="1:5">
      <c r="A5674" s="1">
        <v>46051</v>
      </c>
      <c r="B5674" t="s">
        <v>6196</v>
      </c>
      <c r="C5674" t="s">
        <v>20</v>
      </c>
      <c r="D5674" t="s">
        <v>7009</v>
      </c>
      <c r="E5674">
        <v>9580</v>
      </c>
    </row>
    <row r="5675" spans="1:5">
      <c r="A5675" s="1">
        <v>46051</v>
      </c>
      <c r="B5675" t="s">
        <v>6985</v>
      </c>
      <c r="C5675" t="s">
        <v>20</v>
      </c>
      <c r="D5675" t="s">
        <v>7010</v>
      </c>
      <c r="E5675">
        <v>1035</v>
      </c>
    </row>
    <row r="5676" spans="1:5">
      <c r="A5676" s="1">
        <v>46051</v>
      </c>
      <c r="B5676" t="s">
        <v>6536</v>
      </c>
      <c r="C5676" t="s">
        <v>20</v>
      </c>
      <c r="D5676" t="s">
        <v>7011</v>
      </c>
      <c r="E5676">
        <v>1704</v>
      </c>
    </row>
    <row r="5677" spans="1:5">
      <c r="A5677" s="1">
        <v>46051</v>
      </c>
      <c r="B5677" t="s">
        <v>3163</v>
      </c>
      <c r="C5677" t="s">
        <v>20</v>
      </c>
      <c r="D5677" t="s">
        <v>7012</v>
      </c>
      <c r="E5677">
        <v>320</v>
      </c>
    </row>
    <row r="5678" spans="1:5">
      <c r="A5678" s="1">
        <v>46051</v>
      </c>
      <c r="B5678" t="s">
        <v>6987</v>
      </c>
      <c r="C5678" t="s">
        <v>20</v>
      </c>
      <c r="D5678" t="s">
        <v>7013</v>
      </c>
      <c r="E5678">
        <v>960</v>
      </c>
    </row>
    <row r="5679" spans="1:5">
      <c r="A5679" s="1">
        <v>46052</v>
      </c>
      <c r="B5679" t="s">
        <v>180</v>
      </c>
      <c r="C5679" t="s">
        <v>19</v>
      </c>
      <c r="D5679" t="s">
        <v>7014</v>
      </c>
      <c r="E5679">
        <v>17600</v>
      </c>
    </row>
    <row r="5680" spans="1:5">
      <c r="A5680" s="1">
        <v>46052</v>
      </c>
      <c r="B5680" t="s">
        <v>6603</v>
      </c>
      <c r="C5680" t="s">
        <v>20</v>
      </c>
      <c r="D5680" t="s">
        <v>7015</v>
      </c>
      <c r="E5680">
        <v>20150</v>
      </c>
    </row>
    <row r="5681" spans="1:5">
      <c r="A5681" s="1">
        <v>46052</v>
      </c>
      <c r="B5681" t="s">
        <v>50</v>
      </c>
      <c r="C5681" t="s">
        <v>20</v>
      </c>
      <c r="D5681" t="s">
        <v>7016</v>
      </c>
      <c r="E5681">
        <v>320</v>
      </c>
    </row>
    <row r="5682" spans="1:5">
      <c r="A5682" s="1">
        <v>46052</v>
      </c>
      <c r="B5682" t="s">
        <v>76</v>
      </c>
      <c r="C5682" t="s">
        <v>20</v>
      </c>
      <c r="D5682" t="s">
        <v>7017</v>
      </c>
      <c r="E5682">
        <v>15083</v>
      </c>
    </row>
    <row r="5683" spans="1:5">
      <c r="A5683" s="1">
        <v>46052</v>
      </c>
      <c r="B5683" t="s">
        <v>6278</v>
      </c>
      <c r="C5683" t="s">
        <v>20</v>
      </c>
      <c r="D5683" t="s">
        <v>7018</v>
      </c>
      <c r="E5683">
        <v>15482</v>
      </c>
    </row>
    <row r="5684" spans="1:5">
      <c r="A5684" s="1">
        <v>46052</v>
      </c>
      <c r="B5684" t="s">
        <v>5711</v>
      </c>
      <c r="C5684" t="s">
        <v>20</v>
      </c>
      <c r="D5684" t="s">
        <v>7019</v>
      </c>
      <c r="E5684">
        <v>17300</v>
      </c>
    </row>
    <row r="5685" spans="1:5">
      <c r="A5685" s="1">
        <v>46052</v>
      </c>
      <c r="B5685" t="s">
        <v>50</v>
      </c>
      <c r="C5685" t="s">
        <v>20</v>
      </c>
      <c r="D5685" t="s">
        <v>7020</v>
      </c>
      <c r="E5685">
        <v>320</v>
      </c>
    </row>
    <row r="5686" spans="1:5">
      <c r="A5686" s="1">
        <v>46052</v>
      </c>
      <c r="B5686" t="s">
        <v>932</v>
      </c>
      <c r="C5686" t="s">
        <v>20</v>
      </c>
      <c r="D5686" t="s">
        <v>7021</v>
      </c>
      <c r="E5686">
        <v>6400</v>
      </c>
    </row>
    <row r="5687" spans="1:5">
      <c r="A5687" s="1">
        <v>46052</v>
      </c>
      <c r="B5687" t="s">
        <v>50</v>
      </c>
      <c r="C5687" t="s">
        <v>20</v>
      </c>
      <c r="D5687" t="s">
        <v>7022</v>
      </c>
      <c r="E5687">
        <v>30</v>
      </c>
    </row>
    <row r="5688" spans="1:5">
      <c r="A5688" s="1">
        <v>46052</v>
      </c>
      <c r="B5688" t="s">
        <v>3701</v>
      </c>
      <c r="C5688" t="s">
        <v>20</v>
      </c>
      <c r="D5688" t="s">
        <v>7023</v>
      </c>
      <c r="E5688">
        <v>20263</v>
      </c>
    </row>
    <row r="5689" spans="1:5">
      <c r="A5689" s="1">
        <v>46052</v>
      </c>
      <c r="B5689" t="s">
        <v>50</v>
      </c>
      <c r="C5689" t="s">
        <v>20</v>
      </c>
      <c r="D5689" t="s">
        <v>7024</v>
      </c>
      <c r="E5689">
        <v>30</v>
      </c>
    </row>
    <row r="5690" spans="1:5">
      <c r="A5690" s="1">
        <v>46052</v>
      </c>
      <c r="B5690" t="s">
        <v>6695</v>
      </c>
      <c r="C5690" t="s">
        <v>20</v>
      </c>
      <c r="D5690" t="s">
        <v>7025</v>
      </c>
      <c r="E5690">
        <v>1600</v>
      </c>
    </row>
    <row r="5691" spans="1:5">
      <c r="A5691" s="1">
        <v>46052</v>
      </c>
      <c r="B5691" t="s">
        <v>87</v>
      </c>
      <c r="C5691" t="s">
        <v>20</v>
      </c>
      <c r="D5691" t="s">
        <v>7026</v>
      </c>
      <c r="E5691">
        <v>640</v>
      </c>
    </row>
    <row r="5692" spans="1:5">
      <c r="A5692" s="1">
        <v>46052</v>
      </c>
      <c r="B5692" t="s">
        <v>50</v>
      </c>
      <c r="C5692" t="s">
        <v>20</v>
      </c>
      <c r="D5692" t="s">
        <v>7027</v>
      </c>
      <c r="E5692">
        <v>320</v>
      </c>
    </row>
    <row r="5693" spans="1:5">
      <c r="A5693" s="1">
        <v>46052</v>
      </c>
      <c r="B5693" t="s">
        <v>50</v>
      </c>
      <c r="C5693" t="s">
        <v>20</v>
      </c>
      <c r="D5693" t="s">
        <v>7028</v>
      </c>
      <c r="E5693">
        <v>320</v>
      </c>
    </row>
    <row r="5694" spans="1:5">
      <c r="A5694" s="1">
        <v>46052</v>
      </c>
      <c r="B5694" t="s">
        <v>50</v>
      </c>
      <c r="C5694" t="s">
        <v>20</v>
      </c>
      <c r="D5694" t="s">
        <v>7029</v>
      </c>
      <c r="E5694">
        <v>320</v>
      </c>
    </row>
    <row r="5695" spans="1:5">
      <c r="A5695" s="1">
        <v>46052</v>
      </c>
      <c r="B5695" t="s">
        <v>50</v>
      </c>
      <c r="C5695" t="s">
        <v>20</v>
      </c>
      <c r="D5695" t="s">
        <v>7030</v>
      </c>
      <c r="E5695">
        <v>520</v>
      </c>
    </row>
    <row r="5696" spans="1:5">
      <c r="A5696" s="1">
        <v>46052</v>
      </c>
      <c r="B5696" t="s">
        <v>6603</v>
      </c>
      <c r="C5696" t="s">
        <v>20</v>
      </c>
      <c r="D5696" t="s">
        <v>7031</v>
      </c>
      <c r="E5696">
        <v>9300</v>
      </c>
    </row>
    <row r="5697" spans="1:5">
      <c r="A5697" s="1">
        <v>46052</v>
      </c>
      <c r="B5697" t="s">
        <v>6278</v>
      </c>
      <c r="C5697" t="s">
        <v>20</v>
      </c>
      <c r="D5697" t="s">
        <v>7032</v>
      </c>
      <c r="E5697">
        <v>1371</v>
      </c>
    </row>
    <row r="5698" spans="1:5">
      <c r="A5698" s="1">
        <v>46052</v>
      </c>
      <c r="B5698" t="s">
        <v>76</v>
      </c>
      <c r="C5698" t="s">
        <v>20</v>
      </c>
      <c r="D5698" t="s">
        <v>7033</v>
      </c>
      <c r="E5698">
        <v>7350</v>
      </c>
    </row>
    <row r="5699" spans="1:5">
      <c r="A5699" s="1">
        <v>46052</v>
      </c>
      <c r="B5699" t="s">
        <v>50</v>
      </c>
      <c r="C5699" t="s">
        <v>20</v>
      </c>
      <c r="D5699" t="s">
        <v>7034</v>
      </c>
      <c r="E5699">
        <v>350</v>
      </c>
    </row>
    <row r="5700" spans="1:5">
      <c r="A5700" s="1">
        <v>46052</v>
      </c>
      <c r="B5700" t="s">
        <v>7035</v>
      </c>
      <c r="C5700" t="s">
        <v>20</v>
      </c>
      <c r="D5700" t="s">
        <v>7036</v>
      </c>
      <c r="E5700">
        <v>10415</v>
      </c>
    </row>
    <row r="5701" spans="1:5">
      <c r="A5701" s="1">
        <v>46052</v>
      </c>
      <c r="B5701" t="s">
        <v>7037</v>
      </c>
      <c r="C5701" t="s">
        <v>20</v>
      </c>
      <c r="D5701" t="s">
        <v>7038</v>
      </c>
      <c r="E5701">
        <v>160</v>
      </c>
    </row>
    <row r="5702" spans="1:5">
      <c r="A5702" s="1">
        <v>46053</v>
      </c>
      <c r="B5702" t="s">
        <v>2498</v>
      </c>
      <c r="C5702" t="s">
        <v>19</v>
      </c>
      <c r="D5702" t="s">
        <v>7039</v>
      </c>
      <c r="E5702">
        <v>410</v>
      </c>
    </row>
    <row r="5703" spans="1:5">
      <c r="A5703" s="1">
        <v>46053</v>
      </c>
      <c r="B5703" t="s">
        <v>927</v>
      </c>
      <c r="C5703" t="s">
        <v>19</v>
      </c>
      <c r="D5703" t="s">
        <v>7040</v>
      </c>
      <c r="E5703">
        <v>7180</v>
      </c>
    </row>
    <row r="5704" spans="1:5">
      <c r="A5704" s="1">
        <v>46053</v>
      </c>
      <c r="B5704" t="s">
        <v>7041</v>
      </c>
      <c r="C5704" t="s">
        <v>19</v>
      </c>
      <c r="D5704" t="s">
        <v>7042</v>
      </c>
      <c r="E5704">
        <v>17468</v>
      </c>
    </row>
    <row r="5705" spans="1:5">
      <c r="A5705" s="1">
        <v>46053</v>
      </c>
      <c r="B5705" t="s">
        <v>6753</v>
      </c>
      <c r="C5705" t="s">
        <v>19</v>
      </c>
      <c r="D5705" t="s">
        <v>7043</v>
      </c>
      <c r="E5705">
        <v>97085</v>
      </c>
    </row>
    <row r="5706" spans="1:5">
      <c r="A5706" s="1">
        <v>46053</v>
      </c>
      <c r="B5706" t="s">
        <v>50</v>
      </c>
      <c r="C5706" t="s">
        <v>20</v>
      </c>
      <c r="D5706" t="s">
        <v>7044</v>
      </c>
      <c r="E5706">
        <v>80</v>
      </c>
    </row>
    <row r="5707" spans="1:5">
      <c r="A5707" s="1">
        <v>46053</v>
      </c>
      <c r="B5707" t="s">
        <v>4144</v>
      </c>
      <c r="C5707" t="s">
        <v>20</v>
      </c>
      <c r="D5707" t="s">
        <v>7045</v>
      </c>
      <c r="E5707">
        <v>560</v>
      </c>
    </row>
    <row r="5708" spans="1:5">
      <c r="A5708" s="1">
        <v>46053</v>
      </c>
      <c r="B5708" t="s">
        <v>50</v>
      </c>
      <c r="C5708" t="s">
        <v>20</v>
      </c>
      <c r="D5708" t="s">
        <v>7046</v>
      </c>
      <c r="E5708">
        <v>40</v>
      </c>
    </row>
    <row r="5709" spans="1:5">
      <c r="A5709" s="1">
        <v>46053</v>
      </c>
      <c r="B5709" t="s">
        <v>50</v>
      </c>
      <c r="C5709" t="s">
        <v>20</v>
      </c>
      <c r="D5709" t="s">
        <v>7047</v>
      </c>
      <c r="E5709">
        <v>320</v>
      </c>
    </row>
    <row r="5710" spans="1:5">
      <c r="A5710" s="1">
        <v>46053</v>
      </c>
      <c r="B5710" t="s">
        <v>4329</v>
      </c>
      <c r="C5710" t="s">
        <v>20</v>
      </c>
      <c r="D5710" t="s">
        <v>7048</v>
      </c>
      <c r="E5710">
        <v>953</v>
      </c>
    </row>
    <row r="5711" spans="1:5">
      <c r="A5711" s="1">
        <v>46053</v>
      </c>
      <c r="B5711" t="s">
        <v>2815</v>
      </c>
      <c r="C5711" t="s">
        <v>20</v>
      </c>
      <c r="D5711" t="s">
        <v>7049</v>
      </c>
      <c r="E5711">
        <v>3100</v>
      </c>
    </row>
    <row r="5712" spans="1:5">
      <c r="A5712" s="1">
        <v>46053</v>
      </c>
      <c r="B5712" t="s">
        <v>6058</v>
      </c>
      <c r="C5712" t="s">
        <v>20</v>
      </c>
      <c r="D5712" t="s">
        <v>7050</v>
      </c>
      <c r="E5712">
        <v>1600</v>
      </c>
    </row>
    <row r="5713" spans="1:5">
      <c r="A5713" s="1">
        <v>46053</v>
      </c>
      <c r="B5713" t="s">
        <v>68</v>
      </c>
      <c r="C5713" t="s">
        <v>20</v>
      </c>
      <c r="D5713" t="s">
        <v>7051</v>
      </c>
      <c r="E5713">
        <v>2042</v>
      </c>
    </row>
    <row r="5714" spans="1:5">
      <c r="A5714" s="1">
        <v>46053</v>
      </c>
      <c r="B5714" t="s">
        <v>7052</v>
      </c>
      <c r="C5714" t="s">
        <v>20</v>
      </c>
      <c r="D5714" t="s">
        <v>7053</v>
      </c>
      <c r="E5714">
        <v>4976</v>
      </c>
    </row>
    <row r="5715" spans="1:5">
      <c r="A5715" s="1">
        <v>46053</v>
      </c>
      <c r="B5715" t="s">
        <v>50</v>
      </c>
      <c r="C5715" t="s">
        <v>20</v>
      </c>
      <c r="D5715" t="s">
        <v>7054</v>
      </c>
      <c r="E5715">
        <v>20</v>
      </c>
    </row>
    <row r="5716" spans="1:5">
      <c r="A5716" s="1">
        <v>46053</v>
      </c>
      <c r="B5716" t="s">
        <v>6429</v>
      </c>
      <c r="C5716" t="s">
        <v>20</v>
      </c>
      <c r="D5716" t="s">
        <v>7055</v>
      </c>
      <c r="E5716">
        <v>6949</v>
      </c>
    </row>
    <row r="5717" spans="1:5">
      <c r="A5717" s="1">
        <v>46053</v>
      </c>
      <c r="B5717" t="s">
        <v>50</v>
      </c>
      <c r="C5717" t="s">
        <v>20</v>
      </c>
      <c r="D5717" t="s">
        <v>7056</v>
      </c>
      <c r="E5717">
        <v>20</v>
      </c>
    </row>
    <row r="5718" spans="1:5">
      <c r="A5718" s="1">
        <v>46053</v>
      </c>
      <c r="B5718" t="s">
        <v>6846</v>
      </c>
      <c r="C5718" t="s">
        <v>20</v>
      </c>
      <c r="D5718" t="s">
        <v>7057</v>
      </c>
      <c r="E5718">
        <v>640</v>
      </c>
    </row>
    <row r="5719" spans="1:5">
      <c r="A5719" s="1">
        <v>46053</v>
      </c>
      <c r="B5719" t="s">
        <v>6840</v>
      </c>
      <c r="C5719" t="s">
        <v>20</v>
      </c>
      <c r="D5719" t="s">
        <v>7058</v>
      </c>
      <c r="E5719">
        <v>48885</v>
      </c>
    </row>
    <row r="5720" spans="1:5">
      <c r="A5720" s="1">
        <v>46053</v>
      </c>
      <c r="B5720" t="s">
        <v>6014</v>
      </c>
      <c r="C5720" t="s">
        <v>20</v>
      </c>
      <c r="D5720" t="s">
        <v>7059</v>
      </c>
      <c r="E5720">
        <v>472</v>
      </c>
    </row>
    <row r="5721" spans="1:5">
      <c r="A5721" s="1">
        <v>46053</v>
      </c>
      <c r="B5721" t="s">
        <v>2233</v>
      </c>
      <c r="C5721" t="s">
        <v>20</v>
      </c>
      <c r="D5721" t="s">
        <v>7060</v>
      </c>
      <c r="E5721">
        <v>61290</v>
      </c>
    </row>
    <row r="5722" spans="1:5">
      <c r="A5722" s="1">
        <v>46053</v>
      </c>
      <c r="B5722" t="s">
        <v>6840</v>
      </c>
      <c r="C5722" t="s">
        <v>20</v>
      </c>
      <c r="D5722" t="s">
        <v>7061</v>
      </c>
      <c r="E5722">
        <v>3675</v>
      </c>
    </row>
    <row r="5723" spans="1:5">
      <c r="A5723" s="1">
        <v>46053</v>
      </c>
      <c r="B5723" t="s">
        <v>76</v>
      </c>
      <c r="C5723" t="s">
        <v>20</v>
      </c>
      <c r="D5723" t="s">
        <v>7062</v>
      </c>
      <c r="E5723">
        <v>2917</v>
      </c>
    </row>
    <row r="5724" spans="1:5">
      <c r="A5724" s="1">
        <v>46053</v>
      </c>
      <c r="B5724" t="s">
        <v>4959</v>
      </c>
      <c r="C5724" t="s">
        <v>20</v>
      </c>
      <c r="D5724" t="s">
        <v>7063</v>
      </c>
      <c r="E5724">
        <v>4228</v>
      </c>
    </row>
    <row r="5725" spans="1:5">
      <c r="A5725" s="1">
        <v>46053</v>
      </c>
      <c r="B5725" t="s">
        <v>4144</v>
      </c>
      <c r="C5725" t="s">
        <v>20</v>
      </c>
      <c r="D5725" t="s">
        <v>7064</v>
      </c>
      <c r="E5725">
        <v>101370</v>
      </c>
    </row>
    <row r="5726" spans="1:5">
      <c r="A5726" s="1">
        <v>46053</v>
      </c>
      <c r="B5726" t="s">
        <v>7065</v>
      </c>
      <c r="C5726" t="s">
        <v>20</v>
      </c>
      <c r="D5726" t="s">
        <v>7066</v>
      </c>
      <c r="E5726">
        <v>1600</v>
      </c>
    </row>
    <row r="5727" spans="1:5">
      <c r="A5727" s="1">
        <v>46053</v>
      </c>
      <c r="B5727" t="s">
        <v>7067</v>
      </c>
      <c r="C5727" t="s">
        <v>20</v>
      </c>
      <c r="D5727" t="s">
        <v>7068</v>
      </c>
      <c r="E5727">
        <v>8334</v>
      </c>
    </row>
    <row r="5728" spans="1:5">
      <c r="A5728" s="1">
        <v>46053</v>
      </c>
      <c r="B5728" t="s">
        <v>7037</v>
      </c>
      <c r="C5728" t="s">
        <v>20</v>
      </c>
      <c r="D5728" t="s">
        <v>7069</v>
      </c>
      <c r="E5728">
        <v>160</v>
      </c>
    </row>
    <row r="5729" spans="1:5">
      <c r="A5729" s="1">
        <v>46054</v>
      </c>
      <c r="B5729" t="s">
        <v>188</v>
      </c>
      <c r="C5729" t="s">
        <v>20</v>
      </c>
      <c r="D5729" t="s">
        <v>7070</v>
      </c>
      <c r="E5729">
        <v>2404</v>
      </c>
    </row>
    <row r="5730" spans="1:5">
      <c r="A5730" s="1">
        <v>46055</v>
      </c>
      <c r="B5730" t="s">
        <v>2498</v>
      </c>
      <c r="C5730" t="s">
        <v>19</v>
      </c>
      <c r="D5730" t="s">
        <v>7071</v>
      </c>
      <c r="E5730">
        <v>500</v>
      </c>
    </row>
    <row r="5731" spans="1:5">
      <c r="A5731" s="1">
        <v>46055</v>
      </c>
      <c r="B5731" t="s">
        <v>1104</v>
      </c>
      <c r="C5731" t="s">
        <v>19</v>
      </c>
      <c r="D5731" t="s">
        <v>7072</v>
      </c>
      <c r="E5731">
        <v>45405</v>
      </c>
    </row>
    <row r="5732" spans="1:5">
      <c r="A5732" s="1">
        <v>46055</v>
      </c>
      <c r="B5732" t="s">
        <v>712</v>
      </c>
      <c r="C5732" t="s">
        <v>19</v>
      </c>
      <c r="D5732" t="s">
        <v>7073</v>
      </c>
      <c r="E5732">
        <v>12212</v>
      </c>
    </row>
    <row r="5733" spans="1:5">
      <c r="A5733" s="1">
        <v>46055</v>
      </c>
      <c r="B5733" t="s">
        <v>6753</v>
      </c>
      <c r="C5733" t="s">
        <v>19</v>
      </c>
      <c r="D5733" t="s">
        <v>7074</v>
      </c>
      <c r="E5733">
        <v>9300</v>
      </c>
    </row>
    <row r="5734" spans="1:5">
      <c r="A5734" s="1">
        <v>46055</v>
      </c>
      <c r="B5734" t="s">
        <v>7075</v>
      </c>
      <c r="C5734" t="s">
        <v>19</v>
      </c>
      <c r="D5734" t="s">
        <v>7076</v>
      </c>
      <c r="E5734">
        <v>45072</v>
      </c>
    </row>
    <row r="5735" spans="1:5">
      <c r="A5735" s="1">
        <v>46055</v>
      </c>
      <c r="B5735" t="s">
        <v>1216</v>
      </c>
      <c r="C5735" t="s">
        <v>20</v>
      </c>
      <c r="D5735" t="s">
        <v>7077</v>
      </c>
      <c r="E5735">
        <v>9400</v>
      </c>
    </row>
    <row r="5736" spans="1:5">
      <c r="A5736" s="1">
        <v>46055</v>
      </c>
      <c r="B5736" t="s">
        <v>76</v>
      </c>
      <c r="C5736" t="s">
        <v>20</v>
      </c>
      <c r="D5736" t="s">
        <v>7078</v>
      </c>
      <c r="E5736">
        <v>12400</v>
      </c>
    </row>
    <row r="5737" spans="1:5">
      <c r="A5737" s="1">
        <v>46055</v>
      </c>
      <c r="B5737" t="s">
        <v>455</v>
      </c>
      <c r="C5737" t="s">
        <v>20</v>
      </c>
      <c r="D5737" t="s">
        <v>7079</v>
      </c>
      <c r="E5737">
        <v>36823</v>
      </c>
    </row>
    <row r="5738" spans="1:5">
      <c r="A5738" s="1">
        <v>46055</v>
      </c>
      <c r="B5738" t="s">
        <v>4144</v>
      </c>
      <c r="C5738" t="s">
        <v>20</v>
      </c>
      <c r="D5738" t="s">
        <v>7080</v>
      </c>
      <c r="E5738">
        <v>756</v>
      </c>
    </row>
    <row r="5739" spans="1:5">
      <c r="A5739" s="1">
        <v>46055</v>
      </c>
      <c r="B5739" t="s">
        <v>4144</v>
      </c>
      <c r="C5739" t="s">
        <v>20</v>
      </c>
      <c r="D5739" t="s">
        <v>7081</v>
      </c>
      <c r="E5739">
        <v>45500</v>
      </c>
    </row>
    <row r="5740" spans="1:5">
      <c r="A5740" s="1">
        <v>46055</v>
      </c>
      <c r="B5740" t="s">
        <v>7082</v>
      </c>
      <c r="C5740" t="s">
        <v>20</v>
      </c>
      <c r="D5740" t="s">
        <v>7083</v>
      </c>
      <c r="E5740">
        <v>3100</v>
      </c>
    </row>
    <row r="5741" spans="1:5">
      <c r="A5741" s="1">
        <v>46055</v>
      </c>
      <c r="B5741" t="s">
        <v>321</v>
      </c>
      <c r="C5741" t="s">
        <v>20</v>
      </c>
      <c r="D5741" t="s">
        <v>7084</v>
      </c>
      <c r="E5741">
        <v>1910</v>
      </c>
    </row>
    <row r="5742" spans="1:5">
      <c r="A5742" s="1">
        <v>46055</v>
      </c>
      <c r="B5742" t="s">
        <v>6840</v>
      </c>
      <c r="C5742" t="s">
        <v>20</v>
      </c>
      <c r="D5742" t="s">
        <v>7085</v>
      </c>
      <c r="E5742">
        <v>10500</v>
      </c>
    </row>
    <row r="5743" spans="1:5">
      <c r="A5743" s="1">
        <v>46055</v>
      </c>
      <c r="B5743" t="s">
        <v>844</v>
      </c>
      <c r="C5743" t="s">
        <v>20</v>
      </c>
      <c r="D5743" t="s">
        <v>7086</v>
      </c>
      <c r="E5743">
        <v>9900</v>
      </c>
    </row>
    <row r="5744" spans="1:5">
      <c r="A5744" s="1">
        <v>46055</v>
      </c>
      <c r="B5744" t="s">
        <v>1216</v>
      </c>
      <c r="C5744" t="s">
        <v>20</v>
      </c>
      <c r="D5744" t="s">
        <v>7087</v>
      </c>
      <c r="E5744">
        <v>3100</v>
      </c>
    </row>
    <row r="5745" spans="1:5">
      <c r="A5745" s="1">
        <v>46055</v>
      </c>
      <c r="B5745" t="s">
        <v>2024</v>
      </c>
      <c r="C5745" t="s">
        <v>20</v>
      </c>
      <c r="D5745" t="s">
        <v>7088</v>
      </c>
      <c r="E5745">
        <v>12060</v>
      </c>
    </row>
    <row r="5746" spans="1:5">
      <c r="A5746" s="1">
        <v>46055</v>
      </c>
      <c r="B5746" t="s">
        <v>7089</v>
      </c>
      <c r="C5746" t="s">
        <v>20</v>
      </c>
      <c r="D5746" t="s">
        <v>7090</v>
      </c>
      <c r="E5746">
        <v>6277</v>
      </c>
    </row>
    <row r="5747" spans="1:5">
      <c r="A5747" s="1">
        <v>46055</v>
      </c>
      <c r="B5747" t="s">
        <v>7091</v>
      </c>
      <c r="C5747" t="s">
        <v>20</v>
      </c>
      <c r="D5747" t="s">
        <v>7092</v>
      </c>
      <c r="E5747">
        <v>3945</v>
      </c>
    </row>
    <row r="5748" spans="1:5">
      <c r="A5748" s="1">
        <v>46055</v>
      </c>
      <c r="B5748" t="s">
        <v>188</v>
      </c>
      <c r="C5748" t="s">
        <v>20</v>
      </c>
      <c r="D5748" t="s">
        <v>7093</v>
      </c>
      <c r="E5748">
        <v>2394</v>
      </c>
    </row>
    <row r="5749" spans="1:5">
      <c r="A5749" s="1">
        <v>46055</v>
      </c>
      <c r="B5749" t="s">
        <v>254</v>
      </c>
      <c r="C5749" t="s">
        <v>20</v>
      </c>
      <c r="D5749" t="s">
        <v>7094</v>
      </c>
      <c r="E5749">
        <v>960</v>
      </c>
    </row>
    <row r="5750" spans="1:5">
      <c r="A5750" s="1">
        <v>46055</v>
      </c>
      <c r="B5750" t="s">
        <v>619</v>
      </c>
      <c r="C5750" t="s">
        <v>20</v>
      </c>
      <c r="D5750" t="s">
        <v>7095</v>
      </c>
      <c r="E5750">
        <v>1093</v>
      </c>
    </row>
    <row r="5751" spans="1:5">
      <c r="A5751" s="1">
        <v>46055</v>
      </c>
      <c r="B5751" t="s">
        <v>4089</v>
      </c>
      <c r="C5751" t="s">
        <v>20</v>
      </c>
      <c r="D5751" t="s">
        <v>7096</v>
      </c>
      <c r="E5751">
        <v>16843</v>
      </c>
    </row>
    <row r="5752" spans="1:5">
      <c r="A5752" s="1">
        <v>46055</v>
      </c>
      <c r="B5752" t="s">
        <v>856</v>
      </c>
      <c r="C5752" t="s">
        <v>20</v>
      </c>
      <c r="D5752" t="s">
        <v>7097</v>
      </c>
      <c r="E5752">
        <v>10333</v>
      </c>
    </row>
    <row r="5753" spans="1:5">
      <c r="A5753" s="1">
        <v>46055</v>
      </c>
      <c r="B5753" t="s">
        <v>7098</v>
      </c>
      <c r="C5753" t="s">
        <v>20</v>
      </c>
      <c r="D5753" t="s">
        <v>7099</v>
      </c>
      <c r="E5753">
        <v>8436</v>
      </c>
    </row>
    <row r="5754" spans="1:5">
      <c r="A5754" s="1">
        <v>46055</v>
      </c>
      <c r="B5754" t="s">
        <v>6255</v>
      </c>
      <c r="C5754" t="s">
        <v>20</v>
      </c>
      <c r="D5754" t="s">
        <v>7100</v>
      </c>
      <c r="E5754">
        <v>21911</v>
      </c>
    </row>
    <row r="5755" spans="1:5">
      <c r="A5755" s="1">
        <v>46055</v>
      </c>
      <c r="B5755" t="s">
        <v>7101</v>
      </c>
      <c r="C5755" t="s">
        <v>20</v>
      </c>
      <c r="D5755" t="s">
        <v>7102</v>
      </c>
      <c r="E5755">
        <v>83158</v>
      </c>
    </row>
    <row r="5756" spans="1:5">
      <c r="A5756" s="1">
        <v>46055</v>
      </c>
      <c r="B5756" t="s">
        <v>7103</v>
      </c>
      <c r="C5756" t="s">
        <v>20</v>
      </c>
      <c r="D5756" t="s">
        <v>7104</v>
      </c>
      <c r="E5756">
        <v>4156</v>
      </c>
    </row>
    <row r="5757" spans="1:5">
      <c r="A5757" s="1">
        <v>46056</v>
      </c>
      <c r="B5757" t="s">
        <v>586</v>
      </c>
      <c r="C5757" t="s">
        <v>19</v>
      </c>
      <c r="D5757" t="s">
        <v>7105</v>
      </c>
      <c r="E5757">
        <v>320</v>
      </c>
    </row>
    <row r="5758" spans="1:5">
      <c r="A5758" s="1">
        <v>46056</v>
      </c>
      <c r="B5758" t="s">
        <v>1628</v>
      </c>
      <c r="C5758" t="s">
        <v>19</v>
      </c>
      <c r="D5758" t="s">
        <v>7106</v>
      </c>
      <c r="E5758">
        <v>7774</v>
      </c>
    </row>
    <row r="5759" spans="1:5">
      <c r="A5759" s="1">
        <v>46056</v>
      </c>
      <c r="B5759" t="s">
        <v>4669</v>
      </c>
      <c r="C5759" t="s">
        <v>19</v>
      </c>
      <c r="D5759" t="s">
        <v>7107</v>
      </c>
      <c r="E5759">
        <v>7920</v>
      </c>
    </row>
    <row r="5760" spans="1:5">
      <c r="A5760" s="1">
        <v>46056</v>
      </c>
      <c r="B5760" t="s">
        <v>5086</v>
      </c>
      <c r="C5760" t="s">
        <v>20</v>
      </c>
      <c r="D5760" t="s">
        <v>7108</v>
      </c>
      <c r="E5760">
        <v>1920</v>
      </c>
    </row>
    <row r="5761" spans="1:5">
      <c r="A5761" s="1">
        <v>46056</v>
      </c>
      <c r="B5761" t="s">
        <v>7109</v>
      </c>
      <c r="C5761" t="s">
        <v>20</v>
      </c>
      <c r="D5761" t="s">
        <v>7110</v>
      </c>
      <c r="E5761">
        <v>320</v>
      </c>
    </row>
    <row r="5762" spans="1:5">
      <c r="A5762" s="1">
        <v>46056</v>
      </c>
      <c r="B5762" t="s">
        <v>2898</v>
      </c>
      <c r="C5762" t="s">
        <v>20</v>
      </c>
      <c r="D5762" t="s">
        <v>7111</v>
      </c>
      <c r="E5762">
        <v>320</v>
      </c>
    </row>
    <row r="5763" spans="1:5">
      <c r="A5763" s="1">
        <v>46056</v>
      </c>
      <c r="B5763" t="s">
        <v>1916</v>
      </c>
      <c r="C5763" t="s">
        <v>20</v>
      </c>
      <c r="D5763" t="s">
        <v>7112</v>
      </c>
      <c r="E5763">
        <v>14340</v>
      </c>
    </row>
    <row r="5764" spans="1:5">
      <c r="A5764" s="1">
        <v>46056</v>
      </c>
      <c r="B5764" t="s">
        <v>2288</v>
      </c>
      <c r="C5764" t="s">
        <v>20</v>
      </c>
      <c r="D5764" t="s">
        <v>7113</v>
      </c>
      <c r="E5764">
        <v>6200</v>
      </c>
    </row>
    <row r="5765" spans="1:5">
      <c r="A5765" s="1">
        <v>46056</v>
      </c>
      <c r="B5765" t="s">
        <v>50</v>
      </c>
      <c r="C5765" t="s">
        <v>20</v>
      </c>
      <c r="D5765" t="s">
        <v>7114</v>
      </c>
      <c r="E5765">
        <v>640</v>
      </c>
    </row>
    <row r="5766" spans="1:5">
      <c r="A5766" s="1">
        <v>46056</v>
      </c>
      <c r="B5766" t="s">
        <v>2233</v>
      </c>
      <c r="C5766" t="s">
        <v>20</v>
      </c>
      <c r="D5766" t="s">
        <v>7115</v>
      </c>
      <c r="E5766">
        <v>3840</v>
      </c>
    </row>
    <row r="5767" spans="1:5">
      <c r="A5767" s="1">
        <v>46056</v>
      </c>
      <c r="B5767" t="s">
        <v>254</v>
      </c>
      <c r="C5767" t="s">
        <v>20</v>
      </c>
      <c r="D5767" t="s">
        <v>7116</v>
      </c>
      <c r="E5767">
        <v>640</v>
      </c>
    </row>
    <row r="5768" spans="1:5">
      <c r="A5768" s="1">
        <v>46056</v>
      </c>
      <c r="B5768" t="s">
        <v>2099</v>
      </c>
      <c r="C5768" t="s">
        <v>20</v>
      </c>
      <c r="D5768" t="s">
        <v>7117</v>
      </c>
      <c r="E5768">
        <v>24922</v>
      </c>
    </row>
    <row r="5769" spans="1:5">
      <c r="A5769" s="1">
        <v>46056</v>
      </c>
      <c r="B5769" t="s">
        <v>5711</v>
      </c>
      <c r="C5769" t="s">
        <v>20</v>
      </c>
      <c r="D5769" t="s">
        <v>7118</v>
      </c>
      <c r="E5769">
        <v>22530</v>
      </c>
    </row>
    <row r="5770" spans="1:5">
      <c r="A5770" s="1">
        <v>46056</v>
      </c>
      <c r="B5770" t="s">
        <v>331</v>
      </c>
      <c r="C5770" t="s">
        <v>20</v>
      </c>
      <c r="D5770" t="s">
        <v>7119</v>
      </c>
      <c r="E5770">
        <v>4220</v>
      </c>
    </row>
    <row r="5771" spans="1:5">
      <c r="A5771" s="1">
        <v>46056</v>
      </c>
      <c r="B5771" t="s">
        <v>7120</v>
      </c>
      <c r="C5771" t="s">
        <v>20</v>
      </c>
      <c r="D5771" t="s">
        <v>7121</v>
      </c>
      <c r="E5771">
        <v>7071</v>
      </c>
    </row>
    <row r="5772" spans="1:5">
      <c r="A5772" s="1">
        <v>46056</v>
      </c>
      <c r="B5772" t="s">
        <v>4144</v>
      </c>
      <c r="C5772" t="s">
        <v>20</v>
      </c>
      <c r="D5772" t="s">
        <v>7122</v>
      </c>
      <c r="E5772">
        <v>5244</v>
      </c>
    </row>
    <row r="5773" spans="1:5">
      <c r="A5773" s="1">
        <v>46056</v>
      </c>
      <c r="B5773" t="s">
        <v>50</v>
      </c>
      <c r="C5773" t="s">
        <v>20</v>
      </c>
      <c r="D5773" t="s">
        <v>7123</v>
      </c>
      <c r="E5773">
        <v>320</v>
      </c>
    </row>
    <row r="5774" spans="1:5">
      <c r="A5774" s="1">
        <v>46056</v>
      </c>
      <c r="B5774" t="s">
        <v>50</v>
      </c>
      <c r="C5774" t="s">
        <v>20</v>
      </c>
      <c r="D5774" t="s">
        <v>7124</v>
      </c>
      <c r="E5774">
        <v>352</v>
      </c>
    </row>
    <row r="5775" spans="1:5">
      <c r="A5775" s="1">
        <v>46056</v>
      </c>
      <c r="B5775" t="s">
        <v>7125</v>
      </c>
      <c r="C5775" t="s">
        <v>20</v>
      </c>
      <c r="D5775" t="s">
        <v>7126</v>
      </c>
      <c r="E5775">
        <v>85126</v>
      </c>
    </row>
    <row r="5776" spans="1:5">
      <c r="A5776" s="1">
        <v>46056</v>
      </c>
      <c r="B5776" t="s">
        <v>7127</v>
      </c>
      <c r="C5776" t="s">
        <v>20</v>
      </c>
      <c r="D5776" t="s">
        <v>7128</v>
      </c>
      <c r="E5776">
        <v>7360</v>
      </c>
    </row>
    <row r="5777" spans="1:5">
      <c r="A5777" s="1">
        <v>46057</v>
      </c>
      <c r="B5777" t="s">
        <v>180</v>
      </c>
      <c r="C5777" t="s">
        <v>19</v>
      </c>
      <c r="D5777" t="s">
        <v>7129</v>
      </c>
      <c r="E5777">
        <v>32000</v>
      </c>
    </row>
    <row r="5778" spans="1:5">
      <c r="A5778" s="1">
        <v>46057</v>
      </c>
      <c r="B5778" t="s">
        <v>6613</v>
      </c>
      <c r="C5778" t="s">
        <v>19</v>
      </c>
      <c r="D5778" t="s">
        <v>7130</v>
      </c>
      <c r="E5778">
        <v>45663</v>
      </c>
    </row>
    <row r="5779" spans="1:5">
      <c r="A5779" s="1">
        <v>46057</v>
      </c>
      <c r="B5779" t="s">
        <v>6603</v>
      </c>
      <c r="C5779" t="s">
        <v>20</v>
      </c>
      <c r="D5779" t="s">
        <v>7131</v>
      </c>
      <c r="E5779">
        <v>15500</v>
      </c>
    </row>
    <row r="5780" spans="1:5">
      <c r="A5780" s="1">
        <v>46057</v>
      </c>
      <c r="B5780" t="s">
        <v>375</v>
      </c>
      <c r="C5780" t="s">
        <v>20</v>
      </c>
      <c r="D5780" t="s">
        <v>7132</v>
      </c>
      <c r="E5780">
        <v>60</v>
      </c>
    </row>
    <row r="5781" spans="1:5">
      <c r="A5781" s="1">
        <v>46057</v>
      </c>
      <c r="B5781" t="s">
        <v>50</v>
      </c>
      <c r="C5781" t="s">
        <v>20</v>
      </c>
      <c r="D5781" t="s">
        <v>7133</v>
      </c>
      <c r="E5781">
        <v>20</v>
      </c>
    </row>
    <row r="5782" spans="1:5">
      <c r="A5782" s="1">
        <v>46057</v>
      </c>
      <c r="B5782" t="s">
        <v>68</v>
      </c>
      <c r="C5782" t="s">
        <v>20</v>
      </c>
      <c r="D5782" t="s">
        <v>7134</v>
      </c>
      <c r="E5782">
        <v>110</v>
      </c>
    </row>
    <row r="5783" spans="1:5">
      <c r="A5783" s="1">
        <v>46057</v>
      </c>
      <c r="B5783" t="s">
        <v>6278</v>
      </c>
      <c r="C5783" t="s">
        <v>20</v>
      </c>
      <c r="D5783" t="s">
        <v>7135</v>
      </c>
      <c r="E5783">
        <v>9577</v>
      </c>
    </row>
    <row r="5784" spans="1:5">
      <c r="A5784" s="1">
        <v>46057</v>
      </c>
      <c r="B5784" t="s">
        <v>5711</v>
      </c>
      <c r="C5784" t="s">
        <v>20</v>
      </c>
      <c r="D5784" t="s">
        <v>7136</v>
      </c>
      <c r="E5784">
        <v>10067</v>
      </c>
    </row>
    <row r="5785" spans="1:5">
      <c r="A5785" s="1">
        <v>46057</v>
      </c>
      <c r="B5785" t="s">
        <v>5069</v>
      </c>
      <c r="C5785" t="s">
        <v>20</v>
      </c>
      <c r="D5785" t="s">
        <v>7137</v>
      </c>
      <c r="E5785">
        <v>6736</v>
      </c>
    </row>
    <row r="5786" spans="1:5">
      <c r="A5786" s="1">
        <v>46057</v>
      </c>
      <c r="B5786" t="s">
        <v>50</v>
      </c>
      <c r="C5786" t="s">
        <v>20</v>
      </c>
      <c r="D5786" t="s">
        <v>7138</v>
      </c>
      <c r="E5786">
        <v>320</v>
      </c>
    </row>
    <row r="5787" spans="1:5">
      <c r="A5787" s="1">
        <v>46057</v>
      </c>
      <c r="B5787" t="s">
        <v>50</v>
      </c>
      <c r="C5787" t="s">
        <v>20</v>
      </c>
      <c r="D5787" t="s">
        <v>7139</v>
      </c>
      <c r="E5787">
        <v>310</v>
      </c>
    </row>
    <row r="5788" spans="1:5">
      <c r="A5788" s="1">
        <v>46057</v>
      </c>
      <c r="B5788" t="s">
        <v>50</v>
      </c>
      <c r="C5788" t="s">
        <v>20</v>
      </c>
      <c r="D5788" t="s">
        <v>7140</v>
      </c>
      <c r="E5788">
        <v>110</v>
      </c>
    </row>
    <row r="5789" spans="1:5">
      <c r="A5789" s="1">
        <v>46057</v>
      </c>
      <c r="B5789" t="s">
        <v>6133</v>
      </c>
      <c r="C5789" t="s">
        <v>20</v>
      </c>
      <c r="D5789" t="s">
        <v>7141</v>
      </c>
      <c r="E5789">
        <v>1278</v>
      </c>
    </row>
    <row r="5790" spans="1:5">
      <c r="A5790" s="1">
        <v>46057</v>
      </c>
      <c r="B5790" t="s">
        <v>2350</v>
      </c>
      <c r="C5790" t="s">
        <v>20</v>
      </c>
      <c r="D5790" t="s">
        <v>7142</v>
      </c>
      <c r="E5790">
        <v>382</v>
      </c>
    </row>
    <row r="5791" spans="1:5">
      <c r="A5791" s="1">
        <v>46057</v>
      </c>
      <c r="B5791" t="s">
        <v>76</v>
      </c>
      <c r="C5791" t="s">
        <v>20</v>
      </c>
      <c r="D5791" t="s">
        <v>7143</v>
      </c>
      <c r="E5791">
        <v>16840</v>
      </c>
    </row>
    <row r="5792" spans="1:5">
      <c r="A5792" s="1">
        <v>46057</v>
      </c>
      <c r="B5792" t="s">
        <v>6985</v>
      </c>
      <c r="C5792" t="s">
        <v>20</v>
      </c>
      <c r="D5792" t="s">
        <v>7144</v>
      </c>
      <c r="E5792">
        <v>13691</v>
      </c>
    </row>
    <row r="5793" spans="1:5">
      <c r="A5793" s="1">
        <v>46057</v>
      </c>
      <c r="B5793" t="s">
        <v>6889</v>
      </c>
      <c r="C5793" t="s">
        <v>20</v>
      </c>
      <c r="D5793" t="s">
        <v>7145</v>
      </c>
      <c r="E5793">
        <v>100</v>
      </c>
    </row>
    <row r="5794" spans="1:5">
      <c r="A5794" s="1">
        <v>46057</v>
      </c>
      <c r="B5794" t="s">
        <v>844</v>
      </c>
      <c r="C5794" t="s">
        <v>20</v>
      </c>
      <c r="D5794" t="s">
        <v>7146</v>
      </c>
      <c r="E5794">
        <v>9900</v>
      </c>
    </row>
    <row r="5795" spans="1:5">
      <c r="A5795" s="1">
        <v>46057</v>
      </c>
      <c r="B5795" t="s">
        <v>4329</v>
      </c>
      <c r="C5795" t="s">
        <v>20</v>
      </c>
      <c r="D5795" t="s">
        <v>7147</v>
      </c>
      <c r="E5795">
        <v>1928</v>
      </c>
    </row>
    <row r="5796" spans="1:5">
      <c r="A5796" s="1">
        <v>46057</v>
      </c>
      <c r="B5796" t="s">
        <v>856</v>
      </c>
      <c r="C5796" t="s">
        <v>20</v>
      </c>
      <c r="D5796" t="s">
        <v>7148</v>
      </c>
      <c r="E5796">
        <v>2088</v>
      </c>
    </row>
    <row r="5797" spans="1:5">
      <c r="A5797" s="1">
        <v>46057</v>
      </c>
      <c r="B5797" t="s">
        <v>7149</v>
      </c>
      <c r="C5797" t="s">
        <v>20</v>
      </c>
      <c r="D5797" t="s">
        <v>7150</v>
      </c>
      <c r="E5797">
        <v>4090</v>
      </c>
    </row>
    <row r="5798" spans="1:5">
      <c r="A5798" s="1">
        <v>46057</v>
      </c>
      <c r="B5798" t="s">
        <v>455</v>
      </c>
      <c r="C5798" t="s">
        <v>20</v>
      </c>
      <c r="D5798" t="s">
        <v>7151</v>
      </c>
      <c r="E5798">
        <v>904</v>
      </c>
    </row>
    <row r="5799" spans="1:5">
      <c r="A5799" s="1">
        <v>46058</v>
      </c>
      <c r="B5799" t="s">
        <v>56</v>
      </c>
      <c r="C5799" t="s">
        <v>19</v>
      </c>
      <c r="D5799" t="s">
        <v>7152</v>
      </c>
      <c r="E5799">
        <v>2973</v>
      </c>
    </row>
    <row r="5800" spans="1:5">
      <c r="A5800" s="1">
        <v>46058</v>
      </c>
      <c r="B5800" t="s">
        <v>7153</v>
      </c>
      <c r="C5800" t="s">
        <v>19</v>
      </c>
      <c r="D5800" t="s">
        <v>7154</v>
      </c>
      <c r="E5800">
        <v>15500</v>
      </c>
    </row>
    <row r="5801" spans="1:5">
      <c r="A5801" s="1">
        <v>46058</v>
      </c>
      <c r="B5801" t="s">
        <v>7155</v>
      </c>
      <c r="C5801" t="s">
        <v>19</v>
      </c>
      <c r="D5801" t="s">
        <v>7156</v>
      </c>
      <c r="E5801">
        <v>9817</v>
      </c>
    </row>
    <row r="5802" spans="1:5">
      <c r="A5802" s="1">
        <v>46058</v>
      </c>
      <c r="B5802" t="s">
        <v>2498</v>
      </c>
      <c r="C5802" t="s">
        <v>19</v>
      </c>
      <c r="D5802" t="s">
        <v>7157</v>
      </c>
      <c r="E5802">
        <v>80</v>
      </c>
    </row>
    <row r="5803" spans="1:5">
      <c r="A5803" s="1">
        <v>46058</v>
      </c>
      <c r="B5803" t="s">
        <v>56</v>
      </c>
      <c r="C5803" t="s">
        <v>19</v>
      </c>
      <c r="D5803" t="s">
        <v>7158</v>
      </c>
      <c r="E5803">
        <v>2973</v>
      </c>
    </row>
    <row r="5804" spans="1:5">
      <c r="A5804" s="1">
        <v>46058</v>
      </c>
      <c r="B5804" t="s">
        <v>7159</v>
      </c>
      <c r="C5804" t="s">
        <v>19</v>
      </c>
      <c r="D5804" t="s">
        <v>7160</v>
      </c>
      <c r="E5804">
        <v>47422</v>
      </c>
    </row>
    <row r="5805" spans="1:5">
      <c r="A5805" s="1">
        <v>46058</v>
      </c>
      <c r="B5805" t="s">
        <v>50</v>
      </c>
      <c r="C5805" t="s">
        <v>20</v>
      </c>
      <c r="D5805" t="s">
        <v>7161</v>
      </c>
      <c r="E5805">
        <v>320</v>
      </c>
    </row>
    <row r="5806" spans="1:5">
      <c r="A5806" s="1">
        <v>46058</v>
      </c>
      <c r="B5806" t="s">
        <v>6278</v>
      </c>
      <c r="C5806" t="s">
        <v>20</v>
      </c>
      <c r="D5806" t="s">
        <v>7162</v>
      </c>
      <c r="E5806">
        <v>6348</v>
      </c>
    </row>
    <row r="5807" spans="1:5">
      <c r="A5807" s="1">
        <v>46058</v>
      </c>
      <c r="B5807" t="s">
        <v>5899</v>
      </c>
      <c r="C5807" t="s">
        <v>20</v>
      </c>
      <c r="D5807" t="s">
        <v>7163</v>
      </c>
      <c r="E5807">
        <v>2680</v>
      </c>
    </row>
    <row r="5808" spans="1:5">
      <c r="A5808" s="1">
        <v>46058</v>
      </c>
      <c r="B5808" t="s">
        <v>6278</v>
      </c>
      <c r="C5808" t="s">
        <v>20</v>
      </c>
      <c r="D5808" t="s">
        <v>7164</v>
      </c>
      <c r="E5808">
        <v>4800</v>
      </c>
    </row>
    <row r="5809" spans="1:5">
      <c r="A5809" s="1">
        <v>46058</v>
      </c>
      <c r="B5809" t="s">
        <v>7165</v>
      </c>
      <c r="C5809" t="s">
        <v>20</v>
      </c>
      <c r="D5809" t="s">
        <v>7166</v>
      </c>
      <c r="E5809">
        <v>460</v>
      </c>
    </row>
    <row r="5810" spans="1:5">
      <c r="A5810" s="1">
        <v>46058</v>
      </c>
      <c r="B5810" t="s">
        <v>129</v>
      </c>
      <c r="C5810" t="s">
        <v>20</v>
      </c>
      <c r="D5810" t="s">
        <v>7167</v>
      </c>
      <c r="E5810">
        <v>3652</v>
      </c>
    </row>
    <row r="5811" spans="1:5">
      <c r="A5811" s="1">
        <v>46058</v>
      </c>
      <c r="B5811" t="s">
        <v>222</v>
      </c>
      <c r="C5811" t="s">
        <v>20</v>
      </c>
      <c r="D5811" t="s">
        <v>7168</v>
      </c>
      <c r="E5811">
        <v>1600</v>
      </c>
    </row>
    <row r="5812" spans="1:5">
      <c r="A5812" s="1">
        <v>46058</v>
      </c>
      <c r="B5812" t="s">
        <v>3631</v>
      </c>
      <c r="C5812" t="s">
        <v>20</v>
      </c>
      <c r="D5812" t="s">
        <v>7169</v>
      </c>
      <c r="E5812">
        <v>640</v>
      </c>
    </row>
    <row r="5813" spans="1:5">
      <c r="A5813" s="1">
        <v>46058</v>
      </c>
      <c r="B5813" t="s">
        <v>188</v>
      </c>
      <c r="C5813" t="s">
        <v>20</v>
      </c>
      <c r="D5813" t="s">
        <v>7170</v>
      </c>
      <c r="E5813">
        <v>3200</v>
      </c>
    </row>
    <row r="5814" spans="1:5">
      <c r="A5814" s="1">
        <v>46058</v>
      </c>
      <c r="B5814" t="s">
        <v>1457</v>
      </c>
      <c r="C5814" t="s">
        <v>20</v>
      </c>
      <c r="D5814" t="s">
        <v>7171</v>
      </c>
      <c r="E5814">
        <v>1206</v>
      </c>
    </row>
    <row r="5815" spans="1:5">
      <c r="A5815" s="1">
        <v>46058</v>
      </c>
      <c r="B5815" t="s">
        <v>5842</v>
      </c>
      <c r="C5815" t="s">
        <v>20</v>
      </c>
      <c r="D5815" t="s">
        <v>7172</v>
      </c>
      <c r="E5815">
        <v>77</v>
      </c>
    </row>
    <row r="5816" spans="1:5">
      <c r="A5816" s="1">
        <v>46058</v>
      </c>
      <c r="B5816" t="s">
        <v>6278</v>
      </c>
      <c r="C5816" t="s">
        <v>20</v>
      </c>
      <c r="D5816" t="s">
        <v>7173</v>
      </c>
      <c r="E5816">
        <v>17394</v>
      </c>
    </row>
    <row r="5817" spans="1:5">
      <c r="A5817" s="1">
        <v>46058</v>
      </c>
      <c r="B5817" t="s">
        <v>619</v>
      </c>
      <c r="C5817" t="s">
        <v>20</v>
      </c>
      <c r="D5817" t="s">
        <v>7174</v>
      </c>
      <c r="E5817">
        <v>454</v>
      </c>
    </row>
    <row r="5818" spans="1:5">
      <c r="A5818" s="1">
        <v>46058</v>
      </c>
      <c r="B5818" t="s">
        <v>4144</v>
      </c>
      <c r="C5818" t="s">
        <v>20</v>
      </c>
      <c r="D5818" t="s">
        <v>7175</v>
      </c>
      <c r="E5818">
        <v>7295</v>
      </c>
    </row>
    <row r="5819" spans="1:5">
      <c r="A5819" s="1">
        <v>46058</v>
      </c>
      <c r="B5819" t="s">
        <v>254</v>
      </c>
      <c r="C5819" t="s">
        <v>20</v>
      </c>
      <c r="D5819" t="s">
        <v>7176</v>
      </c>
      <c r="E5819">
        <v>960</v>
      </c>
    </row>
    <row r="5820" spans="1:5">
      <c r="A5820" s="1">
        <v>46058</v>
      </c>
      <c r="B5820" t="s">
        <v>7177</v>
      </c>
      <c r="C5820" t="s">
        <v>20</v>
      </c>
      <c r="D5820" t="s">
        <v>7178</v>
      </c>
      <c r="E5820">
        <v>310</v>
      </c>
    </row>
    <row r="5821" spans="1:5">
      <c r="A5821" s="1">
        <v>46058</v>
      </c>
      <c r="B5821" t="s">
        <v>1188</v>
      </c>
      <c r="C5821" t="s">
        <v>20</v>
      </c>
      <c r="D5821" t="s">
        <v>7179</v>
      </c>
      <c r="E5821">
        <v>6416</v>
      </c>
    </row>
    <row r="5822" spans="1:5">
      <c r="A5822" s="1">
        <v>46058</v>
      </c>
      <c r="B5822" t="s">
        <v>2233</v>
      </c>
      <c r="C5822" t="s">
        <v>20</v>
      </c>
      <c r="D5822" t="s">
        <v>7180</v>
      </c>
      <c r="E5822">
        <v>8128</v>
      </c>
    </row>
    <row r="5823" spans="1:5">
      <c r="A5823" s="1">
        <v>46058</v>
      </c>
      <c r="B5823" t="s">
        <v>856</v>
      </c>
      <c r="C5823" t="s">
        <v>20</v>
      </c>
      <c r="D5823" t="s">
        <v>7181</v>
      </c>
      <c r="E5823">
        <v>547</v>
      </c>
    </row>
    <row r="5824" spans="1:5">
      <c r="A5824" s="1">
        <v>46058</v>
      </c>
      <c r="B5824" t="s">
        <v>6987</v>
      </c>
      <c r="C5824" t="s">
        <v>20</v>
      </c>
      <c r="D5824" t="s">
        <v>7182</v>
      </c>
      <c r="E5824">
        <v>1280</v>
      </c>
    </row>
    <row r="5825" spans="1:5">
      <c r="A5825" s="1">
        <v>46058</v>
      </c>
      <c r="B5825" t="s">
        <v>856</v>
      </c>
      <c r="C5825" t="s">
        <v>20</v>
      </c>
      <c r="D5825" t="s">
        <v>7183</v>
      </c>
      <c r="E5825">
        <v>22524</v>
      </c>
    </row>
    <row r="5826" spans="1:5">
      <c r="A5826" s="1">
        <v>46058</v>
      </c>
      <c r="B5826" t="s">
        <v>239</v>
      </c>
      <c r="C5826" t="s">
        <v>20</v>
      </c>
      <c r="D5826" t="s">
        <v>7184</v>
      </c>
      <c r="E5826">
        <v>4056</v>
      </c>
    </row>
    <row r="5827" spans="1:5">
      <c r="A5827" s="1">
        <v>46058</v>
      </c>
      <c r="B5827" t="s">
        <v>360</v>
      </c>
      <c r="C5827" t="s">
        <v>20</v>
      </c>
      <c r="D5827" t="s">
        <v>7185</v>
      </c>
      <c r="E5827">
        <v>6688</v>
      </c>
    </row>
    <row r="5828" spans="1:5">
      <c r="A5828" s="1">
        <v>46058</v>
      </c>
      <c r="B5828" t="s">
        <v>331</v>
      </c>
      <c r="C5828" t="s">
        <v>20</v>
      </c>
      <c r="D5828" t="s">
        <v>7186</v>
      </c>
      <c r="E5828">
        <v>104341</v>
      </c>
    </row>
    <row r="5829" spans="1:5">
      <c r="A5829" s="1">
        <v>46058</v>
      </c>
      <c r="B5829" t="s">
        <v>7187</v>
      </c>
      <c r="C5829" t="s">
        <v>20</v>
      </c>
      <c r="D5829" t="s">
        <v>7188</v>
      </c>
      <c r="E5829">
        <v>32606</v>
      </c>
    </row>
    <row r="5830" spans="1:5">
      <c r="A5830" s="1">
        <v>46058</v>
      </c>
      <c r="B5830" t="s">
        <v>7189</v>
      </c>
      <c r="C5830" t="s">
        <v>20</v>
      </c>
      <c r="D5830" t="s">
        <v>7190</v>
      </c>
      <c r="E5830">
        <v>1771</v>
      </c>
    </row>
    <row r="5831" spans="1:5">
      <c r="A5831" s="1">
        <v>46059</v>
      </c>
      <c r="B5831" t="s">
        <v>180</v>
      </c>
      <c r="C5831" t="s">
        <v>19</v>
      </c>
      <c r="D5831" t="s">
        <v>7191</v>
      </c>
      <c r="E5831">
        <v>4332</v>
      </c>
    </row>
    <row r="5832" spans="1:5">
      <c r="A5832" s="1">
        <v>46059</v>
      </c>
      <c r="B5832" t="s">
        <v>4669</v>
      </c>
      <c r="C5832" t="s">
        <v>19</v>
      </c>
      <c r="D5832" t="s">
        <v>7192</v>
      </c>
      <c r="E5832">
        <v>765</v>
      </c>
    </row>
    <row r="5833" spans="1:5">
      <c r="A5833" s="1">
        <v>46059</v>
      </c>
      <c r="B5833" t="s">
        <v>96</v>
      </c>
      <c r="C5833" t="s">
        <v>19</v>
      </c>
      <c r="D5833" t="s">
        <v>7193</v>
      </c>
      <c r="E5833">
        <v>11040</v>
      </c>
    </row>
    <row r="5834" spans="1:5">
      <c r="A5834" s="1">
        <v>46059</v>
      </c>
      <c r="B5834" t="s">
        <v>7194</v>
      </c>
      <c r="C5834" t="s">
        <v>20</v>
      </c>
      <c r="D5834" t="s">
        <v>7195</v>
      </c>
      <c r="E5834">
        <v>4160</v>
      </c>
    </row>
    <row r="5835" spans="1:5">
      <c r="A5835" s="1">
        <v>46059</v>
      </c>
      <c r="B5835" t="s">
        <v>6959</v>
      </c>
      <c r="C5835" t="s">
        <v>20</v>
      </c>
      <c r="D5835" t="s">
        <v>7196</v>
      </c>
      <c r="E5835">
        <v>3200</v>
      </c>
    </row>
    <row r="5836" spans="1:5">
      <c r="A5836" s="1">
        <v>46059</v>
      </c>
      <c r="B5836" t="s">
        <v>5941</v>
      </c>
      <c r="C5836" t="s">
        <v>20</v>
      </c>
      <c r="D5836" t="s">
        <v>7197</v>
      </c>
      <c r="E5836">
        <v>8370</v>
      </c>
    </row>
    <row r="5837" spans="1:5">
      <c r="A5837" s="1">
        <v>46059</v>
      </c>
      <c r="B5837" t="s">
        <v>856</v>
      </c>
      <c r="C5837" t="s">
        <v>20</v>
      </c>
      <c r="D5837" t="s">
        <v>7198</v>
      </c>
      <c r="E5837">
        <v>160</v>
      </c>
    </row>
    <row r="5838" spans="1:5">
      <c r="A5838" s="1">
        <v>46059</v>
      </c>
      <c r="B5838" t="s">
        <v>1135</v>
      </c>
      <c r="C5838" t="s">
        <v>20</v>
      </c>
      <c r="D5838" t="s">
        <v>7199</v>
      </c>
      <c r="E5838">
        <v>3452</v>
      </c>
    </row>
    <row r="5839" spans="1:5">
      <c r="A5839" s="1">
        <v>46059</v>
      </c>
      <c r="B5839" t="s">
        <v>6278</v>
      </c>
      <c r="C5839" t="s">
        <v>20</v>
      </c>
      <c r="D5839" t="s">
        <v>7200</v>
      </c>
      <c r="E5839">
        <v>435</v>
      </c>
    </row>
    <row r="5840" spans="1:5">
      <c r="A5840" s="1">
        <v>46059</v>
      </c>
      <c r="B5840" t="s">
        <v>875</v>
      </c>
      <c r="C5840" t="s">
        <v>20</v>
      </c>
      <c r="D5840" t="s">
        <v>7201</v>
      </c>
      <c r="E5840">
        <v>1777</v>
      </c>
    </row>
    <row r="5841" spans="1:5">
      <c r="A5841" s="1">
        <v>46059</v>
      </c>
      <c r="B5841" t="s">
        <v>1066</v>
      </c>
      <c r="C5841" t="s">
        <v>20</v>
      </c>
      <c r="D5841" t="s">
        <v>7202</v>
      </c>
      <c r="E5841">
        <v>5886</v>
      </c>
    </row>
    <row r="5842" spans="1:5">
      <c r="A5842" s="1">
        <v>46059</v>
      </c>
      <c r="B5842" t="s">
        <v>254</v>
      </c>
      <c r="C5842" t="s">
        <v>20</v>
      </c>
      <c r="D5842" t="s">
        <v>7203</v>
      </c>
      <c r="E5842">
        <v>1600</v>
      </c>
    </row>
    <row r="5843" spans="1:5">
      <c r="A5843" s="1">
        <v>46059</v>
      </c>
      <c r="B5843" t="s">
        <v>7204</v>
      </c>
      <c r="C5843" t="s">
        <v>20</v>
      </c>
      <c r="D5843" t="s">
        <v>7205</v>
      </c>
      <c r="E5843">
        <v>320</v>
      </c>
    </row>
    <row r="5844" spans="1:5">
      <c r="A5844" s="1">
        <v>46059</v>
      </c>
      <c r="B5844" t="s">
        <v>6840</v>
      </c>
      <c r="C5844" t="s">
        <v>20</v>
      </c>
      <c r="D5844" t="s">
        <v>7206</v>
      </c>
      <c r="E5844">
        <v>3500</v>
      </c>
    </row>
    <row r="5845" spans="1:5">
      <c r="A5845" s="1">
        <v>46059</v>
      </c>
      <c r="B5845" t="s">
        <v>2233</v>
      </c>
      <c r="C5845" t="s">
        <v>20</v>
      </c>
      <c r="D5845" t="s">
        <v>7207</v>
      </c>
      <c r="E5845">
        <v>76209</v>
      </c>
    </row>
    <row r="5846" spans="1:5">
      <c r="A5846" s="1">
        <v>46059</v>
      </c>
      <c r="B5846" t="s">
        <v>50</v>
      </c>
      <c r="C5846" t="s">
        <v>20</v>
      </c>
      <c r="D5846" t="s">
        <v>7208</v>
      </c>
      <c r="E5846">
        <v>1600</v>
      </c>
    </row>
    <row r="5847" spans="1:5">
      <c r="A5847" s="1">
        <v>46059</v>
      </c>
      <c r="B5847" t="s">
        <v>222</v>
      </c>
      <c r="C5847" t="s">
        <v>20</v>
      </c>
      <c r="D5847" t="s">
        <v>7209</v>
      </c>
      <c r="E5847">
        <v>3200</v>
      </c>
    </row>
    <row r="5848" spans="1:5">
      <c r="A5848" s="1">
        <v>46059</v>
      </c>
      <c r="B5848" t="s">
        <v>932</v>
      </c>
      <c r="C5848" t="s">
        <v>20</v>
      </c>
      <c r="D5848" t="s">
        <v>7210</v>
      </c>
      <c r="E5848">
        <v>10978</v>
      </c>
    </row>
    <row r="5849" spans="1:5">
      <c r="A5849" s="1">
        <v>46059</v>
      </c>
      <c r="B5849" t="s">
        <v>254</v>
      </c>
      <c r="C5849" t="s">
        <v>20</v>
      </c>
      <c r="D5849" t="s">
        <v>7211</v>
      </c>
      <c r="E5849">
        <v>320</v>
      </c>
    </row>
    <row r="5850" spans="1:5">
      <c r="A5850" s="1">
        <v>46059</v>
      </c>
      <c r="B5850" t="s">
        <v>50</v>
      </c>
      <c r="C5850" t="s">
        <v>20</v>
      </c>
      <c r="D5850" t="s">
        <v>7212</v>
      </c>
      <c r="E5850">
        <v>5045</v>
      </c>
    </row>
    <row r="5851" spans="1:5">
      <c r="A5851" s="1">
        <v>46059</v>
      </c>
      <c r="B5851" t="s">
        <v>50</v>
      </c>
      <c r="C5851" t="s">
        <v>20</v>
      </c>
      <c r="D5851" t="s">
        <v>7213</v>
      </c>
      <c r="E5851">
        <v>135</v>
      </c>
    </row>
    <row r="5852" spans="1:5">
      <c r="A5852" s="1">
        <v>46059</v>
      </c>
      <c r="B5852" t="s">
        <v>239</v>
      </c>
      <c r="C5852" t="s">
        <v>20</v>
      </c>
      <c r="D5852" t="s">
        <v>7214</v>
      </c>
      <c r="E5852">
        <v>4235</v>
      </c>
    </row>
    <row r="5853" spans="1:5">
      <c r="A5853" s="1">
        <v>46059</v>
      </c>
      <c r="B5853" t="s">
        <v>1075</v>
      </c>
      <c r="C5853" t="s">
        <v>20</v>
      </c>
      <c r="D5853" t="s">
        <v>7215</v>
      </c>
      <c r="E5853">
        <v>15103</v>
      </c>
    </row>
    <row r="5854" spans="1:5">
      <c r="A5854" s="1">
        <v>46059</v>
      </c>
      <c r="B5854" t="s">
        <v>2233</v>
      </c>
      <c r="C5854" t="s">
        <v>20</v>
      </c>
      <c r="D5854" t="s">
        <v>7216</v>
      </c>
      <c r="E5854">
        <v>461</v>
      </c>
    </row>
    <row r="5855" spans="1:5">
      <c r="A5855" s="1">
        <v>46059</v>
      </c>
      <c r="B5855" t="s">
        <v>7217</v>
      </c>
      <c r="C5855" t="s">
        <v>20</v>
      </c>
      <c r="D5855" t="s">
        <v>7218</v>
      </c>
      <c r="E5855">
        <v>4800</v>
      </c>
    </row>
    <row r="5856" spans="1:5">
      <c r="A5856" s="1">
        <v>46059</v>
      </c>
      <c r="B5856" t="s">
        <v>50</v>
      </c>
      <c r="C5856" t="s">
        <v>20</v>
      </c>
      <c r="D5856" t="s">
        <v>7219</v>
      </c>
      <c r="E5856">
        <v>404</v>
      </c>
    </row>
    <row r="5857" spans="1:5">
      <c r="A5857" s="1">
        <v>46060</v>
      </c>
      <c r="B5857" t="s">
        <v>6727</v>
      </c>
      <c r="C5857" t="s">
        <v>19</v>
      </c>
      <c r="D5857" t="s">
        <v>7220</v>
      </c>
      <c r="E5857">
        <v>1600</v>
      </c>
    </row>
    <row r="5858" spans="1:5">
      <c r="A5858" s="1">
        <v>46060</v>
      </c>
      <c r="B5858" t="s">
        <v>2498</v>
      </c>
      <c r="C5858" t="s">
        <v>19</v>
      </c>
      <c r="D5858" t="s">
        <v>7221</v>
      </c>
      <c r="E5858">
        <v>128</v>
      </c>
    </row>
    <row r="5859" spans="1:5">
      <c r="A5859" s="1">
        <v>46060</v>
      </c>
      <c r="B5859" t="s">
        <v>1106</v>
      </c>
      <c r="C5859" t="s">
        <v>19</v>
      </c>
      <c r="D5859" t="s">
        <v>7222</v>
      </c>
      <c r="E5859">
        <v>4435</v>
      </c>
    </row>
    <row r="5860" spans="1:5">
      <c r="A5860" s="1">
        <v>46060</v>
      </c>
      <c r="B5860" t="s">
        <v>56</v>
      </c>
      <c r="C5860" t="s">
        <v>19</v>
      </c>
      <c r="D5860" t="s">
        <v>7223</v>
      </c>
      <c r="E5860">
        <v>1486</v>
      </c>
    </row>
    <row r="5861" spans="1:5">
      <c r="A5861" s="1">
        <v>46060</v>
      </c>
      <c r="B5861" t="s">
        <v>7224</v>
      </c>
      <c r="C5861" t="s">
        <v>20</v>
      </c>
      <c r="D5861" t="s">
        <v>7225</v>
      </c>
      <c r="E5861">
        <v>11812</v>
      </c>
    </row>
    <row r="5862" spans="1:5">
      <c r="A5862" s="1">
        <v>46060</v>
      </c>
      <c r="B5862" t="s">
        <v>5237</v>
      </c>
      <c r="C5862" t="s">
        <v>20</v>
      </c>
      <c r="D5862" t="s">
        <v>7226</v>
      </c>
      <c r="E5862">
        <v>3495</v>
      </c>
    </row>
    <row r="5863" spans="1:5">
      <c r="A5863" s="1">
        <v>46060</v>
      </c>
      <c r="B5863" t="s">
        <v>7227</v>
      </c>
      <c r="C5863" t="s">
        <v>20</v>
      </c>
      <c r="D5863" t="s">
        <v>7228</v>
      </c>
      <c r="E5863">
        <v>300</v>
      </c>
    </row>
    <row r="5864" spans="1:5">
      <c r="A5864" s="1">
        <v>46060</v>
      </c>
      <c r="B5864" t="s">
        <v>239</v>
      </c>
      <c r="C5864" t="s">
        <v>20</v>
      </c>
      <c r="D5864" t="s">
        <v>7229</v>
      </c>
      <c r="E5864">
        <v>1271</v>
      </c>
    </row>
    <row r="5865" spans="1:5">
      <c r="A5865" s="1">
        <v>46060</v>
      </c>
      <c r="B5865" t="s">
        <v>76</v>
      </c>
      <c r="C5865" t="s">
        <v>20</v>
      </c>
      <c r="D5865" t="s">
        <v>7230</v>
      </c>
      <c r="E5865">
        <v>15853</v>
      </c>
    </row>
    <row r="5866" spans="1:5">
      <c r="A5866" s="1">
        <v>46060</v>
      </c>
      <c r="B5866" t="s">
        <v>76</v>
      </c>
      <c r="C5866" t="s">
        <v>20</v>
      </c>
      <c r="D5866" t="s">
        <v>7231</v>
      </c>
      <c r="E5866">
        <v>375</v>
      </c>
    </row>
    <row r="5867" spans="1:5">
      <c r="A5867" s="1">
        <v>46060</v>
      </c>
      <c r="B5867" t="s">
        <v>35</v>
      </c>
      <c r="C5867" t="s">
        <v>20</v>
      </c>
      <c r="D5867" t="s">
        <v>7232</v>
      </c>
      <c r="E5867">
        <v>18100</v>
      </c>
    </row>
    <row r="5868" spans="1:5">
      <c r="A5868" s="1">
        <v>46060</v>
      </c>
      <c r="B5868" t="s">
        <v>1135</v>
      </c>
      <c r="C5868" t="s">
        <v>20</v>
      </c>
      <c r="D5868" t="s">
        <v>7233</v>
      </c>
      <c r="E5868">
        <v>1203</v>
      </c>
    </row>
    <row r="5869" spans="1:5">
      <c r="A5869" s="1">
        <v>46060</v>
      </c>
      <c r="B5869" t="s">
        <v>628</v>
      </c>
      <c r="C5869" t="s">
        <v>20</v>
      </c>
      <c r="D5869" t="s">
        <v>7234</v>
      </c>
      <c r="E5869">
        <v>2371</v>
      </c>
    </row>
    <row r="5870" spans="1:5">
      <c r="A5870" s="1">
        <v>46060</v>
      </c>
      <c r="B5870" t="s">
        <v>5086</v>
      </c>
      <c r="C5870" t="s">
        <v>20</v>
      </c>
      <c r="D5870" t="s">
        <v>7235</v>
      </c>
      <c r="E5870">
        <v>640</v>
      </c>
    </row>
    <row r="5871" spans="1:5">
      <c r="A5871" s="1">
        <v>46060</v>
      </c>
      <c r="B5871" t="s">
        <v>360</v>
      </c>
      <c r="C5871" t="s">
        <v>20</v>
      </c>
      <c r="D5871" t="s">
        <v>7236</v>
      </c>
      <c r="E5871">
        <v>975</v>
      </c>
    </row>
    <row r="5872" spans="1:5">
      <c r="A5872" s="1">
        <v>46060</v>
      </c>
      <c r="B5872" t="s">
        <v>50</v>
      </c>
      <c r="C5872" t="s">
        <v>20</v>
      </c>
      <c r="D5872" t="s">
        <v>7237</v>
      </c>
      <c r="E5872">
        <v>18</v>
      </c>
    </row>
    <row r="5873" spans="1:5">
      <c r="A5873" s="1">
        <v>46060</v>
      </c>
      <c r="B5873" t="s">
        <v>68</v>
      </c>
      <c r="C5873" t="s">
        <v>20</v>
      </c>
      <c r="D5873" t="s">
        <v>7238</v>
      </c>
      <c r="E5873">
        <v>4417</v>
      </c>
    </row>
    <row r="5874" spans="1:5">
      <c r="A5874" s="1">
        <v>46060</v>
      </c>
      <c r="B5874" t="s">
        <v>5761</v>
      </c>
      <c r="C5874" t="s">
        <v>20</v>
      </c>
      <c r="D5874" t="s">
        <v>7239</v>
      </c>
      <c r="E5874">
        <v>120</v>
      </c>
    </row>
    <row r="5875" spans="1:5">
      <c r="A5875" s="1">
        <v>46060</v>
      </c>
      <c r="B5875" t="s">
        <v>50</v>
      </c>
      <c r="C5875" t="s">
        <v>20</v>
      </c>
      <c r="D5875" t="s">
        <v>7240</v>
      </c>
      <c r="E5875">
        <v>8</v>
      </c>
    </row>
    <row r="5876" spans="1:5">
      <c r="A5876" s="1">
        <v>46060</v>
      </c>
      <c r="B5876" t="s">
        <v>744</v>
      </c>
      <c r="C5876" t="s">
        <v>20</v>
      </c>
      <c r="D5876" t="s">
        <v>7241</v>
      </c>
      <c r="E5876">
        <v>7790</v>
      </c>
    </row>
    <row r="5877" spans="1:5">
      <c r="A5877" s="1">
        <v>46060</v>
      </c>
      <c r="B5877" t="s">
        <v>331</v>
      </c>
      <c r="C5877" t="s">
        <v>20</v>
      </c>
      <c r="D5877" t="s">
        <v>7242</v>
      </c>
      <c r="E5877">
        <v>1552</v>
      </c>
    </row>
    <row r="5878" spans="1:5">
      <c r="A5878" s="1">
        <v>46060</v>
      </c>
      <c r="B5878" t="s">
        <v>50</v>
      </c>
      <c r="C5878" t="s">
        <v>20</v>
      </c>
      <c r="D5878" t="s">
        <v>7243</v>
      </c>
      <c r="E5878">
        <v>3200</v>
      </c>
    </row>
    <row r="5879" spans="1:5">
      <c r="A5879" s="1">
        <v>46060</v>
      </c>
      <c r="B5879" t="s">
        <v>756</v>
      </c>
      <c r="C5879" t="s">
        <v>20</v>
      </c>
      <c r="D5879" t="s">
        <v>7244</v>
      </c>
      <c r="E5879">
        <v>750</v>
      </c>
    </row>
    <row r="5880" spans="1:5">
      <c r="A5880" s="1">
        <v>46060</v>
      </c>
      <c r="B5880" t="s">
        <v>76</v>
      </c>
      <c r="C5880" t="s">
        <v>20</v>
      </c>
      <c r="D5880" t="s">
        <v>7245</v>
      </c>
      <c r="E5880">
        <v>9600</v>
      </c>
    </row>
    <row r="5881" spans="1:5">
      <c r="A5881" s="1">
        <v>46060</v>
      </c>
      <c r="B5881" t="s">
        <v>7246</v>
      </c>
      <c r="C5881" t="s">
        <v>20</v>
      </c>
      <c r="D5881" t="s">
        <v>7247</v>
      </c>
      <c r="E5881">
        <v>1184</v>
      </c>
    </row>
    <row r="5882" spans="1:5">
      <c r="A5882" s="1">
        <v>46060</v>
      </c>
      <c r="B5882" t="s">
        <v>2399</v>
      </c>
      <c r="C5882" t="s">
        <v>20</v>
      </c>
      <c r="D5882" t="s">
        <v>7248</v>
      </c>
      <c r="E5882">
        <v>954</v>
      </c>
    </row>
    <row r="5883" spans="1:5">
      <c r="A5883" s="1">
        <v>46060</v>
      </c>
      <c r="B5883" t="s">
        <v>580</v>
      </c>
      <c r="C5883" t="s">
        <v>20</v>
      </c>
      <c r="D5883" t="s">
        <v>7249</v>
      </c>
      <c r="E5883">
        <v>21</v>
      </c>
    </row>
    <row r="5884" spans="1:5">
      <c r="A5884" s="1">
        <v>46060</v>
      </c>
      <c r="B5884" t="s">
        <v>557</v>
      </c>
      <c r="C5884" t="s">
        <v>20</v>
      </c>
      <c r="D5884" t="s">
        <v>7250</v>
      </c>
      <c r="E5884">
        <v>2705</v>
      </c>
    </row>
    <row r="5885" spans="1:5">
      <c r="A5885" s="1">
        <v>46060</v>
      </c>
      <c r="B5885" t="s">
        <v>6414</v>
      </c>
      <c r="C5885" t="s">
        <v>20</v>
      </c>
      <c r="D5885" t="s">
        <v>7251</v>
      </c>
      <c r="E5885">
        <v>4312</v>
      </c>
    </row>
    <row r="5886" spans="1:5">
      <c r="A5886" s="1">
        <v>46060</v>
      </c>
      <c r="B5886" t="s">
        <v>856</v>
      </c>
      <c r="C5886" t="s">
        <v>20</v>
      </c>
      <c r="D5886" t="s">
        <v>7252</v>
      </c>
      <c r="E5886">
        <v>1078</v>
      </c>
    </row>
    <row r="5887" spans="1:5">
      <c r="A5887" s="1">
        <v>46060</v>
      </c>
      <c r="B5887" t="s">
        <v>2406</v>
      </c>
      <c r="C5887" t="s">
        <v>20</v>
      </c>
      <c r="D5887" t="s">
        <v>7253</v>
      </c>
      <c r="E5887">
        <v>76807</v>
      </c>
    </row>
    <row r="5888" spans="1:5">
      <c r="A5888" s="1">
        <v>46060</v>
      </c>
      <c r="B5888" t="s">
        <v>2233</v>
      </c>
      <c r="C5888" t="s">
        <v>20</v>
      </c>
      <c r="D5888" t="s">
        <v>7254</v>
      </c>
      <c r="E5888">
        <v>425</v>
      </c>
    </row>
    <row r="5889" spans="1:5">
      <c r="A5889" s="1">
        <v>46060</v>
      </c>
      <c r="B5889" t="s">
        <v>4972</v>
      </c>
      <c r="C5889" t="s">
        <v>20</v>
      </c>
      <c r="D5889" t="s">
        <v>7255</v>
      </c>
      <c r="E5889">
        <v>6400</v>
      </c>
    </row>
    <row r="5890" spans="1:5">
      <c r="A5890" s="1">
        <v>46060</v>
      </c>
      <c r="B5890" t="s">
        <v>7187</v>
      </c>
      <c r="C5890" t="s">
        <v>20</v>
      </c>
      <c r="D5890" t="s">
        <v>7256</v>
      </c>
      <c r="E5890">
        <v>16554</v>
      </c>
    </row>
    <row r="5891" spans="1:5">
      <c r="A5891" s="1">
        <v>46060</v>
      </c>
      <c r="B5891" t="s">
        <v>5899</v>
      </c>
      <c r="C5891" t="s">
        <v>20</v>
      </c>
      <c r="D5891" t="s">
        <v>7257</v>
      </c>
      <c r="E5891">
        <v>750</v>
      </c>
    </row>
    <row r="5892" spans="1:5">
      <c r="A5892" s="1">
        <v>46060</v>
      </c>
      <c r="B5892" t="s">
        <v>68</v>
      </c>
      <c r="C5892" t="s">
        <v>20</v>
      </c>
      <c r="D5892" t="s">
        <v>7258</v>
      </c>
      <c r="E5892">
        <v>930</v>
      </c>
    </row>
    <row r="5893" spans="1:5">
      <c r="A5893" s="1">
        <v>46062</v>
      </c>
      <c r="B5893" t="s">
        <v>2498</v>
      </c>
      <c r="C5893" t="s">
        <v>19</v>
      </c>
      <c r="D5893" t="s">
        <v>7259</v>
      </c>
      <c r="E5893">
        <v>556</v>
      </c>
    </row>
    <row r="5894" spans="1:5">
      <c r="A5894" s="1">
        <v>46062</v>
      </c>
      <c r="B5894" t="s">
        <v>2498</v>
      </c>
      <c r="C5894" t="s">
        <v>19</v>
      </c>
      <c r="D5894" t="s">
        <v>7260</v>
      </c>
      <c r="E5894">
        <v>100</v>
      </c>
    </row>
    <row r="5895" spans="1:5">
      <c r="A5895" s="1">
        <v>46062</v>
      </c>
      <c r="B5895" t="s">
        <v>2987</v>
      </c>
      <c r="C5895" t="s">
        <v>19</v>
      </c>
      <c r="D5895" t="s">
        <v>7261</v>
      </c>
      <c r="E5895">
        <v>9300</v>
      </c>
    </row>
    <row r="5896" spans="1:5">
      <c r="A5896" s="1">
        <v>46062</v>
      </c>
      <c r="B5896" t="s">
        <v>7155</v>
      </c>
      <c r="C5896" t="s">
        <v>19</v>
      </c>
      <c r="D5896" t="s">
        <v>7262</v>
      </c>
      <c r="E5896">
        <v>5264</v>
      </c>
    </row>
    <row r="5897" spans="1:5">
      <c r="A5897" s="1">
        <v>46062</v>
      </c>
      <c r="B5897" t="s">
        <v>4669</v>
      </c>
      <c r="C5897" t="s">
        <v>19</v>
      </c>
      <c r="D5897" t="s">
        <v>7263</v>
      </c>
      <c r="E5897">
        <v>6452</v>
      </c>
    </row>
    <row r="5898" spans="1:5">
      <c r="A5898" s="1">
        <v>46062</v>
      </c>
      <c r="B5898" t="s">
        <v>2498</v>
      </c>
      <c r="C5898" t="s">
        <v>19</v>
      </c>
      <c r="D5898" t="s">
        <v>7264</v>
      </c>
      <c r="E5898">
        <v>395</v>
      </c>
    </row>
    <row r="5899" spans="1:5">
      <c r="A5899" s="1">
        <v>46062</v>
      </c>
      <c r="B5899" t="s">
        <v>1106</v>
      </c>
      <c r="C5899" t="s">
        <v>19</v>
      </c>
      <c r="D5899" t="s">
        <v>7265</v>
      </c>
      <c r="E5899">
        <v>8402</v>
      </c>
    </row>
    <row r="5900" spans="1:5">
      <c r="A5900" s="1">
        <v>46062</v>
      </c>
      <c r="B5900" t="s">
        <v>5788</v>
      </c>
      <c r="C5900" t="s">
        <v>19</v>
      </c>
      <c r="D5900" t="s">
        <v>7266</v>
      </c>
      <c r="E5900">
        <v>8427</v>
      </c>
    </row>
    <row r="5901" spans="1:5">
      <c r="A5901" s="1">
        <v>46062</v>
      </c>
      <c r="B5901" t="s">
        <v>443</v>
      </c>
      <c r="C5901" t="s">
        <v>19</v>
      </c>
      <c r="D5901" t="s">
        <v>7267</v>
      </c>
      <c r="E5901">
        <v>30080</v>
      </c>
    </row>
    <row r="5902" spans="1:5">
      <c r="A5902" s="1">
        <v>46062</v>
      </c>
      <c r="B5902" t="s">
        <v>7268</v>
      </c>
      <c r="C5902" t="s">
        <v>20</v>
      </c>
      <c r="D5902" t="s">
        <v>7269</v>
      </c>
      <c r="E5902">
        <v>5896</v>
      </c>
    </row>
    <row r="5903" spans="1:5">
      <c r="A5903" s="1">
        <v>46062</v>
      </c>
      <c r="B5903" t="s">
        <v>5086</v>
      </c>
      <c r="C5903" t="s">
        <v>20</v>
      </c>
      <c r="D5903" t="s">
        <v>7270</v>
      </c>
      <c r="E5903">
        <v>1600</v>
      </c>
    </row>
    <row r="5904" spans="1:5">
      <c r="A5904" s="1">
        <v>46062</v>
      </c>
      <c r="B5904" t="s">
        <v>50</v>
      </c>
      <c r="C5904" t="s">
        <v>20</v>
      </c>
      <c r="D5904" t="s">
        <v>7271</v>
      </c>
      <c r="E5904">
        <v>25</v>
      </c>
    </row>
    <row r="5905" spans="1:5">
      <c r="A5905" s="1">
        <v>46062</v>
      </c>
      <c r="B5905" t="s">
        <v>781</v>
      </c>
      <c r="C5905" t="s">
        <v>20</v>
      </c>
      <c r="D5905" t="s">
        <v>7272</v>
      </c>
      <c r="E5905">
        <v>320</v>
      </c>
    </row>
    <row r="5906" spans="1:5">
      <c r="A5906" s="1">
        <v>46062</v>
      </c>
      <c r="B5906" t="s">
        <v>7273</v>
      </c>
      <c r="C5906" t="s">
        <v>20</v>
      </c>
      <c r="D5906" t="s">
        <v>7274</v>
      </c>
      <c r="E5906">
        <v>1600</v>
      </c>
    </row>
    <row r="5907" spans="1:5">
      <c r="A5907" s="1">
        <v>46062</v>
      </c>
      <c r="B5907" t="s">
        <v>3536</v>
      </c>
      <c r="C5907" t="s">
        <v>20</v>
      </c>
      <c r="D5907" t="s">
        <v>7275</v>
      </c>
      <c r="E5907">
        <v>10690</v>
      </c>
    </row>
    <row r="5908" spans="1:5">
      <c r="A5908" s="1">
        <v>46062</v>
      </c>
      <c r="B5908" t="s">
        <v>68</v>
      </c>
      <c r="C5908" t="s">
        <v>20</v>
      </c>
      <c r="D5908" t="s">
        <v>7276</v>
      </c>
      <c r="E5908">
        <v>2146</v>
      </c>
    </row>
    <row r="5909" spans="1:5">
      <c r="A5909" s="1">
        <v>46062</v>
      </c>
      <c r="B5909" t="s">
        <v>2233</v>
      </c>
      <c r="C5909" t="s">
        <v>20</v>
      </c>
      <c r="D5909" t="s">
        <v>7277</v>
      </c>
      <c r="E5909">
        <v>1600</v>
      </c>
    </row>
    <row r="5910" spans="1:5">
      <c r="A5910" s="1">
        <v>46062</v>
      </c>
      <c r="B5910" t="s">
        <v>6889</v>
      </c>
      <c r="C5910" t="s">
        <v>20</v>
      </c>
      <c r="D5910" t="s">
        <v>7278</v>
      </c>
      <c r="E5910">
        <v>50</v>
      </c>
    </row>
    <row r="5911" spans="1:5">
      <c r="A5911" s="1">
        <v>46062</v>
      </c>
      <c r="B5911" t="s">
        <v>222</v>
      </c>
      <c r="C5911" t="s">
        <v>20</v>
      </c>
      <c r="D5911" t="s">
        <v>7279</v>
      </c>
      <c r="E5911">
        <v>1600</v>
      </c>
    </row>
    <row r="5912" spans="1:5">
      <c r="A5912" s="1">
        <v>46062</v>
      </c>
      <c r="B5912" t="s">
        <v>7280</v>
      </c>
      <c r="C5912" t="s">
        <v>20</v>
      </c>
      <c r="D5912" t="s">
        <v>7281</v>
      </c>
      <c r="E5912">
        <v>1600</v>
      </c>
    </row>
    <row r="5913" spans="1:5">
      <c r="A5913" s="1">
        <v>46062</v>
      </c>
      <c r="B5913" t="s">
        <v>856</v>
      </c>
      <c r="C5913" t="s">
        <v>20</v>
      </c>
      <c r="D5913" t="s">
        <v>7282</v>
      </c>
      <c r="E5913">
        <v>220</v>
      </c>
    </row>
    <row r="5914" spans="1:5">
      <c r="A5914" s="1">
        <v>46062</v>
      </c>
      <c r="B5914" t="s">
        <v>7283</v>
      </c>
      <c r="C5914" t="s">
        <v>20</v>
      </c>
      <c r="D5914" t="s">
        <v>7284</v>
      </c>
      <c r="E5914">
        <v>280</v>
      </c>
    </row>
    <row r="5915" spans="1:5">
      <c r="A5915" s="1">
        <v>46062</v>
      </c>
      <c r="B5915" t="s">
        <v>566</v>
      </c>
      <c r="C5915" t="s">
        <v>20</v>
      </c>
      <c r="D5915" t="s">
        <v>7285</v>
      </c>
      <c r="E5915">
        <v>2488</v>
      </c>
    </row>
    <row r="5916" spans="1:5">
      <c r="A5916" s="1">
        <v>46062</v>
      </c>
      <c r="B5916" t="s">
        <v>6991</v>
      </c>
      <c r="C5916" t="s">
        <v>20</v>
      </c>
      <c r="D5916" t="s">
        <v>7286</v>
      </c>
      <c r="E5916">
        <v>50</v>
      </c>
    </row>
    <row r="5917" spans="1:5">
      <c r="A5917" s="1">
        <v>46062</v>
      </c>
      <c r="B5917" t="s">
        <v>50</v>
      </c>
      <c r="C5917" t="s">
        <v>20</v>
      </c>
      <c r="D5917" t="s">
        <v>7287</v>
      </c>
      <c r="E5917">
        <v>18</v>
      </c>
    </row>
    <row r="5918" spans="1:5">
      <c r="A5918" s="1">
        <v>46062</v>
      </c>
      <c r="B5918" t="s">
        <v>43</v>
      </c>
      <c r="C5918" t="s">
        <v>20</v>
      </c>
      <c r="D5918" t="s">
        <v>7288</v>
      </c>
      <c r="E5918">
        <v>3205</v>
      </c>
    </row>
    <row r="5919" spans="1:5">
      <c r="A5919" s="1">
        <v>46062</v>
      </c>
      <c r="B5919" t="s">
        <v>7289</v>
      </c>
      <c r="C5919" t="s">
        <v>20</v>
      </c>
      <c r="D5919" t="s">
        <v>7290</v>
      </c>
      <c r="E5919">
        <v>400</v>
      </c>
    </row>
    <row r="5920" spans="1:5">
      <c r="A5920" s="1">
        <v>46062</v>
      </c>
      <c r="B5920" t="s">
        <v>35</v>
      </c>
      <c r="C5920" t="s">
        <v>20</v>
      </c>
      <c r="D5920" t="s">
        <v>7291</v>
      </c>
      <c r="E5920">
        <v>37640</v>
      </c>
    </row>
    <row r="5921" spans="1:5">
      <c r="A5921" s="1">
        <v>46062</v>
      </c>
      <c r="B5921" t="s">
        <v>2085</v>
      </c>
      <c r="C5921" t="s">
        <v>20</v>
      </c>
      <c r="D5921" t="s">
        <v>7292</v>
      </c>
      <c r="E5921">
        <v>320</v>
      </c>
    </row>
    <row r="5922" spans="1:5">
      <c r="A5922" s="1">
        <v>46062</v>
      </c>
      <c r="B5922" t="s">
        <v>50</v>
      </c>
      <c r="C5922" t="s">
        <v>20</v>
      </c>
      <c r="D5922" t="s">
        <v>7293</v>
      </c>
      <c r="E5922">
        <v>18</v>
      </c>
    </row>
    <row r="5923" spans="1:5">
      <c r="A5923" s="1">
        <v>46062</v>
      </c>
      <c r="B5923" t="s">
        <v>7294</v>
      </c>
      <c r="C5923" t="s">
        <v>20</v>
      </c>
      <c r="D5923" t="s">
        <v>7295</v>
      </c>
      <c r="E5923">
        <v>5682</v>
      </c>
    </row>
    <row r="5924" spans="1:5">
      <c r="A5924" s="1">
        <v>46062</v>
      </c>
      <c r="B5924" t="s">
        <v>50</v>
      </c>
      <c r="C5924" t="s">
        <v>20</v>
      </c>
      <c r="D5924" t="s">
        <v>7296</v>
      </c>
      <c r="E5924">
        <v>190</v>
      </c>
    </row>
    <row r="5925" spans="1:5">
      <c r="A5925" s="1">
        <v>46062</v>
      </c>
      <c r="B5925" t="s">
        <v>526</v>
      </c>
      <c r="C5925" t="s">
        <v>20</v>
      </c>
      <c r="D5925" t="s">
        <v>7297</v>
      </c>
      <c r="E5925">
        <v>1233</v>
      </c>
    </row>
    <row r="5926" spans="1:5">
      <c r="A5926" s="1">
        <v>46063</v>
      </c>
      <c r="B5926" t="s">
        <v>180</v>
      </c>
      <c r="C5926" t="s">
        <v>19</v>
      </c>
      <c r="D5926" t="s">
        <v>7298</v>
      </c>
      <c r="E5926">
        <v>28843</v>
      </c>
    </row>
    <row r="5927" spans="1:5">
      <c r="A5927" s="1">
        <v>46063</v>
      </c>
      <c r="B5927" t="s">
        <v>68</v>
      </c>
      <c r="C5927" t="s">
        <v>20</v>
      </c>
      <c r="D5927" t="s">
        <v>7299</v>
      </c>
      <c r="E5927">
        <v>10956</v>
      </c>
    </row>
    <row r="5928" spans="1:5">
      <c r="A5928" s="1">
        <v>46063</v>
      </c>
      <c r="B5928" t="s">
        <v>512</v>
      </c>
      <c r="C5928" t="s">
        <v>20</v>
      </c>
      <c r="D5928" t="s">
        <v>7300</v>
      </c>
      <c r="E5928">
        <v>28961</v>
      </c>
    </row>
    <row r="5929" spans="1:5">
      <c r="A5929" s="1">
        <v>46063</v>
      </c>
      <c r="B5929" t="s">
        <v>7301</v>
      </c>
      <c r="C5929" t="s">
        <v>20</v>
      </c>
      <c r="D5929" t="s">
        <v>7302</v>
      </c>
      <c r="E5929">
        <v>330</v>
      </c>
    </row>
    <row r="5930" spans="1:5">
      <c r="A5930" s="1">
        <v>46063</v>
      </c>
      <c r="B5930" t="s">
        <v>50</v>
      </c>
      <c r="C5930" t="s">
        <v>20</v>
      </c>
      <c r="D5930" t="s">
        <v>7303</v>
      </c>
      <c r="E5930">
        <v>1280</v>
      </c>
    </row>
    <row r="5931" spans="1:5">
      <c r="A5931" s="1">
        <v>46063</v>
      </c>
      <c r="B5931" t="s">
        <v>1350</v>
      </c>
      <c r="C5931" t="s">
        <v>20</v>
      </c>
      <c r="D5931" t="s">
        <v>7304</v>
      </c>
      <c r="E5931">
        <v>20090</v>
      </c>
    </row>
    <row r="5932" spans="1:5">
      <c r="A5932" s="1">
        <v>46063</v>
      </c>
      <c r="B5932" t="s">
        <v>4459</v>
      </c>
      <c r="C5932" t="s">
        <v>20</v>
      </c>
      <c r="D5932" t="s">
        <v>7305</v>
      </c>
      <c r="E5932">
        <v>2066</v>
      </c>
    </row>
    <row r="5933" spans="1:5">
      <c r="A5933" s="1">
        <v>46063</v>
      </c>
      <c r="B5933" t="s">
        <v>3536</v>
      </c>
      <c r="C5933" t="s">
        <v>20</v>
      </c>
      <c r="D5933" t="s">
        <v>7306</v>
      </c>
      <c r="E5933">
        <v>12110</v>
      </c>
    </row>
    <row r="5934" spans="1:5">
      <c r="A5934" s="1">
        <v>46063</v>
      </c>
      <c r="B5934" t="s">
        <v>327</v>
      </c>
      <c r="C5934" t="s">
        <v>20</v>
      </c>
      <c r="D5934" t="s">
        <v>7307</v>
      </c>
      <c r="E5934">
        <v>1785</v>
      </c>
    </row>
    <row r="5935" spans="1:5">
      <c r="A5935" s="1">
        <v>46063</v>
      </c>
      <c r="B5935" t="s">
        <v>100</v>
      </c>
      <c r="C5935" t="s">
        <v>20</v>
      </c>
      <c r="D5935" t="s">
        <v>7308</v>
      </c>
      <c r="E5935">
        <v>250</v>
      </c>
    </row>
    <row r="5936" spans="1:5">
      <c r="A5936" s="1">
        <v>46063</v>
      </c>
      <c r="B5936" t="s">
        <v>7309</v>
      </c>
      <c r="C5936" t="s">
        <v>20</v>
      </c>
      <c r="D5936" t="s">
        <v>7310</v>
      </c>
      <c r="E5936">
        <v>42701</v>
      </c>
    </row>
    <row r="5937" spans="1:5">
      <c r="A5937" s="1">
        <v>46063</v>
      </c>
      <c r="B5937" t="s">
        <v>875</v>
      </c>
      <c r="C5937" t="s">
        <v>20</v>
      </c>
      <c r="D5937" t="s">
        <v>7311</v>
      </c>
      <c r="E5937">
        <v>734</v>
      </c>
    </row>
    <row r="5938" spans="1:5">
      <c r="A5938" s="1">
        <v>46063</v>
      </c>
      <c r="B5938" t="s">
        <v>43</v>
      </c>
      <c r="C5938" t="s">
        <v>20</v>
      </c>
      <c r="D5938" t="s">
        <v>7312</v>
      </c>
      <c r="E5938">
        <v>24618</v>
      </c>
    </row>
    <row r="5939" spans="1:5">
      <c r="A5939" s="1">
        <v>46063</v>
      </c>
      <c r="B5939" t="s">
        <v>7313</v>
      </c>
      <c r="C5939" t="s">
        <v>20</v>
      </c>
      <c r="D5939" t="s">
        <v>7314</v>
      </c>
      <c r="E5939">
        <v>4750</v>
      </c>
    </row>
    <row r="5940" spans="1:5">
      <c r="A5940" s="1">
        <v>46063</v>
      </c>
      <c r="B5940" t="s">
        <v>7315</v>
      </c>
      <c r="C5940" t="s">
        <v>20</v>
      </c>
      <c r="D5940" t="s">
        <v>7316</v>
      </c>
      <c r="E5940">
        <v>2000</v>
      </c>
    </row>
    <row r="5941" spans="1:5">
      <c r="A5941" s="1">
        <v>46063</v>
      </c>
      <c r="B5941" t="s">
        <v>2679</v>
      </c>
      <c r="C5941" t="s">
        <v>20</v>
      </c>
      <c r="D5941" t="s">
        <v>7317</v>
      </c>
      <c r="E5941">
        <v>734</v>
      </c>
    </row>
    <row r="5942" spans="1:5">
      <c r="A5942" s="1">
        <v>46063</v>
      </c>
      <c r="B5942" t="s">
        <v>87</v>
      </c>
      <c r="C5942" t="s">
        <v>20</v>
      </c>
      <c r="D5942" t="s">
        <v>7318</v>
      </c>
      <c r="E5942">
        <v>560</v>
      </c>
    </row>
    <row r="5943" spans="1:5">
      <c r="A5943" s="1">
        <v>46063</v>
      </c>
      <c r="B5943" t="s">
        <v>7319</v>
      </c>
      <c r="C5943" t="s">
        <v>20</v>
      </c>
      <c r="D5943" t="s">
        <v>7320</v>
      </c>
      <c r="E5943">
        <v>27653</v>
      </c>
    </row>
    <row r="5944" spans="1:5">
      <c r="A5944" s="1">
        <v>46063</v>
      </c>
      <c r="B5944" t="s">
        <v>566</v>
      </c>
      <c r="C5944" t="s">
        <v>20</v>
      </c>
      <c r="D5944" t="s">
        <v>7321</v>
      </c>
      <c r="E5944">
        <v>410</v>
      </c>
    </row>
    <row r="5945" spans="1:5">
      <c r="A5945" s="1">
        <v>46063</v>
      </c>
      <c r="B5945" t="s">
        <v>1188</v>
      </c>
      <c r="C5945" t="s">
        <v>20</v>
      </c>
      <c r="D5945" t="s">
        <v>7322</v>
      </c>
      <c r="E5945">
        <v>6740</v>
      </c>
    </row>
    <row r="5946" spans="1:5">
      <c r="A5946" s="1">
        <v>46063</v>
      </c>
      <c r="B5946" t="s">
        <v>6959</v>
      </c>
      <c r="C5946" t="s">
        <v>20</v>
      </c>
      <c r="D5946" t="s">
        <v>7323</v>
      </c>
      <c r="E5946">
        <v>595</v>
      </c>
    </row>
    <row r="5947" spans="1:5">
      <c r="A5947" s="1">
        <v>46064</v>
      </c>
      <c r="B5947" t="s">
        <v>56</v>
      </c>
      <c r="C5947" t="s">
        <v>19</v>
      </c>
      <c r="D5947" t="s">
        <v>7324</v>
      </c>
      <c r="E5947">
        <v>1196</v>
      </c>
    </row>
    <row r="5948" spans="1:5">
      <c r="A5948" s="1">
        <v>46064</v>
      </c>
      <c r="B5948" t="s">
        <v>844</v>
      </c>
      <c r="C5948" t="s">
        <v>20</v>
      </c>
      <c r="D5948" t="s">
        <v>7325</v>
      </c>
      <c r="E5948">
        <v>5500</v>
      </c>
    </row>
    <row r="5949" spans="1:5">
      <c r="A5949" s="1">
        <v>46064</v>
      </c>
      <c r="B5949" t="s">
        <v>87</v>
      </c>
      <c r="C5949" t="s">
        <v>20</v>
      </c>
      <c r="D5949" t="s">
        <v>7326</v>
      </c>
      <c r="E5949">
        <v>24772</v>
      </c>
    </row>
    <row r="5950" spans="1:5">
      <c r="A5950" s="1">
        <v>46064</v>
      </c>
      <c r="B5950" t="s">
        <v>3089</v>
      </c>
      <c r="C5950" t="s">
        <v>20</v>
      </c>
      <c r="D5950" t="s">
        <v>7327</v>
      </c>
      <c r="E5950">
        <v>4305</v>
      </c>
    </row>
    <row r="5951" spans="1:5">
      <c r="A5951" s="1">
        <v>46064</v>
      </c>
      <c r="B5951" t="s">
        <v>4695</v>
      </c>
      <c r="C5951" t="s">
        <v>20</v>
      </c>
      <c r="D5951" t="s">
        <v>7328</v>
      </c>
      <c r="E5951">
        <v>29503</v>
      </c>
    </row>
    <row r="5952" spans="1:5">
      <c r="A5952" s="1">
        <v>46064</v>
      </c>
      <c r="B5952" t="s">
        <v>197</v>
      </c>
      <c r="C5952" t="s">
        <v>20</v>
      </c>
      <c r="D5952" t="s">
        <v>7329</v>
      </c>
      <c r="E5952">
        <v>3560</v>
      </c>
    </row>
    <row r="5953" spans="1:5">
      <c r="A5953" s="1">
        <v>46064</v>
      </c>
      <c r="B5953" t="s">
        <v>7330</v>
      </c>
      <c r="C5953" t="s">
        <v>20</v>
      </c>
      <c r="D5953" t="s">
        <v>7331</v>
      </c>
      <c r="E5953">
        <v>3460</v>
      </c>
    </row>
    <row r="5954" spans="1:5">
      <c r="A5954" s="1">
        <v>46064</v>
      </c>
      <c r="B5954" t="s">
        <v>2233</v>
      </c>
      <c r="C5954" t="s">
        <v>20</v>
      </c>
      <c r="D5954" t="s">
        <v>7332</v>
      </c>
      <c r="E5954">
        <v>54950</v>
      </c>
    </row>
    <row r="5955" spans="1:5">
      <c r="A5955" s="1">
        <v>46064</v>
      </c>
      <c r="B5955" t="s">
        <v>7333</v>
      </c>
      <c r="C5955" t="s">
        <v>20</v>
      </c>
      <c r="D5955" t="s">
        <v>7334</v>
      </c>
      <c r="E5955">
        <v>640</v>
      </c>
    </row>
    <row r="5956" spans="1:5">
      <c r="A5956" s="1">
        <v>46064</v>
      </c>
      <c r="B5956" t="s">
        <v>875</v>
      </c>
      <c r="C5956" t="s">
        <v>20</v>
      </c>
      <c r="D5956" t="s">
        <v>7335</v>
      </c>
      <c r="E5956">
        <v>9437</v>
      </c>
    </row>
    <row r="5957" spans="1:5">
      <c r="A5957" s="1">
        <v>46064</v>
      </c>
      <c r="B5957" t="s">
        <v>89</v>
      </c>
      <c r="C5957" t="s">
        <v>20</v>
      </c>
      <c r="D5957" t="s">
        <v>7336</v>
      </c>
      <c r="E5957">
        <v>475</v>
      </c>
    </row>
    <row r="5958" spans="1:5">
      <c r="A5958" s="1">
        <v>46064</v>
      </c>
      <c r="B5958" t="s">
        <v>7337</v>
      </c>
      <c r="C5958" t="s">
        <v>20</v>
      </c>
      <c r="D5958" t="s">
        <v>7338</v>
      </c>
      <c r="E5958">
        <v>10460</v>
      </c>
    </row>
    <row r="5959" spans="1:5">
      <c r="A5959" s="1">
        <v>46064</v>
      </c>
      <c r="B5959" t="s">
        <v>68</v>
      </c>
      <c r="C5959" t="s">
        <v>20</v>
      </c>
      <c r="D5959" t="s">
        <v>7339</v>
      </c>
      <c r="E5959">
        <v>2170</v>
      </c>
    </row>
    <row r="5960" spans="1:5">
      <c r="A5960" s="1">
        <v>46064</v>
      </c>
      <c r="B5960" t="s">
        <v>135</v>
      </c>
      <c r="C5960" t="s">
        <v>20</v>
      </c>
      <c r="D5960" t="s">
        <v>7340</v>
      </c>
      <c r="E5960">
        <v>2781</v>
      </c>
    </row>
    <row r="5961" spans="1:5">
      <c r="A5961" s="1">
        <v>46064</v>
      </c>
      <c r="B5961" t="s">
        <v>932</v>
      </c>
      <c r="C5961" t="s">
        <v>20</v>
      </c>
      <c r="D5961" t="s">
        <v>7341</v>
      </c>
      <c r="E5961">
        <v>8000</v>
      </c>
    </row>
    <row r="5962" spans="1:5">
      <c r="A5962" s="1">
        <v>46064</v>
      </c>
      <c r="B5962" t="s">
        <v>5086</v>
      </c>
      <c r="C5962" t="s">
        <v>20</v>
      </c>
      <c r="D5962" t="s">
        <v>7342</v>
      </c>
      <c r="E5962">
        <v>640</v>
      </c>
    </row>
    <row r="5963" spans="1:5">
      <c r="A5963" s="1">
        <v>46064</v>
      </c>
      <c r="B5963" t="s">
        <v>50</v>
      </c>
      <c r="C5963" t="s">
        <v>20</v>
      </c>
      <c r="D5963" t="s">
        <v>7343</v>
      </c>
      <c r="E5963">
        <v>932</v>
      </c>
    </row>
    <row r="5964" spans="1:5">
      <c r="A5964" s="1">
        <v>46064</v>
      </c>
      <c r="B5964" t="s">
        <v>287</v>
      </c>
      <c r="C5964" t="s">
        <v>20</v>
      </c>
      <c r="D5964" t="s">
        <v>7344</v>
      </c>
      <c r="E5964">
        <v>2101</v>
      </c>
    </row>
    <row r="5965" spans="1:5">
      <c r="A5965" s="1">
        <v>46064</v>
      </c>
      <c r="B5965" t="s">
        <v>2679</v>
      </c>
      <c r="C5965" t="s">
        <v>20</v>
      </c>
      <c r="D5965" t="s">
        <v>7345</v>
      </c>
      <c r="E5965">
        <v>34026</v>
      </c>
    </row>
    <row r="5966" spans="1:5">
      <c r="A5966" s="1">
        <v>46064</v>
      </c>
      <c r="B5966" t="s">
        <v>2022</v>
      </c>
      <c r="C5966" t="s">
        <v>20</v>
      </c>
      <c r="D5966" t="s">
        <v>7346</v>
      </c>
      <c r="E5966">
        <v>7504</v>
      </c>
    </row>
    <row r="5967" spans="1:5">
      <c r="A5967" s="1">
        <v>46064</v>
      </c>
      <c r="B5967" t="s">
        <v>7347</v>
      </c>
      <c r="C5967" t="s">
        <v>20</v>
      </c>
      <c r="D5967" t="s">
        <v>7348</v>
      </c>
      <c r="E5967">
        <v>1997</v>
      </c>
    </row>
    <row r="5968" spans="1:5">
      <c r="A5968" s="1">
        <v>46064</v>
      </c>
      <c r="B5968" t="s">
        <v>1397</v>
      </c>
      <c r="C5968" t="s">
        <v>20</v>
      </c>
      <c r="D5968" t="s">
        <v>7349</v>
      </c>
      <c r="E5968">
        <v>313</v>
      </c>
    </row>
    <row r="5969" spans="1:5">
      <c r="A5969" s="1">
        <v>46064</v>
      </c>
      <c r="B5969" t="s">
        <v>7350</v>
      </c>
      <c r="C5969" t="s">
        <v>20</v>
      </c>
      <c r="D5969" t="s">
        <v>7351</v>
      </c>
      <c r="E5969">
        <v>100</v>
      </c>
    </row>
    <row r="5970" spans="1:5">
      <c r="A5970" s="1">
        <v>46064</v>
      </c>
      <c r="B5970" t="s">
        <v>2399</v>
      </c>
      <c r="C5970" t="s">
        <v>20</v>
      </c>
      <c r="D5970" t="s">
        <v>7352</v>
      </c>
      <c r="E5970">
        <v>640</v>
      </c>
    </row>
    <row r="5971" spans="1:5">
      <c r="A5971" s="1">
        <v>46064</v>
      </c>
      <c r="B5971" t="s">
        <v>50</v>
      </c>
      <c r="C5971" t="s">
        <v>20</v>
      </c>
      <c r="D5971" t="s">
        <v>7353</v>
      </c>
      <c r="E5971">
        <v>1470</v>
      </c>
    </row>
    <row r="5972" spans="1:5">
      <c r="A5972" s="1">
        <v>46064</v>
      </c>
      <c r="B5972" t="s">
        <v>7354</v>
      </c>
      <c r="C5972" t="s">
        <v>20</v>
      </c>
      <c r="D5972" t="s">
        <v>7355</v>
      </c>
      <c r="E5972">
        <v>6380</v>
      </c>
    </row>
    <row r="5973" spans="1:5">
      <c r="A5973" s="1">
        <v>46064</v>
      </c>
      <c r="B5973" t="s">
        <v>4089</v>
      </c>
      <c r="C5973" t="s">
        <v>20</v>
      </c>
      <c r="D5973" t="s">
        <v>7356</v>
      </c>
      <c r="E5973">
        <v>11031</v>
      </c>
    </row>
    <row r="5974" spans="1:5">
      <c r="A5974" s="1">
        <v>46064</v>
      </c>
      <c r="B5974" t="s">
        <v>1397</v>
      </c>
      <c r="C5974" t="s">
        <v>20</v>
      </c>
      <c r="D5974" t="s">
        <v>7357</v>
      </c>
      <c r="E5974">
        <v>293</v>
      </c>
    </row>
    <row r="5975" spans="1:5">
      <c r="A5975" s="1">
        <v>46064</v>
      </c>
      <c r="B5975" t="s">
        <v>7313</v>
      </c>
      <c r="C5975" t="s">
        <v>20</v>
      </c>
      <c r="D5975" t="s">
        <v>7358</v>
      </c>
      <c r="E5975">
        <v>425</v>
      </c>
    </row>
    <row r="5976" spans="1:5">
      <c r="A5976" s="1">
        <v>46064</v>
      </c>
      <c r="B5976" t="s">
        <v>7359</v>
      </c>
      <c r="C5976" t="s">
        <v>20</v>
      </c>
      <c r="D5976" t="s">
        <v>7360</v>
      </c>
      <c r="E5976">
        <v>6637</v>
      </c>
    </row>
    <row r="5977" spans="1:5">
      <c r="A5977" s="1">
        <v>46064</v>
      </c>
      <c r="B5977" t="s">
        <v>7337</v>
      </c>
      <c r="C5977" t="s">
        <v>20</v>
      </c>
      <c r="D5977" t="s">
        <v>7361</v>
      </c>
      <c r="E5977">
        <v>2894</v>
      </c>
    </row>
    <row r="5978" spans="1:5">
      <c r="A5978" s="1">
        <v>46064</v>
      </c>
      <c r="B5978" t="s">
        <v>856</v>
      </c>
      <c r="C5978" t="s">
        <v>20</v>
      </c>
      <c r="D5978" t="s">
        <v>7362</v>
      </c>
      <c r="E5978">
        <v>2075</v>
      </c>
    </row>
    <row r="5979" spans="1:5">
      <c r="A5979" s="1">
        <v>46065</v>
      </c>
      <c r="B5979" t="s">
        <v>1075</v>
      </c>
      <c r="C5979" t="s">
        <v>20</v>
      </c>
      <c r="D5979" t="s">
        <v>7363</v>
      </c>
      <c r="E5979">
        <v>68</v>
      </c>
    </row>
    <row r="5980" spans="1:5">
      <c r="A5980" s="1">
        <v>46066</v>
      </c>
      <c r="B5980" t="s">
        <v>6727</v>
      </c>
      <c r="C5980" t="s">
        <v>19</v>
      </c>
      <c r="D5980" t="s">
        <v>7364</v>
      </c>
      <c r="E5980">
        <v>640</v>
      </c>
    </row>
    <row r="5981" spans="1:5">
      <c r="A5981" s="1">
        <v>46066</v>
      </c>
      <c r="B5981" t="s">
        <v>58</v>
      </c>
      <c r="C5981" t="s">
        <v>19</v>
      </c>
      <c r="D5981" t="s">
        <v>7365</v>
      </c>
      <c r="E5981">
        <v>6676</v>
      </c>
    </row>
    <row r="5982" spans="1:5">
      <c r="A5982" s="1">
        <v>46066</v>
      </c>
      <c r="B5982" t="s">
        <v>58</v>
      </c>
      <c r="C5982" t="s">
        <v>19</v>
      </c>
      <c r="D5982" t="s">
        <v>7366</v>
      </c>
      <c r="E5982">
        <v>21760</v>
      </c>
    </row>
    <row r="5983" spans="1:5">
      <c r="A5983" s="1">
        <v>46066</v>
      </c>
      <c r="B5983" t="s">
        <v>1254</v>
      </c>
      <c r="C5983" t="s">
        <v>19</v>
      </c>
      <c r="D5983" t="s">
        <v>7367</v>
      </c>
      <c r="E5983">
        <v>500</v>
      </c>
    </row>
    <row r="5984" spans="1:5">
      <c r="A5984" s="1">
        <v>46066</v>
      </c>
      <c r="B5984" t="s">
        <v>222</v>
      </c>
      <c r="C5984" t="s">
        <v>20</v>
      </c>
      <c r="D5984" t="s">
        <v>7368</v>
      </c>
      <c r="E5984">
        <v>1600</v>
      </c>
    </row>
    <row r="5985" spans="1:5">
      <c r="A5985" s="1">
        <v>46066</v>
      </c>
      <c r="B5985" t="s">
        <v>3089</v>
      </c>
      <c r="C5985" t="s">
        <v>20</v>
      </c>
      <c r="D5985" t="s">
        <v>7369</v>
      </c>
      <c r="E5985">
        <v>8258</v>
      </c>
    </row>
    <row r="5986" spans="1:5">
      <c r="A5986" s="1">
        <v>46066</v>
      </c>
      <c r="B5986" t="s">
        <v>68</v>
      </c>
      <c r="C5986" t="s">
        <v>20</v>
      </c>
      <c r="D5986" t="s">
        <v>7370</v>
      </c>
      <c r="E5986">
        <v>545</v>
      </c>
    </row>
    <row r="5987" spans="1:5">
      <c r="A5987" s="1">
        <v>46066</v>
      </c>
      <c r="B5987" t="s">
        <v>844</v>
      </c>
      <c r="C5987" t="s">
        <v>20</v>
      </c>
      <c r="D5987" t="s">
        <v>7371</v>
      </c>
      <c r="E5987">
        <v>3840</v>
      </c>
    </row>
    <row r="5988" spans="1:5">
      <c r="A5988" s="1">
        <v>46066</v>
      </c>
      <c r="B5988" t="s">
        <v>50</v>
      </c>
      <c r="C5988" t="s">
        <v>20</v>
      </c>
      <c r="D5988" t="s">
        <v>7372</v>
      </c>
      <c r="E5988">
        <v>190</v>
      </c>
    </row>
    <row r="5989" spans="1:5">
      <c r="A5989" s="1">
        <v>46066</v>
      </c>
      <c r="B5989" t="s">
        <v>5086</v>
      </c>
      <c r="C5989" t="s">
        <v>20</v>
      </c>
      <c r="D5989" t="s">
        <v>7373</v>
      </c>
      <c r="E5989">
        <v>640</v>
      </c>
    </row>
    <row r="5990" spans="1:5">
      <c r="A5990" s="1">
        <v>46066</v>
      </c>
      <c r="B5990" t="s">
        <v>6959</v>
      </c>
      <c r="C5990" t="s">
        <v>20</v>
      </c>
      <c r="D5990" t="s">
        <v>7374</v>
      </c>
      <c r="E5990">
        <v>8030</v>
      </c>
    </row>
    <row r="5991" spans="1:5">
      <c r="A5991" s="1">
        <v>46066</v>
      </c>
      <c r="B5991" t="s">
        <v>254</v>
      </c>
      <c r="C5991" t="s">
        <v>20</v>
      </c>
      <c r="D5991" t="s">
        <v>7375</v>
      </c>
      <c r="E5991">
        <v>320</v>
      </c>
    </row>
    <row r="5992" spans="1:5">
      <c r="A5992" s="1">
        <v>46066</v>
      </c>
      <c r="B5992" t="s">
        <v>2233</v>
      </c>
      <c r="C5992" t="s">
        <v>20</v>
      </c>
      <c r="D5992" t="s">
        <v>7376</v>
      </c>
      <c r="E5992">
        <v>3651</v>
      </c>
    </row>
    <row r="5993" spans="1:5">
      <c r="A5993" s="1">
        <v>46066</v>
      </c>
      <c r="B5993" t="s">
        <v>1075</v>
      </c>
      <c r="C5993" t="s">
        <v>20</v>
      </c>
      <c r="D5993" t="s">
        <v>7377</v>
      </c>
      <c r="E5993">
        <v>4137</v>
      </c>
    </row>
    <row r="5994" spans="1:5">
      <c r="A5994" s="1">
        <v>46066</v>
      </c>
      <c r="B5994" t="s">
        <v>6840</v>
      </c>
      <c r="C5994" t="s">
        <v>20</v>
      </c>
      <c r="D5994" t="s">
        <v>7378</v>
      </c>
      <c r="E5994">
        <v>5033</v>
      </c>
    </row>
    <row r="5995" spans="1:5">
      <c r="A5995" s="1">
        <v>46066</v>
      </c>
      <c r="B5995" t="s">
        <v>6603</v>
      </c>
      <c r="C5995" t="s">
        <v>20</v>
      </c>
      <c r="D5995" t="s">
        <v>7379</v>
      </c>
      <c r="E5995">
        <v>88633</v>
      </c>
    </row>
    <row r="5996" spans="1:5">
      <c r="A5996" s="1">
        <v>46066</v>
      </c>
      <c r="B5996" t="s">
        <v>6251</v>
      </c>
      <c r="C5996" t="s">
        <v>20</v>
      </c>
      <c r="D5996" t="s">
        <v>7380</v>
      </c>
      <c r="E5996">
        <v>19433</v>
      </c>
    </row>
    <row r="5997" spans="1:5">
      <c r="A5997" s="1">
        <v>46066</v>
      </c>
      <c r="B5997" t="s">
        <v>7381</v>
      </c>
      <c r="C5997" t="s">
        <v>20</v>
      </c>
      <c r="D5997" t="s">
        <v>7382</v>
      </c>
      <c r="E5997">
        <v>1895</v>
      </c>
    </row>
    <row r="5998" spans="1:5">
      <c r="A5998" s="1">
        <v>46066</v>
      </c>
      <c r="B5998" t="s">
        <v>875</v>
      </c>
      <c r="C5998" t="s">
        <v>20</v>
      </c>
      <c r="D5998" t="s">
        <v>7383</v>
      </c>
      <c r="E5998">
        <v>723</v>
      </c>
    </row>
    <row r="5999" spans="1:5">
      <c r="A5999" s="1">
        <v>46066</v>
      </c>
      <c r="B5999" t="s">
        <v>50</v>
      </c>
      <c r="C5999" t="s">
        <v>20</v>
      </c>
      <c r="D5999" t="s">
        <v>7384</v>
      </c>
      <c r="E5999">
        <v>12</v>
      </c>
    </row>
    <row r="6000" spans="1:5">
      <c r="A6000" s="1">
        <v>46066</v>
      </c>
      <c r="B6000" t="s">
        <v>135</v>
      </c>
      <c r="C6000" t="s">
        <v>20</v>
      </c>
      <c r="D6000" t="s">
        <v>7385</v>
      </c>
      <c r="E6000">
        <v>11369</v>
      </c>
    </row>
    <row r="6001" spans="1:5">
      <c r="A6001" s="1">
        <v>46066</v>
      </c>
      <c r="B6001" t="s">
        <v>7333</v>
      </c>
      <c r="C6001" t="s">
        <v>20</v>
      </c>
      <c r="D6001" t="s">
        <v>7386</v>
      </c>
      <c r="E6001">
        <v>960</v>
      </c>
    </row>
    <row r="6002" spans="1:5">
      <c r="A6002" s="1">
        <v>46066</v>
      </c>
      <c r="B6002" t="s">
        <v>50</v>
      </c>
      <c r="C6002" t="s">
        <v>20</v>
      </c>
      <c r="D6002" t="s">
        <v>7387</v>
      </c>
      <c r="E6002">
        <v>3800</v>
      </c>
    </row>
    <row r="6003" spans="1:5">
      <c r="A6003" s="1">
        <v>46066</v>
      </c>
      <c r="B6003" t="s">
        <v>370</v>
      </c>
      <c r="C6003" t="s">
        <v>20</v>
      </c>
      <c r="D6003" t="s">
        <v>7388</v>
      </c>
      <c r="E6003">
        <v>1560</v>
      </c>
    </row>
    <row r="6004" spans="1:5">
      <c r="A6004" s="1">
        <v>46066</v>
      </c>
      <c r="B6004" t="s">
        <v>7319</v>
      </c>
      <c r="C6004" t="s">
        <v>20</v>
      </c>
      <c r="D6004" t="s">
        <v>7389</v>
      </c>
      <c r="E6004">
        <v>7373</v>
      </c>
    </row>
    <row r="6005" spans="1:5">
      <c r="A6005" s="1">
        <v>46066</v>
      </c>
      <c r="B6005" t="s">
        <v>68</v>
      </c>
      <c r="C6005" t="s">
        <v>20</v>
      </c>
      <c r="D6005" t="s">
        <v>7390</v>
      </c>
      <c r="E6005">
        <v>192</v>
      </c>
    </row>
    <row r="6006" spans="1:5">
      <c r="A6006" s="1">
        <v>46066</v>
      </c>
      <c r="B6006" t="s">
        <v>7391</v>
      </c>
      <c r="C6006" t="s">
        <v>20</v>
      </c>
      <c r="D6006" t="s">
        <v>7392</v>
      </c>
      <c r="E6006">
        <v>6061</v>
      </c>
    </row>
    <row r="6007" spans="1:5">
      <c r="A6007" s="1">
        <v>46066</v>
      </c>
      <c r="B6007" t="s">
        <v>50</v>
      </c>
      <c r="C6007" t="s">
        <v>20</v>
      </c>
      <c r="D6007" t="s">
        <v>7393</v>
      </c>
      <c r="E6007">
        <v>1339</v>
      </c>
    </row>
    <row r="6008" spans="1:5">
      <c r="A6008" s="1">
        <v>46066</v>
      </c>
      <c r="B6008" t="s">
        <v>1075</v>
      </c>
      <c r="C6008" t="s">
        <v>20</v>
      </c>
      <c r="D6008" t="s">
        <v>7394</v>
      </c>
      <c r="E6008">
        <v>320</v>
      </c>
    </row>
    <row r="6009" spans="1:5">
      <c r="A6009" s="1">
        <v>46066</v>
      </c>
      <c r="B6009" t="s">
        <v>566</v>
      </c>
      <c r="C6009" t="s">
        <v>20</v>
      </c>
      <c r="D6009" t="s">
        <v>7395</v>
      </c>
      <c r="E6009">
        <v>1788</v>
      </c>
    </row>
    <row r="6010" spans="1:5">
      <c r="A6010" s="1">
        <v>46066</v>
      </c>
      <c r="B6010" t="s">
        <v>2999</v>
      </c>
      <c r="C6010" t="s">
        <v>20</v>
      </c>
      <c r="D6010" t="s">
        <v>7396</v>
      </c>
      <c r="E6010">
        <v>8436</v>
      </c>
    </row>
    <row r="6011" spans="1:5">
      <c r="A6011" s="1">
        <v>46066</v>
      </c>
      <c r="B6011" t="s">
        <v>5842</v>
      </c>
      <c r="C6011" t="s">
        <v>20</v>
      </c>
      <c r="D6011" t="s">
        <v>7397</v>
      </c>
      <c r="E6011">
        <v>1210</v>
      </c>
    </row>
    <row r="6012" spans="1:5">
      <c r="A6012" s="1">
        <v>46066</v>
      </c>
      <c r="B6012" t="s">
        <v>35</v>
      </c>
      <c r="C6012" t="s">
        <v>20</v>
      </c>
      <c r="D6012" t="s">
        <v>7398</v>
      </c>
      <c r="E6012">
        <v>39886</v>
      </c>
    </row>
    <row r="6013" spans="1:5">
      <c r="A6013" s="1">
        <v>46066</v>
      </c>
      <c r="B6013" t="s">
        <v>7399</v>
      </c>
      <c r="C6013" t="s">
        <v>20</v>
      </c>
      <c r="D6013" t="s">
        <v>7400</v>
      </c>
      <c r="E6013">
        <v>55406</v>
      </c>
    </row>
    <row r="6014" spans="1:5">
      <c r="A6014" s="1">
        <v>46066</v>
      </c>
      <c r="B6014" t="s">
        <v>7401</v>
      </c>
      <c r="C6014" t="s">
        <v>20</v>
      </c>
      <c r="D6014" t="s">
        <v>7402</v>
      </c>
      <c r="E6014">
        <v>21015</v>
      </c>
    </row>
    <row r="6015" spans="1:5">
      <c r="A6015" s="1">
        <v>46066</v>
      </c>
      <c r="B6015" t="s">
        <v>7403</v>
      </c>
      <c r="C6015" t="s">
        <v>20</v>
      </c>
      <c r="D6015" t="s">
        <v>7404</v>
      </c>
      <c r="E6015">
        <v>686</v>
      </c>
    </row>
    <row r="6016" spans="1:5">
      <c r="A6016" s="1">
        <v>46066</v>
      </c>
      <c r="B6016" t="s">
        <v>7405</v>
      </c>
      <c r="C6016" t="s">
        <v>20</v>
      </c>
      <c r="D6016" t="s">
        <v>7406</v>
      </c>
      <c r="E6016">
        <v>320</v>
      </c>
    </row>
    <row r="6017" spans="1:5">
      <c r="A6017" s="1">
        <v>46067</v>
      </c>
      <c r="B6017" t="s">
        <v>246</v>
      </c>
      <c r="C6017" t="s">
        <v>19</v>
      </c>
      <c r="D6017" t="s">
        <v>7407</v>
      </c>
      <c r="E6017">
        <v>404</v>
      </c>
    </row>
    <row r="6018" spans="1:5">
      <c r="A6018" s="1">
        <v>46067</v>
      </c>
      <c r="B6018" t="s">
        <v>6426</v>
      </c>
      <c r="C6018" t="s">
        <v>20</v>
      </c>
      <c r="D6018" t="s">
        <v>7408</v>
      </c>
      <c r="E6018">
        <v>4700</v>
      </c>
    </row>
    <row r="6019" spans="1:5">
      <c r="A6019" s="1">
        <v>46067</v>
      </c>
      <c r="B6019" t="s">
        <v>68</v>
      </c>
      <c r="C6019" t="s">
        <v>20</v>
      </c>
      <c r="D6019" t="s">
        <v>7409</v>
      </c>
      <c r="E6019">
        <v>20684</v>
      </c>
    </row>
    <row r="6020" spans="1:5">
      <c r="A6020" s="1">
        <v>46067</v>
      </c>
      <c r="B6020" t="s">
        <v>76</v>
      </c>
      <c r="C6020" t="s">
        <v>20</v>
      </c>
      <c r="D6020" t="s">
        <v>7410</v>
      </c>
      <c r="E6020">
        <v>1571</v>
      </c>
    </row>
    <row r="6021" spans="1:5">
      <c r="A6021" s="1">
        <v>46067</v>
      </c>
      <c r="B6021" t="s">
        <v>7381</v>
      </c>
      <c r="C6021" t="s">
        <v>20</v>
      </c>
      <c r="D6021" t="s">
        <v>7411</v>
      </c>
      <c r="E6021">
        <v>1064</v>
      </c>
    </row>
    <row r="6022" spans="1:5">
      <c r="A6022" s="1">
        <v>46067</v>
      </c>
      <c r="B6022" t="s">
        <v>5711</v>
      </c>
      <c r="C6022" t="s">
        <v>20</v>
      </c>
      <c r="D6022" t="s">
        <v>7412</v>
      </c>
      <c r="E6022">
        <v>6657</v>
      </c>
    </row>
    <row r="6023" spans="1:5">
      <c r="A6023" s="1">
        <v>46067</v>
      </c>
      <c r="B6023" t="s">
        <v>3089</v>
      </c>
      <c r="C6023" t="s">
        <v>20</v>
      </c>
      <c r="D6023" t="s">
        <v>7413</v>
      </c>
      <c r="E6023">
        <v>3578</v>
      </c>
    </row>
    <row r="6024" spans="1:5">
      <c r="A6024" s="1">
        <v>46067</v>
      </c>
      <c r="B6024" t="s">
        <v>658</v>
      </c>
      <c r="C6024" t="s">
        <v>20</v>
      </c>
      <c r="D6024" t="s">
        <v>7414</v>
      </c>
      <c r="E6024">
        <v>1920</v>
      </c>
    </row>
    <row r="6025" spans="1:5">
      <c r="A6025" s="1">
        <v>46067</v>
      </c>
      <c r="B6025" t="s">
        <v>6840</v>
      </c>
      <c r="C6025" t="s">
        <v>20</v>
      </c>
      <c r="D6025" t="s">
        <v>7415</v>
      </c>
      <c r="E6025">
        <v>170</v>
      </c>
    </row>
    <row r="6026" spans="1:5">
      <c r="A6026" s="1">
        <v>46067</v>
      </c>
      <c r="B6026" t="s">
        <v>137</v>
      </c>
      <c r="C6026" t="s">
        <v>20</v>
      </c>
      <c r="D6026" t="s">
        <v>7416</v>
      </c>
      <c r="E6026">
        <v>640</v>
      </c>
    </row>
    <row r="6027" spans="1:5">
      <c r="A6027" s="1">
        <v>46067</v>
      </c>
      <c r="B6027" t="s">
        <v>7417</v>
      </c>
      <c r="C6027" t="s">
        <v>20</v>
      </c>
      <c r="D6027" t="s">
        <v>7418</v>
      </c>
      <c r="E6027">
        <v>15150</v>
      </c>
    </row>
    <row r="6028" spans="1:5">
      <c r="A6028" s="1">
        <v>46067</v>
      </c>
      <c r="B6028" t="s">
        <v>7417</v>
      </c>
      <c r="C6028" t="s">
        <v>20</v>
      </c>
      <c r="D6028" t="s">
        <v>7419</v>
      </c>
      <c r="E6028">
        <v>640</v>
      </c>
    </row>
    <row r="6029" spans="1:5">
      <c r="A6029" s="1">
        <v>46067</v>
      </c>
      <c r="B6029" t="s">
        <v>87</v>
      </c>
      <c r="C6029" t="s">
        <v>20</v>
      </c>
      <c r="D6029" t="s">
        <v>7420</v>
      </c>
      <c r="E6029">
        <v>6040</v>
      </c>
    </row>
    <row r="6030" spans="1:5">
      <c r="A6030" s="1">
        <v>46067</v>
      </c>
      <c r="B6030" t="s">
        <v>7120</v>
      </c>
      <c r="C6030" t="s">
        <v>20</v>
      </c>
      <c r="D6030" t="s">
        <v>7421</v>
      </c>
      <c r="E6030">
        <v>1920</v>
      </c>
    </row>
    <row r="6031" spans="1:5">
      <c r="A6031" s="1">
        <v>46067</v>
      </c>
      <c r="B6031" t="s">
        <v>135</v>
      </c>
      <c r="C6031" t="s">
        <v>20</v>
      </c>
      <c r="D6031" t="s">
        <v>7422</v>
      </c>
      <c r="E6031">
        <v>120</v>
      </c>
    </row>
    <row r="6032" spans="1:5">
      <c r="A6032" s="1">
        <v>46067</v>
      </c>
      <c r="B6032" t="s">
        <v>100</v>
      </c>
      <c r="C6032" t="s">
        <v>20</v>
      </c>
      <c r="D6032" t="s">
        <v>7423</v>
      </c>
      <c r="E6032">
        <v>8583</v>
      </c>
    </row>
    <row r="6033" spans="1:5">
      <c r="A6033" s="1">
        <v>46067</v>
      </c>
      <c r="B6033" t="s">
        <v>7037</v>
      </c>
      <c r="C6033" t="s">
        <v>20</v>
      </c>
      <c r="D6033" t="s">
        <v>7424</v>
      </c>
      <c r="E6033">
        <v>245</v>
      </c>
    </row>
    <row r="6034" spans="1:5">
      <c r="A6034" s="1">
        <v>46067</v>
      </c>
      <c r="B6034" t="s">
        <v>370</v>
      </c>
      <c r="C6034" t="s">
        <v>20</v>
      </c>
      <c r="D6034" t="s">
        <v>7425</v>
      </c>
      <c r="E6034">
        <v>2103</v>
      </c>
    </row>
    <row r="6035" spans="1:5">
      <c r="A6035" s="1">
        <v>46067</v>
      </c>
      <c r="B6035" t="s">
        <v>628</v>
      </c>
      <c r="C6035" t="s">
        <v>20</v>
      </c>
      <c r="D6035" t="s">
        <v>7426</v>
      </c>
      <c r="E6035">
        <v>2240</v>
      </c>
    </row>
    <row r="6036" spans="1:5">
      <c r="A6036" s="1">
        <v>46067</v>
      </c>
      <c r="B6036" t="s">
        <v>7427</v>
      </c>
      <c r="C6036" t="s">
        <v>20</v>
      </c>
      <c r="D6036" t="s">
        <v>7428</v>
      </c>
      <c r="E6036">
        <v>4418</v>
      </c>
    </row>
    <row r="6037" spans="1:5">
      <c r="A6037" s="1">
        <v>46067</v>
      </c>
      <c r="B6037" t="s">
        <v>4329</v>
      </c>
      <c r="C6037" t="s">
        <v>20</v>
      </c>
      <c r="D6037" t="s">
        <v>7429</v>
      </c>
      <c r="E6037">
        <v>200</v>
      </c>
    </row>
    <row r="6038" spans="1:5">
      <c r="A6038" s="1">
        <v>46067</v>
      </c>
      <c r="B6038" t="s">
        <v>7430</v>
      </c>
      <c r="C6038" t="s">
        <v>20</v>
      </c>
      <c r="D6038" t="s">
        <v>7431</v>
      </c>
      <c r="E6038">
        <v>320</v>
      </c>
    </row>
    <row r="6039" spans="1:5">
      <c r="A6039" s="1">
        <v>46069</v>
      </c>
      <c r="B6039" t="s">
        <v>4669</v>
      </c>
      <c r="C6039" t="s">
        <v>19</v>
      </c>
      <c r="D6039" t="s">
        <v>7432</v>
      </c>
      <c r="E6039">
        <v>4455</v>
      </c>
    </row>
    <row r="6040" spans="1:5">
      <c r="A6040" s="1">
        <v>46069</v>
      </c>
      <c r="B6040" t="s">
        <v>7433</v>
      </c>
      <c r="C6040" t="s">
        <v>19</v>
      </c>
      <c r="D6040" t="s">
        <v>7434</v>
      </c>
      <c r="E6040">
        <v>61608</v>
      </c>
    </row>
    <row r="6041" spans="1:5">
      <c r="A6041" s="1">
        <v>46069</v>
      </c>
      <c r="B6041" t="s">
        <v>6840</v>
      </c>
      <c r="C6041" t="s">
        <v>20</v>
      </c>
      <c r="D6041" t="s">
        <v>7435</v>
      </c>
      <c r="E6041">
        <v>21000</v>
      </c>
    </row>
    <row r="6042" spans="1:5">
      <c r="A6042" s="1">
        <v>46069</v>
      </c>
      <c r="B6042" t="s">
        <v>7319</v>
      </c>
      <c r="C6042" t="s">
        <v>20</v>
      </c>
      <c r="D6042" t="s">
        <v>7436</v>
      </c>
      <c r="E6042">
        <v>3615</v>
      </c>
    </row>
    <row r="6043" spans="1:5">
      <c r="A6043" s="1">
        <v>46069</v>
      </c>
      <c r="B6043" t="s">
        <v>7437</v>
      </c>
      <c r="C6043" t="s">
        <v>20</v>
      </c>
      <c r="D6043" t="s">
        <v>7438</v>
      </c>
      <c r="E6043">
        <v>320</v>
      </c>
    </row>
    <row r="6044" spans="1:5">
      <c r="A6044" s="1">
        <v>46069</v>
      </c>
      <c r="B6044" t="s">
        <v>526</v>
      </c>
      <c r="C6044" t="s">
        <v>20</v>
      </c>
      <c r="D6044" t="s">
        <v>7439</v>
      </c>
      <c r="E6044">
        <v>1640</v>
      </c>
    </row>
    <row r="6045" spans="1:5">
      <c r="A6045" s="1">
        <v>46069</v>
      </c>
      <c r="B6045" t="s">
        <v>50</v>
      </c>
      <c r="C6045" t="s">
        <v>20</v>
      </c>
      <c r="D6045" t="s">
        <v>7440</v>
      </c>
      <c r="E6045">
        <v>12</v>
      </c>
    </row>
    <row r="6046" spans="1:5">
      <c r="A6046" s="1">
        <v>46069</v>
      </c>
      <c r="B6046" t="s">
        <v>6167</v>
      </c>
      <c r="C6046" t="s">
        <v>20</v>
      </c>
      <c r="D6046" t="s">
        <v>7441</v>
      </c>
      <c r="E6046">
        <v>3100</v>
      </c>
    </row>
    <row r="6047" spans="1:5">
      <c r="A6047" s="1">
        <v>46069</v>
      </c>
      <c r="B6047" t="s">
        <v>76</v>
      </c>
      <c r="C6047" t="s">
        <v>20</v>
      </c>
      <c r="D6047" t="s">
        <v>7442</v>
      </c>
      <c r="E6047">
        <v>220</v>
      </c>
    </row>
    <row r="6048" spans="1:5">
      <c r="A6048" s="1">
        <v>46069</v>
      </c>
      <c r="B6048" t="s">
        <v>5711</v>
      </c>
      <c r="C6048" t="s">
        <v>20</v>
      </c>
      <c r="D6048" t="s">
        <v>7443</v>
      </c>
      <c r="E6048">
        <v>2490</v>
      </c>
    </row>
    <row r="6049" spans="1:5">
      <c r="A6049" s="1">
        <v>46069</v>
      </c>
      <c r="B6049" t="s">
        <v>2399</v>
      </c>
      <c r="C6049" t="s">
        <v>20</v>
      </c>
      <c r="D6049" t="s">
        <v>7444</v>
      </c>
      <c r="E6049">
        <v>960</v>
      </c>
    </row>
    <row r="6050" spans="1:5">
      <c r="A6050" s="1">
        <v>46069</v>
      </c>
      <c r="B6050" t="s">
        <v>7187</v>
      </c>
      <c r="C6050" t="s">
        <v>20</v>
      </c>
      <c r="D6050" t="s">
        <v>7445</v>
      </c>
      <c r="E6050">
        <v>4650</v>
      </c>
    </row>
    <row r="6051" spans="1:5">
      <c r="A6051" s="1">
        <v>46069</v>
      </c>
      <c r="B6051" t="s">
        <v>7309</v>
      </c>
      <c r="C6051" t="s">
        <v>20</v>
      </c>
      <c r="D6051" t="s">
        <v>7446</v>
      </c>
      <c r="E6051">
        <v>2211</v>
      </c>
    </row>
    <row r="6052" spans="1:5">
      <c r="A6052" s="1">
        <v>46069</v>
      </c>
      <c r="B6052" t="s">
        <v>844</v>
      </c>
      <c r="C6052" t="s">
        <v>20</v>
      </c>
      <c r="D6052" t="s">
        <v>7447</v>
      </c>
      <c r="E6052">
        <v>960</v>
      </c>
    </row>
    <row r="6053" spans="1:5">
      <c r="A6053" s="1">
        <v>46069</v>
      </c>
      <c r="B6053" t="s">
        <v>7448</v>
      </c>
      <c r="C6053" t="s">
        <v>20</v>
      </c>
      <c r="D6053" t="s">
        <v>7449</v>
      </c>
      <c r="E6053">
        <v>3060</v>
      </c>
    </row>
    <row r="6054" spans="1:5">
      <c r="A6054" s="1">
        <v>46069</v>
      </c>
      <c r="B6054" t="s">
        <v>709</v>
      </c>
      <c r="C6054" t="s">
        <v>20</v>
      </c>
      <c r="D6054" t="s">
        <v>7450</v>
      </c>
      <c r="E6054">
        <v>30145</v>
      </c>
    </row>
    <row r="6055" spans="1:5">
      <c r="A6055" s="1">
        <v>46069</v>
      </c>
      <c r="B6055" t="s">
        <v>7120</v>
      </c>
      <c r="C6055" t="s">
        <v>20</v>
      </c>
      <c r="D6055" t="s">
        <v>7451</v>
      </c>
      <c r="E6055">
        <v>14450</v>
      </c>
    </row>
    <row r="6056" spans="1:5">
      <c r="A6056" s="1">
        <v>46069</v>
      </c>
      <c r="B6056" t="s">
        <v>2143</v>
      </c>
      <c r="C6056" t="s">
        <v>20</v>
      </c>
      <c r="D6056" t="s">
        <v>7452</v>
      </c>
      <c r="E6056">
        <v>6698</v>
      </c>
    </row>
    <row r="6057" spans="1:5">
      <c r="A6057" s="1">
        <v>46069</v>
      </c>
      <c r="B6057" t="s">
        <v>7453</v>
      </c>
      <c r="C6057" t="s">
        <v>20</v>
      </c>
      <c r="D6057" t="s">
        <v>7454</v>
      </c>
      <c r="E6057">
        <v>430</v>
      </c>
    </row>
    <row r="6058" spans="1:5">
      <c r="A6058" s="1">
        <v>46069</v>
      </c>
      <c r="B6058" t="s">
        <v>254</v>
      </c>
      <c r="C6058" t="s">
        <v>20</v>
      </c>
      <c r="D6058" t="s">
        <v>7455</v>
      </c>
      <c r="E6058">
        <v>320</v>
      </c>
    </row>
    <row r="6059" spans="1:5">
      <c r="A6059" s="1">
        <v>46069</v>
      </c>
      <c r="B6059" t="s">
        <v>7456</v>
      </c>
      <c r="C6059" t="s">
        <v>20</v>
      </c>
      <c r="D6059" t="s">
        <v>7457</v>
      </c>
      <c r="E6059">
        <v>1836</v>
      </c>
    </row>
    <row r="6060" spans="1:5">
      <c r="A6060" s="1">
        <v>46069</v>
      </c>
      <c r="B6060" t="s">
        <v>5840</v>
      </c>
      <c r="C6060" t="s">
        <v>20</v>
      </c>
      <c r="D6060" t="s">
        <v>7458</v>
      </c>
      <c r="E6060">
        <v>40665</v>
      </c>
    </row>
    <row r="6061" spans="1:5">
      <c r="A6061" s="1">
        <v>46069</v>
      </c>
      <c r="B6061" t="s">
        <v>7125</v>
      </c>
      <c r="C6061" t="s">
        <v>20</v>
      </c>
      <c r="D6061" t="s">
        <v>7459</v>
      </c>
      <c r="E6061">
        <v>425</v>
      </c>
    </row>
    <row r="6062" spans="1:5">
      <c r="A6062" s="1">
        <v>46069</v>
      </c>
      <c r="B6062" t="s">
        <v>7453</v>
      </c>
      <c r="C6062" t="s">
        <v>20</v>
      </c>
      <c r="D6062" t="s">
        <v>7460</v>
      </c>
      <c r="E6062">
        <v>3451</v>
      </c>
    </row>
    <row r="6063" spans="1:5">
      <c r="A6063" s="1">
        <v>46069</v>
      </c>
      <c r="B6063" t="s">
        <v>812</v>
      </c>
      <c r="C6063" t="s">
        <v>20</v>
      </c>
      <c r="D6063" t="s">
        <v>7461</v>
      </c>
      <c r="E6063">
        <v>1944</v>
      </c>
    </row>
    <row r="6064" spans="1:5">
      <c r="A6064" s="1">
        <v>46069</v>
      </c>
      <c r="B6064" t="s">
        <v>526</v>
      </c>
      <c r="C6064" t="s">
        <v>20</v>
      </c>
      <c r="D6064" t="s">
        <v>7462</v>
      </c>
      <c r="E6064">
        <v>465</v>
      </c>
    </row>
    <row r="6065" spans="1:5">
      <c r="A6065" s="1">
        <v>46069</v>
      </c>
      <c r="B6065" t="s">
        <v>117</v>
      </c>
      <c r="C6065" t="s">
        <v>20</v>
      </c>
      <c r="D6065" t="s">
        <v>7463</v>
      </c>
      <c r="E6065">
        <v>17132</v>
      </c>
    </row>
    <row r="6066" spans="1:5">
      <c r="A6066" s="1">
        <v>46069</v>
      </c>
      <c r="B6066" t="s">
        <v>7464</v>
      </c>
      <c r="C6066" t="s">
        <v>20</v>
      </c>
      <c r="D6066" t="s">
        <v>7465</v>
      </c>
      <c r="E6066">
        <v>2205</v>
      </c>
    </row>
    <row r="6067" spans="1:5">
      <c r="A6067" s="1">
        <v>46070</v>
      </c>
      <c r="B6067" t="s">
        <v>2987</v>
      </c>
      <c r="C6067" t="s">
        <v>19</v>
      </c>
      <c r="D6067" t="s">
        <v>7466</v>
      </c>
      <c r="E6067">
        <v>7750</v>
      </c>
    </row>
    <row r="6068" spans="1:5">
      <c r="A6068" s="1">
        <v>46070</v>
      </c>
      <c r="B6068" t="s">
        <v>60</v>
      </c>
      <c r="C6068" t="s">
        <v>19</v>
      </c>
      <c r="D6068" t="s">
        <v>7467</v>
      </c>
      <c r="E6068">
        <v>18390</v>
      </c>
    </row>
    <row r="6069" spans="1:5">
      <c r="A6069" s="1">
        <v>46070</v>
      </c>
      <c r="B6069" t="s">
        <v>246</v>
      </c>
      <c r="C6069" t="s">
        <v>19</v>
      </c>
      <c r="D6069" t="s">
        <v>7468</v>
      </c>
      <c r="E6069">
        <v>17240</v>
      </c>
    </row>
    <row r="6070" spans="1:5">
      <c r="A6070" s="1">
        <v>46070</v>
      </c>
      <c r="B6070" t="s">
        <v>443</v>
      </c>
      <c r="C6070" t="s">
        <v>19</v>
      </c>
      <c r="D6070" t="s">
        <v>7469</v>
      </c>
      <c r="E6070">
        <v>44171</v>
      </c>
    </row>
    <row r="6071" spans="1:5">
      <c r="A6071" s="1">
        <v>46070</v>
      </c>
      <c r="B6071" t="s">
        <v>1169</v>
      </c>
      <c r="C6071" t="s">
        <v>19</v>
      </c>
      <c r="D6071" t="s">
        <v>7470</v>
      </c>
      <c r="E6071">
        <v>8363</v>
      </c>
    </row>
    <row r="6072" spans="1:5">
      <c r="A6072" s="1">
        <v>46070</v>
      </c>
      <c r="B6072" t="s">
        <v>7471</v>
      </c>
      <c r="C6072" t="s">
        <v>20</v>
      </c>
      <c r="D6072" t="s">
        <v>7472</v>
      </c>
      <c r="E6072">
        <v>9600</v>
      </c>
    </row>
    <row r="6073" spans="1:5">
      <c r="A6073" s="1">
        <v>46070</v>
      </c>
      <c r="B6073" t="s">
        <v>89</v>
      </c>
      <c r="C6073" t="s">
        <v>20</v>
      </c>
      <c r="D6073" t="s">
        <v>7473</v>
      </c>
      <c r="E6073">
        <v>1150</v>
      </c>
    </row>
    <row r="6074" spans="1:5">
      <c r="A6074" s="1">
        <v>46070</v>
      </c>
      <c r="B6074" t="s">
        <v>89</v>
      </c>
      <c r="C6074" t="s">
        <v>20</v>
      </c>
      <c r="D6074" t="s">
        <v>7474</v>
      </c>
      <c r="E6074">
        <v>1280</v>
      </c>
    </row>
    <row r="6075" spans="1:5">
      <c r="A6075" s="1">
        <v>46070</v>
      </c>
      <c r="B6075" t="s">
        <v>932</v>
      </c>
      <c r="C6075" t="s">
        <v>20</v>
      </c>
      <c r="D6075" t="s">
        <v>7475</v>
      </c>
      <c r="E6075">
        <v>8000</v>
      </c>
    </row>
    <row r="6076" spans="1:5">
      <c r="A6076" s="1">
        <v>46070</v>
      </c>
      <c r="B6076" t="s">
        <v>50</v>
      </c>
      <c r="C6076" t="s">
        <v>20</v>
      </c>
      <c r="D6076" t="s">
        <v>7476</v>
      </c>
      <c r="E6076">
        <v>30</v>
      </c>
    </row>
    <row r="6077" spans="1:5">
      <c r="A6077" s="1">
        <v>46070</v>
      </c>
      <c r="B6077" t="s">
        <v>6959</v>
      </c>
      <c r="C6077" t="s">
        <v>20</v>
      </c>
      <c r="D6077" t="s">
        <v>7477</v>
      </c>
      <c r="E6077">
        <v>1085</v>
      </c>
    </row>
    <row r="6078" spans="1:5">
      <c r="A6078" s="1">
        <v>46070</v>
      </c>
      <c r="B6078" t="s">
        <v>5237</v>
      </c>
      <c r="C6078" t="s">
        <v>20</v>
      </c>
      <c r="D6078" t="s">
        <v>7478</v>
      </c>
      <c r="E6078">
        <v>3495</v>
      </c>
    </row>
    <row r="6079" spans="1:5">
      <c r="A6079" s="1">
        <v>46070</v>
      </c>
      <c r="B6079" t="s">
        <v>7065</v>
      </c>
      <c r="C6079" t="s">
        <v>20</v>
      </c>
      <c r="D6079" t="s">
        <v>7479</v>
      </c>
      <c r="E6079">
        <v>13204</v>
      </c>
    </row>
    <row r="6080" spans="1:5">
      <c r="A6080" s="1">
        <v>46070</v>
      </c>
      <c r="B6080" t="s">
        <v>709</v>
      </c>
      <c r="C6080" t="s">
        <v>20</v>
      </c>
      <c r="D6080" t="s">
        <v>7480</v>
      </c>
      <c r="E6080">
        <v>6200</v>
      </c>
    </row>
    <row r="6081" spans="1:5">
      <c r="A6081" s="1">
        <v>46070</v>
      </c>
      <c r="B6081" t="s">
        <v>5086</v>
      </c>
      <c r="C6081" t="s">
        <v>20</v>
      </c>
      <c r="D6081" t="s">
        <v>7481</v>
      </c>
      <c r="E6081">
        <v>320</v>
      </c>
    </row>
    <row r="6082" spans="1:5">
      <c r="A6082" s="1">
        <v>46070</v>
      </c>
      <c r="B6082" t="s">
        <v>2233</v>
      </c>
      <c r="C6082" t="s">
        <v>20</v>
      </c>
      <c r="D6082" t="s">
        <v>7482</v>
      </c>
      <c r="E6082">
        <v>1600</v>
      </c>
    </row>
    <row r="6083" spans="1:5">
      <c r="A6083" s="1">
        <v>46070</v>
      </c>
      <c r="B6083" t="s">
        <v>2143</v>
      </c>
      <c r="C6083" t="s">
        <v>20</v>
      </c>
      <c r="D6083" t="s">
        <v>7483</v>
      </c>
      <c r="E6083">
        <v>585</v>
      </c>
    </row>
    <row r="6084" spans="1:5">
      <c r="A6084" s="1">
        <v>46070</v>
      </c>
      <c r="B6084" t="s">
        <v>7484</v>
      </c>
      <c r="C6084" t="s">
        <v>20</v>
      </c>
      <c r="D6084" t="s">
        <v>7485</v>
      </c>
      <c r="E6084">
        <v>3933</v>
      </c>
    </row>
    <row r="6085" spans="1:5">
      <c r="A6085" s="1">
        <v>46070</v>
      </c>
      <c r="B6085" t="s">
        <v>7486</v>
      </c>
      <c r="C6085" t="s">
        <v>20</v>
      </c>
      <c r="D6085" t="s">
        <v>7487</v>
      </c>
      <c r="E6085">
        <v>506</v>
      </c>
    </row>
    <row r="6086" spans="1:5">
      <c r="A6086" s="1">
        <v>46070</v>
      </c>
      <c r="B6086" t="s">
        <v>2143</v>
      </c>
      <c r="C6086" t="s">
        <v>20</v>
      </c>
      <c r="D6086" t="s">
        <v>7488</v>
      </c>
      <c r="E6086">
        <v>486</v>
      </c>
    </row>
    <row r="6087" spans="1:5">
      <c r="A6087" s="1">
        <v>46070</v>
      </c>
      <c r="B6087" t="s">
        <v>50</v>
      </c>
      <c r="C6087" t="s">
        <v>20</v>
      </c>
      <c r="D6087" t="s">
        <v>7489</v>
      </c>
      <c r="E6087">
        <v>30</v>
      </c>
    </row>
    <row r="6088" spans="1:5">
      <c r="A6088" s="1">
        <v>46070</v>
      </c>
      <c r="B6088" t="s">
        <v>87</v>
      </c>
      <c r="C6088" t="s">
        <v>20</v>
      </c>
      <c r="D6088" t="s">
        <v>7490</v>
      </c>
      <c r="E6088">
        <v>1382</v>
      </c>
    </row>
    <row r="6089" spans="1:5">
      <c r="A6089" s="1">
        <v>46070</v>
      </c>
      <c r="B6089" t="s">
        <v>50</v>
      </c>
      <c r="C6089" t="s">
        <v>20</v>
      </c>
      <c r="D6089" t="s">
        <v>7491</v>
      </c>
      <c r="E6089">
        <v>5</v>
      </c>
    </row>
    <row r="6090" spans="1:5">
      <c r="A6090" s="1">
        <v>46070</v>
      </c>
      <c r="B6090" t="s">
        <v>7492</v>
      </c>
      <c r="C6090" t="s">
        <v>20</v>
      </c>
      <c r="D6090" t="s">
        <v>7493</v>
      </c>
      <c r="E6090">
        <v>150</v>
      </c>
    </row>
    <row r="6091" spans="1:5">
      <c r="A6091" s="1">
        <v>46071</v>
      </c>
      <c r="B6091" t="s">
        <v>1104</v>
      </c>
      <c r="C6091" t="s">
        <v>19</v>
      </c>
      <c r="D6091" t="s">
        <v>7494</v>
      </c>
      <c r="E6091">
        <v>19813</v>
      </c>
    </row>
    <row r="6092" spans="1:5">
      <c r="A6092" s="1">
        <v>46071</v>
      </c>
      <c r="B6092" t="s">
        <v>443</v>
      </c>
      <c r="C6092" t="s">
        <v>19</v>
      </c>
      <c r="D6092" t="s">
        <v>7495</v>
      </c>
      <c r="E6092">
        <v>6058</v>
      </c>
    </row>
    <row r="6093" spans="1:5">
      <c r="A6093" s="1">
        <v>46071</v>
      </c>
      <c r="B6093" t="s">
        <v>58</v>
      </c>
      <c r="C6093" t="s">
        <v>19</v>
      </c>
      <c r="D6093" t="s">
        <v>7496</v>
      </c>
      <c r="E6093">
        <v>5120</v>
      </c>
    </row>
    <row r="6094" spans="1:5">
      <c r="A6094" s="1">
        <v>46071</v>
      </c>
      <c r="B6094" t="s">
        <v>1104</v>
      </c>
      <c r="C6094" t="s">
        <v>19</v>
      </c>
      <c r="D6094" t="s">
        <v>7497</v>
      </c>
      <c r="E6094">
        <v>48334</v>
      </c>
    </row>
    <row r="6095" spans="1:5">
      <c r="A6095" s="1">
        <v>46071</v>
      </c>
      <c r="B6095" t="s">
        <v>50</v>
      </c>
      <c r="C6095" t="s">
        <v>20</v>
      </c>
      <c r="D6095" t="s">
        <v>7498</v>
      </c>
      <c r="E6095">
        <v>10</v>
      </c>
    </row>
    <row r="6096" spans="1:5">
      <c r="A6096" s="1">
        <v>46071</v>
      </c>
      <c r="B6096" t="s">
        <v>2399</v>
      </c>
      <c r="C6096" t="s">
        <v>20</v>
      </c>
      <c r="D6096" t="s">
        <v>7499</v>
      </c>
      <c r="E6096">
        <v>1280</v>
      </c>
    </row>
    <row r="6097" spans="1:5">
      <c r="A6097" s="1">
        <v>46071</v>
      </c>
      <c r="B6097" t="s">
        <v>6959</v>
      </c>
      <c r="C6097" t="s">
        <v>20</v>
      </c>
      <c r="D6097" t="s">
        <v>7500</v>
      </c>
      <c r="E6097">
        <v>9940</v>
      </c>
    </row>
    <row r="6098" spans="1:5">
      <c r="A6098" s="1">
        <v>46071</v>
      </c>
      <c r="B6098" t="s">
        <v>50</v>
      </c>
      <c r="C6098" t="s">
        <v>20</v>
      </c>
      <c r="D6098" t="s">
        <v>7501</v>
      </c>
      <c r="E6098">
        <v>25</v>
      </c>
    </row>
    <row r="6099" spans="1:5">
      <c r="A6099" s="1">
        <v>46071</v>
      </c>
      <c r="B6099" t="s">
        <v>117</v>
      </c>
      <c r="C6099" t="s">
        <v>20</v>
      </c>
      <c r="D6099" t="s">
        <v>7502</v>
      </c>
      <c r="E6099">
        <v>7358</v>
      </c>
    </row>
    <row r="6100" spans="1:5">
      <c r="A6100" s="1">
        <v>46071</v>
      </c>
      <c r="B6100" t="s">
        <v>7503</v>
      </c>
      <c r="C6100" t="s">
        <v>20</v>
      </c>
      <c r="D6100" t="s">
        <v>7504</v>
      </c>
      <c r="E6100">
        <v>1090</v>
      </c>
    </row>
    <row r="6101" spans="1:5">
      <c r="A6101" s="1">
        <v>46071</v>
      </c>
      <c r="B6101" t="s">
        <v>7381</v>
      </c>
      <c r="C6101" t="s">
        <v>20</v>
      </c>
      <c r="D6101" t="s">
        <v>7505</v>
      </c>
      <c r="E6101">
        <v>60</v>
      </c>
    </row>
    <row r="6102" spans="1:5">
      <c r="A6102" s="1">
        <v>46071</v>
      </c>
      <c r="B6102" t="s">
        <v>76</v>
      </c>
      <c r="C6102" t="s">
        <v>20</v>
      </c>
      <c r="D6102" t="s">
        <v>7506</v>
      </c>
      <c r="E6102">
        <v>495</v>
      </c>
    </row>
    <row r="6103" spans="1:5">
      <c r="A6103" s="1">
        <v>46071</v>
      </c>
      <c r="B6103" t="s">
        <v>557</v>
      </c>
      <c r="C6103" t="s">
        <v>20</v>
      </c>
      <c r="D6103" t="s">
        <v>7507</v>
      </c>
      <c r="E6103">
        <v>5181</v>
      </c>
    </row>
    <row r="6104" spans="1:5">
      <c r="A6104" s="1">
        <v>46071</v>
      </c>
      <c r="B6104" t="s">
        <v>7313</v>
      </c>
      <c r="C6104" t="s">
        <v>20</v>
      </c>
      <c r="D6104" t="s">
        <v>7508</v>
      </c>
      <c r="E6104">
        <v>9805</v>
      </c>
    </row>
    <row r="6105" spans="1:5">
      <c r="A6105" s="1">
        <v>46071</v>
      </c>
      <c r="B6105" t="s">
        <v>7065</v>
      </c>
      <c r="C6105" t="s">
        <v>20</v>
      </c>
      <c r="D6105" t="s">
        <v>7509</v>
      </c>
      <c r="E6105">
        <v>4227</v>
      </c>
    </row>
    <row r="6106" spans="1:5">
      <c r="A6106" s="1">
        <v>46071</v>
      </c>
      <c r="B6106" t="s">
        <v>856</v>
      </c>
      <c r="C6106" t="s">
        <v>20</v>
      </c>
      <c r="D6106" t="s">
        <v>7510</v>
      </c>
      <c r="E6106">
        <v>680</v>
      </c>
    </row>
    <row r="6107" spans="1:5">
      <c r="A6107" s="1">
        <v>46071</v>
      </c>
      <c r="B6107" t="s">
        <v>7399</v>
      </c>
      <c r="C6107" t="s">
        <v>20</v>
      </c>
      <c r="D6107" t="s">
        <v>7511</v>
      </c>
      <c r="E6107">
        <v>615</v>
      </c>
    </row>
    <row r="6108" spans="1:5">
      <c r="A6108" s="1">
        <v>46071</v>
      </c>
      <c r="B6108" t="s">
        <v>193</v>
      </c>
      <c r="C6108" t="s">
        <v>20</v>
      </c>
      <c r="D6108" t="s">
        <v>7512</v>
      </c>
      <c r="E6108">
        <v>32051</v>
      </c>
    </row>
    <row r="6109" spans="1:5">
      <c r="A6109" s="1">
        <v>46071</v>
      </c>
      <c r="B6109" t="s">
        <v>455</v>
      </c>
      <c r="C6109" t="s">
        <v>20</v>
      </c>
      <c r="D6109" t="s">
        <v>7513</v>
      </c>
      <c r="E6109">
        <v>14235</v>
      </c>
    </row>
    <row r="6110" spans="1:5">
      <c r="A6110" s="1">
        <v>46071</v>
      </c>
      <c r="B6110" t="s">
        <v>50</v>
      </c>
      <c r="C6110" t="s">
        <v>20</v>
      </c>
      <c r="D6110" t="s">
        <v>7514</v>
      </c>
      <c r="E6110">
        <v>10</v>
      </c>
    </row>
    <row r="6111" spans="1:5">
      <c r="A6111" s="1">
        <v>46071</v>
      </c>
      <c r="B6111" t="s">
        <v>7515</v>
      </c>
      <c r="C6111" t="s">
        <v>20</v>
      </c>
      <c r="D6111" t="s">
        <v>7516</v>
      </c>
      <c r="E6111">
        <v>15652</v>
      </c>
    </row>
    <row r="6112" spans="1:5">
      <c r="A6112" s="1">
        <v>46071</v>
      </c>
      <c r="B6112" t="s">
        <v>7517</v>
      </c>
      <c r="C6112" t="s">
        <v>20</v>
      </c>
      <c r="D6112" t="s">
        <v>7518</v>
      </c>
      <c r="E6112">
        <v>260</v>
      </c>
    </row>
    <row r="6113" spans="1:5">
      <c r="A6113" s="1">
        <v>46071</v>
      </c>
      <c r="B6113" t="s">
        <v>7354</v>
      </c>
      <c r="C6113" t="s">
        <v>20</v>
      </c>
      <c r="D6113" t="s">
        <v>7519</v>
      </c>
      <c r="E6113">
        <v>2250</v>
      </c>
    </row>
    <row r="6114" spans="1:5">
      <c r="A6114" s="1">
        <v>46071</v>
      </c>
      <c r="B6114" t="s">
        <v>774</v>
      </c>
      <c r="C6114" t="s">
        <v>20</v>
      </c>
      <c r="D6114" t="s">
        <v>7520</v>
      </c>
      <c r="E6114">
        <v>88890</v>
      </c>
    </row>
    <row r="6115" spans="1:5">
      <c r="A6115" s="1">
        <v>46071</v>
      </c>
      <c r="B6115" t="s">
        <v>5840</v>
      </c>
      <c r="C6115" t="s">
        <v>20</v>
      </c>
      <c r="D6115" t="s">
        <v>7521</v>
      </c>
      <c r="E6115">
        <v>120</v>
      </c>
    </row>
    <row r="6116" spans="1:5">
      <c r="A6116" s="1">
        <v>46071</v>
      </c>
      <c r="B6116" t="s">
        <v>50</v>
      </c>
      <c r="C6116" t="s">
        <v>20</v>
      </c>
      <c r="D6116" t="s">
        <v>7522</v>
      </c>
      <c r="E6116">
        <v>700</v>
      </c>
    </row>
    <row r="6117" spans="1:5">
      <c r="A6117" s="1">
        <v>46071</v>
      </c>
      <c r="B6117" t="s">
        <v>7523</v>
      </c>
      <c r="C6117" t="s">
        <v>20</v>
      </c>
      <c r="D6117" t="s">
        <v>7524</v>
      </c>
      <c r="E6117">
        <v>15915</v>
      </c>
    </row>
    <row r="6118" spans="1:5">
      <c r="A6118" s="1">
        <v>46071</v>
      </c>
      <c r="B6118" t="s">
        <v>5351</v>
      </c>
      <c r="C6118" t="s">
        <v>20</v>
      </c>
      <c r="D6118" t="s">
        <v>7525</v>
      </c>
      <c r="E6118">
        <v>2200</v>
      </c>
    </row>
    <row r="6119" spans="1:5">
      <c r="A6119" s="1">
        <v>46072</v>
      </c>
      <c r="B6119" t="s">
        <v>180</v>
      </c>
      <c r="C6119" t="s">
        <v>19</v>
      </c>
      <c r="D6119" t="s">
        <v>7526</v>
      </c>
      <c r="E6119">
        <v>20800</v>
      </c>
    </row>
    <row r="6120" spans="1:5">
      <c r="A6120" s="1">
        <v>46072</v>
      </c>
      <c r="B6120" t="s">
        <v>6753</v>
      </c>
      <c r="C6120" t="s">
        <v>19</v>
      </c>
      <c r="D6120" t="s">
        <v>7527</v>
      </c>
      <c r="E6120">
        <v>8000</v>
      </c>
    </row>
    <row r="6121" spans="1:5">
      <c r="A6121" s="1">
        <v>46072</v>
      </c>
      <c r="B6121" t="s">
        <v>6753</v>
      </c>
      <c r="C6121" t="s">
        <v>20</v>
      </c>
      <c r="D6121" t="s">
        <v>7528</v>
      </c>
      <c r="E6121">
        <v>17600</v>
      </c>
    </row>
    <row r="6122" spans="1:5">
      <c r="A6122" s="1">
        <v>46072</v>
      </c>
      <c r="B6122" t="s">
        <v>7529</v>
      </c>
      <c r="C6122" t="s">
        <v>20</v>
      </c>
      <c r="D6122" t="s">
        <v>7530</v>
      </c>
      <c r="E6122">
        <v>3234</v>
      </c>
    </row>
    <row r="6123" spans="1:5">
      <c r="A6123" s="1">
        <v>46072</v>
      </c>
      <c r="B6123" t="s">
        <v>7531</v>
      </c>
      <c r="C6123" t="s">
        <v>20</v>
      </c>
      <c r="D6123" t="s">
        <v>7532</v>
      </c>
      <c r="E6123">
        <v>1035</v>
      </c>
    </row>
    <row r="6124" spans="1:5">
      <c r="A6124" s="1">
        <v>46072</v>
      </c>
      <c r="B6124" t="s">
        <v>50</v>
      </c>
      <c r="C6124" t="s">
        <v>20</v>
      </c>
      <c r="D6124" t="s">
        <v>7533</v>
      </c>
      <c r="E6124">
        <v>320</v>
      </c>
    </row>
    <row r="6125" spans="1:5">
      <c r="A6125" s="1">
        <v>46072</v>
      </c>
      <c r="B6125" t="s">
        <v>4906</v>
      </c>
      <c r="C6125" t="s">
        <v>20</v>
      </c>
      <c r="D6125" t="s">
        <v>7534</v>
      </c>
      <c r="E6125">
        <v>1300</v>
      </c>
    </row>
    <row r="6126" spans="1:5">
      <c r="A6126" s="1">
        <v>46072</v>
      </c>
      <c r="B6126" t="s">
        <v>76</v>
      </c>
      <c r="C6126" t="s">
        <v>20</v>
      </c>
      <c r="D6126" t="s">
        <v>7535</v>
      </c>
      <c r="E6126">
        <v>262</v>
      </c>
    </row>
    <row r="6127" spans="1:5">
      <c r="A6127" s="1">
        <v>46072</v>
      </c>
      <c r="B6127" t="s">
        <v>5941</v>
      </c>
      <c r="C6127" t="s">
        <v>20</v>
      </c>
      <c r="D6127" t="s">
        <v>7536</v>
      </c>
      <c r="E6127">
        <v>7750</v>
      </c>
    </row>
    <row r="6128" spans="1:5">
      <c r="A6128" s="1">
        <v>46072</v>
      </c>
      <c r="B6128" t="s">
        <v>2634</v>
      </c>
      <c r="C6128" t="s">
        <v>20</v>
      </c>
      <c r="D6128" t="s">
        <v>7537</v>
      </c>
      <c r="E6128">
        <v>375</v>
      </c>
    </row>
    <row r="6129" spans="1:5">
      <c r="A6129" s="1">
        <v>46072</v>
      </c>
      <c r="B6129" t="s">
        <v>7538</v>
      </c>
      <c r="C6129" t="s">
        <v>20</v>
      </c>
      <c r="D6129" t="s">
        <v>7539</v>
      </c>
      <c r="E6129">
        <v>320</v>
      </c>
    </row>
    <row r="6130" spans="1:5">
      <c r="A6130" s="1">
        <v>46072</v>
      </c>
      <c r="B6130" t="s">
        <v>50</v>
      </c>
      <c r="C6130" t="s">
        <v>20</v>
      </c>
      <c r="D6130" t="s">
        <v>7540</v>
      </c>
      <c r="E6130">
        <v>15</v>
      </c>
    </row>
    <row r="6131" spans="1:5">
      <c r="A6131" s="1">
        <v>46072</v>
      </c>
      <c r="B6131" t="s">
        <v>557</v>
      </c>
      <c r="C6131" t="s">
        <v>20</v>
      </c>
      <c r="D6131" t="s">
        <v>7541</v>
      </c>
      <c r="E6131">
        <v>7838</v>
      </c>
    </row>
    <row r="6132" spans="1:5">
      <c r="A6132" s="1">
        <v>46072</v>
      </c>
      <c r="B6132" t="s">
        <v>6708</v>
      </c>
      <c r="C6132" t="s">
        <v>20</v>
      </c>
      <c r="D6132" t="s">
        <v>7542</v>
      </c>
      <c r="E6132">
        <v>3403</v>
      </c>
    </row>
    <row r="6133" spans="1:5">
      <c r="A6133" s="1">
        <v>46072</v>
      </c>
      <c r="B6133" t="s">
        <v>35</v>
      </c>
      <c r="C6133" t="s">
        <v>20</v>
      </c>
      <c r="D6133" t="s">
        <v>7543</v>
      </c>
      <c r="E6133">
        <v>31348</v>
      </c>
    </row>
    <row r="6134" spans="1:5">
      <c r="A6134" s="1">
        <v>46072</v>
      </c>
      <c r="B6134" t="s">
        <v>321</v>
      </c>
      <c r="C6134" t="s">
        <v>20</v>
      </c>
      <c r="D6134" t="s">
        <v>7544</v>
      </c>
      <c r="E6134">
        <v>1843</v>
      </c>
    </row>
    <row r="6135" spans="1:5">
      <c r="A6135" s="1">
        <v>46072</v>
      </c>
      <c r="B6135" t="s">
        <v>854</v>
      </c>
      <c r="C6135" t="s">
        <v>20</v>
      </c>
      <c r="D6135" t="s">
        <v>7545</v>
      </c>
      <c r="E6135">
        <v>1367</v>
      </c>
    </row>
    <row r="6136" spans="1:5">
      <c r="A6136" s="1">
        <v>46072</v>
      </c>
      <c r="B6136" t="s">
        <v>1135</v>
      </c>
      <c r="C6136" t="s">
        <v>20</v>
      </c>
      <c r="D6136" t="s">
        <v>7546</v>
      </c>
      <c r="E6136">
        <v>1280</v>
      </c>
    </row>
    <row r="6137" spans="1:5">
      <c r="A6137" s="1">
        <v>46072</v>
      </c>
      <c r="B6137" t="s">
        <v>188</v>
      </c>
      <c r="C6137" t="s">
        <v>20</v>
      </c>
      <c r="D6137" t="s">
        <v>7547</v>
      </c>
      <c r="E6137">
        <v>2240</v>
      </c>
    </row>
    <row r="6138" spans="1:5">
      <c r="A6138" s="1">
        <v>46072</v>
      </c>
      <c r="B6138" t="s">
        <v>7548</v>
      </c>
      <c r="C6138" t="s">
        <v>20</v>
      </c>
      <c r="D6138" t="s">
        <v>7549</v>
      </c>
      <c r="E6138">
        <v>2608</v>
      </c>
    </row>
    <row r="6139" spans="1:5">
      <c r="A6139" s="1">
        <v>46072</v>
      </c>
      <c r="B6139" t="s">
        <v>135</v>
      </c>
      <c r="C6139" t="s">
        <v>20</v>
      </c>
      <c r="D6139" t="s">
        <v>7550</v>
      </c>
      <c r="E6139">
        <v>25007</v>
      </c>
    </row>
    <row r="6140" spans="1:5">
      <c r="A6140" s="1">
        <v>46072</v>
      </c>
      <c r="B6140" t="s">
        <v>76</v>
      </c>
      <c r="C6140" t="s">
        <v>20</v>
      </c>
      <c r="D6140" t="s">
        <v>7551</v>
      </c>
      <c r="E6140">
        <v>16996</v>
      </c>
    </row>
    <row r="6141" spans="1:5">
      <c r="A6141" s="1">
        <v>46072</v>
      </c>
      <c r="B6141" t="s">
        <v>7313</v>
      </c>
      <c r="C6141" t="s">
        <v>20</v>
      </c>
      <c r="D6141" t="s">
        <v>7552</v>
      </c>
      <c r="E6141">
        <v>926</v>
      </c>
    </row>
    <row r="6142" spans="1:5">
      <c r="A6142" s="1">
        <v>46072</v>
      </c>
      <c r="B6142" t="s">
        <v>360</v>
      </c>
      <c r="C6142" t="s">
        <v>20</v>
      </c>
      <c r="D6142" t="s">
        <v>7553</v>
      </c>
      <c r="E6142">
        <v>2583</v>
      </c>
    </row>
    <row r="6143" spans="1:5">
      <c r="A6143" s="1">
        <v>46072</v>
      </c>
      <c r="B6143" t="s">
        <v>5086</v>
      </c>
      <c r="C6143" t="s">
        <v>20</v>
      </c>
      <c r="D6143" t="s">
        <v>7554</v>
      </c>
      <c r="E6143">
        <v>320</v>
      </c>
    </row>
    <row r="6144" spans="1:5">
      <c r="A6144" s="1">
        <v>46072</v>
      </c>
      <c r="B6144" t="s">
        <v>370</v>
      </c>
      <c r="C6144" t="s">
        <v>20</v>
      </c>
      <c r="D6144" t="s">
        <v>7555</v>
      </c>
      <c r="E6144">
        <v>336</v>
      </c>
    </row>
    <row r="6145" spans="1:5">
      <c r="A6145" s="1">
        <v>46072</v>
      </c>
      <c r="B6145" t="s">
        <v>50</v>
      </c>
      <c r="C6145" t="s">
        <v>20</v>
      </c>
      <c r="D6145" t="s">
        <v>7556</v>
      </c>
      <c r="E6145">
        <v>320</v>
      </c>
    </row>
    <row r="6146" spans="1:5">
      <c r="A6146" s="1">
        <v>46072</v>
      </c>
      <c r="B6146" t="s">
        <v>7187</v>
      </c>
      <c r="C6146" t="s">
        <v>20</v>
      </c>
      <c r="D6146" t="s">
        <v>7557</v>
      </c>
      <c r="E6146">
        <v>1240</v>
      </c>
    </row>
    <row r="6147" spans="1:5">
      <c r="A6147" s="1">
        <v>46073</v>
      </c>
      <c r="B6147" t="s">
        <v>7433</v>
      </c>
      <c r="C6147" t="s">
        <v>19</v>
      </c>
      <c r="D6147" t="s">
        <v>7558</v>
      </c>
      <c r="E6147">
        <v>103263</v>
      </c>
    </row>
    <row r="6148" spans="1:5">
      <c r="A6148" s="1">
        <v>46073</v>
      </c>
      <c r="B6148" t="s">
        <v>180</v>
      </c>
      <c r="C6148" t="s">
        <v>19</v>
      </c>
      <c r="D6148" t="s">
        <v>7559</v>
      </c>
      <c r="E6148">
        <v>18330</v>
      </c>
    </row>
    <row r="6149" spans="1:5">
      <c r="A6149" s="1">
        <v>46073</v>
      </c>
      <c r="B6149" t="s">
        <v>58</v>
      </c>
      <c r="C6149" t="s">
        <v>19</v>
      </c>
      <c r="D6149" t="s">
        <v>7560</v>
      </c>
      <c r="E6149">
        <v>5450</v>
      </c>
    </row>
    <row r="6150" spans="1:5">
      <c r="A6150" s="1">
        <v>46073</v>
      </c>
      <c r="B6150" t="s">
        <v>180</v>
      </c>
      <c r="C6150" t="s">
        <v>19</v>
      </c>
      <c r="D6150" t="s">
        <v>7561</v>
      </c>
      <c r="E6150">
        <v>13301</v>
      </c>
    </row>
    <row r="6151" spans="1:5">
      <c r="A6151" s="1">
        <v>46073</v>
      </c>
      <c r="B6151" t="s">
        <v>443</v>
      </c>
      <c r="C6151" t="s">
        <v>19</v>
      </c>
      <c r="D6151" t="s">
        <v>7562</v>
      </c>
      <c r="E6151">
        <v>3334</v>
      </c>
    </row>
    <row r="6152" spans="1:5">
      <c r="A6152" s="1">
        <v>46073</v>
      </c>
      <c r="B6152" t="s">
        <v>6936</v>
      </c>
      <c r="C6152" t="s">
        <v>20</v>
      </c>
      <c r="D6152" t="s">
        <v>7563</v>
      </c>
      <c r="E6152">
        <v>15500</v>
      </c>
    </row>
    <row r="6153" spans="1:5">
      <c r="A6153" s="1">
        <v>46073</v>
      </c>
      <c r="B6153" t="s">
        <v>774</v>
      </c>
      <c r="C6153" t="s">
        <v>20</v>
      </c>
      <c r="D6153" t="s">
        <v>7564</v>
      </c>
      <c r="E6153">
        <v>15500</v>
      </c>
    </row>
    <row r="6154" spans="1:5">
      <c r="A6154" s="1">
        <v>46073</v>
      </c>
      <c r="B6154" t="s">
        <v>254</v>
      </c>
      <c r="C6154" t="s">
        <v>20</v>
      </c>
      <c r="D6154" t="s">
        <v>7565</v>
      </c>
      <c r="E6154">
        <v>1280</v>
      </c>
    </row>
    <row r="6155" spans="1:5">
      <c r="A6155" s="1">
        <v>46073</v>
      </c>
      <c r="B6155" t="s">
        <v>1350</v>
      </c>
      <c r="C6155" t="s">
        <v>20</v>
      </c>
      <c r="D6155" t="s">
        <v>7566</v>
      </c>
      <c r="E6155">
        <v>750</v>
      </c>
    </row>
    <row r="6156" spans="1:5">
      <c r="A6156" s="1">
        <v>46073</v>
      </c>
      <c r="B6156" t="s">
        <v>100</v>
      </c>
      <c r="C6156" t="s">
        <v>20</v>
      </c>
      <c r="D6156" t="s">
        <v>7567</v>
      </c>
      <c r="E6156">
        <v>360</v>
      </c>
    </row>
    <row r="6157" spans="1:5">
      <c r="A6157" s="1">
        <v>46073</v>
      </c>
      <c r="B6157" t="s">
        <v>6959</v>
      </c>
      <c r="C6157" t="s">
        <v>20</v>
      </c>
      <c r="D6157" t="s">
        <v>7568</v>
      </c>
      <c r="E6157">
        <v>6640</v>
      </c>
    </row>
    <row r="6158" spans="1:5">
      <c r="A6158" s="1">
        <v>46073</v>
      </c>
      <c r="B6158" t="s">
        <v>360</v>
      </c>
      <c r="C6158" t="s">
        <v>20</v>
      </c>
      <c r="D6158" t="s">
        <v>7569</v>
      </c>
      <c r="E6158">
        <v>4878</v>
      </c>
    </row>
    <row r="6159" spans="1:5">
      <c r="A6159" s="1">
        <v>46073</v>
      </c>
      <c r="B6159" t="s">
        <v>7570</v>
      </c>
      <c r="C6159" t="s">
        <v>20</v>
      </c>
      <c r="D6159" t="s">
        <v>7571</v>
      </c>
      <c r="E6159">
        <v>165</v>
      </c>
    </row>
    <row r="6160" spans="1:5">
      <c r="A6160" s="1">
        <v>46073</v>
      </c>
      <c r="B6160" t="s">
        <v>7572</v>
      </c>
      <c r="C6160" t="s">
        <v>20</v>
      </c>
      <c r="D6160" t="s">
        <v>7573</v>
      </c>
      <c r="E6160">
        <v>21308</v>
      </c>
    </row>
    <row r="6161" spans="1:5">
      <c r="A6161" s="1">
        <v>46073</v>
      </c>
      <c r="B6161" t="s">
        <v>1748</v>
      </c>
      <c r="C6161" t="s">
        <v>20</v>
      </c>
      <c r="D6161" t="s">
        <v>7574</v>
      </c>
      <c r="E6161">
        <v>2760</v>
      </c>
    </row>
    <row r="6162" spans="1:5">
      <c r="A6162" s="1">
        <v>46073</v>
      </c>
      <c r="B6162" t="s">
        <v>35</v>
      </c>
      <c r="C6162" t="s">
        <v>20</v>
      </c>
      <c r="D6162" t="s">
        <v>7575</v>
      </c>
      <c r="E6162">
        <v>38242</v>
      </c>
    </row>
    <row r="6163" spans="1:5">
      <c r="A6163" s="1">
        <v>46073</v>
      </c>
      <c r="B6163" t="s">
        <v>6708</v>
      </c>
      <c r="C6163" t="s">
        <v>20</v>
      </c>
      <c r="D6163" t="s">
        <v>7576</v>
      </c>
      <c r="E6163">
        <v>1656</v>
      </c>
    </row>
    <row r="6164" spans="1:5">
      <c r="A6164" s="1">
        <v>46073</v>
      </c>
      <c r="B6164" t="s">
        <v>6213</v>
      </c>
      <c r="C6164" t="s">
        <v>20</v>
      </c>
      <c r="D6164" t="s">
        <v>7577</v>
      </c>
      <c r="E6164">
        <v>3200</v>
      </c>
    </row>
    <row r="6165" spans="1:5">
      <c r="A6165" s="1">
        <v>46073</v>
      </c>
      <c r="B6165" t="s">
        <v>50</v>
      </c>
      <c r="C6165" t="s">
        <v>20</v>
      </c>
      <c r="D6165" t="s">
        <v>7578</v>
      </c>
      <c r="E6165">
        <v>8</v>
      </c>
    </row>
    <row r="6166" spans="1:5">
      <c r="A6166" s="1">
        <v>46073</v>
      </c>
      <c r="B6166" t="s">
        <v>7548</v>
      </c>
      <c r="C6166" t="s">
        <v>20</v>
      </c>
      <c r="D6166" t="s">
        <v>7579</v>
      </c>
      <c r="E6166">
        <v>2593</v>
      </c>
    </row>
    <row r="6167" spans="1:5">
      <c r="A6167" s="1">
        <v>46073</v>
      </c>
      <c r="B6167" t="s">
        <v>50</v>
      </c>
      <c r="C6167" t="s">
        <v>20</v>
      </c>
      <c r="D6167" t="s">
        <v>7580</v>
      </c>
      <c r="E6167">
        <v>240</v>
      </c>
    </row>
    <row r="6168" spans="1:5">
      <c r="A6168" s="1">
        <v>46073</v>
      </c>
      <c r="B6168" t="s">
        <v>6022</v>
      </c>
      <c r="C6168" t="s">
        <v>20</v>
      </c>
      <c r="D6168" t="s">
        <v>7581</v>
      </c>
      <c r="E6168">
        <v>320</v>
      </c>
    </row>
    <row r="6169" spans="1:5">
      <c r="A6169" s="1">
        <v>46073</v>
      </c>
      <c r="B6169" t="s">
        <v>6918</v>
      </c>
      <c r="C6169" t="s">
        <v>20</v>
      </c>
      <c r="D6169" t="s">
        <v>7582</v>
      </c>
      <c r="E6169">
        <v>21548</v>
      </c>
    </row>
    <row r="6170" spans="1:5">
      <c r="A6170" s="1">
        <v>46073</v>
      </c>
      <c r="B6170" t="s">
        <v>50</v>
      </c>
      <c r="C6170" t="s">
        <v>20</v>
      </c>
      <c r="D6170" t="s">
        <v>7583</v>
      </c>
      <c r="E6170">
        <v>500</v>
      </c>
    </row>
    <row r="6171" spans="1:5">
      <c r="A6171" s="1">
        <v>46073</v>
      </c>
      <c r="B6171" t="s">
        <v>68</v>
      </c>
      <c r="C6171" t="s">
        <v>20</v>
      </c>
      <c r="D6171" t="s">
        <v>7584</v>
      </c>
      <c r="E6171">
        <v>90</v>
      </c>
    </row>
    <row r="6172" spans="1:5">
      <c r="A6172" s="1">
        <v>46074</v>
      </c>
      <c r="B6172" t="s">
        <v>4669</v>
      </c>
      <c r="C6172" t="s">
        <v>19</v>
      </c>
      <c r="D6172" t="s">
        <v>7585</v>
      </c>
      <c r="E6172">
        <v>17600</v>
      </c>
    </row>
    <row r="6173" spans="1:5">
      <c r="A6173" s="1">
        <v>46074</v>
      </c>
      <c r="B6173" t="s">
        <v>246</v>
      </c>
      <c r="C6173" t="s">
        <v>19</v>
      </c>
      <c r="D6173" t="s">
        <v>7586</v>
      </c>
      <c r="E6173">
        <v>2540</v>
      </c>
    </row>
    <row r="6174" spans="1:5">
      <c r="A6174" s="1">
        <v>46074</v>
      </c>
      <c r="B6174" t="s">
        <v>6727</v>
      </c>
      <c r="C6174" t="s">
        <v>19</v>
      </c>
      <c r="D6174" t="s">
        <v>7587</v>
      </c>
      <c r="E6174">
        <v>46675</v>
      </c>
    </row>
    <row r="6175" spans="1:5">
      <c r="A6175" s="1">
        <v>46074</v>
      </c>
      <c r="B6175" t="s">
        <v>4669</v>
      </c>
      <c r="C6175" t="s">
        <v>19</v>
      </c>
      <c r="D6175" t="s">
        <v>7588</v>
      </c>
      <c r="E6175">
        <v>1343</v>
      </c>
    </row>
    <row r="6176" spans="1:5">
      <c r="A6176" s="1">
        <v>46074</v>
      </c>
      <c r="B6176" t="s">
        <v>1254</v>
      </c>
      <c r="C6176" t="s">
        <v>19</v>
      </c>
      <c r="D6176" t="s">
        <v>7589</v>
      </c>
      <c r="E6176">
        <v>810</v>
      </c>
    </row>
    <row r="6177" spans="1:5">
      <c r="A6177" s="1">
        <v>46074</v>
      </c>
      <c r="B6177" t="s">
        <v>1104</v>
      </c>
      <c r="C6177" t="s">
        <v>19</v>
      </c>
      <c r="D6177" t="s">
        <v>7590</v>
      </c>
      <c r="E6177">
        <v>574</v>
      </c>
    </row>
    <row r="6178" spans="1:5">
      <c r="A6178" s="1">
        <v>46074</v>
      </c>
      <c r="B6178" t="s">
        <v>1104</v>
      </c>
      <c r="C6178" t="s">
        <v>19</v>
      </c>
      <c r="D6178" t="s">
        <v>7591</v>
      </c>
      <c r="E6178">
        <v>4694</v>
      </c>
    </row>
    <row r="6179" spans="1:5">
      <c r="A6179" s="1">
        <v>46074</v>
      </c>
      <c r="B6179" t="s">
        <v>216</v>
      </c>
      <c r="C6179" t="s">
        <v>19</v>
      </c>
      <c r="D6179" t="s">
        <v>7592</v>
      </c>
      <c r="E6179">
        <v>1010</v>
      </c>
    </row>
    <row r="6180" spans="1:5">
      <c r="A6180" s="1">
        <v>46074</v>
      </c>
      <c r="B6180" t="s">
        <v>246</v>
      </c>
      <c r="C6180" t="s">
        <v>19</v>
      </c>
      <c r="D6180" t="s">
        <v>7593</v>
      </c>
      <c r="E6180">
        <v>680</v>
      </c>
    </row>
    <row r="6181" spans="1:5">
      <c r="A6181" s="1">
        <v>46074</v>
      </c>
      <c r="B6181" t="s">
        <v>7594</v>
      </c>
      <c r="C6181" t="s">
        <v>20</v>
      </c>
      <c r="D6181" t="s">
        <v>7595</v>
      </c>
      <c r="E6181">
        <v>6400</v>
      </c>
    </row>
    <row r="6182" spans="1:5">
      <c r="A6182" s="1">
        <v>46074</v>
      </c>
      <c r="B6182" t="s">
        <v>50</v>
      </c>
      <c r="C6182" t="s">
        <v>20</v>
      </c>
      <c r="D6182" t="s">
        <v>7596</v>
      </c>
      <c r="E6182">
        <v>320</v>
      </c>
    </row>
    <row r="6183" spans="1:5">
      <c r="A6183" s="1">
        <v>46074</v>
      </c>
      <c r="B6183" t="s">
        <v>6846</v>
      </c>
      <c r="C6183" t="s">
        <v>20</v>
      </c>
      <c r="D6183" t="s">
        <v>7597</v>
      </c>
      <c r="E6183">
        <v>960</v>
      </c>
    </row>
    <row r="6184" spans="1:5">
      <c r="A6184" s="1">
        <v>46074</v>
      </c>
      <c r="B6184" t="s">
        <v>7598</v>
      </c>
      <c r="C6184" t="s">
        <v>20</v>
      </c>
      <c r="D6184" t="s">
        <v>7599</v>
      </c>
      <c r="E6184">
        <v>320</v>
      </c>
    </row>
    <row r="6185" spans="1:5">
      <c r="A6185" s="1">
        <v>46074</v>
      </c>
      <c r="B6185" t="s">
        <v>7600</v>
      </c>
      <c r="C6185" t="s">
        <v>20</v>
      </c>
      <c r="D6185" t="s">
        <v>7601</v>
      </c>
      <c r="E6185">
        <v>320</v>
      </c>
    </row>
    <row r="6186" spans="1:5">
      <c r="A6186" s="1">
        <v>46074</v>
      </c>
      <c r="B6186" t="s">
        <v>50</v>
      </c>
      <c r="C6186" t="s">
        <v>20</v>
      </c>
      <c r="D6186" t="s">
        <v>7602</v>
      </c>
      <c r="E6186">
        <v>40</v>
      </c>
    </row>
    <row r="6187" spans="1:5">
      <c r="A6187" s="1">
        <v>46074</v>
      </c>
      <c r="B6187" t="s">
        <v>6426</v>
      </c>
      <c r="C6187" t="s">
        <v>20</v>
      </c>
      <c r="D6187" t="s">
        <v>7603</v>
      </c>
      <c r="E6187">
        <v>3200</v>
      </c>
    </row>
    <row r="6188" spans="1:5">
      <c r="A6188" s="1">
        <v>46074</v>
      </c>
      <c r="B6188" t="s">
        <v>5840</v>
      </c>
      <c r="C6188" t="s">
        <v>20</v>
      </c>
      <c r="D6188" t="s">
        <v>7604</v>
      </c>
      <c r="E6188">
        <v>984</v>
      </c>
    </row>
    <row r="6189" spans="1:5">
      <c r="A6189" s="1">
        <v>46074</v>
      </c>
      <c r="B6189" t="s">
        <v>76</v>
      </c>
      <c r="C6189" t="s">
        <v>20</v>
      </c>
      <c r="D6189" t="s">
        <v>7605</v>
      </c>
      <c r="E6189">
        <v>699</v>
      </c>
    </row>
    <row r="6190" spans="1:5">
      <c r="A6190" s="1">
        <v>46074</v>
      </c>
      <c r="B6190" t="s">
        <v>50</v>
      </c>
      <c r="C6190" t="s">
        <v>20</v>
      </c>
      <c r="D6190" t="s">
        <v>7606</v>
      </c>
      <c r="E6190">
        <v>1010</v>
      </c>
    </row>
    <row r="6191" spans="1:5">
      <c r="A6191" s="1">
        <v>46074</v>
      </c>
      <c r="B6191" t="s">
        <v>7607</v>
      </c>
      <c r="C6191" t="s">
        <v>20</v>
      </c>
      <c r="D6191" t="s">
        <v>7608</v>
      </c>
      <c r="E6191">
        <v>2790</v>
      </c>
    </row>
    <row r="6192" spans="1:5">
      <c r="A6192" s="1">
        <v>46074</v>
      </c>
      <c r="B6192" t="s">
        <v>7609</v>
      </c>
      <c r="C6192" t="s">
        <v>20</v>
      </c>
      <c r="D6192" t="s">
        <v>7610</v>
      </c>
      <c r="E6192">
        <v>14643</v>
      </c>
    </row>
    <row r="6193" spans="1:5">
      <c r="A6193" s="1">
        <v>46074</v>
      </c>
      <c r="B6193" t="s">
        <v>557</v>
      </c>
      <c r="C6193" t="s">
        <v>20</v>
      </c>
      <c r="D6193" t="s">
        <v>7611</v>
      </c>
      <c r="E6193">
        <v>16630</v>
      </c>
    </row>
    <row r="6194" spans="1:5">
      <c r="A6194" s="1">
        <v>46074</v>
      </c>
      <c r="B6194" t="s">
        <v>360</v>
      </c>
      <c r="C6194" t="s">
        <v>20</v>
      </c>
      <c r="D6194" t="s">
        <v>7612</v>
      </c>
      <c r="E6194">
        <v>3249</v>
      </c>
    </row>
    <row r="6195" spans="1:5">
      <c r="A6195" s="1">
        <v>46074</v>
      </c>
      <c r="B6195" t="s">
        <v>7613</v>
      </c>
      <c r="C6195" t="s">
        <v>20</v>
      </c>
      <c r="D6195" t="s">
        <v>7614</v>
      </c>
      <c r="E6195">
        <v>34652</v>
      </c>
    </row>
    <row r="6196" spans="1:5">
      <c r="A6196" s="1">
        <v>46074</v>
      </c>
      <c r="B6196" t="s">
        <v>7187</v>
      </c>
      <c r="C6196" t="s">
        <v>20</v>
      </c>
      <c r="D6196" t="s">
        <v>7615</v>
      </c>
      <c r="E6196">
        <v>2480</v>
      </c>
    </row>
    <row r="6197" spans="1:5">
      <c r="A6197" s="1">
        <v>46074</v>
      </c>
      <c r="B6197" t="s">
        <v>7616</v>
      </c>
      <c r="C6197" t="s">
        <v>20</v>
      </c>
      <c r="D6197" t="s">
        <v>7617</v>
      </c>
      <c r="E6197">
        <v>17440</v>
      </c>
    </row>
    <row r="6198" spans="1:5">
      <c r="A6198" s="1">
        <v>46074</v>
      </c>
      <c r="B6198" t="s">
        <v>455</v>
      </c>
      <c r="C6198" t="s">
        <v>20</v>
      </c>
      <c r="D6198" t="s">
        <v>7618</v>
      </c>
      <c r="E6198">
        <v>461</v>
      </c>
    </row>
    <row r="6199" spans="1:5">
      <c r="A6199" s="1">
        <v>46074</v>
      </c>
      <c r="B6199" t="s">
        <v>7103</v>
      </c>
      <c r="C6199" t="s">
        <v>20</v>
      </c>
      <c r="D6199" t="s">
        <v>7619</v>
      </c>
      <c r="E6199">
        <v>39640</v>
      </c>
    </row>
    <row r="6200" spans="1:5">
      <c r="A6200" s="1">
        <v>46074</v>
      </c>
      <c r="B6200" t="s">
        <v>7120</v>
      </c>
      <c r="C6200" t="s">
        <v>20</v>
      </c>
      <c r="D6200" t="s">
        <v>7620</v>
      </c>
      <c r="E6200">
        <v>1766</v>
      </c>
    </row>
    <row r="6201" spans="1:5">
      <c r="A6201" s="1">
        <v>46074</v>
      </c>
      <c r="B6201" t="s">
        <v>1748</v>
      </c>
      <c r="C6201" t="s">
        <v>20</v>
      </c>
      <c r="D6201" t="s">
        <v>7621</v>
      </c>
      <c r="E6201">
        <v>7360</v>
      </c>
    </row>
    <row r="6202" spans="1:5">
      <c r="A6202" s="1">
        <v>46074</v>
      </c>
      <c r="B6202" t="s">
        <v>2099</v>
      </c>
      <c r="C6202" t="s">
        <v>20</v>
      </c>
      <c r="D6202" t="s">
        <v>7622</v>
      </c>
      <c r="E6202">
        <v>2820</v>
      </c>
    </row>
    <row r="6203" spans="1:5">
      <c r="A6203" s="1">
        <v>46074</v>
      </c>
      <c r="B6203" t="s">
        <v>7623</v>
      </c>
      <c r="C6203" t="s">
        <v>20</v>
      </c>
      <c r="D6203" t="s">
        <v>7624</v>
      </c>
      <c r="E6203">
        <v>150</v>
      </c>
    </row>
    <row r="6204" spans="1:5">
      <c r="A6204" s="1">
        <v>46074</v>
      </c>
      <c r="B6204" t="s">
        <v>360</v>
      </c>
      <c r="C6204" t="s">
        <v>20</v>
      </c>
      <c r="D6204" t="s">
        <v>7625</v>
      </c>
      <c r="E6204">
        <v>1985</v>
      </c>
    </row>
    <row r="6205" spans="1:5">
      <c r="A6205" s="1">
        <v>46074</v>
      </c>
      <c r="B6205" t="s">
        <v>1246</v>
      </c>
      <c r="C6205" t="s">
        <v>20</v>
      </c>
      <c r="D6205" t="s">
        <v>7626</v>
      </c>
      <c r="E6205">
        <v>910</v>
      </c>
    </row>
    <row r="6206" spans="1:5">
      <c r="A6206" s="1">
        <v>46074</v>
      </c>
      <c r="B6206" t="s">
        <v>50</v>
      </c>
      <c r="C6206" t="s">
        <v>20</v>
      </c>
      <c r="D6206" t="s">
        <v>7627</v>
      </c>
      <c r="E6206">
        <v>350</v>
      </c>
    </row>
    <row r="6207" spans="1:5">
      <c r="A6207" s="1">
        <v>46074</v>
      </c>
      <c r="B6207" t="s">
        <v>50</v>
      </c>
      <c r="C6207" t="s">
        <v>20</v>
      </c>
      <c r="D6207" t="s">
        <v>7628</v>
      </c>
      <c r="E6207">
        <v>50</v>
      </c>
    </row>
    <row r="6208" spans="1:5">
      <c r="A6208" s="1">
        <v>46074</v>
      </c>
      <c r="B6208" t="s">
        <v>222</v>
      </c>
      <c r="C6208" t="s">
        <v>20</v>
      </c>
      <c r="D6208" t="s">
        <v>7629</v>
      </c>
      <c r="E6208">
        <v>1921</v>
      </c>
    </row>
    <row r="6209" spans="1:5">
      <c r="A6209" s="1">
        <v>46074</v>
      </c>
      <c r="B6209" t="s">
        <v>6989</v>
      </c>
      <c r="C6209" t="s">
        <v>20</v>
      </c>
      <c r="D6209" t="s">
        <v>7630</v>
      </c>
      <c r="E6209">
        <v>1600</v>
      </c>
    </row>
    <row r="6210" spans="1:5">
      <c r="A6210" s="1">
        <v>46074</v>
      </c>
      <c r="B6210" t="s">
        <v>360</v>
      </c>
      <c r="C6210" t="s">
        <v>20</v>
      </c>
      <c r="D6210" t="s">
        <v>7631</v>
      </c>
      <c r="E6210">
        <v>1911</v>
      </c>
    </row>
    <row r="6211" spans="1:5">
      <c r="A6211" s="1">
        <v>46074</v>
      </c>
      <c r="B6211" t="s">
        <v>7598</v>
      </c>
      <c r="C6211" t="s">
        <v>20</v>
      </c>
      <c r="D6211" t="s">
        <v>7632</v>
      </c>
      <c r="E6211">
        <v>310</v>
      </c>
    </row>
    <row r="6212" spans="1:5">
      <c r="A6212" s="1">
        <v>46074</v>
      </c>
      <c r="B6212" t="s">
        <v>50</v>
      </c>
      <c r="C6212" t="s">
        <v>20</v>
      </c>
      <c r="D6212" t="s">
        <v>7633</v>
      </c>
      <c r="E6212">
        <v>310</v>
      </c>
    </row>
    <row r="6213" spans="1:5">
      <c r="A6213" s="1">
        <v>46074</v>
      </c>
      <c r="B6213" t="s">
        <v>844</v>
      </c>
      <c r="C6213" t="s">
        <v>20</v>
      </c>
      <c r="D6213" t="s">
        <v>7634</v>
      </c>
      <c r="E6213">
        <v>50</v>
      </c>
    </row>
    <row r="6214" spans="1:5">
      <c r="A6214" s="1">
        <v>46076</v>
      </c>
      <c r="B6214" t="s">
        <v>246</v>
      </c>
      <c r="C6214" t="s">
        <v>19</v>
      </c>
      <c r="D6214" t="s">
        <v>7635</v>
      </c>
      <c r="E6214">
        <v>2418</v>
      </c>
    </row>
    <row r="6215" spans="1:5">
      <c r="A6215" s="1">
        <v>46076</v>
      </c>
      <c r="B6215" t="s">
        <v>2329</v>
      </c>
      <c r="C6215" t="s">
        <v>19</v>
      </c>
      <c r="D6215" t="s">
        <v>7636</v>
      </c>
      <c r="E6215">
        <v>1246</v>
      </c>
    </row>
    <row r="6216" spans="1:5">
      <c r="A6216" s="1">
        <v>46076</v>
      </c>
      <c r="B6216" t="s">
        <v>7155</v>
      </c>
      <c r="C6216" t="s">
        <v>19</v>
      </c>
      <c r="D6216" t="s">
        <v>7637</v>
      </c>
      <c r="E6216">
        <v>740</v>
      </c>
    </row>
    <row r="6217" spans="1:5">
      <c r="A6217" s="1">
        <v>46076</v>
      </c>
      <c r="B6217" t="s">
        <v>7638</v>
      </c>
      <c r="C6217" t="s">
        <v>19</v>
      </c>
      <c r="D6217" t="s">
        <v>7639</v>
      </c>
      <c r="E6217">
        <v>15490</v>
      </c>
    </row>
    <row r="6218" spans="1:5">
      <c r="A6218" s="1">
        <v>46076</v>
      </c>
      <c r="B6218" t="s">
        <v>180</v>
      </c>
      <c r="C6218" t="s">
        <v>19</v>
      </c>
      <c r="D6218" t="s">
        <v>7640</v>
      </c>
      <c r="E6218">
        <v>11200</v>
      </c>
    </row>
    <row r="6219" spans="1:5">
      <c r="A6219" s="1">
        <v>46076</v>
      </c>
      <c r="B6219" t="s">
        <v>6727</v>
      </c>
      <c r="C6219" t="s">
        <v>19</v>
      </c>
      <c r="D6219" t="s">
        <v>7641</v>
      </c>
      <c r="E6219">
        <v>3200</v>
      </c>
    </row>
    <row r="6220" spans="1:5">
      <c r="A6220" s="1">
        <v>46076</v>
      </c>
      <c r="B6220" t="s">
        <v>56</v>
      </c>
      <c r="C6220" t="s">
        <v>19</v>
      </c>
      <c r="D6220" t="s">
        <v>7642</v>
      </c>
      <c r="E6220">
        <v>1751</v>
      </c>
    </row>
    <row r="6221" spans="1:5">
      <c r="A6221" s="1">
        <v>46076</v>
      </c>
      <c r="B6221" t="s">
        <v>76</v>
      </c>
      <c r="C6221" t="s">
        <v>20</v>
      </c>
      <c r="D6221" t="s">
        <v>7643</v>
      </c>
      <c r="E6221">
        <v>4800</v>
      </c>
    </row>
    <row r="6222" spans="1:5">
      <c r="A6222" s="1">
        <v>46076</v>
      </c>
      <c r="B6222" t="s">
        <v>7644</v>
      </c>
      <c r="C6222" t="s">
        <v>20</v>
      </c>
      <c r="D6222" t="s">
        <v>7645</v>
      </c>
      <c r="E6222">
        <v>320</v>
      </c>
    </row>
    <row r="6223" spans="1:5">
      <c r="A6223" s="1">
        <v>46076</v>
      </c>
      <c r="B6223" t="s">
        <v>50</v>
      </c>
      <c r="C6223" t="s">
        <v>20</v>
      </c>
      <c r="D6223" t="s">
        <v>7646</v>
      </c>
      <c r="E6223">
        <v>75</v>
      </c>
    </row>
    <row r="6224" spans="1:5">
      <c r="A6224" s="1">
        <v>46076</v>
      </c>
      <c r="B6224" t="s">
        <v>135</v>
      </c>
      <c r="C6224" t="s">
        <v>20</v>
      </c>
      <c r="D6224" t="s">
        <v>7647</v>
      </c>
      <c r="E6224">
        <v>34352</v>
      </c>
    </row>
    <row r="6225" spans="1:5">
      <c r="A6225" s="1">
        <v>46076</v>
      </c>
      <c r="B6225" t="s">
        <v>6936</v>
      </c>
      <c r="C6225" t="s">
        <v>20</v>
      </c>
      <c r="D6225" t="s">
        <v>7648</v>
      </c>
      <c r="E6225">
        <v>15500</v>
      </c>
    </row>
    <row r="6226" spans="1:5">
      <c r="A6226" s="1">
        <v>46076</v>
      </c>
      <c r="B6226" t="s">
        <v>50</v>
      </c>
      <c r="C6226" t="s">
        <v>20</v>
      </c>
      <c r="D6226" t="s">
        <v>7649</v>
      </c>
      <c r="E6226">
        <v>320</v>
      </c>
    </row>
    <row r="6227" spans="1:5">
      <c r="A6227" s="1">
        <v>46076</v>
      </c>
      <c r="B6227" t="s">
        <v>1302</v>
      </c>
      <c r="C6227" t="s">
        <v>20</v>
      </c>
      <c r="D6227" t="s">
        <v>7650</v>
      </c>
      <c r="E6227">
        <v>650</v>
      </c>
    </row>
    <row r="6228" spans="1:5">
      <c r="A6228" s="1">
        <v>46076</v>
      </c>
      <c r="B6228" t="s">
        <v>4959</v>
      </c>
      <c r="C6228" t="s">
        <v>20</v>
      </c>
      <c r="D6228" t="s">
        <v>7651</v>
      </c>
      <c r="E6228">
        <v>960</v>
      </c>
    </row>
    <row r="6229" spans="1:5">
      <c r="A6229" s="1">
        <v>46076</v>
      </c>
      <c r="B6229" t="s">
        <v>1196</v>
      </c>
      <c r="C6229" t="s">
        <v>20</v>
      </c>
      <c r="D6229" t="s">
        <v>7652</v>
      </c>
      <c r="E6229">
        <v>41</v>
      </c>
    </row>
    <row r="6230" spans="1:5">
      <c r="A6230" s="1">
        <v>46076</v>
      </c>
      <c r="B6230" t="s">
        <v>4430</v>
      </c>
      <c r="C6230" t="s">
        <v>20</v>
      </c>
      <c r="D6230" t="s">
        <v>7653</v>
      </c>
      <c r="E6230">
        <v>1600</v>
      </c>
    </row>
    <row r="6231" spans="1:5">
      <c r="A6231" s="1">
        <v>46076</v>
      </c>
      <c r="B6231" t="s">
        <v>7654</v>
      </c>
      <c r="C6231" t="s">
        <v>20</v>
      </c>
      <c r="D6231" t="s">
        <v>7655</v>
      </c>
      <c r="E6231">
        <v>1280</v>
      </c>
    </row>
    <row r="6232" spans="1:5">
      <c r="A6232" s="1">
        <v>46076</v>
      </c>
      <c r="B6232" t="s">
        <v>7656</v>
      </c>
      <c r="C6232" t="s">
        <v>20</v>
      </c>
      <c r="D6232" t="s">
        <v>7657</v>
      </c>
      <c r="E6232">
        <v>1521</v>
      </c>
    </row>
    <row r="6233" spans="1:5">
      <c r="A6233" s="1">
        <v>46076</v>
      </c>
      <c r="B6233" t="s">
        <v>50</v>
      </c>
      <c r="C6233" t="s">
        <v>20</v>
      </c>
      <c r="D6233" t="s">
        <v>7658</v>
      </c>
      <c r="E6233">
        <v>20</v>
      </c>
    </row>
    <row r="6234" spans="1:5">
      <c r="A6234" s="1">
        <v>46076</v>
      </c>
      <c r="B6234" t="s">
        <v>50</v>
      </c>
      <c r="C6234" t="s">
        <v>20</v>
      </c>
      <c r="D6234" t="s">
        <v>7659</v>
      </c>
      <c r="E6234">
        <v>310</v>
      </c>
    </row>
    <row r="6235" spans="1:5">
      <c r="A6235" s="1">
        <v>46076</v>
      </c>
      <c r="B6235" t="s">
        <v>7660</v>
      </c>
      <c r="C6235" t="s">
        <v>20</v>
      </c>
      <c r="D6235" t="s">
        <v>7661</v>
      </c>
      <c r="E6235">
        <v>59870</v>
      </c>
    </row>
    <row r="6236" spans="1:5">
      <c r="A6236" s="1">
        <v>46076</v>
      </c>
      <c r="B6236" t="s">
        <v>774</v>
      </c>
      <c r="C6236" t="s">
        <v>20</v>
      </c>
      <c r="D6236" t="s">
        <v>7662</v>
      </c>
      <c r="E6236">
        <v>6333</v>
      </c>
    </row>
    <row r="6237" spans="1:5">
      <c r="A6237" s="1">
        <v>46076</v>
      </c>
      <c r="B6237" t="s">
        <v>7663</v>
      </c>
      <c r="C6237" t="s">
        <v>20</v>
      </c>
      <c r="D6237" t="s">
        <v>7664</v>
      </c>
      <c r="E6237">
        <v>6222</v>
      </c>
    </row>
    <row r="6238" spans="1:5">
      <c r="A6238" s="1">
        <v>46076</v>
      </c>
      <c r="B6238" t="s">
        <v>2314</v>
      </c>
      <c r="C6238" t="s">
        <v>20</v>
      </c>
      <c r="D6238" t="s">
        <v>7665</v>
      </c>
      <c r="E6238">
        <v>3606</v>
      </c>
    </row>
    <row r="6239" spans="1:5">
      <c r="A6239" s="1">
        <v>46076</v>
      </c>
      <c r="B6239" t="s">
        <v>117</v>
      </c>
      <c r="C6239" t="s">
        <v>20</v>
      </c>
      <c r="D6239" t="s">
        <v>7666</v>
      </c>
      <c r="E6239">
        <v>13071</v>
      </c>
    </row>
    <row r="6240" spans="1:5">
      <c r="A6240" s="1">
        <v>46076</v>
      </c>
      <c r="B6240" t="s">
        <v>360</v>
      </c>
      <c r="C6240" t="s">
        <v>20</v>
      </c>
      <c r="D6240" t="s">
        <v>7667</v>
      </c>
      <c r="E6240">
        <v>700</v>
      </c>
    </row>
    <row r="6241" spans="1:5">
      <c r="A6241" s="1">
        <v>46076</v>
      </c>
      <c r="B6241" t="s">
        <v>35</v>
      </c>
      <c r="C6241" t="s">
        <v>20</v>
      </c>
      <c r="D6241" t="s">
        <v>7668</v>
      </c>
      <c r="E6241">
        <v>2776</v>
      </c>
    </row>
    <row r="6242" spans="1:5">
      <c r="A6242" s="1">
        <v>46076</v>
      </c>
      <c r="B6242" t="s">
        <v>7399</v>
      </c>
      <c r="C6242" t="s">
        <v>20</v>
      </c>
      <c r="D6242" t="s">
        <v>7669</v>
      </c>
      <c r="E6242">
        <v>4520</v>
      </c>
    </row>
    <row r="6243" spans="1:5">
      <c r="A6243" s="1">
        <v>46076</v>
      </c>
      <c r="B6243" t="s">
        <v>844</v>
      </c>
      <c r="C6243" t="s">
        <v>20</v>
      </c>
      <c r="D6243" t="s">
        <v>7670</v>
      </c>
      <c r="E6243">
        <v>80</v>
      </c>
    </row>
    <row r="6244" spans="1:5">
      <c r="A6244" s="1">
        <v>46076</v>
      </c>
      <c r="B6244" t="s">
        <v>566</v>
      </c>
      <c r="C6244" t="s">
        <v>20</v>
      </c>
      <c r="D6244" t="s">
        <v>7671</v>
      </c>
      <c r="E6244">
        <v>633</v>
      </c>
    </row>
    <row r="6245" spans="1:5">
      <c r="A6245" s="1">
        <v>46076</v>
      </c>
      <c r="B6245" t="s">
        <v>50</v>
      </c>
      <c r="C6245" t="s">
        <v>20</v>
      </c>
      <c r="D6245" t="s">
        <v>7672</v>
      </c>
      <c r="E6245">
        <v>20</v>
      </c>
    </row>
    <row r="6246" spans="1:5">
      <c r="A6246" s="1">
        <v>46076</v>
      </c>
      <c r="B6246" t="s">
        <v>50</v>
      </c>
      <c r="C6246" t="s">
        <v>20</v>
      </c>
      <c r="D6246" t="s">
        <v>7673</v>
      </c>
      <c r="E6246">
        <v>863</v>
      </c>
    </row>
    <row r="6247" spans="1:5">
      <c r="A6247" s="1">
        <v>46076</v>
      </c>
      <c r="B6247" t="s">
        <v>68</v>
      </c>
      <c r="C6247" t="s">
        <v>20</v>
      </c>
      <c r="D6247" t="s">
        <v>7674</v>
      </c>
      <c r="E6247">
        <v>1550</v>
      </c>
    </row>
    <row r="6248" spans="1:5">
      <c r="A6248" s="1">
        <v>46077</v>
      </c>
      <c r="B6248" t="s">
        <v>2987</v>
      </c>
      <c r="C6248" t="s">
        <v>19</v>
      </c>
      <c r="D6248" t="s">
        <v>7675</v>
      </c>
      <c r="E6248">
        <v>9300</v>
      </c>
    </row>
    <row r="6249" spans="1:5">
      <c r="A6249" s="1">
        <v>46077</v>
      </c>
      <c r="B6249" t="s">
        <v>4669</v>
      </c>
      <c r="C6249" t="s">
        <v>19</v>
      </c>
      <c r="D6249" t="s">
        <v>7676</v>
      </c>
      <c r="E6249">
        <v>14760</v>
      </c>
    </row>
    <row r="6250" spans="1:5">
      <c r="A6250" s="1">
        <v>46077</v>
      </c>
      <c r="B6250" t="s">
        <v>1323</v>
      </c>
      <c r="C6250" t="s">
        <v>20</v>
      </c>
      <c r="D6250" t="s">
        <v>7677</v>
      </c>
      <c r="E6250">
        <v>32</v>
      </c>
    </row>
    <row r="6251" spans="1:5">
      <c r="A6251" s="1">
        <v>46077</v>
      </c>
      <c r="B6251" t="s">
        <v>774</v>
      </c>
      <c r="C6251" t="s">
        <v>20</v>
      </c>
      <c r="D6251" t="s">
        <v>7678</v>
      </c>
      <c r="E6251">
        <v>5160</v>
      </c>
    </row>
    <row r="6252" spans="1:5">
      <c r="A6252" s="1">
        <v>46077</v>
      </c>
      <c r="B6252" t="s">
        <v>7679</v>
      </c>
      <c r="C6252" t="s">
        <v>20</v>
      </c>
      <c r="D6252" t="s">
        <v>7680</v>
      </c>
      <c r="E6252">
        <v>65</v>
      </c>
    </row>
    <row r="6253" spans="1:5">
      <c r="A6253" s="1">
        <v>46077</v>
      </c>
      <c r="B6253" t="s">
        <v>2679</v>
      </c>
      <c r="C6253" t="s">
        <v>20</v>
      </c>
      <c r="D6253" t="s">
        <v>7681</v>
      </c>
      <c r="E6253">
        <v>19024</v>
      </c>
    </row>
    <row r="6254" spans="1:5">
      <c r="A6254" s="1">
        <v>46077</v>
      </c>
      <c r="B6254" t="s">
        <v>5593</v>
      </c>
      <c r="C6254" t="s">
        <v>20</v>
      </c>
      <c r="D6254" t="s">
        <v>7682</v>
      </c>
      <c r="E6254">
        <v>97416</v>
      </c>
    </row>
    <row r="6255" spans="1:5">
      <c r="A6255" s="1">
        <v>46077</v>
      </c>
      <c r="B6255" t="s">
        <v>7683</v>
      </c>
      <c r="C6255" t="s">
        <v>20</v>
      </c>
      <c r="D6255" t="s">
        <v>7684</v>
      </c>
      <c r="E6255">
        <v>500</v>
      </c>
    </row>
    <row r="6256" spans="1:5">
      <c r="A6256" s="1">
        <v>46077</v>
      </c>
      <c r="B6256" t="s">
        <v>709</v>
      </c>
      <c r="C6256" t="s">
        <v>20</v>
      </c>
      <c r="D6256" t="s">
        <v>7685</v>
      </c>
      <c r="E6256">
        <v>6200</v>
      </c>
    </row>
    <row r="6257" spans="1:5">
      <c r="A6257" s="1">
        <v>46077</v>
      </c>
      <c r="B6257" t="s">
        <v>5941</v>
      </c>
      <c r="C6257" t="s">
        <v>20</v>
      </c>
      <c r="D6257" t="s">
        <v>7686</v>
      </c>
      <c r="E6257">
        <v>8000</v>
      </c>
    </row>
    <row r="6258" spans="1:5">
      <c r="A6258" s="1">
        <v>46077</v>
      </c>
      <c r="B6258" t="s">
        <v>35</v>
      </c>
      <c r="C6258" t="s">
        <v>20</v>
      </c>
      <c r="D6258" t="s">
        <v>7687</v>
      </c>
      <c r="E6258">
        <v>1538</v>
      </c>
    </row>
    <row r="6259" spans="1:5">
      <c r="A6259" s="1">
        <v>46077</v>
      </c>
      <c r="B6259" t="s">
        <v>35</v>
      </c>
      <c r="C6259" t="s">
        <v>20</v>
      </c>
      <c r="D6259" t="s">
        <v>7688</v>
      </c>
      <c r="E6259">
        <v>2645</v>
      </c>
    </row>
    <row r="6260" spans="1:5">
      <c r="A6260" s="1">
        <v>46077</v>
      </c>
      <c r="B6260" t="s">
        <v>7689</v>
      </c>
      <c r="C6260" t="s">
        <v>20</v>
      </c>
      <c r="D6260" t="s">
        <v>7690</v>
      </c>
      <c r="E6260">
        <v>3460</v>
      </c>
    </row>
    <row r="6261" spans="1:5">
      <c r="A6261" s="1">
        <v>46077</v>
      </c>
      <c r="B6261" t="s">
        <v>50</v>
      </c>
      <c r="C6261" t="s">
        <v>20</v>
      </c>
      <c r="D6261" t="s">
        <v>7691</v>
      </c>
      <c r="E6261">
        <v>10</v>
      </c>
    </row>
    <row r="6262" spans="1:5">
      <c r="A6262" s="1">
        <v>46077</v>
      </c>
      <c r="B6262" t="s">
        <v>6455</v>
      </c>
      <c r="C6262" t="s">
        <v>20</v>
      </c>
      <c r="D6262" t="s">
        <v>7692</v>
      </c>
      <c r="E6262">
        <v>5126</v>
      </c>
    </row>
    <row r="6263" spans="1:5">
      <c r="A6263" s="1">
        <v>46077</v>
      </c>
      <c r="B6263" t="s">
        <v>7572</v>
      </c>
      <c r="C6263" t="s">
        <v>20</v>
      </c>
      <c r="D6263" t="s">
        <v>7693</v>
      </c>
      <c r="E6263">
        <v>3087</v>
      </c>
    </row>
    <row r="6264" spans="1:5">
      <c r="A6264" s="1">
        <v>46077</v>
      </c>
      <c r="B6264" t="s">
        <v>5856</v>
      </c>
      <c r="C6264" t="s">
        <v>20</v>
      </c>
      <c r="D6264" t="s">
        <v>7694</v>
      </c>
      <c r="E6264">
        <v>11345</v>
      </c>
    </row>
    <row r="6265" spans="1:5">
      <c r="A6265" s="1">
        <v>46077</v>
      </c>
      <c r="B6265" t="s">
        <v>7695</v>
      </c>
      <c r="C6265" t="s">
        <v>20</v>
      </c>
      <c r="D6265" t="s">
        <v>7696</v>
      </c>
      <c r="E6265">
        <v>1046</v>
      </c>
    </row>
    <row r="6266" spans="1:5">
      <c r="A6266" s="1">
        <v>46077</v>
      </c>
      <c r="B6266" t="s">
        <v>774</v>
      </c>
      <c r="C6266" t="s">
        <v>20</v>
      </c>
      <c r="D6266" t="s">
        <v>7697</v>
      </c>
      <c r="E6266">
        <v>535</v>
      </c>
    </row>
    <row r="6267" spans="1:5">
      <c r="A6267" s="1">
        <v>46077</v>
      </c>
      <c r="B6267" t="s">
        <v>193</v>
      </c>
      <c r="C6267" t="s">
        <v>20</v>
      </c>
      <c r="D6267" t="s">
        <v>7698</v>
      </c>
      <c r="E6267">
        <v>3471</v>
      </c>
    </row>
    <row r="6268" spans="1:5">
      <c r="A6268" s="1">
        <v>46077</v>
      </c>
      <c r="B6268" t="s">
        <v>50</v>
      </c>
      <c r="C6268" t="s">
        <v>20</v>
      </c>
      <c r="D6268" t="s">
        <v>7699</v>
      </c>
      <c r="E6268">
        <v>700</v>
      </c>
    </row>
    <row r="6269" spans="1:5">
      <c r="A6269" s="1">
        <v>46077</v>
      </c>
      <c r="B6269" t="s">
        <v>709</v>
      </c>
      <c r="C6269" t="s">
        <v>20</v>
      </c>
      <c r="D6269" t="s">
        <v>7700</v>
      </c>
      <c r="E6269">
        <v>6218</v>
      </c>
    </row>
    <row r="6270" spans="1:5">
      <c r="A6270" s="1">
        <v>46077</v>
      </c>
      <c r="B6270" t="s">
        <v>7399</v>
      </c>
      <c r="C6270" t="s">
        <v>20</v>
      </c>
      <c r="D6270" t="s">
        <v>7701</v>
      </c>
      <c r="E6270">
        <v>81</v>
      </c>
    </row>
    <row r="6271" spans="1:5">
      <c r="A6271" s="1">
        <v>46077</v>
      </c>
      <c r="B6271" t="s">
        <v>7702</v>
      </c>
      <c r="C6271" t="s">
        <v>20</v>
      </c>
      <c r="D6271" t="s">
        <v>7703</v>
      </c>
      <c r="E6271">
        <v>10572</v>
      </c>
    </row>
    <row r="6272" spans="1:5">
      <c r="A6272" s="1">
        <v>46078</v>
      </c>
      <c r="B6272" t="s">
        <v>6727</v>
      </c>
      <c r="C6272" t="s">
        <v>19</v>
      </c>
      <c r="D6272" t="s">
        <v>7704</v>
      </c>
      <c r="E6272">
        <v>6200</v>
      </c>
    </row>
    <row r="6273" spans="1:5">
      <c r="A6273" s="1">
        <v>46078</v>
      </c>
      <c r="B6273" t="s">
        <v>6182</v>
      </c>
      <c r="C6273" t="s">
        <v>19</v>
      </c>
      <c r="D6273" t="s">
        <v>7705</v>
      </c>
      <c r="E6273">
        <v>135306</v>
      </c>
    </row>
    <row r="6274" spans="1:5">
      <c r="A6274" s="1">
        <v>46078</v>
      </c>
      <c r="B6274" t="s">
        <v>7638</v>
      </c>
      <c r="C6274" t="s">
        <v>19</v>
      </c>
      <c r="D6274" t="s">
        <v>7706</v>
      </c>
      <c r="E6274">
        <v>2692</v>
      </c>
    </row>
    <row r="6275" spans="1:5">
      <c r="A6275" s="1">
        <v>46078</v>
      </c>
      <c r="B6275" t="s">
        <v>180</v>
      </c>
      <c r="C6275" t="s">
        <v>19</v>
      </c>
      <c r="D6275" t="s">
        <v>7707</v>
      </c>
      <c r="E6275">
        <v>3068</v>
      </c>
    </row>
    <row r="6276" spans="1:5">
      <c r="A6276" s="1">
        <v>46078</v>
      </c>
      <c r="B6276" t="s">
        <v>6426</v>
      </c>
      <c r="C6276" t="s">
        <v>20</v>
      </c>
      <c r="D6276" t="s">
        <v>7708</v>
      </c>
      <c r="E6276">
        <v>3200</v>
      </c>
    </row>
    <row r="6277" spans="1:5">
      <c r="A6277" s="1">
        <v>46078</v>
      </c>
      <c r="B6277" t="s">
        <v>4972</v>
      </c>
      <c r="C6277" t="s">
        <v>20</v>
      </c>
      <c r="D6277" t="s">
        <v>7709</v>
      </c>
      <c r="E6277">
        <v>40500</v>
      </c>
    </row>
    <row r="6278" spans="1:5">
      <c r="A6278" s="1">
        <v>46078</v>
      </c>
      <c r="B6278" t="s">
        <v>43</v>
      </c>
      <c r="C6278" t="s">
        <v>20</v>
      </c>
      <c r="D6278" t="s">
        <v>7710</v>
      </c>
      <c r="E6278">
        <v>6490</v>
      </c>
    </row>
    <row r="6279" spans="1:5">
      <c r="A6279" s="1">
        <v>46078</v>
      </c>
      <c r="B6279" t="s">
        <v>7711</v>
      </c>
      <c r="C6279" t="s">
        <v>20</v>
      </c>
      <c r="D6279" t="s">
        <v>7712</v>
      </c>
      <c r="E6279">
        <v>45886</v>
      </c>
    </row>
    <row r="6280" spans="1:5">
      <c r="A6280" s="1">
        <v>46078</v>
      </c>
      <c r="B6280" t="s">
        <v>7713</v>
      </c>
      <c r="C6280" t="s">
        <v>20</v>
      </c>
      <c r="D6280" t="s">
        <v>7714</v>
      </c>
      <c r="E6280">
        <v>562</v>
      </c>
    </row>
    <row r="6281" spans="1:5">
      <c r="A6281" s="1">
        <v>46078</v>
      </c>
      <c r="B6281" t="s">
        <v>601</v>
      </c>
      <c r="C6281" t="s">
        <v>20</v>
      </c>
      <c r="D6281" t="s">
        <v>7715</v>
      </c>
      <c r="E6281">
        <v>64086</v>
      </c>
    </row>
    <row r="6282" spans="1:5">
      <c r="A6282" s="1">
        <v>46078</v>
      </c>
      <c r="B6282" t="s">
        <v>5840</v>
      </c>
      <c r="C6282" t="s">
        <v>20</v>
      </c>
      <c r="D6282" t="s">
        <v>7716</v>
      </c>
      <c r="E6282">
        <v>80</v>
      </c>
    </row>
    <row r="6283" spans="1:5">
      <c r="A6283" s="1">
        <v>46078</v>
      </c>
      <c r="B6283" t="s">
        <v>7309</v>
      </c>
      <c r="C6283" t="s">
        <v>20</v>
      </c>
      <c r="D6283" t="s">
        <v>7717</v>
      </c>
      <c r="E6283">
        <v>35852</v>
      </c>
    </row>
    <row r="6284" spans="1:5">
      <c r="A6284" s="1">
        <v>46078</v>
      </c>
      <c r="B6284" t="s">
        <v>50</v>
      </c>
      <c r="C6284" t="s">
        <v>20</v>
      </c>
      <c r="D6284" t="s">
        <v>7718</v>
      </c>
      <c r="E6284">
        <v>310</v>
      </c>
    </row>
    <row r="6285" spans="1:5">
      <c r="A6285" s="1">
        <v>46078</v>
      </c>
      <c r="B6285" t="s">
        <v>7309</v>
      </c>
      <c r="C6285" t="s">
        <v>20</v>
      </c>
      <c r="D6285" t="s">
        <v>7719</v>
      </c>
      <c r="E6285">
        <v>1600</v>
      </c>
    </row>
    <row r="6286" spans="1:5">
      <c r="A6286" s="1">
        <v>46078</v>
      </c>
      <c r="B6286" t="s">
        <v>7720</v>
      </c>
      <c r="C6286" t="s">
        <v>20</v>
      </c>
      <c r="D6286" t="s">
        <v>7721</v>
      </c>
      <c r="E6286">
        <v>555</v>
      </c>
    </row>
    <row r="6287" spans="1:5">
      <c r="A6287" s="1">
        <v>46078</v>
      </c>
      <c r="B6287" t="s">
        <v>50</v>
      </c>
      <c r="C6287" t="s">
        <v>20</v>
      </c>
      <c r="D6287" t="s">
        <v>7722</v>
      </c>
      <c r="E6287">
        <v>640</v>
      </c>
    </row>
    <row r="6288" spans="1:5">
      <c r="A6288" s="1">
        <v>46078</v>
      </c>
      <c r="B6288" t="s">
        <v>7723</v>
      </c>
      <c r="C6288" t="s">
        <v>20</v>
      </c>
      <c r="D6288" t="s">
        <v>7724</v>
      </c>
      <c r="E6288">
        <v>13654</v>
      </c>
    </row>
    <row r="6289" spans="1:5">
      <c r="A6289" s="1">
        <v>46078</v>
      </c>
      <c r="B6289" t="s">
        <v>7723</v>
      </c>
      <c r="C6289" t="s">
        <v>20</v>
      </c>
      <c r="D6289" t="s">
        <v>7725</v>
      </c>
      <c r="E6289">
        <v>1400</v>
      </c>
    </row>
    <row r="6290" spans="1:5">
      <c r="A6290" s="1">
        <v>46078</v>
      </c>
      <c r="B6290" t="s">
        <v>7726</v>
      </c>
      <c r="C6290" t="s">
        <v>20</v>
      </c>
      <c r="D6290" t="s">
        <v>7727</v>
      </c>
      <c r="E6290">
        <v>52391</v>
      </c>
    </row>
    <row r="6291" spans="1:5">
      <c r="A6291" s="1">
        <v>46078</v>
      </c>
      <c r="B6291" t="s">
        <v>2233</v>
      </c>
      <c r="C6291" t="s">
        <v>20</v>
      </c>
      <c r="D6291" t="s">
        <v>7728</v>
      </c>
      <c r="E6291">
        <v>1280</v>
      </c>
    </row>
    <row r="6292" spans="1:5">
      <c r="A6292" s="1">
        <v>46078</v>
      </c>
      <c r="B6292" t="s">
        <v>4329</v>
      </c>
      <c r="C6292" t="s">
        <v>20</v>
      </c>
      <c r="D6292" t="s">
        <v>7729</v>
      </c>
      <c r="E6292">
        <v>375</v>
      </c>
    </row>
    <row r="6293" spans="1:5">
      <c r="A6293" s="1">
        <v>46078</v>
      </c>
      <c r="B6293" t="s">
        <v>7723</v>
      </c>
      <c r="C6293" t="s">
        <v>20</v>
      </c>
      <c r="D6293" t="s">
        <v>7730</v>
      </c>
      <c r="E6293">
        <v>1400</v>
      </c>
    </row>
    <row r="6294" spans="1:5">
      <c r="A6294" s="1">
        <v>46078</v>
      </c>
      <c r="B6294" t="s">
        <v>5351</v>
      </c>
      <c r="C6294" t="s">
        <v>20</v>
      </c>
      <c r="D6294" t="s">
        <v>7731</v>
      </c>
      <c r="E6294">
        <v>500</v>
      </c>
    </row>
    <row r="6295" spans="1:5">
      <c r="A6295" s="1">
        <v>46078</v>
      </c>
      <c r="B6295" t="s">
        <v>7702</v>
      </c>
      <c r="C6295" t="s">
        <v>20</v>
      </c>
      <c r="D6295" t="s">
        <v>7732</v>
      </c>
      <c r="E6295">
        <v>2426</v>
      </c>
    </row>
    <row r="6296" spans="1:5">
      <c r="A6296" s="1">
        <v>46079</v>
      </c>
      <c r="B6296" t="s">
        <v>7159</v>
      </c>
      <c r="C6296" t="s">
        <v>19</v>
      </c>
      <c r="D6296" t="s">
        <v>7733</v>
      </c>
      <c r="E6296">
        <v>47180</v>
      </c>
    </row>
    <row r="6297" spans="1:5">
      <c r="A6297" s="1">
        <v>46079</v>
      </c>
      <c r="B6297" t="s">
        <v>6753</v>
      </c>
      <c r="C6297" t="s">
        <v>19</v>
      </c>
      <c r="D6297" t="s">
        <v>7734</v>
      </c>
      <c r="E6297">
        <v>27180</v>
      </c>
    </row>
    <row r="6298" spans="1:5">
      <c r="A6298" s="1">
        <v>46079</v>
      </c>
      <c r="B6298" t="s">
        <v>7735</v>
      </c>
      <c r="C6298" t="s">
        <v>19</v>
      </c>
      <c r="D6298" t="s">
        <v>7736</v>
      </c>
      <c r="E6298">
        <v>7990</v>
      </c>
    </row>
    <row r="6299" spans="1:5">
      <c r="A6299" s="1">
        <v>46079</v>
      </c>
      <c r="B6299" t="s">
        <v>4669</v>
      </c>
      <c r="C6299" t="s">
        <v>19</v>
      </c>
      <c r="D6299" t="s">
        <v>7737</v>
      </c>
      <c r="E6299">
        <v>230</v>
      </c>
    </row>
    <row r="6300" spans="1:5">
      <c r="A6300" s="1">
        <v>46079</v>
      </c>
      <c r="B6300" t="s">
        <v>4669</v>
      </c>
      <c r="C6300" t="s">
        <v>19</v>
      </c>
      <c r="D6300" t="s">
        <v>7738</v>
      </c>
      <c r="E6300">
        <v>4603</v>
      </c>
    </row>
    <row r="6301" spans="1:5">
      <c r="A6301" s="1">
        <v>46079</v>
      </c>
      <c r="B6301" t="s">
        <v>7739</v>
      </c>
      <c r="C6301" t="s">
        <v>19</v>
      </c>
      <c r="D6301" t="s">
        <v>7740</v>
      </c>
      <c r="E6301">
        <v>1788</v>
      </c>
    </row>
    <row r="6302" spans="1:5">
      <c r="A6302" s="1">
        <v>46079</v>
      </c>
      <c r="B6302" t="s">
        <v>7741</v>
      </c>
      <c r="C6302" t="s">
        <v>19</v>
      </c>
      <c r="D6302" t="s">
        <v>7742</v>
      </c>
      <c r="E6302">
        <v>60000</v>
      </c>
    </row>
    <row r="6303" spans="1:5">
      <c r="A6303" s="1">
        <v>46079</v>
      </c>
      <c r="B6303" t="s">
        <v>1075</v>
      </c>
      <c r="C6303" t="s">
        <v>20</v>
      </c>
      <c r="D6303" t="s">
        <v>7743</v>
      </c>
      <c r="E6303">
        <v>960</v>
      </c>
    </row>
    <row r="6304" spans="1:5">
      <c r="A6304" s="1">
        <v>46079</v>
      </c>
      <c r="B6304" t="s">
        <v>7744</v>
      </c>
      <c r="C6304" t="s">
        <v>20</v>
      </c>
      <c r="D6304" t="s">
        <v>7745</v>
      </c>
      <c r="E6304">
        <v>9090</v>
      </c>
    </row>
    <row r="6305" spans="1:5">
      <c r="A6305" s="1">
        <v>46079</v>
      </c>
      <c r="B6305" t="s">
        <v>7746</v>
      </c>
      <c r="C6305" t="s">
        <v>20</v>
      </c>
      <c r="D6305" t="s">
        <v>7747</v>
      </c>
      <c r="E6305">
        <v>640</v>
      </c>
    </row>
    <row r="6306" spans="1:5">
      <c r="A6306" s="1">
        <v>46079</v>
      </c>
      <c r="B6306" t="s">
        <v>6211</v>
      </c>
      <c r="C6306" t="s">
        <v>20</v>
      </c>
      <c r="D6306" t="s">
        <v>7748</v>
      </c>
      <c r="E6306">
        <v>1100</v>
      </c>
    </row>
    <row r="6307" spans="1:5">
      <c r="A6307" s="1">
        <v>46079</v>
      </c>
      <c r="B6307" t="s">
        <v>7702</v>
      </c>
      <c r="C6307" t="s">
        <v>20</v>
      </c>
      <c r="D6307" t="s">
        <v>7749</v>
      </c>
      <c r="E6307">
        <v>7007</v>
      </c>
    </row>
    <row r="6308" spans="1:5">
      <c r="A6308" s="1">
        <v>46079</v>
      </c>
      <c r="B6308" t="s">
        <v>2024</v>
      </c>
      <c r="C6308" t="s">
        <v>20</v>
      </c>
      <c r="D6308" t="s">
        <v>7750</v>
      </c>
      <c r="E6308">
        <v>100</v>
      </c>
    </row>
    <row r="6309" spans="1:5">
      <c r="A6309" s="1">
        <v>46079</v>
      </c>
      <c r="B6309" t="s">
        <v>7689</v>
      </c>
      <c r="C6309" t="s">
        <v>20</v>
      </c>
      <c r="D6309" t="s">
        <v>7751</v>
      </c>
      <c r="E6309">
        <v>450</v>
      </c>
    </row>
    <row r="6310" spans="1:5">
      <c r="A6310" s="1">
        <v>46079</v>
      </c>
      <c r="B6310" t="s">
        <v>203</v>
      </c>
      <c r="C6310" t="s">
        <v>20</v>
      </c>
      <c r="D6310" t="s">
        <v>7752</v>
      </c>
      <c r="E6310">
        <v>3571</v>
      </c>
    </row>
    <row r="6311" spans="1:5">
      <c r="A6311" s="1">
        <v>46079</v>
      </c>
      <c r="B6311" t="s">
        <v>1196</v>
      </c>
      <c r="C6311" t="s">
        <v>20</v>
      </c>
      <c r="D6311" t="s">
        <v>7753</v>
      </c>
      <c r="E6311">
        <v>50</v>
      </c>
    </row>
    <row r="6312" spans="1:5">
      <c r="A6312" s="1">
        <v>46079</v>
      </c>
      <c r="B6312" t="s">
        <v>4786</v>
      </c>
      <c r="C6312" t="s">
        <v>20</v>
      </c>
      <c r="D6312" t="s">
        <v>7754</v>
      </c>
      <c r="E6312">
        <v>4458</v>
      </c>
    </row>
    <row r="6313" spans="1:5">
      <c r="A6313" s="1">
        <v>46079</v>
      </c>
      <c r="B6313" t="s">
        <v>7052</v>
      </c>
      <c r="C6313" t="s">
        <v>20</v>
      </c>
      <c r="D6313" t="s">
        <v>7755</v>
      </c>
      <c r="E6313">
        <v>1226</v>
      </c>
    </row>
    <row r="6314" spans="1:5">
      <c r="A6314" s="1">
        <v>46079</v>
      </c>
      <c r="B6314" t="s">
        <v>601</v>
      </c>
      <c r="C6314" t="s">
        <v>20</v>
      </c>
      <c r="D6314" t="s">
        <v>7756</v>
      </c>
      <c r="E6314">
        <v>2430</v>
      </c>
    </row>
    <row r="6315" spans="1:5">
      <c r="A6315" s="1">
        <v>46079</v>
      </c>
      <c r="B6315" t="s">
        <v>7757</v>
      </c>
      <c r="C6315" t="s">
        <v>20</v>
      </c>
      <c r="D6315" t="s">
        <v>7758</v>
      </c>
      <c r="E6315">
        <v>58182</v>
      </c>
    </row>
    <row r="6316" spans="1:5">
      <c r="A6316" s="1">
        <v>46079</v>
      </c>
      <c r="B6316" t="s">
        <v>43</v>
      </c>
      <c r="C6316" t="s">
        <v>20</v>
      </c>
      <c r="D6316" t="s">
        <v>7759</v>
      </c>
      <c r="E6316">
        <v>1334</v>
      </c>
    </row>
    <row r="6317" spans="1:5">
      <c r="A6317" s="1">
        <v>46079</v>
      </c>
      <c r="B6317" t="s">
        <v>2206</v>
      </c>
      <c r="C6317" t="s">
        <v>20</v>
      </c>
      <c r="D6317" t="s">
        <v>7760</v>
      </c>
      <c r="E6317">
        <v>190</v>
      </c>
    </row>
    <row r="6318" spans="1:5">
      <c r="A6318" s="1">
        <v>46079</v>
      </c>
      <c r="B6318" t="s">
        <v>2206</v>
      </c>
      <c r="C6318" t="s">
        <v>20</v>
      </c>
      <c r="D6318" t="s">
        <v>7761</v>
      </c>
      <c r="E6318">
        <v>100</v>
      </c>
    </row>
    <row r="6319" spans="1:5">
      <c r="A6319" s="1">
        <v>46079</v>
      </c>
      <c r="B6319" t="s">
        <v>50</v>
      </c>
      <c r="C6319" t="s">
        <v>20</v>
      </c>
      <c r="D6319" t="s">
        <v>7762</v>
      </c>
      <c r="E6319">
        <v>350</v>
      </c>
    </row>
    <row r="6320" spans="1:5">
      <c r="A6320" s="1">
        <v>46079</v>
      </c>
      <c r="B6320" t="s">
        <v>5941</v>
      </c>
      <c r="C6320" t="s">
        <v>20</v>
      </c>
      <c r="D6320" t="s">
        <v>7763</v>
      </c>
      <c r="E6320">
        <v>225</v>
      </c>
    </row>
    <row r="6321" spans="1:5">
      <c r="A6321" s="1">
        <v>46079</v>
      </c>
      <c r="B6321" t="s">
        <v>7764</v>
      </c>
      <c r="C6321" t="s">
        <v>20</v>
      </c>
      <c r="D6321" t="s">
        <v>7765</v>
      </c>
      <c r="E6321">
        <v>13448</v>
      </c>
    </row>
    <row r="6322" spans="1:5">
      <c r="A6322" s="1">
        <v>46079</v>
      </c>
      <c r="B6322" t="s">
        <v>50</v>
      </c>
      <c r="C6322" t="s">
        <v>20</v>
      </c>
      <c r="D6322" t="s">
        <v>7766</v>
      </c>
      <c r="E6322">
        <v>303</v>
      </c>
    </row>
    <row r="6323" spans="1:5">
      <c r="A6323" s="1">
        <v>46079</v>
      </c>
      <c r="B6323" t="s">
        <v>566</v>
      </c>
      <c r="C6323" t="s">
        <v>20</v>
      </c>
      <c r="D6323" t="s">
        <v>7767</v>
      </c>
      <c r="E6323">
        <v>803</v>
      </c>
    </row>
    <row r="6324" spans="1:5">
      <c r="A6324" s="1">
        <v>46079</v>
      </c>
      <c r="B6324" t="s">
        <v>7399</v>
      </c>
      <c r="C6324" t="s">
        <v>20</v>
      </c>
      <c r="D6324" t="s">
        <v>7768</v>
      </c>
      <c r="E6324">
        <v>2100</v>
      </c>
    </row>
    <row r="6325" spans="1:5">
      <c r="A6325" s="1">
        <v>46079</v>
      </c>
      <c r="B6325" t="s">
        <v>7769</v>
      </c>
      <c r="C6325" t="s">
        <v>20</v>
      </c>
      <c r="D6325" t="s">
        <v>7770</v>
      </c>
      <c r="E6325">
        <v>400</v>
      </c>
    </row>
    <row r="6326" spans="1:5">
      <c r="A6326" s="1">
        <v>46079</v>
      </c>
      <c r="B6326" t="s">
        <v>6936</v>
      </c>
      <c r="C6326" t="s">
        <v>20</v>
      </c>
      <c r="D6326" t="s">
        <v>7771</v>
      </c>
      <c r="E6326">
        <v>4143</v>
      </c>
    </row>
    <row r="6327" spans="1:5">
      <c r="A6327" s="1">
        <v>46079</v>
      </c>
      <c r="B6327" t="s">
        <v>7120</v>
      </c>
      <c r="C6327" t="s">
        <v>20</v>
      </c>
      <c r="D6327" t="s">
        <v>7772</v>
      </c>
      <c r="E6327">
        <v>3200</v>
      </c>
    </row>
    <row r="6328" spans="1:5">
      <c r="A6328" s="1">
        <v>46079</v>
      </c>
      <c r="B6328" t="s">
        <v>7702</v>
      </c>
      <c r="C6328" t="s">
        <v>20</v>
      </c>
      <c r="D6328" t="s">
        <v>7773</v>
      </c>
      <c r="E6328">
        <v>10053</v>
      </c>
    </row>
    <row r="6329" spans="1:5">
      <c r="A6329" s="1">
        <v>46079</v>
      </c>
      <c r="B6329" t="s">
        <v>1075</v>
      </c>
      <c r="C6329" t="s">
        <v>20</v>
      </c>
      <c r="D6329" t="s">
        <v>7774</v>
      </c>
      <c r="E6329">
        <v>130</v>
      </c>
    </row>
    <row r="6330" spans="1:5">
      <c r="A6330" s="1">
        <v>46079</v>
      </c>
      <c r="B6330" t="s">
        <v>7775</v>
      </c>
      <c r="C6330" t="s">
        <v>20</v>
      </c>
      <c r="D6330" t="s">
        <v>7776</v>
      </c>
      <c r="E6330">
        <v>460</v>
      </c>
    </row>
    <row r="6331" spans="1:5">
      <c r="A6331" s="1">
        <v>46079</v>
      </c>
      <c r="B6331" t="s">
        <v>4786</v>
      </c>
      <c r="C6331" t="s">
        <v>20</v>
      </c>
      <c r="D6331" t="s">
        <v>7777</v>
      </c>
      <c r="E6331">
        <v>300</v>
      </c>
    </row>
    <row r="6332" spans="1:5">
      <c r="A6332" s="1">
        <v>46079</v>
      </c>
      <c r="B6332" t="s">
        <v>50</v>
      </c>
      <c r="C6332" t="s">
        <v>20</v>
      </c>
      <c r="D6332" t="s">
        <v>7778</v>
      </c>
      <c r="E6332">
        <v>600</v>
      </c>
    </row>
    <row r="6333" spans="1:5">
      <c r="A6333" s="1">
        <v>46080</v>
      </c>
      <c r="B6333" t="s">
        <v>58</v>
      </c>
      <c r="C6333" t="s">
        <v>19</v>
      </c>
      <c r="D6333" t="s">
        <v>7779</v>
      </c>
      <c r="E6333">
        <v>1664</v>
      </c>
    </row>
    <row r="6334" spans="1:5">
      <c r="A6334" s="1">
        <v>46080</v>
      </c>
      <c r="B6334" t="s">
        <v>7735</v>
      </c>
      <c r="C6334" t="s">
        <v>19</v>
      </c>
      <c r="D6334" t="s">
        <v>7780</v>
      </c>
      <c r="E6334">
        <v>443</v>
      </c>
    </row>
    <row r="6335" spans="1:5">
      <c r="A6335" s="1">
        <v>46080</v>
      </c>
      <c r="B6335" t="s">
        <v>7781</v>
      </c>
      <c r="C6335" t="s">
        <v>19</v>
      </c>
      <c r="D6335" t="s">
        <v>7782</v>
      </c>
      <c r="E6335">
        <v>13770</v>
      </c>
    </row>
    <row r="6336" spans="1:5">
      <c r="A6336" s="1">
        <v>46080</v>
      </c>
      <c r="B6336" t="s">
        <v>4669</v>
      </c>
      <c r="C6336" t="s">
        <v>19</v>
      </c>
      <c r="D6336" t="s">
        <v>7783</v>
      </c>
      <c r="E6336">
        <v>7620</v>
      </c>
    </row>
    <row r="6337" spans="1:5">
      <c r="A6337" s="1">
        <v>46080</v>
      </c>
      <c r="B6337" t="s">
        <v>147</v>
      </c>
      <c r="C6337" t="s">
        <v>19</v>
      </c>
      <c r="D6337" t="s">
        <v>7784</v>
      </c>
      <c r="E6337">
        <v>37910</v>
      </c>
    </row>
    <row r="6338" spans="1:5">
      <c r="A6338" s="1">
        <v>46080</v>
      </c>
      <c r="B6338" t="s">
        <v>147</v>
      </c>
      <c r="C6338" t="s">
        <v>19</v>
      </c>
      <c r="D6338" t="s">
        <v>7785</v>
      </c>
      <c r="E6338">
        <v>24143</v>
      </c>
    </row>
    <row r="6339" spans="1:5">
      <c r="A6339" s="1">
        <v>46080</v>
      </c>
      <c r="B6339" t="s">
        <v>6936</v>
      </c>
      <c r="C6339" t="s">
        <v>20</v>
      </c>
      <c r="D6339" t="s">
        <v>7786</v>
      </c>
      <c r="E6339">
        <v>15500</v>
      </c>
    </row>
    <row r="6340" spans="1:5">
      <c r="A6340" s="1">
        <v>46080</v>
      </c>
      <c r="B6340" t="s">
        <v>7787</v>
      </c>
      <c r="C6340" t="s">
        <v>20</v>
      </c>
      <c r="D6340" t="s">
        <v>7788</v>
      </c>
      <c r="E6340">
        <v>62695</v>
      </c>
    </row>
    <row r="6341" spans="1:5">
      <c r="A6341" s="1">
        <v>46080</v>
      </c>
      <c r="B6341" t="s">
        <v>7689</v>
      </c>
      <c r="C6341" t="s">
        <v>20</v>
      </c>
      <c r="D6341" t="s">
        <v>7789</v>
      </c>
      <c r="E6341">
        <v>190</v>
      </c>
    </row>
    <row r="6342" spans="1:5">
      <c r="A6342" s="1">
        <v>46080</v>
      </c>
      <c r="B6342" t="s">
        <v>50</v>
      </c>
      <c r="C6342" t="s">
        <v>20</v>
      </c>
      <c r="D6342" t="s">
        <v>7790</v>
      </c>
      <c r="E6342">
        <v>320</v>
      </c>
    </row>
    <row r="6343" spans="1:5">
      <c r="A6343" s="1">
        <v>46080</v>
      </c>
      <c r="B6343" t="s">
        <v>1881</v>
      </c>
      <c r="C6343" t="s">
        <v>20</v>
      </c>
      <c r="D6343" t="s">
        <v>7791</v>
      </c>
      <c r="E6343">
        <v>7815</v>
      </c>
    </row>
    <row r="6344" spans="1:5">
      <c r="A6344" s="1">
        <v>46080</v>
      </c>
      <c r="B6344" t="s">
        <v>7313</v>
      </c>
      <c r="C6344" t="s">
        <v>20</v>
      </c>
      <c r="D6344" t="s">
        <v>7792</v>
      </c>
      <c r="E6344">
        <v>2450</v>
      </c>
    </row>
    <row r="6345" spans="1:5">
      <c r="A6345" s="1">
        <v>46080</v>
      </c>
      <c r="B6345" t="s">
        <v>6426</v>
      </c>
      <c r="C6345" t="s">
        <v>20</v>
      </c>
      <c r="D6345" t="s">
        <v>7793</v>
      </c>
      <c r="E6345">
        <v>1920</v>
      </c>
    </row>
    <row r="6346" spans="1:5">
      <c r="A6346" s="1">
        <v>46080</v>
      </c>
      <c r="B6346" t="s">
        <v>50</v>
      </c>
      <c r="C6346" t="s">
        <v>20</v>
      </c>
      <c r="D6346" t="s">
        <v>7794</v>
      </c>
      <c r="E6346">
        <v>310</v>
      </c>
    </row>
    <row r="6347" spans="1:5">
      <c r="A6347" s="1">
        <v>46080</v>
      </c>
      <c r="B6347" t="s">
        <v>50</v>
      </c>
      <c r="C6347" t="s">
        <v>20</v>
      </c>
      <c r="D6347" t="s">
        <v>7795</v>
      </c>
      <c r="E6347">
        <v>640</v>
      </c>
    </row>
    <row r="6348" spans="1:5">
      <c r="A6348" s="1">
        <v>46080</v>
      </c>
      <c r="B6348" t="s">
        <v>817</v>
      </c>
      <c r="C6348" t="s">
        <v>20</v>
      </c>
      <c r="D6348" t="s">
        <v>7796</v>
      </c>
      <c r="E6348">
        <v>21616</v>
      </c>
    </row>
    <row r="6349" spans="1:5">
      <c r="A6349" s="1">
        <v>46080</v>
      </c>
      <c r="B6349" t="s">
        <v>2679</v>
      </c>
      <c r="C6349" t="s">
        <v>20</v>
      </c>
      <c r="D6349" t="s">
        <v>7797</v>
      </c>
      <c r="E6349">
        <v>1604</v>
      </c>
    </row>
    <row r="6350" spans="1:5">
      <c r="A6350" s="1">
        <v>46080</v>
      </c>
      <c r="B6350" t="s">
        <v>7798</v>
      </c>
      <c r="C6350" t="s">
        <v>20</v>
      </c>
      <c r="D6350" t="s">
        <v>7799</v>
      </c>
      <c r="E6350">
        <v>8634</v>
      </c>
    </row>
    <row r="6351" spans="1:5">
      <c r="A6351" s="1">
        <v>46080</v>
      </c>
      <c r="B6351" t="s">
        <v>239</v>
      </c>
      <c r="C6351" t="s">
        <v>20</v>
      </c>
      <c r="D6351" t="s">
        <v>7800</v>
      </c>
      <c r="E6351">
        <v>1412</v>
      </c>
    </row>
    <row r="6352" spans="1:5">
      <c r="A6352" s="1">
        <v>46080</v>
      </c>
      <c r="B6352" t="s">
        <v>7801</v>
      </c>
      <c r="C6352" t="s">
        <v>20</v>
      </c>
      <c r="D6352" t="s">
        <v>7802</v>
      </c>
      <c r="E6352">
        <v>8678</v>
      </c>
    </row>
    <row r="6353" spans="1:5">
      <c r="A6353" s="1">
        <v>46080</v>
      </c>
      <c r="B6353" t="s">
        <v>4225</v>
      </c>
      <c r="C6353" t="s">
        <v>20</v>
      </c>
      <c r="D6353" t="s">
        <v>7803</v>
      </c>
      <c r="E6353">
        <v>927</v>
      </c>
    </row>
    <row r="6354" spans="1:5">
      <c r="A6354" s="1">
        <v>46080</v>
      </c>
      <c r="B6354" t="s">
        <v>68</v>
      </c>
      <c r="C6354" t="s">
        <v>20</v>
      </c>
      <c r="D6354" t="s">
        <v>7804</v>
      </c>
      <c r="E6354">
        <v>1708</v>
      </c>
    </row>
    <row r="6355" spans="1:5">
      <c r="A6355" s="1">
        <v>46080</v>
      </c>
      <c r="B6355" t="s">
        <v>7313</v>
      </c>
      <c r="C6355" t="s">
        <v>20</v>
      </c>
      <c r="D6355" t="s">
        <v>7805</v>
      </c>
      <c r="E6355">
        <v>140</v>
      </c>
    </row>
    <row r="6356" spans="1:5">
      <c r="A6356" s="1">
        <v>46081</v>
      </c>
      <c r="B6356" t="s">
        <v>180</v>
      </c>
      <c r="C6356" t="s">
        <v>19</v>
      </c>
      <c r="D6356" t="s">
        <v>7806</v>
      </c>
      <c r="E6356">
        <v>22146</v>
      </c>
    </row>
    <row r="6357" spans="1:5">
      <c r="A6357" s="1">
        <v>46081</v>
      </c>
      <c r="B6357" t="s">
        <v>7067</v>
      </c>
      <c r="C6357" t="s">
        <v>20</v>
      </c>
      <c r="D6357" t="s">
        <v>7807</v>
      </c>
      <c r="E6357">
        <v>11932</v>
      </c>
    </row>
    <row r="6358" spans="1:5">
      <c r="A6358" s="1">
        <v>46081</v>
      </c>
      <c r="B6358" t="s">
        <v>2679</v>
      </c>
      <c r="C6358" t="s">
        <v>20</v>
      </c>
      <c r="D6358" t="s">
        <v>7808</v>
      </c>
      <c r="E6358">
        <v>640</v>
      </c>
    </row>
    <row r="6359" spans="1:5">
      <c r="A6359" s="1">
        <v>46081</v>
      </c>
      <c r="B6359" t="s">
        <v>7809</v>
      </c>
      <c r="C6359" t="s">
        <v>20</v>
      </c>
      <c r="D6359" t="s">
        <v>7810</v>
      </c>
      <c r="E6359">
        <v>320</v>
      </c>
    </row>
    <row r="6360" spans="1:5">
      <c r="A6360" s="1">
        <v>46081</v>
      </c>
      <c r="B6360" t="s">
        <v>6426</v>
      </c>
      <c r="C6360" t="s">
        <v>20</v>
      </c>
      <c r="D6360" t="s">
        <v>7811</v>
      </c>
      <c r="E6360">
        <v>2580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0918-640C-41BB-9C46-D19FE1F5536B}">
  <dimension ref="A3:C1428"/>
  <sheetViews>
    <sheetView workbookViewId="0">
      <selection activeCell="C12" sqref="C12"/>
    </sheetView>
  </sheetViews>
  <sheetFormatPr defaultRowHeight="14.45"/>
  <cols>
    <col min="1" max="1" width="52.42578125" bestFit="1" customWidth="1"/>
    <col min="2" max="2" width="15.85546875" bestFit="1" customWidth="1"/>
    <col min="3" max="3" width="18.7109375" bestFit="1" customWidth="1"/>
    <col min="4" max="4" width="9.42578125" bestFit="1" customWidth="1"/>
    <col min="5" max="5" width="9.140625" bestFit="1" customWidth="1"/>
    <col min="6" max="6" width="9.28515625" bestFit="1" customWidth="1"/>
    <col min="7" max="7" width="9.42578125" bestFit="1" customWidth="1"/>
    <col min="8" max="8" width="9.140625" bestFit="1" customWidth="1"/>
    <col min="9" max="9" width="9.42578125" bestFit="1" customWidth="1"/>
    <col min="10" max="10" width="9.7109375" bestFit="1" customWidth="1"/>
    <col min="11" max="12" width="9.140625" bestFit="1" customWidth="1"/>
    <col min="13" max="13" width="8.28515625" bestFit="1" customWidth="1"/>
    <col min="14" max="14" width="9.7109375" bestFit="1" customWidth="1"/>
    <col min="15" max="15" width="9.140625" bestFit="1" customWidth="1"/>
    <col min="16" max="16" width="9.28515625" bestFit="1" customWidth="1"/>
    <col min="17" max="17" width="9.7109375" bestFit="1" customWidth="1"/>
    <col min="18" max="19" width="9.28515625" bestFit="1" customWidth="1"/>
    <col min="20" max="20" width="9.140625" bestFit="1" customWidth="1"/>
    <col min="21" max="21" width="9.7109375" bestFit="1" customWidth="1"/>
    <col min="22" max="22" width="8.85546875" bestFit="1" customWidth="1"/>
    <col min="23" max="24" width="9.140625" bestFit="1" customWidth="1"/>
    <col min="25" max="25" width="9.7109375" bestFit="1" customWidth="1"/>
    <col min="26" max="26" width="9.140625" bestFit="1" customWidth="1"/>
    <col min="27" max="27" width="8.28515625" bestFit="1" customWidth="1"/>
    <col min="28" max="29" width="9.140625" bestFit="1" customWidth="1"/>
    <col min="30" max="30" width="9.28515625" bestFit="1" customWidth="1"/>
    <col min="31" max="32" width="9.42578125" bestFit="1" customWidth="1"/>
    <col min="33" max="33" width="9.7109375" bestFit="1" customWidth="1"/>
    <col min="34" max="34" width="8.85546875" bestFit="1" customWidth="1"/>
    <col min="35" max="35" width="9.140625" bestFit="1" customWidth="1"/>
    <col min="36" max="38" width="9.42578125" bestFit="1" customWidth="1"/>
    <col min="39" max="39" width="9.7109375" bestFit="1" customWidth="1"/>
    <col min="40" max="40" width="9.28515625" bestFit="1" customWidth="1"/>
    <col min="41" max="41" width="9.42578125" bestFit="1" customWidth="1"/>
    <col min="42" max="42" width="9.7109375" bestFit="1" customWidth="1"/>
    <col min="43" max="43" width="9.28515625" bestFit="1" customWidth="1"/>
    <col min="44" max="44" width="9.140625" bestFit="1" customWidth="1"/>
    <col min="45" max="45" width="9.7109375" bestFit="1" customWidth="1"/>
    <col min="46" max="46" width="9.140625" bestFit="1" customWidth="1"/>
    <col min="47" max="47" width="9.42578125" bestFit="1" customWidth="1"/>
    <col min="48" max="48" width="9.140625" bestFit="1" customWidth="1"/>
    <col min="49" max="49" width="9.7109375" bestFit="1" customWidth="1"/>
    <col min="50" max="50" width="9.28515625" bestFit="1" customWidth="1"/>
    <col min="51" max="51" width="9.42578125" bestFit="1" customWidth="1"/>
    <col min="52" max="52" width="8.28515625" bestFit="1" customWidth="1"/>
    <col min="53" max="53" width="8.85546875" bestFit="1" customWidth="1"/>
    <col min="54" max="54" width="9.42578125" bestFit="1" customWidth="1"/>
    <col min="55" max="55" width="9.140625" bestFit="1" customWidth="1"/>
    <col min="56" max="57" width="8.85546875" bestFit="1" customWidth="1"/>
    <col min="58" max="58" width="9.7109375" bestFit="1" customWidth="1"/>
    <col min="59" max="60" width="9.140625" bestFit="1" customWidth="1"/>
    <col min="61" max="61" width="8.28515625" bestFit="1" customWidth="1"/>
    <col min="62" max="62" width="9.140625" bestFit="1" customWidth="1"/>
    <col min="63" max="64" width="9.28515625" bestFit="1" customWidth="1"/>
    <col min="65" max="65" width="9.140625" bestFit="1" customWidth="1"/>
    <col min="66" max="67" width="9.42578125" bestFit="1" customWidth="1"/>
    <col min="68" max="68" width="9.28515625" bestFit="1" customWidth="1"/>
    <col min="69" max="70" width="9.42578125" bestFit="1" customWidth="1"/>
    <col min="71" max="71" width="9.140625" bestFit="1" customWidth="1"/>
    <col min="72" max="72" width="9.42578125" bestFit="1" customWidth="1"/>
    <col min="73" max="76" width="9.7109375" bestFit="1" customWidth="1"/>
    <col min="77" max="77" width="9.42578125" bestFit="1" customWidth="1"/>
    <col min="78" max="78" width="9.7109375" bestFit="1" customWidth="1"/>
    <col min="79" max="79" width="9.140625" bestFit="1" customWidth="1"/>
    <col min="80" max="81" width="8.85546875" bestFit="1" customWidth="1"/>
    <col min="82" max="82" width="9.42578125" bestFit="1" customWidth="1"/>
    <col min="83" max="84" width="9.140625" bestFit="1" customWidth="1"/>
    <col min="85" max="85" width="8.85546875" bestFit="1" customWidth="1"/>
    <col min="86" max="86" width="9.7109375" bestFit="1" customWidth="1"/>
    <col min="87" max="87" width="9.28515625" bestFit="1" customWidth="1"/>
    <col min="88" max="88" width="9.42578125" bestFit="1" customWidth="1"/>
    <col min="89" max="89" width="9.28515625" bestFit="1" customWidth="1"/>
    <col min="90" max="90" width="9.7109375" bestFit="1" customWidth="1"/>
    <col min="91" max="91" width="9.140625" bestFit="1" customWidth="1"/>
    <col min="92" max="92" width="8.85546875" bestFit="1" customWidth="1"/>
    <col min="93" max="93" width="9.140625" bestFit="1" customWidth="1"/>
    <col min="94" max="94" width="8.28515625" bestFit="1" customWidth="1"/>
    <col min="95" max="95" width="8.85546875" bestFit="1" customWidth="1"/>
    <col min="96" max="96" width="9.140625" bestFit="1" customWidth="1"/>
    <col min="97" max="97" width="9.42578125" bestFit="1" customWidth="1"/>
    <col min="98" max="98" width="9.140625" bestFit="1" customWidth="1"/>
    <col min="99" max="100" width="9.28515625" bestFit="1" customWidth="1"/>
    <col min="101" max="102" width="9.140625" bestFit="1" customWidth="1"/>
    <col min="103" max="104" width="9.7109375" bestFit="1" customWidth="1"/>
    <col min="105" max="105" width="9.42578125" bestFit="1" customWidth="1"/>
    <col min="106" max="107" width="9.7109375" bestFit="1" customWidth="1"/>
    <col min="108" max="109" width="9.140625" bestFit="1" customWidth="1"/>
    <col min="110" max="110" width="9.7109375" bestFit="1" customWidth="1"/>
    <col min="111" max="111" width="9.140625" bestFit="1" customWidth="1"/>
    <col min="112" max="112" width="9.42578125" bestFit="1" customWidth="1"/>
    <col min="113" max="113" width="9.7109375" bestFit="1" customWidth="1"/>
    <col min="114" max="114" width="9.28515625" bestFit="1" customWidth="1"/>
    <col min="115" max="115" width="9.140625" bestFit="1" customWidth="1"/>
    <col min="116" max="116" width="9.42578125" bestFit="1" customWidth="1"/>
    <col min="117" max="118" width="9.140625" bestFit="1" customWidth="1"/>
    <col min="119" max="119" width="9.7109375" bestFit="1" customWidth="1"/>
    <col min="120" max="120" width="9.140625" bestFit="1" customWidth="1"/>
    <col min="121" max="121" width="9.42578125" bestFit="1" customWidth="1"/>
    <col min="122" max="123" width="9.140625" bestFit="1" customWidth="1"/>
    <col min="124" max="124" width="8.85546875" bestFit="1" customWidth="1"/>
    <col min="125" max="126" width="9.140625" bestFit="1" customWidth="1"/>
    <col min="127" max="129" width="9.42578125" bestFit="1" customWidth="1"/>
    <col min="130" max="130" width="9.140625" bestFit="1" customWidth="1"/>
    <col min="131" max="131" width="9.42578125" bestFit="1" customWidth="1"/>
    <col min="132" max="132" width="8.85546875" bestFit="1" customWidth="1"/>
    <col min="133" max="133" width="8.28515625" bestFit="1" customWidth="1"/>
    <col min="134" max="135" width="9.42578125" bestFit="1" customWidth="1"/>
    <col min="136" max="136" width="8.85546875" bestFit="1" customWidth="1"/>
    <col min="137" max="137" width="9.140625" bestFit="1" customWidth="1"/>
    <col min="138" max="138" width="9.42578125" bestFit="1" customWidth="1"/>
    <col min="139" max="139" width="9.7109375" bestFit="1" customWidth="1"/>
    <col min="140" max="140" width="8.85546875" bestFit="1" customWidth="1"/>
    <col min="141" max="141" width="9.140625" bestFit="1" customWidth="1"/>
    <col min="142" max="142" width="9.28515625" bestFit="1" customWidth="1"/>
    <col min="143" max="144" width="9.140625" bestFit="1" customWidth="1"/>
    <col min="145" max="146" width="9.7109375" bestFit="1" customWidth="1"/>
    <col min="147" max="147" width="8.85546875" bestFit="1" customWidth="1"/>
    <col min="148" max="148" width="9.140625" bestFit="1" customWidth="1"/>
    <col min="149" max="149" width="8.28515625" bestFit="1" customWidth="1"/>
    <col min="150" max="150" width="9.140625" bestFit="1" customWidth="1"/>
    <col min="151" max="152" width="8.28515625" bestFit="1" customWidth="1"/>
    <col min="153" max="153" width="9.7109375" bestFit="1" customWidth="1"/>
    <col min="154" max="154" width="9.28515625" bestFit="1" customWidth="1"/>
    <col min="155" max="155" width="9.7109375" bestFit="1" customWidth="1"/>
    <col min="156" max="157" width="9.140625" bestFit="1" customWidth="1"/>
    <col min="158" max="158" width="8.85546875" bestFit="1" customWidth="1"/>
    <col min="159" max="160" width="9.140625" bestFit="1" customWidth="1"/>
    <col min="161" max="161" width="9.7109375" bestFit="1" customWidth="1"/>
    <col min="162" max="162" width="9.28515625" bestFit="1" customWidth="1"/>
    <col min="163" max="163" width="8.85546875" bestFit="1" customWidth="1"/>
    <col min="164" max="166" width="9.140625" bestFit="1" customWidth="1"/>
    <col min="167" max="167" width="9.28515625" bestFit="1" customWidth="1"/>
    <col min="168" max="168" width="9.140625" bestFit="1" customWidth="1"/>
    <col min="169" max="169" width="9.7109375" bestFit="1" customWidth="1"/>
    <col min="170" max="170" width="9.42578125" bestFit="1" customWidth="1"/>
    <col min="171" max="172" width="9.28515625" bestFit="1" customWidth="1"/>
    <col min="173" max="173" width="9.140625" bestFit="1" customWidth="1"/>
    <col min="174" max="174" width="9.7109375" bestFit="1" customWidth="1"/>
    <col min="175" max="176" width="9.28515625" bestFit="1" customWidth="1"/>
    <col min="177" max="177" width="9.140625" bestFit="1" customWidth="1"/>
    <col min="178" max="179" width="8.85546875" bestFit="1" customWidth="1"/>
    <col min="180" max="180" width="9.42578125" bestFit="1" customWidth="1"/>
    <col min="181" max="181" width="9.7109375" bestFit="1" customWidth="1"/>
    <col min="182" max="184" width="9.140625" bestFit="1" customWidth="1"/>
    <col min="185" max="185" width="9.7109375" bestFit="1" customWidth="1"/>
    <col min="186" max="187" width="9.42578125" bestFit="1" customWidth="1"/>
    <col min="188" max="188" width="8.85546875" bestFit="1" customWidth="1"/>
    <col min="189" max="189" width="9.140625" bestFit="1" customWidth="1"/>
    <col min="190" max="190" width="9.28515625" bestFit="1" customWidth="1"/>
    <col min="191" max="191" width="9.7109375" bestFit="1" customWidth="1"/>
    <col min="192" max="192" width="9.42578125" bestFit="1" customWidth="1"/>
    <col min="193" max="193" width="9.7109375" bestFit="1" customWidth="1"/>
    <col min="194" max="194" width="9.140625" bestFit="1" customWidth="1"/>
    <col min="195" max="196" width="9.7109375" bestFit="1" customWidth="1"/>
    <col min="197" max="197" width="9.42578125" bestFit="1" customWidth="1"/>
    <col min="198" max="198" width="8.28515625" bestFit="1" customWidth="1"/>
    <col min="199" max="199" width="9.7109375" bestFit="1" customWidth="1"/>
    <col min="200" max="200" width="8.85546875" bestFit="1" customWidth="1"/>
    <col min="201" max="203" width="9.140625" bestFit="1" customWidth="1"/>
    <col min="204" max="204" width="9.7109375" bestFit="1" customWidth="1"/>
    <col min="205" max="207" width="8.85546875" bestFit="1" customWidth="1"/>
    <col min="208" max="208" width="9.7109375" bestFit="1" customWidth="1"/>
    <col min="209" max="209" width="8.28515625" bestFit="1" customWidth="1"/>
    <col min="210" max="210" width="9.28515625" bestFit="1" customWidth="1"/>
    <col min="211" max="211" width="9.140625" bestFit="1" customWidth="1"/>
    <col min="212" max="212" width="9.7109375" bestFit="1" customWidth="1"/>
    <col min="213" max="214" width="9.42578125" bestFit="1" customWidth="1"/>
    <col min="215" max="215" width="9.140625" bestFit="1" customWidth="1"/>
    <col min="216" max="218" width="9.7109375" bestFit="1" customWidth="1"/>
    <col min="219" max="219" width="9.140625" bestFit="1" customWidth="1"/>
    <col min="220" max="220" width="8.85546875" bestFit="1" customWidth="1"/>
    <col min="221" max="221" width="9.7109375" bestFit="1" customWidth="1"/>
    <col min="222" max="222" width="9.140625" bestFit="1" customWidth="1"/>
    <col min="223" max="223" width="8.85546875" bestFit="1" customWidth="1"/>
    <col min="224" max="224" width="9.7109375" bestFit="1" customWidth="1"/>
    <col min="225" max="225" width="8.85546875" bestFit="1" customWidth="1"/>
    <col min="226" max="227" width="9.7109375" bestFit="1" customWidth="1"/>
    <col min="228" max="228" width="8.28515625" bestFit="1" customWidth="1"/>
    <col min="229" max="229" width="9.140625" bestFit="1" customWidth="1"/>
    <col min="230" max="230" width="9.42578125" bestFit="1" customWidth="1"/>
    <col min="231" max="231" width="9.28515625" bestFit="1" customWidth="1"/>
    <col min="232" max="232" width="9.140625" bestFit="1" customWidth="1"/>
    <col min="233" max="233" width="9.28515625" bestFit="1" customWidth="1"/>
    <col min="234" max="234" width="9.140625" bestFit="1" customWidth="1"/>
    <col min="235" max="235" width="8.85546875" bestFit="1" customWidth="1"/>
    <col min="236" max="238" width="9.42578125" bestFit="1" customWidth="1"/>
    <col min="239" max="239" width="9.28515625" bestFit="1" customWidth="1"/>
    <col min="240" max="240" width="8.85546875" bestFit="1" customWidth="1"/>
    <col min="241" max="241" width="9.140625" bestFit="1" customWidth="1"/>
    <col min="242" max="242" width="9.28515625" bestFit="1" customWidth="1"/>
    <col min="243" max="243" width="8.28515625" bestFit="1" customWidth="1"/>
    <col min="244" max="244" width="9.140625" bestFit="1" customWidth="1"/>
    <col min="245" max="245" width="9.28515625" bestFit="1" customWidth="1"/>
    <col min="246" max="246" width="9.140625" bestFit="1" customWidth="1"/>
    <col min="247" max="248" width="8.85546875" bestFit="1" customWidth="1"/>
    <col min="249" max="249" width="9.28515625" bestFit="1" customWidth="1"/>
    <col min="250" max="250" width="9.7109375" bestFit="1" customWidth="1"/>
    <col min="251" max="251" width="9.28515625" bestFit="1" customWidth="1"/>
    <col min="252" max="252" width="9.140625" bestFit="1" customWidth="1"/>
    <col min="253" max="253" width="9.7109375" bestFit="1" customWidth="1"/>
    <col min="254" max="254" width="8.85546875" bestFit="1" customWidth="1"/>
    <col min="255" max="255" width="9.140625" bestFit="1" customWidth="1"/>
    <col min="256" max="256" width="9.28515625" bestFit="1" customWidth="1"/>
    <col min="257" max="257" width="9.7109375" bestFit="1" customWidth="1"/>
    <col min="258" max="260" width="9.42578125" bestFit="1" customWidth="1"/>
    <col min="261" max="261" width="9.140625" bestFit="1" customWidth="1"/>
    <col min="262" max="263" width="8.85546875" bestFit="1" customWidth="1"/>
    <col min="264" max="264" width="9.140625" bestFit="1" customWidth="1"/>
    <col min="265" max="266" width="9.42578125" bestFit="1" customWidth="1"/>
    <col min="267" max="272" width="9.140625" bestFit="1" customWidth="1"/>
    <col min="273" max="273" width="9.7109375" bestFit="1" customWidth="1"/>
    <col min="274" max="274" width="9.140625" bestFit="1" customWidth="1"/>
    <col min="275" max="275" width="9.7109375" bestFit="1" customWidth="1"/>
    <col min="276" max="276" width="8.28515625" bestFit="1" customWidth="1"/>
    <col min="277" max="277" width="9.28515625" bestFit="1" customWidth="1"/>
    <col min="278" max="278" width="9.140625" bestFit="1" customWidth="1"/>
    <col min="279" max="281" width="9.28515625" bestFit="1" customWidth="1"/>
    <col min="282" max="283" width="9.140625" bestFit="1" customWidth="1"/>
    <col min="284" max="284" width="9.28515625" bestFit="1" customWidth="1"/>
    <col min="285" max="285" width="9.7109375" bestFit="1" customWidth="1"/>
    <col min="286" max="286" width="9.140625" bestFit="1" customWidth="1"/>
    <col min="287" max="287" width="9.28515625" bestFit="1" customWidth="1"/>
    <col min="288" max="288" width="9.7109375" bestFit="1" customWidth="1"/>
    <col min="289" max="291" width="9.140625" bestFit="1" customWidth="1"/>
    <col min="292" max="292" width="9.7109375" bestFit="1" customWidth="1"/>
    <col min="293" max="293" width="9.140625" bestFit="1" customWidth="1"/>
    <col min="294" max="294" width="9.7109375" bestFit="1" customWidth="1"/>
    <col min="295" max="295" width="9.42578125" bestFit="1" customWidth="1"/>
    <col min="296" max="296" width="9.140625" bestFit="1" customWidth="1"/>
    <col min="297" max="297" width="9.7109375" bestFit="1" customWidth="1"/>
    <col min="298" max="298" width="9.42578125" bestFit="1" customWidth="1"/>
    <col min="299" max="299" width="9.140625" bestFit="1" customWidth="1"/>
    <col min="300" max="302" width="8.85546875" bestFit="1" customWidth="1"/>
    <col min="303" max="303" width="9.140625" bestFit="1" customWidth="1"/>
    <col min="304" max="304" width="9.7109375" bestFit="1" customWidth="1"/>
    <col min="305" max="305" width="8.85546875" bestFit="1" customWidth="1"/>
    <col min="306" max="306" width="9.140625" bestFit="1" customWidth="1"/>
    <col min="307" max="307" width="9.42578125" bestFit="1" customWidth="1"/>
    <col min="308" max="309" width="9.7109375" bestFit="1" customWidth="1"/>
    <col min="310" max="311" width="9.28515625" bestFit="1" customWidth="1"/>
    <col min="312" max="312" width="9.140625" bestFit="1" customWidth="1"/>
    <col min="313" max="313" width="9.42578125" bestFit="1" customWidth="1"/>
    <col min="314" max="314" width="9.140625" bestFit="1" customWidth="1"/>
    <col min="315" max="315" width="9.7109375" bestFit="1" customWidth="1"/>
    <col min="316" max="316" width="8.85546875" bestFit="1" customWidth="1"/>
    <col min="317" max="317" width="9.7109375" bestFit="1" customWidth="1"/>
    <col min="318" max="318" width="8.85546875" bestFit="1" customWidth="1"/>
    <col min="319" max="319" width="9.140625" bestFit="1" customWidth="1"/>
    <col min="320" max="320" width="8.85546875" bestFit="1" customWidth="1"/>
    <col min="321" max="321" width="9.140625" bestFit="1" customWidth="1"/>
    <col min="322" max="322" width="9.28515625" bestFit="1" customWidth="1"/>
    <col min="323" max="323" width="9.140625" bestFit="1" customWidth="1"/>
    <col min="324" max="324" width="9.7109375" bestFit="1" customWidth="1"/>
    <col min="325" max="325" width="9.140625" bestFit="1" customWidth="1"/>
    <col min="326" max="326" width="9.42578125" bestFit="1" customWidth="1"/>
    <col min="327" max="328" width="9.140625" bestFit="1" customWidth="1"/>
    <col min="329" max="329" width="9.7109375" bestFit="1" customWidth="1"/>
    <col min="330" max="330" width="9.42578125" bestFit="1" customWidth="1"/>
    <col min="331" max="332" width="9.7109375" bestFit="1" customWidth="1"/>
    <col min="333" max="333" width="8.85546875" bestFit="1" customWidth="1"/>
    <col min="334" max="334" width="9.7109375" bestFit="1" customWidth="1"/>
    <col min="335" max="335" width="9.28515625" bestFit="1" customWidth="1"/>
    <col min="336" max="336" width="9.140625" bestFit="1" customWidth="1"/>
    <col min="337" max="337" width="9.7109375" bestFit="1" customWidth="1"/>
    <col min="338" max="339" width="9.140625" bestFit="1" customWidth="1"/>
    <col min="340" max="340" width="9.42578125" bestFit="1" customWidth="1"/>
    <col min="341" max="341" width="8.28515625" bestFit="1" customWidth="1"/>
    <col min="342" max="342" width="9.28515625" bestFit="1" customWidth="1"/>
    <col min="343" max="343" width="8.85546875" bestFit="1" customWidth="1"/>
    <col min="344" max="344" width="9.140625" bestFit="1" customWidth="1"/>
    <col min="345" max="345" width="9.42578125" bestFit="1" customWidth="1"/>
    <col min="346" max="346" width="9.28515625" bestFit="1" customWidth="1"/>
    <col min="347" max="347" width="8.85546875" bestFit="1" customWidth="1"/>
    <col min="348" max="348" width="9.7109375" bestFit="1" customWidth="1"/>
    <col min="349" max="349" width="9.28515625" bestFit="1" customWidth="1"/>
    <col min="350" max="351" width="9.7109375" bestFit="1" customWidth="1"/>
    <col min="352" max="352" width="9.140625" bestFit="1" customWidth="1"/>
    <col min="353" max="353" width="9.28515625" bestFit="1" customWidth="1"/>
    <col min="354" max="354" width="8.85546875" bestFit="1" customWidth="1"/>
    <col min="355" max="355" width="9.42578125" bestFit="1" customWidth="1"/>
    <col min="356" max="356" width="8.28515625" bestFit="1" customWidth="1"/>
    <col min="357" max="357" width="9.28515625" bestFit="1" customWidth="1"/>
    <col min="358" max="358" width="9.42578125" bestFit="1" customWidth="1"/>
    <col min="359" max="359" width="9.140625" bestFit="1" customWidth="1"/>
    <col min="360" max="360" width="9.7109375" bestFit="1" customWidth="1"/>
    <col min="361" max="361" width="9.28515625" bestFit="1" customWidth="1"/>
    <col min="362" max="362" width="9.140625" bestFit="1" customWidth="1"/>
    <col min="363" max="363" width="8.85546875" bestFit="1" customWidth="1"/>
    <col min="364" max="364" width="9.140625" bestFit="1" customWidth="1"/>
    <col min="365" max="365" width="9.7109375" bestFit="1" customWidth="1"/>
    <col min="366" max="366" width="8.85546875" bestFit="1" customWidth="1"/>
    <col min="367" max="367" width="9.7109375" bestFit="1" customWidth="1"/>
    <col min="368" max="368" width="8.85546875" bestFit="1" customWidth="1"/>
    <col min="369" max="369" width="9.42578125" bestFit="1" customWidth="1"/>
    <col min="370" max="370" width="9.28515625" bestFit="1" customWidth="1"/>
    <col min="371" max="371" width="8.28515625" bestFit="1" customWidth="1"/>
    <col min="372" max="372" width="8.85546875" bestFit="1" customWidth="1"/>
    <col min="373" max="373" width="8.28515625" bestFit="1" customWidth="1"/>
    <col min="374" max="374" width="9.7109375" bestFit="1" customWidth="1"/>
    <col min="375" max="375" width="9.42578125" bestFit="1" customWidth="1"/>
    <col min="376" max="376" width="9.140625" bestFit="1" customWidth="1"/>
    <col min="377" max="377" width="9.7109375" bestFit="1" customWidth="1"/>
    <col min="378" max="378" width="9.140625" bestFit="1" customWidth="1"/>
    <col min="379" max="379" width="9.42578125" bestFit="1" customWidth="1"/>
    <col min="380" max="380" width="9.140625" bestFit="1" customWidth="1"/>
    <col min="381" max="381" width="8.28515625" bestFit="1" customWidth="1"/>
    <col min="382" max="382" width="9.42578125" bestFit="1" customWidth="1"/>
    <col min="383" max="383" width="9.140625" bestFit="1" customWidth="1"/>
    <col min="384" max="384" width="9.7109375" bestFit="1" customWidth="1"/>
    <col min="385" max="385" width="9.140625" bestFit="1" customWidth="1"/>
    <col min="386" max="386" width="9.28515625" bestFit="1" customWidth="1"/>
    <col min="387" max="387" width="9.42578125" bestFit="1" customWidth="1"/>
    <col min="388" max="388" width="9.140625" bestFit="1" customWidth="1"/>
    <col min="389" max="389" width="8.85546875" bestFit="1" customWidth="1"/>
    <col min="390" max="390" width="8.28515625" bestFit="1" customWidth="1"/>
    <col min="391" max="391" width="9.140625" bestFit="1" customWidth="1"/>
    <col min="392" max="392" width="9.28515625" bestFit="1" customWidth="1"/>
    <col min="393" max="393" width="9.7109375" bestFit="1" customWidth="1"/>
    <col min="394" max="395" width="9.140625" bestFit="1" customWidth="1"/>
    <col min="396" max="396" width="9.42578125" bestFit="1" customWidth="1"/>
    <col min="397" max="397" width="9.28515625" bestFit="1" customWidth="1"/>
    <col min="398" max="399" width="8.85546875" bestFit="1" customWidth="1"/>
    <col min="400" max="401" width="9.140625" bestFit="1" customWidth="1"/>
    <col min="402" max="402" width="8.85546875" bestFit="1" customWidth="1"/>
    <col min="403" max="403" width="9.140625" bestFit="1" customWidth="1"/>
    <col min="404" max="404" width="9.28515625" bestFit="1" customWidth="1"/>
    <col min="405" max="405" width="9.140625" bestFit="1" customWidth="1"/>
    <col min="406" max="406" width="9.42578125" bestFit="1" customWidth="1"/>
    <col min="407" max="407" width="9.28515625" bestFit="1" customWidth="1"/>
    <col min="408" max="408" width="8.28515625" bestFit="1" customWidth="1"/>
    <col min="409" max="409" width="9.140625" bestFit="1" customWidth="1"/>
    <col min="410" max="410" width="8.85546875" bestFit="1" customWidth="1"/>
    <col min="411" max="411" width="9.28515625" bestFit="1" customWidth="1"/>
    <col min="412" max="412" width="9.140625" bestFit="1" customWidth="1"/>
    <col min="413" max="413" width="9.28515625" bestFit="1" customWidth="1"/>
    <col min="414" max="417" width="9.140625" bestFit="1" customWidth="1"/>
    <col min="418" max="418" width="9.7109375" bestFit="1" customWidth="1"/>
    <col min="419" max="419" width="9.42578125" bestFit="1" customWidth="1"/>
    <col min="420" max="420" width="9.7109375" bestFit="1" customWidth="1"/>
    <col min="421" max="421" width="9.140625" bestFit="1" customWidth="1"/>
    <col min="422" max="422" width="8.28515625" bestFit="1" customWidth="1"/>
    <col min="423" max="423" width="8.85546875" bestFit="1" customWidth="1"/>
    <col min="424" max="424" width="9.140625" bestFit="1" customWidth="1"/>
    <col min="425" max="425" width="9.42578125" bestFit="1" customWidth="1"/>
    <col min="426" max="426" width="9.7109375" bestFit="1" customWidth="1"/>
    <col min="427" max="427" width="9.42578125" bestFit="1" customWidth="1"/>
    <col min="428" max="428" width="9.7109375" bestFit="1" customWidth="1"/>
    <col min="429" max="429" width="8.85546875" bestFit="1" customWidth="1"/>
    <col min="430" max="431" width="9.140625" bestFit="1" customWidth="1"/>
    <col min="432" max="432" width="8.85546875" bestFit="1" customWidth="1"/>
    <col min="433" max="433" width="9.140625" bestFit="1" customWidth="1"/>
    <col min="434" max="434" width="8.28515625" bestFit="1" customWidth="1"/>
    <col min="435" max="435" width="9.7109375" bestFit="1" customWidth="1"/>
    <col min="436" max="438" width="8.85546875" bestFit="1" customWidth="1"/>
    <col min="439" max="440" width="9.42578125" bestFit="1" customWidth="1"/>
    <col min="441" max="442" width="9.140625" bestFit="1" customWidth="1"/>
    <col min="443" max="443" width="8.85546875" bestFit="1" customWidth="1"/>
    <col min="444" max="444" width="9.140625" bestFit="1" customWidth="1"/>
    <col min="445" max="445" width="9.28515625" bestFit="1" customWidth="1"/>
    <col min="446" max="447" width="8.85546875" bestFit="1" customWidth="1"/>
    <col min="448" max="449" width="9.140625" bestFit="1" customWidth="1"/>
    <col min="450" max="450" width="9.42578125" bestFit="1" customWidth="1"/>
    <col min="451" max="451" width="9.140625" bestFit="1" customWidth="1"/>
    <col min="452" max="452" width="8.28515625" bestFit="1" customWidth="1"/>
    <col min="453" max="453" width="9.140625" bestFit="1" customWidth="1"/>
    <col min="454" max="454" width="9.28515625" bestFit="1" customWidth="1"/>
    <col min="455" max="456" width="8.85546875" bestFit="1" customWidth="1"/>
    <col min="457" max="457" width="9.140625" bestFit="1" customWidth="1"/>
    <col min="458" max="458" width="9.28515625" bestFit="1" customWidth="1"/>
    <col min="459" max="459" width="9.140625" bestFit="1" customWidth="1"/>
    <col min="460" max="460" width="9.28515625" bestFit="1" customWidth="1"/>
    <col min="461" max="461" width="9.7109375" bestFit="1" customWidth="1"/>
    <col min="462" max="462" width="8.85546875" bestFit="1" customWidth="1"/>
    <col min="463" max="463" width="9.140625" bestFit="1" customWidth="1"/>
    <col min="464" max="464" width="9.28515625" bestFit="1" customWidth="1"/>
    <col min="465" max="465" width="9.140625" bestFit="1" customWidth="1"/>
    <col min="466" max="466" width="9.28515625" bestFit="1" customWidth="1"/>
    <col min="467" max="468" width="9.140625" bestFit="1" customWidth="1"/>
    <col min="469" max="469" width="9.7109375" bestFit="1" customWidth="1"/>
    <col min="470" max="470" width="9.42578125" bestFit="1" customWidth="1"/>
    <col min="471" max="474" width="9.140625" bestFit="1" customWidth="1"/>
    <col min="475" max="475" width="9.28515625" bestFit="1" customWidth="1"/>
    <col min="476" max="476" width="8.85546875" bestFit="1" customWidth="1"/>
    <col min="477" max="480" width="9.140625" bestFit="1" customWidth="1"/>
    <col min="481" max="481" width="8.85546875" bestFit="1" customWidth="1"/>
    <col min="482" max="482" width="9.140625" bestFit="1" customWidth="1"/>
    <col min="483" max="483" width="9.28515625" bestFit="1" customWidth="1"/>
    <col min="484" max="484" width="8.28515625" bestFit="1" customWidth="1"/>
    <col min="485" max="485" width="9.28515625" bestFit="1" customWidth="1"/>
    <col min="486" max="486" width="9.140625" bestFit="1" customWidth="1"/>
    <col min="487" max="487" width="9.28515625" bestFit="1" customWidth="1"/>
    <col min="488" max="488" width="9.42578125" bestFit="1" customWidth="1"/>
    <col min="489" max="490" width="9.140625" bestFit="1" customWidth="1"/>
    <col min="491" max="491" width="9.42578125" bestFit="1" customWidth="1"/>
    <col min="492" max="492" width="9.140625" bestFit="1" customWidth="1"/>
    <col min="493" max="493" width="8.28515625" bestFit="1" customWidth="1"/>
    <col min="494" max="495" width="9.140625" bestFit="1" customWidth="1"/>
    <col min="496" max="496" width="9.28515625" bestFit="1" customWidth="1"/>
    <col min="497" max="499" width="9.140625" bestFit="1" customWidth="1"/>
    <col min="500" max="500" width="9.42578125" bestFit="1" customWidth="1"/>
    <col min="501" max="501" width="9.140625" bestFit="1" customWidth="1"/>
    <col min="502" max="502" width="9.42578125" bestFit="1" customWidth="1"/>
    <col min="503" max="503" width="8.85546875" bestFit="1" customWidth="1"/>
    <col min="504" max="504" width="8.28515625" bestFit="1" customWidth="1"/>
    <col min="505" max="505" width="9.140625" bestFit="1" customWidth="1"/>
    <col min="506" max="506" width="8.85546875" bestFit="1" customWidth="1"/>
    <col min="507" max="507" width="9.28515625" bestFit="1" customWidth="1"/>
    <col min="508" max="508" width="9.42578125" bestFit="1" customWidth="1"/>
    <col min="509" max="509" width="8.85546875" bestFit="1" customWidth="1"/>
    <col min="510" max="511" width="9.140625" bestFit="1" customWidth="1"/>
    <col min="512" max="512" width="9.7109375" bestFit="1" customWidth="1"/>
    <col min="513" max="513" width="9.28515625" bestFit="1" customWidth="1"/>
    <col min="514" max="514" width="9.7109375" bestFit="1" customWidth="1"/>
    <col min="515" max="519" width="9.140625" bestFit="1" customWidth="1"/>
    <col min="520" max="520" width="8.85546875" bestFit="1" customWidth="1"/>
    <col min="521" max="521" width="9.7109375" bestFit="1" customWidth="1"/>
    <col min="522" max="522" width="8.85546875" bestFit="1" customWidth="1"/>
    <col min="523" max="525" width="9.7109375" bestFit="1" customWidth="1"/>
    <col min="526" max="526" width="8.85546875" bestFit="1" customWidth="1"/>
    <col min="527" max="527" width="9.140625" bestFit="1" customWidth="1"/>
    <col min="528" max="528" width="8.28515625" bestFit="1" customWidth="1"/>
    <col min="529" max="529" width="9.140625" bestFit="1" customWidth="1"/>
    <col min="530" max="530" width="8.28515625" bestFit="1" customWidth="1"/>
    <col min="531" max="531" width="8.85546875" bestFit="1" customWidth="1"/>
    <col min="532" max="532" width="9.140625" bestFit="1" customWidth="1"/>
    <col min="533" max="533" width="8.85546875" bestFit="1" customWidth="1"/>
    <col min="534" max="535" width="9.140625" bestFit="1" customWidth="1"/>
    <col min="536" max="536" width="9.7109375" bestFit="1" customWidth="1"/>
    <col min="537" max="537" width="8.85546875" bestFit="1" customWidth="1"/>
    <col min="538" max="538" width="9.140625" bestFit="1" customWidth="1"/>
    <col min="539" max="539" width="9.7109375" bestFit="1" customWidth="1"/>
    <col min="540" max="541" width="9.140625" bestFit="1" customWidth="1"/>
    <col min="542" max="542" width="9.42578125" bestFit="1" customWidth="1"/>
    <col min="543" max="543" width="8.85546875" bestFit="1" customWidth="1"/>
    <col min="544" max="544" width="9.140625" bestFit="1" customWidth="1"/>
    <col min="545" max="545" width="9.42578125" bestFit="1" customWidth="1"/>
    <col min="546" max="546" width="8.85546875" bestFit="1" customWidth="1"/>
    <col min="547" max="547" width="9.7109375" bestFit="1" customWidth="1"/>
    <col min="548" max="548" width="9.140625" bestFit="1" customWidth="1"/>
    <col min="549" max="549" width="8.85546875" bestFit="1" customWidth="1"/>
    <col min="550" max="551" width="9.7109375" bestFit="1" customWidth="1"/>
    <col min="552" max="552" width="9.28515625" bestFit="1" customWidth="1"/>
    <col min="553" max="553" width="9.7109375" bestFit="1" customWidth="1"/>
    <col min="554" max="554" width="9.140625" bestFit="1" customWidth="1"/>
    <col min="555" max="555" width="9.7109375" bestFit="1" customWidth="1"/>
    <col min="556" max="556" width="8.85546875" bestFit="1" customWidth="1"/>
    <col min="557" max="557" width="8.28515625" bestFit="1" customWidth="1"/>
    <col min="558" max="558" width="8.85546875" bestFit="1" customWidth="1"/>
    <col min="559" max="559" width="9.7109375" bestFit="1" customWidth="1"/>
    <col min="560" max="560" width="8.85546875" bestFit="1" customWidth="1"/>
    <col min="561" max="561" width="9.140625" bestFit="1" customWidth="1"/>
    <col min="562" max="562" width="9.42578125" bestFit="1" customWidth="1"/>
    <col min="563" max="564" width="9.140625" bestFit="1" customWidth="1"/>
    <col min="565" max="565" width="9.28515625" bestFit="1" customWidth="1"/>
    <col min="566" max="566" width="9.140625" bestFit="1" customWidth="1"/>
    <col min="567" max="567" width="9.7109375" bestFit="1" customWidth="1"/>
    <col min="568" max="568" width="8.85546875" bestFit="1" customWidth="1"/>
    <col min="569" max="569" width="8.28515625" bestFit="1" customWidth="1"/>
    <col min="570" max="571" width="9.28515625" bestFit="1" customWidth="1"/>
    <col min="572" max="572" width="9.7109375" bestFit="1" customWidth="1"/>
    <col min="573" max="573" width="8.85546875" bestFit="1" customWidth="1"/>
    <col min="574" max="576" width="9.140625" bestFit="1" customWidth="1"/>
    <col min="577" max="577" width="9.28515625" bestFit="1" customWidth="1"/>
    <col min="578" max="578" width="9.7109375" bestFit="1" customWidth="1"/>
    <col min="579" max="579" width="9.42578125" bestFit="1" customWidth="1"/>
    <col min="580" max="580" width="9.140625" bestFit="1" customWidth="1"/>
    <col min="581" max="581" width="9.28515625" bestFit="1" customWidth="1"/>
    <col min="582" max="582" width="9.140625" bestFit="1" customWidth="1"/>
    <col min="583" max="583" width="8.85546875" bestFit="1" customWidth="1"/>
    <col min="584" max="584" width="9.28515625" bestFit="1" customWidth="1"/>
    <col min="585" max="588" width="9.140625" bestFit="1" customWidth="1"/>
    <col min="589" max="589" width="9.7109375" bestFit="1" customWidth="1"/>
    <col min="590" max="590" width="9.140625" bestFit="1" customWidth="1"/>
    <col min="591" max="591" width="9.42578125" bestFit="1" customWidth="1"/>
    <col min="592" max="592" width="9.140625" bestFit="1" customWidth="1"/>
    <col min="593" max="593" width="9.42578125" bestFit="1" customWidth="1"/>
    <col min="594" max="594" width="8.85546875" bestFit="1" customWidth="1"/>
    <col min="595" max="595" width="9.140625" bestFit="1" customWidth="1"/>
    <col min="596" max="596" width="9.28515625" bestFit="1" customWidth="1"/>
    <col min="597" max="597" width="9.140625" bestFit="1" customWidth="1"/>
    <col min="598" max="599" width="9.7109375" bestFit="1" customWidth="1"/>
    <col min="600" max="600" width="9.28515625" bestFit="1" customWidth="1"/>
    <col min="601" max="601" width="9.7109375" bestFit="1" customWidth="1"/>
    <col min="602" max="602" width="9.140625" bestFit="1" customWidth="1"/>
    <col min="603" max="604" width="9.28515625" bestFit="1" customWidth="1"/>
    <col min="605" max="608" width="9.140625" bestFit="1" customWidth="1"/>
    <col min="609" max="609" width="9.28515625" bestFit="1" customWidth="1"/>
    <col min="610" max="610" width="9.140625" bestFit="1" customWidth="1"/>
    <col min="611" max="612" width="9.7109375" bestFit="1" customWidth="1"/>
    <col min="613" max="614" width="9.140625" bestFit="1" customWidth="1"/>
    <col min="615" max="615" width="8.85546875" bestFit="1" customWidth="1"/>
    <col min="616" max="616" width="9.140625" bestFit="1" customWidth="1"/>
    <col min="617" max="618" width="8.85546875" bestFit="1" customWidth="1"/>
    <col min="619" max="620" width="9.7109375" bestFit="1" customWidth="1"/>
    <col min="621" max="621" width="8.28515625" bestFit="1" customWidth="1"/>
    <col min="622" max="622" width="9.7109375" bestFit="1" customWidth="1"/>
    <col min="623" max="623" width="8.85546875" bestFit="1" customWidth="1"/>
    <col min="624" max="625" width="9.28515625" bestFit="1" customWidth="1"/>
    <col min="626" max="626" width="9.140625" bestFit="1" customWidth="1"/>
    <col min="627" max="627" width="9.28515625" bestFit="1" customWidth="1"/>
    <col min="628" max="628" width="8.85546875" bestFit="1" customWidth="1"/>
    <col min="629" max="629" width="9.140625" bestFit="1" customWidth="1"/>
    <col min="630" max="630" width="9.42578125" bestFit="1" customWidth="1"/>
    <col min="631" max="631" width="9.140625" bestFit="1" customWidth="1"/>
    <col min="632" max="632" width="8.28515625" bestFit="1" customWidth="1"/>
    <col min="633" max="633" width="8.85546875" bestFit="1" customWidth="1"/>
    <col min="634" max="634" width="9.42578125" bestFit="1" customWidth="1"/>
    <col min="635" max="635" width="9.28515625" bestFit="1" customWidth="1"/>
    <col min="636" max="636" width="8.85546875" bestFit="1" customWidth="1"/>
    <col min="637" max="637" width="9.140625" bestFit="1" customWidth="1"/>
    <col min="638" max="638" width="9.42578125" bestFit="1" customWidth="1"/>
    <col min="639" max="640" width="8.85546875" bestFit="1" customWidth="1"/>
    <col min="641" max="641" width="9.28515625" bestFit="1" customWidth="1"/>
    <col min="642" max="642" width="9.140625" bestFit="1" customWidth="1"/>
    <col min="643" max="643" width="8.85546875" bestFit="1" customWidth="1"/>
    <col min="644" max="644" width="9.140625" bestFit="1" customWidth="1"/>
    <col min="645" max="645" width="8.85546875" bestFit="1" customWidth="1"/>
    <col min="646" max="646" width="9.42578125" bestFit="1" customWidth="1"/>
    <col min="647" max="650" width="9.140625" bestFit="1" customWidth="1"/>
    <col min="651" max="651" width="9.7109375" bestFit="1" customWidth="1"/>
    <col min="652" max="652" width="8.85546875" bestFit="1" customWidth="1"/>
    <col min="653" max="653" width="9.140625" bestFit="1" customWidth="1"/>
    <col min="654" max="654" width="8.85546875" bestFit="1" customWidth="1"/>
    <col min="655" max="655" width="9.7109375" bestFit="1" customWidth="1"/>
    <col min="656" max="656" width="9.140625" bestFit="1" customWidth="1"/>
    <col min="657" max="657" width="9.42578125" bestFit="1" customWidth="1"/>
    <col min="658" max="658" width="8.85546875" bestFit="1" customWidth="1"/>
    <col min="659" max="660" width="9.140625" bestFit="1" customWidth="1"/>
    <col min="661" max="661" width="8.28515625" bestFit="1" customWidth="1"/>
    <col min="662" max="662" width="9.7109375" bestFit="1" customWidth="1"/>
    <col min="663" max="663" width="8.85546875" bestFit="1" customWidth="1"/>
    <col min="664" max="664" width="9.42578125" bestFit="1" customWidth="1"/>
    <col min="665" max="665" width="8.85546875" bestFit="1" customWidth="1"/>
    <col min="666" max="667" width="9.7109375" bestFit="1" customWidth="1"/>
    <col min="668" max="668" width="9.42578125" bestFit="1" customWidth="1"/>
    <col min="669" max="669" width="9.7109375" bestFit="1" customWidth="1"/>
    <col min="670" max="670" width="8.28515625" bestFit="1" customWidth="1"/>
    <col min="671" max="672" width="9.140625" bestFit="1" customWidth="1"/>
    <col min="673" max="673" width="9.42578125" bestFit="1" customWidth="1"/>
    <col min="674" max="676" width="8.85546875" bestFit="1" customWidth="1"/>
    <col min="677" max="679" width="9.140625" bestFit="1" customWidth="1"/>
    <col min="680" max="680" width="9.7109375" bestFit="1" customWidth="1"/>
    <col min="681" max="681" width="9.42578125" bestFit="1" customWidth="1"/>
    <col min="682" max="682" width="8.85546875" bestFit="1" customWidth="1"/>
    <col min="683" max="683" width="9.28515625" bestFit="1" customWidth="1"/>
    <col min="684" max="684" width="8.85546875" bestFit="1" customWidth="1"/>
    <col min="685" max="685" width="9.7109375" bestFit="1" customWidth="1"/>
    <col min="686" max="686" width="8.85546875" bestFit="1" customWidth="1"/>
    <col min="687" max="688" width="9.140625" bestFit="1" customWidth="1"/>
    <col min="689" max="689" width="9.28515625" bestFit="1" customWidth="1"/>
    <col min="690" max="690" width="8.85546875" bestFit="1" customWidth="1"/>
    <col min="691" max="691" width="9.140625" bestFit="1" customWidth="1"/>
    <col min="692" max="692" width="8.28515625" bestFit="1" customWidth="1"/>
    <col min="693" max="693" width="9.7109375" bestFit="1" customWidth="1"/>
    <col min="694" max="695" width="8.85546875" bestFit="1" customWidth="1"/>
    <col min="696" max="696" width="9.140625" bestFit="1" customWidth="1"/>
    <col min="697" max="700" width="9.42578125" bestFit="1" customWidth="1"/>
    <col min="701" max="701" width="8.28515625" bestFit="1" customWidth="1"/>
    <col min="702" max="702" width="9.42578125" bestFit="1" customWidth="1"/>
    <col min="703" max="703" width="8.28515625" bestFit="1" customWidth="1"/>
    <col min="704" max="704" width="8.85546875" bestFit="1" customWidth="1"/>
    <col min="705" max="706" width="9.42578125" bestFit="1" customWidth="1"/>
    <col min="707" max="707" width="9.7109375" bestFit="1" customWidth="1"/>
    <col min="708" max="708" width="9.42578125" bestFit="1" customWidth="1"/>
    <col min="709" max="710" width="9.140625" bestFit="1" customWidth="1"/>
    <col min="711" max="711" width="9.7109375" bestFit="1" customWidth="1"/>
    <col min="712" max="712" width="9.42578125" bestFit="1" customWidth="1"/>
    <col min="713" max="713" width="8.85546875" bestFit="1" customWidth="1"/>
    <col min="714" max="715" width="9.42578125" bestFit="1" customWidth="1"/>
    <col min="716" max="716" width="8.85546875" bestFit="1" customWidth="1"/>
    <col min="717" max="718" width="9.140625" bestFit="1" customWidth="1"/>
    <col min="719" max="719" width="8.28515625" bestFit="1" customWidth="1"/>
    <col min="720" max="720" width="9.7109375" bestFit="1" customWidth="1"/>
    <col min="721" max="722" width="8.85546875" bestFit="1" customWidth="1"/>
    <col min="723" max="723" width="9.140625" bestFit="1" customWidth="1"/>
    <col min="724" max="724" width="9.7109375" bestFit="1" customWidth="1"/>
    <col min="725" max="725" width="9.42578125" bestFit="1" customWidth="1"/>
    <col min="726" max="726" width="8.85546875" bestFit="1" customWidth="1"/>
    <col min="727" max="727" width="9.42578125" bestFit="1" customWidth="1"/>
    <col min="728" max="728" width="9.140625" bestFit="1" customWidth="1"/>
    <col min="729" max="729" width="9.42578125" bestFit="1" customWidth="1"/>
    <col min="730" max="730" width="8.28515625" bestFit="1" customWidth="1"/>
    <col min="731" max="731" width="9.140625" bestFit="1" customWidth="1"/>
    <col min="732" max="732" width="8.85546875" bestFit="1" customWidth="1"/>
    <col min="733" max="733" width="9.42578125" bestFit="1" customWidth="1"/>
    <col min="734" max="734" width="9.140625" bestFit="1" customWidth="1"/>
    <col min="735" max="735" width="8.85546875" bestFit="1" customWidth="1"/>
    <col min="736" max="736" width="9.140625" bestFit="1" customWidth="1"/>
    <col min="737" max="737" width="8.28515625" bestFit="1" customWidth="1"/>
    <col min="738" max="738" width="9.140625" bestFit="1" customWidth="1"/>
    <col min="739" max="739" width="9.28515625" bestFit="1" customWidth="1"/>
    <col min="740" max="740" width="8.28515625" bestFit="1" customWidth="1"/>
    <col min="741" max="741" width="9.42578125" bestFit="1" customWidth="1"/>
    <col min="742" max="745" width="9.140625" bestFit="1" customWidth="1"/>
    <col min="746" max="746" width="9.7109375" bestFit="1" customWidth="1"/>
    <col min="747" max="747" width="8.85546875" bestFit="1" customWidth="1"/>
    <col min="748" max="751" width="9.140625" bestFit="1" customWidth="1"/>
    <col min="752" max="752" width="8.85546875" bestFit="1" customWidth="1"/>
    <col min="753" max="753" width="9.7109375" bestFit="1" customWidth="1"/>
    <col min="754" max="754" width="9.28515625" bestFit="1" customWidth="1"/>
    <col min="755" max="758" width="9.7109375" bestFit="1" customWidth="1"/>
    <col min="759" max="759" width="9.28515625" bestFit="1" customWidth="1"/>
    <col min="760" max="761" width="9.140625" bestFit="1" customWidth="1"/>
    <col min="762" max="763" width="9.42578125" bestFit="1" customWidth="1"/>
    <col min="764" max="766" width="9.7109375" bestFit="1" customWidth="1"/>
    <col min="767" max="767" width="8.85546875" bestFit="1" customWidth="1"/>
    <col min="768" max="768" width="9.28515625" bestFit="1" customWidth="1"/>
    <col min="769" max="769" width="8.85546875" bestFit="1" customWidth="1"/>
    <col min="770" max="770" width="9.28515625" bestFit="1" customWidth="1"/>
    <col min="771" max="771" width="9.140625" bestFit="1" customWidth="1"/>
    <col min="772" max="772" width="9.7109375" bestFit="1" customWidth="1"/>
    <col min="773" max="775" width="9.140625" bestFit="1" customWidth="1"/>
    <col min="776" max="776" width="9.28515625" bestFit="1" customWidth="1"/>
    <col min="777" max="777" width="8.85546875" bestFit="1" customWidth="1"/>
    <col min="778" max="778" width="9.42578125" bestFit="1" customWidth="1"/>
    <col min="779" max="779" width="8.85546875" bestFit="1" customWidth="1"/>
    <col min="780" max="780" width="9.7109375" bestFit="1" customWidth="1"/>
    <col min="781" max="781" width="8.85546875" bestFit="1" customWidth="1"/>
    <col min="782" max="785" width="9.140625" bestFit="1" customWidth="1"/>
    <col min="786" max="786" width="9.7109375" bestFit="1" customWidth="1"/>
    <col min="787" max="787" width="9.42578125" bestFit="1" customWidth="1"/>
    <col min="788" max="788" width="9.140625" bestFit="1" customWidth="1"/>
    <col min="789" max="789" width="8.85546875" bestFit="1" customWidth="1"/>
    <col min="790" max="790" width="9.140625" bestFit="1" customWidth="1"/>
    <col min="791" max="791" width="8.85546875" bestFit="1" customWidth="1"/>
    <col min="792" max="792" width="9.42578125" bestFit="1" customWidth="1"/>
    <col min="793" max="793" width="8.85546875" bestFit="1" customWidth="1"/>
    <col min="794" max="794" width="9.42578125" bestFit="1" customWidth="1"/>
    <col min="795" max="795" width="8.28515625" bestFit="1" customWidth="1"/>
    <col min="796" max="796" width="9.140625" bestFit="1" customWidth="1"/>
    <col min="797" max="797" width="8.28515625" bestFit="1" customWidth="1"/>
    <col min="798" max="798" width="8.85546875" bestFit="1" customWidth="1"/>
    <col min="799" max="799" width="9.7109375" bestFit="1" customWidth="1"/>
    <col min="800" max="800" width="9.42578125" bestFit="1" customWidth="1"/>
    <col min="801" max="801" width="8.85546875" bestFit="1" customWidth="1"/>
    <col min="802" max="802" width="9.28515625" bestFit="1" customWidth="1"/>
    <col min="803" max="803" width="8.85546875" bestFit="1" customWidth="1"/>
    <col min="804" max="807" width="9.140625" bestFit="1" customWidth="1"/>
    <col min="808" max="809" width="9.7109375" bestFit="1" customWidth="1"/>
    <col min="810" max="810" width="9.28515625" bestFit="1" customWidth="1"/>
    <col min="811" max="811" width="9.42578125" bestFit="1" customWidth="1"/>
    <col min="812" max="812" width="9.28515625" bestFit="1" customWidth="1"/>
    <col min="813" max="813" width="8.85546875" bestFit="1" customWidth="1"/>
    <col min="814" max="814" width="9.28515625" bestFit="1" customWidth="1"/>
    <col min="815" max="815" width="9.140625" bestFit="1" customWidth="1"/>
    <col min="816" max="816" width="8.85546875" bestFit="1" customWidth="1"/>
    <col min="817" max="819" width="9.140625" bestFit="1" customWidth="1"/>
    <col min="820" max="821" width="9.42578125" bestFit="1" customWidth="1"/>
    <col min="822" max="823" width="9.140625" bestFit="1" customWidth="1"/>
    <col min="824" max="824" width="9.42578125" bestFit="1" customWidth="1"/>
    <col min="825" max="825" width="9.7109375" bestFit="1" customWidth="1"/>
    <col min="826" max="826" width="8.28515625" bestFit="1" customWidth="1"/>
    <col min="827" max="827" width="9.140625" bestFit="1" customWidth="1"/>
    <col min="828" max="828" width="9.28515625" bestFit="1" customWidth="1"/>
    <col min="829" max="834" width="9.140625" bestFit="1" customWidth="1"/>
    <col min="835" max="836" width="8.85546875" bestFit="1" customWidth="1"/>
    <col min="837" max="837" width="9.7109375" bestFit="1" customWidth="1"/>
    <col min="838" max="839" width="8.85546875" bestFit="1" customWidth="1"/>
    <col min="840" max="840" width="9.7109375" bestFit="1" customWidth="1"/>
    <col min="841" max="841" width="9.140625" bestFit="1" customWidth="1"/>
    <col min="842" max="842" width="9.42578125" bestFit="1" customWidth="1"/>
    <col min="843" max="843" width="8.85546875" bestFit="1" customWidth="1"/>
    <col min="844" max="844" width="9.7109375" bestFit="1" customWidth="1"/>
    <col min="845" max="846" width="8.85546875" bestFit="1" customWidth="1"/>
    <col min="847" max="847" width="9.140625" bestFit="1" customWidth="1"/>
    <col min="848" max="848" width="8.85546875" bestFit="1" customWidth="1"/>
    <col min="849" max="849" width="9.42578125" bestFit="1" customWidth="1"/>
    <col min="850" max="850" width="9.28515625" bestFit="1" customWidth="1"/>
    <col min="851" max="853" width="9.140625" bestFit="1" customWidth="1"/>
    <col min="854" max="854" width="9.7109375" bestFit="1" customWidth="1"/>
    <col min="855" max="855" width="9.140625" bestFit="1" customWidth="1"/>
    <col min="856" max="856" width="9.28515625" bestFit="1" customWidth="1"/>
    <col min="857" max="857" width="8.85546875" bestFit="1" customWidth="1"/>
    <col min="858" max="858" width="9.42578125" bestFit="1" customWidth="1"/>
    <col min="859" max="859" width="8.85546875" bestFit="1" customWidth="1"/>
    <col min="860" max="860" width="9.7109375" bestFit="1" customWidth="1"/>
    <col min="861" max="861" width="8.85546875" bestFit="1" customWidth="1"/>
    <col min="862" max="862" width="9.7109375" bestFit="1" customWidth="1"/>
    <col min="863" max="863" width="9.42578125" bestFit="1" customWidth="1"/>
    <col min="864" max="864" width="9.7109375" bestFit="1" customWidth="1"/>
    <col min="865" max="865" width="9.42578125" bestFit="1" customWidth="1"/>
    <col min="866" max="866" width="9.140625" bestFit="1" customWidth="1"/>
    <col min="867" max="867" width="9.28515625" bestFit="1" customWidth="1"/>
    <col min="868" max="868" width="8.85546875" bestFit="1" customWidth="1"/>
    <col min="869" max="872" width="9.140625" bestFit="1" customWidth="1"/>
    <col min="873" max="873" width="9.7109375" bestFit="1" customWidth="1"/>
    <col min="874" max="876" width="9.140625" bestFit="1" customWidth="1"/>
    <col min="877" max="878" width="9.7109375" bestFit="1" customWidth="1"/>
    <col min="879" max="879" width="8.85546875" bestFit="1" customWidth="1"/>
    <col min="880" max="880" width="9.42578125" bestFit="1" customWidth="1"/>
    <col min="881" max="881" width="8.85546875" bestFit="1" customWidth="1"/>
    <col min="882" max="884" width="9.140625" bestFit="1" customWidth="1"/>
    <col min="885" max="885" width="9.42578125" bestFit="1" customWidth="1"/>
    <col min="886" max="886" width="9.140625" bestFit="1" customWidth="1"/>
    <col min="887" max="889" width="9.7109375" bestFit="1" customWidth="1"/>
    <col min="890" max="890" width="9.28515625" bestFit="1" customWidth="1"/>
    <col min="891" max="891" width="9.140625" bestFit="1" customWidth="1"/>
    <col min="892" max="892" width="9.42578125" bestFit="1" customWidth="1"/>
    <col min="893" max="893" width="9.7109375" bestFit="1" customWidth="1"/>
    <col min="894" max="894" width="8.85546875" bestFit="1" customWidth="1"/>
    <col min="895" max="897" width="9.140625" bestFit="1" customWidth="1"/>
    <col min="898" max="898" width="8.28515625" bestFit="1" customWidth="1"/>
    <col min="899" max="899" width="8.85546875" bestFit="1" customWidth="1"/>
    <col min="900" max="900" width="9.140625" bestFit="1" customWidth="1"/>
    <col min="901" max="901" width="9.28515625" bestFit="1" customWidth="1"/>
    <col min="902" max="903" width="9.140625" bestFit="1" customWidth="1"/>
    <col min="904" max="905" width="9.7109375" bestFit="1" customWidth="1"/>
    <col min="906" max="906" width="9.140625" bestFit="1" customWidth="1"/>
    <col min="907" max="907" width="8.85546875" bestFit="1" customWidth="1"/>
    <col min="908" max="908" width="9.140625" bestFit="1" customWidth="1"/>
    <col min="909" max="909" width="9.28515625" bestFit="1" customWidth="1"/>
    <col min="910" max="910" width="9.140625" bestFit="1" customWidth="1"/>
    <col min="911" max="911" width="9.7109375" bestFit="1" customWidth="1"/>
    <col min="912" max="913" width="9.42578125" bestFit="1" customWidth="1"/>
    <col min="914" max="914" width="8.85546875" bestFit="1" customWidth="1"/>
    <col min="915" max="917" width="8.28515625" bestFit="1" customWidth="1"/>
    <col min="918" max="918" width="8.85546875" bestFit="1" customWidth="1"/>
    <col min="919" max="919" width="9.42578125" bestFit="1" customWidth="1"/>
    <col min="920" max="920" width="9.140625" bestFit="1" customWidth="1"/>
    <col min="921" max="921" width="8.85546875" bestFit="1" customWidth="1"/>
    <col min="922" max="922" width="9.140625" bestFit="1" customWidth="1"/>
    <col min="923" max="924" width="8.85546875" bestFit="1" customWidth="1"/>
    <col min="925" max="925" width="9.140625" bestFit="1" customWidth="1"/>
    <col min="926" max="926" width="9.42578125" bestFit="1" customWidth="1"/>
    <col min="927" max="927" width="8.85546875" bestFit="1" customWidth="1"/>
    <col min="928" max="928" width="9.42578125" bestFit="1" customWidth="1"/>
    <col min="929" max="930" width="9.140625" bestFit="1" customWidth="1"/>
    <col min="931" max="931" width="9.42578125" bestFit="1" customWidth="1"/>
    <col min="932" max="932" width="8.28515625" bestFit="1" customWidth="1"/>
    <col min="933" max="933" width="9.140625" bestFit="1" customWidth="1"/>
    <col min="934" max="934" width="8.85546875" bestFit="1" customWidth="1"/>
    <col min="935" max="935" width="9.140625" bestFit="1" customWidth="1"/>
    <col min="936" max="937" width="9.28515625" bestFit="1" customWidth="1"/>
    <col min="938" max="938" width="8.85546875" bestFit="1" customWidth="1"/>
    <col min="939" max="940" width="9.140625" bestFit="1" customWidth="1"/>
    <col min="941" max="941" width="9.42578125" bestFit="1" customWidth="1"/>
    <col min="942" max="943" width="9.140625" bestFit="1" customWidth="1"/>
    <col min="944" max="944" width="9.7109375" bestFit="1" customWidth="1"/>
    <col min="945" max="945" width="8.85546875" bestFit="1" customWidth="1"/>
    <col min="946" max="946" width="9.140625" bestFit="1" customWidth="1"/>
    <col min="947" max="947" width="9.42578125" bestFit="1" customWidth="1"/>
    <col min="948" max="948" width="9.140625" bestFit="1" customWidth="1"/>
    <col min="949" max="949" width="8.85546875" bestFit="1" customWidth="1"/>
    <col min="950" max="950" width="9.42578125" bestFit="1" customWidth="1"/>
    <col min="951" max="951" width="9.140625" bestFit="1" customWidth="1"/>
    <col min="952" max="952" width="8.85546875" bestFit="1" customWidth="1"/>
    <col min="953" max="953" width="9.7109375" bestFit="1" customWidth="1"/>
    <col min="954" max="954" width="9.42578125" bestFit="1" customWidth="1"/>
    <col min="955" max="955" width="8.28515625" bestFit="1" customWidth="1"/>
    <col min="956" max="957" width="9.140625" bestFit="1" customWidth="1"/>
    <col min="958" max="958" width="9.42578125" bestFit="1" customWidth="1"/>
    <col min="959" max="959" width="9.140625" bestFit="1" customWidth="1"/>
    <col min="960" max="961" width="9.7109375" bestFit="1" customWidth="1"/>
    <col min="962" max="962" width="9.140625" bestFit="1" customWidth="1"/>
    <col min="963" max="963" width="8.28515625" bestFit="1" customWidth="1"/>
    <col min="964" max="966" width="9.140625" bestFit="1" customWidth="1"/>
    <col min="967" max="967" width="9.42578125" bestFit="1" customWidth="1"/>
    <col min="968" max="968" width="9.140625" bestFit="1" customWidth="1"/>
    <col min="969" max="970" width="9.28515625" bestFit="1" customWidth="1"/>
    <col min="971" max="971" width="9.7109375" bestFit="1" customWidth="1"/>
    <col min="972" max="972" width="9.140625" bestFit="1" customWidth="1"/>
    <col min="973" max="973" width="8.28515625" bestFit="1" customWidth="1"/>
    <col min="974" max="975" width="9.140625" bestFit="1" customWidth="1"/>
    <col min="976" max="976" width="9.7109375" bestFit="1" customWidth="1"/>
    <col min="977" max="977" width="9.140625" bestFit="1" customWidth="1"/>
    <col min="978" max="978" width="9.28515625" bestFit="1" customWidth="1"/>
    <col min="979" max="979" width="8.85546875" bestFit="1" customWidth="1"/>
    <col min="980" max="982" width="9.140625" bestFit="1" customWidth="1"/>
    <col min="983" max="984" width="9.28515625" bestFit="1" customWidth="1"/>
    <col min="985" max="985" width="9.140625" bestFit="1" customWidth="1"/>
    <col min="986" max="987" width="8.85546875" bestFit="1" customWidth="1"/>
    <col min="988" max="988" width="9.42578125" bestFit="1" customWidth="1"/>
    <col min="989" max="989" width="8.85546875" bestFit="1" customWidth="1"/>
    <col min="990" max="990" width="9.140625" bestFit="1" customWidth="1"/>
    <col min="991" max="991" width="8.85546875" bestFit="1" customWidth="1"/>
    <col min="992" max="992" width="9.7109375" bestFit="1" customWidth="1"/>
    <col min="993" max="994" width="9.140625" bestFit="1" customWidth="1"/>
    <col min="995" max="996" width="8.85546875" bestFit="1" customWidth="1"/>
    <col min="997" max="998" width="8.28515625" bestFit="1" customWidth="1"/>
    <col min="999" max="999" width="9.7109375" bestFit="1" customWidth="1"/>
    <col min="1000" max="1001" width="9.140625" bestFit="1" customWidth="1"/>
    <col min="1002" max="1002" width="8.28515625" bestFit="1" customWidth="1"/>
    <col min="1003" max="1003" width="9.140625" bestFit="1" customWidth="1"/>
    <col min="1004" max="1004" width="9.42578125" bestFit="1" customWidth="1"/>
    <col min="1005" max="1005" width="9.140625" bestFit="1" customWidth="1"/>
    <col min="1006" max="1006" width="8.28515625" bestFit="1" customWidth="1"/>
    <col min="1007" max="1007" width="8.85546875" bestFit="1" customWidth="1"/>
    <col min="1008" max="1008" width="9.140625" bestFit="1" customWidth="1"/>
    <col min="1009" max="1009" width="9.28515625" bestFit="1" customWidth="1"/>
    <col min="1010" max="1010" width="9.42578125" bestFit="1" customWidth="1"/>
    <col min="1011" max="1011" width="9.140625" bestFit="1" customWidth="1"/>
    <col min="1012" max="1012" width="9.42578125" bestFit="1" customWidth="1"/>
    <col min="1013" max="1013" width="9.7109375" bestFit="1" customWidth="1"/>
    <col min="1014" max="1015" width="9.140625" bestFit="1" customWidth="1"/>
    <col min="1016" max="1016" width="9.28515625" bestFit="1" customWidth="1"/>
    <col min="1017" max="1017" width="9.140625" bestFit="1" customWidth="1"/>
    <col min="1018" max="1018" width="9.42578125" bestFit="1" customWidth="1"/>
    <col min="1019" max="1019" width="9.28515625" bestFit="1" customWidth="1"/>
    <col min="1020" max="1020" width="9.140625" bestFit="1" customWidth="1"/>
    <col min="1021" max="1021" width="9.28515625" bestFit="1" customWidth="1"/>
    <col min="1022" max="1022" width="9.140625" bestFit="1" customWidth="1"/>
    <col min="1023" max="1024" width="9.42578125" bestFit="1" customWidth="1"/>
    <col min="1025" max="1025" width="9.28515625" bestFit="1" customWidth="1"/>
    <col min="1026" max="1026" width="9.140625" bestFit="1" customWidth="1"/>
    <col min="1027" max="1027" width="8.85546875" bestFit="1" customWidth="1"/>
    <col min="1028" max="1028" width="9.140625" bestFit="1" customWidth="1"/>
    <col min="1029" max="1029" width="8.85546875" bestFit="1" customWidth="1"/>
    <col min="1030" max="1031" width="9.140625" bestFit="1" customWidth="1"/>
    <col min="1032" max="1032" width="8.28515625" bestFit="1" customWidth="1"/>
    <col min="1033" max="1033" width="9.42578125" bestFit="1" customWidth="1"/>
    <col min="1034" max="1035" width="9.140625" bestFit="1" customWidth="1"/>
    <col min="1036" max="1036" width="9.42578125" bestFit="1" customWidth="1"/>
    <col min="1037" max="1037" width="9.7109375" bestFit="1" customWidth="1"/>
    <col min="1038" max="1038" width="8.85546875" bestFit="1" customWidth="1"/>
    <col min="1039" max="1040" width="9.140625" bestFit="1" customWidth="1"/>
    <col min="1041" max="1041" width="9.7109375" bestFit="1" customWidth="1"/>
    <col min="1042" max="1042" width="9.140625" bestFit="1" customWidth="1"/>
    <col min="1043" max="1043" width="9.28515625" bestFit="1" customWidth="1"/>
    <col min="1044" max="1044" width="9.140625" bestFit="1" customWidth="1"/>
    <col min="1045" max="1045" width="8.85546875" bestFit="1" customWidth="1"/>
    <col min="1046" max="1046" width="9.28515625" bestFit="1" customWidth="1"/>
    <col min="1047" max="1047" width="9.140625" bestFit="1" customWidth="1"/>
    <col min="1048" max="1048" width="8.28515625" bestFit="1" customWidth="1"/>
    <col min="1049" max="1050" width="9.140625" bestFit="1" customWidth="1"/>
    <col min="1051" max="1051" width="9.7109375" bestFit="1" customWidth="1"/>
    <col min="1052" max="1052" width="9.140625" bestFit="1" customWidth="1"/>
    <col min="1053" max="1053" width="8.85546875" bestFit="1" customWidth="1"/>
    <col min="1054" max="1054" width="9.28515625" bestFit="1" customWidth="1"/>
    <col min="1055" max="1055" width="9.7109375" bestFit="1" customWidth="1"/>
    <col min="1056" max="1056" width="9.28515625" bestFit="1" customWidth="1"/>
    <col min="1057" max="1057" width="8.85546875" bestFit="1" customWidth="1"/>
    <col min="1058" max="1059" width="9.140625" bestFit="1" customWidth="1"/>
    <col min="1060" max="1060" width="8.28515625" bestFit="1" customWidth="1"/>
    <col min="1061" max="1061" width="9.42578125" bestFit="1" customWidth="1"/>
    <col min="1062" max="1062" width="8.85546875" bestFit="1" customWidth="1"/>
    <col min="1063" max="1063" width="9.7109375" bestFit="1" customWidth="1"/>
    <col min="1064" max="1065" width="8.85546875" bestFit="1" customWidth="1"/>
    <col min="1066" max="1066" width="9.140625" bestFit="1" customWidth="1"/>
    <col min="1067" max="1067" width="9.28515625" bestFit="1" customWidth="1"/>
    <col min="1068" max="1068" width="8.85546875" bestFit="1" customWidth="1"/>
    <col min="1069" max="1069" width="9.7109375" bestFit="1" customWidth="1"/>
    <col min="1070" max="1070" width="8.85546875" bestFit="1" customWidth="1"/>
    <col min="1071" max="1072" width="9.140625" bestFit="1" customWidth="1"/>
    <col min="1073" max="1073" width="8.28515625" bestFit="1" customWidth="1"/>
    <col min="1074" max="1074" width="9.28515625" bestFit="1" customWidth="1"/>
    <col min="1075" max="1076" width="9.140625" bestFit="1" customWidth="1"/>
    <col min="1077" max="1077" width="9.42578125" bestFit="1" customWidth="1"/>
    <col min="1078" max="1078" width="9.7109375" bestFit="1" customWidth="1"/>
    <col min="1079" max="1079" width="9.28515625" bestFit="1" customWidth="1"/>
    <col min="1080" max="1080" width="8.85546875" bestFit="1" customWidth="1"/>
    <col min="1081" max="1082" width="9.140625" bestFit="1" customWidth="1"/>
    <col min="1083" max="1083" width="9.42578125" bestFit="1" customWidth="1"/>
    <col min="1084" max="1084" width="9.28515625" bestFit="1" customWidth="1"/>
    <col min="1085" max="1085" width="9.140625" bestFit="1" customWidth="1"/>
    <col min="1086" max="1086" width="9.28515625" bestFit="1" customWidth="1"/>
    <col min="1087" max="1087" width="9.140625" bestFit="1" customWidth="1"/>
    <col min="1088" max="1088" width="8.28515625" bestFit="1" customWidth="1"/>
    <col min="1089" max="1089" width="9.42578125" bestFit="1" customWidth="1"/>
    <col min="1090" max="1091" width="9.140625" bestFit="1" customWidth="1"/>
    <col min="1092" max="1092" width="8.85546875" bestFit="1" customWidth="1"/>
    <col min="1093" max="1093" width="9.140625" bestFit="1" customWidth="1"/>
    <col min="1094" max="1094" width="8.85546875" bestFit="1" customWidth="1"/>
    <col min="1095" max="1095" width="9.140625" bestFit="1" customWidth="1"/>
    <col min="1096" max="1096" width="9.7109375" bestFit="1" customWidth="1"/>
    <col min="1097" max="1097" width="8.85546875" bestFit="1" customWidth="1"/>
    <col min="1098" max="1098" width="9.42578125" bestFit="1" customWidth="1"/>
    <col min="1099" max="1101" width="9.140625" bestFit="1" customWidth="1"/>
    <col min="1102" max="1102" width="9.28515625" bestFit="1" customWidth="1"/>
    <col min="1103" max="1104" width="9.140625" bestFit="1" customWidth="1"/>
    <col min="1105" max="1105" width="8.85546875" bestFit="1" customWidth="1"/>
    <col min="1106" max="1106" width="9.140625" bestFit="1" customWidth="1"/>
    <col min="1107" max="1107" width="8.85546875" bestFit="1" customWidth="1"/>
    <col min="1108" max="1108" width="9.7109375" bestFit="1" customWidth="1"/>
    <col min="1109" max="1111" width="9.140625" bestFit="1" customWidth="1"/>
    <col min="1112" max="1112" width="9.7109375" bestFit="1" customWidth="1"/>
    <col min="1113" max="1114" width="9.140625" bestFit="1" customWidth="1"/>
    <col min="1115" max="1115" width="9.7109375" bestFit="1" customWidth="1"/>
    <col min="1116" max="1116" width="9.140625" bestFit="1" customWidth="1"/>
    <col min="1117" max="1117" width="9.7109375" bestFit="1" customWidth="1"/>
    <col min="1118" max="1118" width="8.85546875" bestFit="1" customWidth="1"/>
    <col min="1119" max="1119" width="9.28515625" bestFit="1" customWidth="1"/>
    <col min="1120" max="1120" width="9.140625" bestFit="1" customWidth="1"/>
    <col min="1121" max="1121" width="9.28515625" bestFit="1" customWidth="1"/>
    <col min="1122" max="1122" width="8.85546875" bestFit="1" customWidth="1"/>
    <col min="1123" max="1127" width="9.140625" bestFit="1" customWidth="1"/>
    <col min="1128" max="1128" width="9.7109375" bestFit="1" customWidth="1"/>
    <col min="1129" max="1129" width="9.140625" bestFit="1" customWidth="1"/>
    <col min="1130" max="1130" width="8.85546875" bestFit="1" customWidth="1"/>
    <col min="1131" max="1131" width="9.7109375" bestFit="1" customWidth="1"/>
    <col min="1132" max="1132" width="8.85546875" bestFit="1" customWidth="1"/>
    <col min="1133" max="1134" width="9.140625" bestFit="1" customWidth="1"/>
    <col min="1135" max="1135" width="9.28515625" bestFit="1" customWidth="1"/>
    <col min="1136" max="1136" width="9.42578125" bestFit="1" customWidth="1"/>
    <col min="1137" max="1137" width="9.140625" bestFit="1" customWidth="1"/>
    <col min="1138" max="1139" width="9.42578125" bestFit="1" customWidth="1"/>
    <col min="1140" max="1140" width="8.85546875" bestFit="1" customWidth="1"/>
    <col min="1141" max="1141" width="9.28515625" bestFit="1" customWidth="1"/>
    <col min="1142" max="1142" width="9.140625" bestFit="1" customWidth="1"/>
    <col min="1143" max="1143" width="9.7109375" bestFit="1" customWidth="1"/>
    <col min="1144" max="1144" width="9.42578125" bestFit="1" customWidth="1"/>
    <col min="1145" max="1146" width="8.85546875" bestFit="1" customWidth="1"/>
    <col min="1147" max="1147" width="9.140625" bestFit="1" customWidth="1"/>
    <col min="1148" max="1148" width="9.28515625" bestFit="1" customWidth="1"/>
    <col min="1149" max="1150" width="9.140625" bestFit="1" customWidth="1"/>
    <col min="1151" max="1151" width="8.28515625" bestFit="1" customWidth="1"/>
    <col min="1152" max="1152" width="9.7109375" bestFit="1" customWidth="1"/>
    <col min="1153" max="1154" width="9.42578125" bestFit="1" customWidth="1"/>
    <col min="1155" max="1155" width="9.28515625" bestFit="1" customWidth="1"/>
    <col min="1156" max="1157" width="8.85546875" bestFit="1" customWidth="1"/>
    <col min="1158" max="1158" width="9.7109375" bestFit="1" customWidth="1"/>
    <col min="1159" max="1159" width="8.85546875" bestFit="1" customWidth="1"/>
    <col min="1160" max="1161" width="9.28515625" bestFit="1" customWidth="1"/>
    <col min="1162" max="1162" width="8.28515625" bestFit="1" customWidth="1"/>
    <col min="1163" max="1163" width="8.85546875" bestFit="1" customWidth="1"/>
    <col min="1164" max="1164" width="9.42578125" bestFit="1" customWidth="1"/>
    <col min="1165" max="1165" width="9.7109375" bestFit="1" customWidth="1"/>
    <col min="1166" max="1167" width="8.85546875" bestFit="1" customWidth="1"/>
    <col min="1168" max="1168" width="9.28515625" bestFit="1" customWidth="1"/>
    <col min="1169" max="1170" width="9.7109375" bestFit="1" customWidth="1"/>
    <col min="1171" max="1171" width="8.85546875" bestFit="1" customWidth="1"/>
    <col min="1172" max="1172" width="8.28515625" bestFit="1" customWidth="1"/>
    <col min="1173" max="1173" width="9.140625" bestFit="1" customWidth="1"/>
    <col min="1174" max="1174" width="8.85546875" bestFit="1" customWidth="1"/>
    <col min="1175" max="1176" width="9.140625" bestFit="1" customWidth="1"/>
    <col min="1177" max="1177" width="8.28515625" bestFit="1" customWidth="1"/>
    <col min="1178" max="1178" width="8.85546875" bestFit="1" customWidth="1"/>
    <col min="1179" max="1179" width="9.140625" bestFit="1" customWidth="1"/>
    <col min="1180" max="1180" width="9.28515625" bestFit="1" customWidth="1"/>
    <col min="1181" max="1184" width="9.42578125" bestFit="1" customWidth="1"/>
    <col min="1185" max="1185" width="9.140625" bestFit="1" customWidth="1"/>
    <col min="1186" max="1186" width="9.7109375" bestFit="1" customWidth="1"/>
    <col min="1187" max="1187" width="9.28515625" bestFit="1" customWidth="1"/>
    <col min="1188" max="1188" width="8.85546875" bestFit="1" customWidth="1"/>
    <col min="1189" max="1189" width="8.28515625" bestFit="1" customWidth="1"/>
    <col min="1190" max="1190" width="9.140625" bestFit="1" customWidth="1"/>
    <col min="1191" max="1191" width="8.85546875" bestFit="1" customWidth="1"/>
    <col min="1192" max="1192" width="9.140625" bestFit="1" customWidth="1"/>
    <col min="1193" max="1193" width="8.85546875" bestFit="1" customWidth="1"/>
    <col min="1194" max="1194" width="9.140625" bestFit="1" customWidth="1"/>
    <col min="1195" max="1195" width="8.85546875" bestFit="1" customWidth="1"/>
    <col min="1196" max="1196" width="9.7109375" bestFit="1" customWidth="1"/>
    <col min="1197" max="1197" width="8.85546875" bestFit="1" customWidth="1"/>
    <col min="1198" max="1198" width="9.7109375" bestFit="1" customWidth="1"/>
    <col min="1199" max="1199" width="9.42578125" bestFit="1" customWidth="1"/>
    <col min="1200" max="1200" width="9.28515625" bestFit="1" customWidth="1"/>
    <col min="1201" max="1202" width="8.85546875" bestFit="1" customWidth="1"/>
    <col min="1203" max="1205" width="9.140625" bestFit="1" customWidth="1"/>
    <col min="1206" max="1206" width="9.7109375" bestFit="1" customWidth="1"/>
    <col min="1207" max="1208" width="8.28515625" bestFit="1" customWidth="1"/>
    <col min="1209" max="1209" width="9.28515625" bestFit="1" customWidth="1"/>
    <col min="1210" max="1210" width="9.140625" bestFit="1" customWidth="1"/>
    <col min="1211" max="1211" width="8.85546875" bestFit="1" customWidth="1"/>
    <col min="1212" max="1212" width="9.140625" bestFit="1" customWidth="1"/>
    <col min="1213" max="1213" width="9.7109375" bestFit="1" customWidth="1"/>
    <col min="1214" max="1214" width="8.85546875" bestFit="1" customWidth="1"/>
    <col min="1215" max="1215" width="9.140625" bestFit="1" customWidth="1"/>
    <col min="1216" max="1216" width="8.85546875" bestFit="1" customWidth="1"/>
    <col min="1217" max="1217" width="9.140625" bestFit="1" customWidth="1"/>
    <col min="1218" max="1218" width="8.85546875" bestFit="1" customWidth="1"/>
    <col min="1219" max="1219" width="9.140625" bestFit="1" customWidth="1"/>
    <col min="1220" max="1220" width="9.42578125" bestFit="1" customWidth="1"/>
    <col min="1221" max="1223" width="9.140625" bestFit="1" customWidth="1"/>
    <col min="1224" max="1224" width="9.7109375" bestFit="1" customWidth="1"/>
    <col min="1225" max="1225" width="9.140625" bestFit="1" customWidth="1"/>
    <col min="1226" max="1226" width="9.7109375" bestFit="1" customWidth="1"/>
    <col min="1227" max="1228" width="9.140625" bestFit="1" customWidth="1"/>
    <col min="1229" max="1229" width="9.7109375" bestFit="1" customWidth="1"/>
    <col min="1230" max="1230" width="8.85546875" bestFit="1" customWidth="1"/>
    <col min="1231" max="1235" width="9.140625" bestFit="1" customWidth="1"/>
    <col min="1236" max="1236" width="9.7109375" bestFit="1" customWidth="1"/>
    <col min="1237" max="1238" width="9.140625" bestFit="1" customWidth="1"/>
    <col min="1239" max="1239" width="9.7109375" bestFit="1" customWidth="1"/>
    <col min="1240" max="1240" width="9.140625" bestFit="1" customWidth="1"/>
    <col min="1241" max="1241" width="9.28515625" bestFit="1" customWidth="1"/>
    <col min="1242" max="1242" width="9.42578125" bestFit="1" customWidth="1"/>
    <col min="1243" max="1244" width="9.140625" bestFit="1" customWidth="1"/>
    <col min="1245" max="1245" width="9.28515625" bestFit="1" customWidth="1"/>
    <col min="1246" max="1246" width="9.42578125" bestFit="1" customWidth="1"/>
    <col min="1247" max="1248" width="9.140625" bestFit="1" customWidth="1"/>
    <col min="1249" max="1249" width="9.42578125" bestFit="1" customWidth="1"/>
    <col min="1250" max="1251" width="8.85546875" bestFit="1" customWidth="1"/>
    <col min="1252" max="1253" width="9.140625" bestFit="1" customWidth="1"/>
    <col min="1254" max="1254" width="9.42578125" bestFit="1" customWidth="1"/>
    <col min="1255" max="1255" width="9.7109375" bestFit="1" customWidth="1"/>
    <col min="1256" max="1256" width="9.28515625" bestFit="1" customWidth="1"/>
    <col min="1257" max="1257" width="8.85546875" bestFit="1" customWidth="1"/>
    <col min="1258" max="1258" width="9.42578125" bestFit="1" customWidth="1"/>
    <col min="1259" max="1259" width="8.85546875" bestFit="1" customWidth="1"/>
    <col min="1260" max="1260" width="9.7109375" bestFit="1" customWidth="1"/>
    <col min="1261" max="1262" width="9.140625" bestFit="1" customWidth="1"/>
    <col min="1263" max="1263" width="8.85546875" bestFit="1" customWidth="1"/>
    <col min="1264" max="1264" width="9.42578125" bestFit="1" customWidth="1"/>
    <col min="1265" max="1265" width="9.28515625" bestFit="1" customWidth="1"/>
    <col min="1266" max="1267" width="9.140625" bestFit="1" customWidth="1"/>
    <col min="1268" max="1268" width="9.28515625" bestFit="1" customWidth="1"/>
    <col min="1269" max="1269" width="8.85546875" bestFit="1" customWidth="1"/>
    <col min="1270" max="1271" width="9.140625" bestFit="1" customWidth="1"/>
    <col min="1272" max="1272" width="9.42578125" bestFit="1" customWidth="1"/>
    <col min="1273" max="1273" width="9.28515625" bestFit="1" customWidth="1"/>
    <col min="1274" max="1274" width="9.140625" bestFit="1" customWidth="1"/>
    <col min="1275" max="1275" width="9.42578125" bestFit="1" customWidth="1"/>
    <col min="1276" max="1276" width="9.140625" bestFit="1" customWidth="1"/>
    <col min="1277" max="1277" width="8.28515625" bestFit="1" customWidth="1"/>
    <col min="1278" max="1278" width="8.85546875" bestFit="1" customWidth="1"/>
    <col min="1279" max="1279" width="9.7109375" bestFit="1" customWidth="1"/>
    <col min="1280" max="1280" width="9.140625" bestFit="1" customWidth="1"/>
    <col min="1281" max="1281" width="9.28515625" bestFit="1" customWidth="1"/>
    <col min="1282" max="1282" width="9.42578125" bestFit="1" customWidth="1"/>
    <col min="1283" max="1283" width="9.140625" bestFit="1" customWidth="1"/>
    <col min="1284" max="1285" width="8.85546875" bestFit="1" customWidth="1"/>
    <col min="1286" max="1287" width="9.7109375" bestFit="1" customWidth="1"/>
    <col min="1288" max="1290" width="9.140625" bestFit="1" customWidth="1"/>
    <col min="1291" max="1291" width="8.85546875" bestFit="1" customWidth="1"/>
    <col min="1292" max="1292" width="9.42578125" bestFit="1" customWidth="1"/>
    <col min="1293" max="1293" width="9.140625" bestFit="1" customWidth="1"/>
    <col min="1294" max="1294" width="9.7109375" bestFit="1" customWidth="1"/>
    <col min="1295" max="1296" width="9.140625" bestFit="1" customWidth="1"/>
    <col min="1297" max="1297" width="9.28515625" bestFit="1" customWidth="1"/>
    <col min="1298" max="1298" width="9.140625" bestFit="1" customWidth="1"/>
    <col min="1299" max="1299" width="9.42578125" bestFit="1" customWidth="1"/>
    <col min="1300" max="1300" width="8.85546875" bestFit="1" customWidth="1"/>
    <col min="1301" max="1305" width="9.7109375" bestFit="1" customWidth="1"/>
    <col min="1306" max="1307" width="9.140625" bestFit="1" customWidth="1"/>
    <col min="1308" max="1308" width="8.28515625" bestFit="1" customWidth="1"/>
    <col min="1309" max="1309" width="9.140625" bestFit="1" customWidth="1"/>
    <col min="1310" max="1310" width="8.85546875" bestFit="1" customWidth="1"/>
    <col min="1311" max="1312" width="9.140625" bestFit="1" customWidth="1"/>
    <col min="1313" max="1313" width="9.28515625" bestFit="1" customWidth="1"/>
    <col min="1314" max="1314" width="9.140625" bestFit="1" customWidth="1"/>
    <col min="1315" max="1315" width="9.42578125" bestFit="1" customWidth="1"/>
    <col min="1316" max="1317" width="8.28515625" bestFit="1" customWidth="1"/>
    <col min="1318" max="1318" width="9.140625" bestFit="1" customWidth="1"/>
    <col min="1319" max="1319" width="8.28515625" bestFit="1" customWidth="1"/>
    <col min="1320" max="1322" width="9.7109375" bestFit="1" customWidth="1"/>
    <col min="1323" max="1323" width="9.140625" bestFit="1" customWidth="1"/>
    <col min="1324" max="1326" width="9.42578125" bestFit="1" customWidth="1"/>
    <col min="1327" max="1328" width="9.140625" bestFit="1" customWidth="1"/>
    <col min="1329" max="1329" width="8.28515625" bestFit="1" customWidth="1"/>
    <col min="1330" max="1330" width="8.85546875" bestFit="1" customWidth="1"/>
    <col min="1331" max="1331" width="9.140625" bestFit="1" customWidth="1"/>
    <col min="1332" max="1332" width="8.85546875" bestFit="1" customWidth="1"/>
    <col min="1333" max="1333" width="9.140625" bestFit="1" customWidth="1"/>
    <col min="1334" max="1334" width="8.85546875" bestFit="1" customWidth="1"/>
    <col min="1335" max="1335" width="8.28515625" bestFit="1" customWidth="1"/>
    <col min="1336" max="1336" width="9.140625" bestFit="1" customWidth="1"/>
    <col min="1337" max="1338" width="8.85546875" bestFit="1" customWidth="1"/>
    <col min="1339" max="1339" width="9.7109375" bestFit="1" customWidth="1"/>
    <col min="1340" max="1340" width="8.85546875" bestFit="1" customWidth="1"/>
    <col min="1341" max="1342" width="9.140625" bestFit="1" customWidth="1"/>
    <col min="1343" max="1343" width="9.7109375" bestFit="1" customWidth="1"/>
    <col min="1344" max="1344" width="9.28515625" bestFit="1" customWidth="1"/>
    <col min="1345" max="1345" width="9.140625" bestFit="1" customWidth="1"/>
    <col min="1346" max="1346" width="9.42578125" bestFit="1" customWidth="1"/>
    <col min="1347" max="1347" width="9.140625" bestFit="1" customWidth="1"/>
    <col min="1348" max="1348" width="8.85546875" bestFit="1" customWidth="1"/>
    <col min="1349" max="1349" width="9.7109375" bestFit="1" customWidth="1"/>
    <col min="1350" max="1350" width="9.28515625" bestFit="1" customWidth="1"/>
    <col min="1351" max="1351" width="9.7109375" bestFit="1" customWidth="1"/>
    <col min="1352" max="1352" width="9.42578125" bestFit="1" customWidth="1"/>
    <col min="1353" max="1353" width="8.85546875" bestFit="1" customWidth="1"/>
    <col min="1354" max="1354" width="9.7109375" bestFit="1" customWidth="1"/>
    <col min="1355" max="1355" width="9.140625" bestFit="1" customWidth="1"/>
    <col min="1356" max="1356" width="9.42578125" bestFit="1" customWidth="1"/>
    <col min="1357" max="1357" width="9.140625" bestFit="1" customWidth="1"/>
    <col min="1358" max="1358" width="9.7109375" bestFit="1" customWidth="1"/>
    <col min="1359" max="1359" width="9.140625" bestFit="1" customWidth="1"/>
    <col min="1360" max="1360" width="8.85546875" bestFit="1" customWidth="1"/>
    <col min="1361" max="1362" width="9.140625" bestFit="1" customWidth="1"/>
    <col min="1363" max="1363" width="9.7109375" bestFit="1" customWidth="1"/>
    <col min="1364" max="1364" width="9.140625" bestFit="1" customWidth="1"/>
    <col min="1365" max="1365" width="9.28515625" bestFit="1" customWidth="1"/>
    <col min="1366" max="1366" width="9.140625" bestFit="1" customWidth="1"/>
    <col min="1367" max="1367" width="9.42578125" bestFit="1" customWidth="1"/>
    <col min="1368" max="1368" width="9.140625" bestFit="1" customWidth="1"/>
    <col min="1369" max="1369" width="8.85546875" bestFit="1" customWidth="1"/>
    <col min="1370" max="1370" width="9.140625" bestFit="1" customWidth="1"/>
    <col min="1371" max="1371" width="9.28515625" bestFit="1" customWidth="1"/>
    <col min="1372" max="1372" width="8.28515625" bestFit="1" customWidth="1"/>
    <col min="1373" max="1374" width="9.28515625" bestFit="1" customWidth="1"/>
    <col min="1375" max="1376" width="9.140625" bestFit="1" customWidth="1"/>
    <col min="1377" max="1377" width="9.7109375" bestFit="1" customWidth="1"/>
    <col min="1378" max="1378" width="8.85546875" bestFit="1" customWidth="1"/>
    <col min="1379" max="1380" width="9.140625" bestFit="1" customWidth="1"/>
    <col min="1381" max="1381" width="9.7109375" bestFit="1" customWidth="1"/>
    <col min="1382" max="1382" width="9.42578125" bestFit="1" customWidth="1"/>
    <col min="1383" max="1383" width="9.7109375" bestFit="1" customWidth="1"/>
    <col min="1384" max="1384" width="8.85546875" bestFit="1" customWidth="1"/>
    <col min="1385" max="1385" width="9.140625" bestFit="1" customWidth="1"/>
    <col min="1386" max="1386" width="9.42578125" bestFit="1" customWidth="1"/>
    <col min="1387" max="1387" width="9.140625" bestFit="1" customWidth="1"/>
    <col min="1388" max="1389" width="9.28515625" bestFit="1" customWidth="1"/>
    <col min="1390" max="1390" width="9.140625" bestFit="1" customWidth="1"/>
    <col min="1391" max="1391" width="8.85546875" bestFit="1" customWidth="1"/>
    <col min="1392" max="1392" width="9.7109375" bestFit="1" customWidth="1"/>
    <col min="1393" max="1394" width="9.140625" bestFit="1" customWidth="1"/>
    <col min="1395" max="1395" width="9.7109375" bestFit="1" customWidth="1"/>
    <col min="1396" max="1396" width="9.140625" bestFit="1" customWidth="1"/>
    <col min="1397" max="1397" width="9.28515625" bestFit="1" customWidth="1"/>
    <col min="1398" max="1398" width="9.140625" bestFit="1" customWidth="1"/>
    <col min="1399" max="1399" width="9.7109375" bestFit="1" customWidth="1"/>
    <col min="1400" max="1401" width="9.28515625" bestFit="1" customWidth="1"/>
    <col min="1402" max="1402" width="9.42578125" bestFit="1" customWidth="1"/>
    <col min="1403" max="1404" width="8.85546875" bestFit="1" customWidth="1"/>
    <col min="1405" max="1405" width="8.28515625" bestFit="1" customWidth="1"/>
    <col min="1406" max="1407" width="8.85546875" bestFit="1" customWidth="1"/>
    <col min="1408" max="1408" width="8.28515625" bestFit="1" customWidth="1"/>
    <col min="1409" max="1410" width="9.140625" bestFit="1" customWidth="1"/>
    <col min="1411" max="1412" width="8.85546875" bestFit="1" customWidth="1"/>
    <col min="1413" max="1413" width="9.140625" bestFit="1" customWidth="1"/>
    <col min="1414" max="1414" width="8.85546875" bestFit="1" customWidth="1"/>
    <col min="1415" max="1417" width="9.7109375" bestFit="1" customWidth="1"/>
    <col min="1418" max="1419" width="8.85546875" bestFit="1" customWidth="1"/>
    <col min="1420" max="1420" width="9.140625" bestFit="1" customWidth="1"/>
    <col min="1421" max="1421" width="9.7109375" bestFit="1" customWidth="1"/>
    <col min="1422" max="1424" width="9.140625" bestFit="1" customWidth="1"/>
    <col min="1425" max="1425" width="8.28515625" bestFit="1" customWidth="1"/>
    <col min="1426" max="1426" width="8.85546875" bestFit="1" customWidth="1"/>
    <col min="1427" max="1428" width="9.140625" bestFit="1" customWidth="1"/>
    <col min="1429" max="1429" width="8.85546875" bestFit="1" customWidth="1"/>
    <col min="1430" max="1430" width="9.42578125" bestFit="1" customWidth="1"/>
    <col min="1431" max="1432" width="8.85546875" bestFit="1" customWidth="1"/>
    <col min="1433" max="1433" width="9.140625" bestFit="1" customWidth="1"/>
    <col min="1434" max="1434" width="9.28515625" bestFit="1" customWidth="1"/>
    <col min="1435" max="1435" width="8.85546875" bestFit="1" customWidth="1"/>
    <col min="1436" max="1436" width="9.140625" bestFit="1" customWidth="1"/>
    <col min="1437" max="1437" width="9.28515625" bestFit="1" customWidth="1"/>
    <col min="1438" max="1438" width="8.85546875" bestFit="1" customWidth="1"/>
    <col min="1439" max="1439" width="9.140625" bestFit="1" customWidth="1"/>
    <col min="1440" max="1440" width="8.85546875" bestFit="1" customWidth="1"/>
    <col min="1441" max="1442" width="9.140625" bestFit="1" customWidth="1"/>
    <col min="1443" max="1443" width="9.42578125" bestFit="1" customWidth="1"/>
    <col min="1444" max="1444" width="8.28515625" bestFit="1" customWidth="1"/>
    <col min="1445" max="1445" width="9.42578125" bestFit="1" customWidth="1"/>
    <col min="1446" max="1447" width="9.140625" bestFit="1" customWidth="1"/>
    <col min="1448" max="1449" width="9.42578125" bestFit="1" customWidth="1"/>
    <col min="1450" max="1451" width="8.85546875" bestFit="1" customWidth="1"/>
    <col min="1452" max="1452" width="9.140625" bestFit="1" customWidth="1"/>
    <col min="1453" max="1453" width="8.85546875" bestFit="1" customWidth="1"/>
    <col min="1454" max="1454" width="9.140625" bestFit="1" customWidth="1"/>
    <col min="1455" max="1456" width="8.85546875" bestFit="1" customWidth="1"/>
    <col min="1457" max="1462" width="9.140625" bestFit="1" customWidth="1"/>
    <col min="1463" max="1463" width="8.85546875" bestFit="1" customWidth="1"/>
    <col min="1464" max="1465" width="9.140625" bestFit="1" customWidth="1"/>
    <col min="1466" max="1466" width="8.85546875" bestFit="1" customWidth="1"/>
    <col min="1467" max="1467" width="9.7109375" bestFit="1" customWidth="1"/>
    <col min="1468" max="1469" width="8.85546875" bestFit="1" customWidth="1"/>
    <col min="1470" max="1470" width="9.7109375" bestFit="1" customWidth="1"/>
    <col min="1471" max="1471" width="9.28515625" bestFit="1" customWidth="1"/>
    <col min="1472" max="1473" width="9.140625" bestFit="1" customWidth="1"/>
    <col min="1474" max="1474" width="9.42578125" bestFit="1" customWidth="1"/>
    <col min="1475" max="1477" width="9.140625" bestFit="1" customWidth="1"/>
    <col min="1478" max="1478" width="9.28515625" bestFit="1" customWidth="1"/>
    <col min="1479" max="1479" width="9.140625" bestFit="1" customWidth="1"/>
    <col min="1480" max="1480" width="8.85546875" bestFit="1" customWidth="1"/>
    <col min="1481" max="1481" width="9.140625" bestFit="1" customWidth="1"/>
    <col min="1482" max="1482" width="9.42578125" bestFit="1" customWidth="1"/>
    <col min="1483" max="1484" width="8.85546875" bestFit="1" customWidth="1"/>
    <col min="1485" max="1485" width="9.42578125" bestFit="1" customWidth="1"/>
    <col min="1486" max="1486" width="9.28515625" bestFit="1" customWidth="1"/>
    <col min="1487" max="1488" width="8.28515625" bestFit="1" customWidth="1"/>
    <col min="1489" max="1489" width="9.140625" bestFit="1" customWidth="1"/>
    <col min="1490" max="1491" width="8.85546875" bestFit="1" customWidth="1"/>
    <col min="1492" max="1492" width="8.28515625" bestFit="1" customWidth="1"/>
    <col min="1493" max="1493" width="9.42578125" bestFit="1" customWidth="1"/>
    <col min="1494" max="1494" width="8.85546875" bestFit="1" customWidth="1"/>
    <col min="1495" max="1495" width="9.28515625" bestFit="1" customWidth="1"/>
    <col min="1496" max="1496" width="9.140625" bestFit="1" customWidth="1"/>
    <col min="1497" max="1497" width="8.85546875" bestFit="1" customWidth="1"/>
    <col min="1498" max="1498" width="9.42578125" bestFit="1" customWidth="1"/>
    <col min="1499" max="1499" width="9.7109375" bestFit="1" customWidth="1"/>
    <col min="1500" max="1500" width="9.140625" bestFit="1" customWidth="1"/>
    <col min="1501" max="1501" width="9.28515625" bestFit="1" customWidth="1"/>
    <col min="1502" max="1503" width="9.140625" bestFit="1" customWidth="1"/>
    <col min="1504" max="1505" width="8.85546875" bestFit="1" customWidth="1"/>
    <col min="1506" max="1506" width="9.28515625" bestFit="1" customWidth="1"/>
    <col min="1507" max="1508" width="8.85546875" bestFit="1" customWidth="1"/>
    <col min="1509" max="1509" width="9.7109375" bestFit="1" customWidth="1"/>
    <col min="1510" max="1510" width="9.140625" bestFit="1" customWidth="1"/>
    <col min="1511" max="1511" width="9.28515625" bestFit="1" customWidth="1"/>
    <col min="1512" max="1512" width="8.85546875" bestFit="1" customWidth="1"/>
    <col min="1513" max="1513" width="9.7109375" bestFit="1" customWidth="1"/>
    <col min="1514" max="1514" width="9.140625" bestFit="1" customWidth="1"/>
    <col min="1515" max="1515" width="9.42578125" bestFit="1" customWidth="1"/>
    <col min="1516" max="1516" width="9.140625" bestFit="1" customWidth="1"/>
    <col min="1517" max="1517" width="9.28515625" bestFit="1" customWidth="1"/>
    <col min="1518" max="1519" width="9.140625" bestFit="1" customWidth="1"/>
    <col min="1520" max="1520" width="9.42578125" bestFit="1" customWidth="1"/>
    <col min="1521" max="1522" width="8.85546875" bestFit="1" customWidth="1"/>
    <col min="1523" max="1523" width="8.28515625" bestFit="1" customWidth="1"/>
    <col min="1524" max="1524" width="9.7109375" bestFit="1" customWidth="1"/>
    <col min="1525" max="1525" width="9.140625" bestFit="1" customWidth="1"/>
    <col min="1526" max="1526" width="9.28515625" bestFit="1" customWidth="1"/>
    <col min="1527" max="1530" width="9.140625" bestFit="1" customWidth="1"/>
    <col min="1531" max="1531" width="8.85546875" bestFit="1" customWidth="1"/>
    <col min="1532" max="1532" width="9.7109375" bestFit="1" customWidth="1"/>
    <col min="1533" max="1533" width="8.85546875" bestFit="1" customWidth="1"/>
    <col min="1534" max="1535" width="9.140625" bestFit="1" customWidth="1"/>
    <col min="1536" max="1536" width="8.85546875" bestFit="1" customWidth="1"/>
    <col min="1537" max="1537" width="9.140625" bestFit="1" customWidth="1"/>
    <col min="1538" max="1538" width="9.42578125" bestFit="1" customWidth="1"/>
    <col min="1539" max="1539" width="9.140625" bestFit="1" customWidth="1"/>
    <col min="1540" max="1540" width="8.85546875" bestFit="1" customWidth="1"/>
    <col min="1541" max="1541" width="9.42578125" bestFit="1" customWidth="1"/>
    <col min="1542" max="1543" width="8.85546875" bestFit="1" customWidth="1"/>
    <col min="1544" max="1544" width="9.7109375" bestFit="1" customWidth="1"/>
    <col min="1545" max="1545" width="8.28515625" bestFit="1" customWidth="1"/>
    <col min="1546" max="1547" width="9.140625" bestFit="1" customWidth="1"/>
    <col min="1548" max="1548" width="8.28515625" bestFit="1" customWidth="1"/>
    <col min="1549" max="1549" width="9.7109375" bestFit="1" customWidth="1"/>
    <col min="1550" max="1551" width="8.85546875" bestFit="1" customWidth="1"/>
    <col min="1552" max="1552" width="9.42578125" bestFit="1" customWidth="1"/>
    <col min="1553" max="1556" width="9.140625" bestFit="1" customWidth="1"/>
    <col min="1557" max="1557" width="8.85546875" bestFit="1" customWidth="1"/>
    <col min="1558" max="1559" width="9.140625" bestFit="1" customWidth="1"/>
    <col min="1560" max="1560" width="8.85546875" bestFit="1" customWidth="1"/>
    <col min="1561" max="1561" width="9.42578125" bestFit="1" customWidth="1"/>
    <col min="1562" max="1562" width="8.85546875" bestFit="1" customWidth="1"/>
    <col min="1563" max="1563" width="9.42578125" bestFit="1" customWidth="1"/>
    <col min="1564" max="1565" width="8.85546875" bestFit="1" customWidth="1"/>
    <col min="1566" max="1566" width="9.140625" bestFit="1" customWidth="1"/>
    <col min="1567" max="1567" width="9.7109375" bestFit="1" customWidth="1"/>
    <col min="1568" max="1569" width="9.140625" bestFit="1" customWidth="1"/>
    <col min="1570" max="1570" width="8.28515625" bestFit="1" customWidth="1"/>
    <col min="1571" max="1571" width="8.85546875" bestFit="1" customWidth="1"/>
    <col min="1572" max="1572" width="9.42578125" bestFit="1" customWidth="1"/>
    <col min="1573" max="1573" width="8.85546875" bestFit="1" customWidth="1"/>
    <col min="1574" max="1574" width="9.42578125" bestFit="1" customWidth="1"/>
    <col min="1575" max="1575" width="9.140625" bestFit="1" customWidth="1"/>
    <col min="1576" max="1576" width="8.85546875" bestFit="1" customWidth="1"/>
    <col min="1577" max="1580" width="9.140625" bestFit="1" customWidth="1"/>
    <col min="1581" max="1581" width="9.28515625" bestFit="1" customWidth="1"/>
    <col min="1582" max="1585" width="9.140625" bestFit="1" customWidth="1"/>
    <col min="1586" max="1586" width="8.85546875" bestFit="1" customWidth="1"/>
    <col min="1587" max="1591" width="9.140625" bestFit="1" customWidth="1"/>
    <col min="1592" max="1592" width="9.42578125" bestFit="1" customWidth="1"/>
    <col min="1593" max="1593" width="9.140625" bestFit="1" customWidth="1"/>
    <col min="1594" max="1596" width="8.85546875" bestFit="1" customWidth="1"/>
    <col min="1597" max="1597" width="9.140625" bestFit="1" customWidth="1"/>
    <col min="1598" max="1598" width="8.28515625" bestFit="1" customWidth="1"/>
    <col min="1599" max="1601" width="8.85546875" bestFit="1" customWidth="1"/>
    <col min="1602" max="1602" width="9.42578125" bestFit="1" customWidth="1"/>
    <col min="1603" max="1603" width="9.140625" bestFit="1" customWidth="1"/>
    <col min="1604" max="1604" width="9.7109375" bestFit="1" customWidth="1"/>
    <col min="1605" max="1605" width="9.28515625" bestFit="1" customWidth="1"/>
    <col min="1606" max="1609" width="9.140625" bestFit="1" customWidth="1"/>
    <col min="1610" max="1610" width="9.28515625" bestFit="1" customWidth="1"/>
    <col min="1611" max="1611" width="9.140625" bestFit="1" customWidth="1"/>
    <col min="1612" max="1612" width="9.7109375" bestFit="1" customWidth="1"/>
    <col min="1613" max="1613" width="9.140625" bestFit="1" customWidth="1"/>
    <col min="1614" max="1614" width="9.7109375" bestFit="1" customWidth="1"/>
    <col min="1615" max="1615" width="9.140625" bestFit="1" customWidth="1"/>
    <col min="1616" max="1616" width="9.7109375" bestFit="1" customWidth="1"/>
    <col min="1617" max="1617" width="9.140625" bestFit="1" customWidth="1"/>
    <col min="1618" max="1618" width="8.85546875" bestFit="1" customWidth="1"/>
    <col min="1619" max="1619" width="9.140625" bestFit="1" customWidth="1"/>
    <col min="1620" max="1621" width="9.28515625" bestFit="1" customWidth="1"/>
    <col min="1622" max="1623" width="9.140625" bestFit="1" customWidth="1"/>
    <col min="1624" max="1624" width="9.42578125" bestFit="1" customWidth="1"/>
    <col min="1625" max="1625" width="9.28515625" bestFit="1" customWidth="1"/>
    <col min="1626" max="1626" width="9.140625" bestFit="1" customWidth="1"/>
    <col min="1627" max="1627" width="9.42578125" bestFit="1" customWidth="1"/>
    <col min="1628" max="1628" width="8.85546875" bestFit="1" customWidth="1"/>
    <col min="1629" max="1630" width="9.140625" bestFit="1" customWidth="1"/>
    <col min="1631" max="1632" width="8.85546875" bestFit="1" customWidth="1"/>
    <col min="1633" max="1633" width="9.140625" bestFit="1" customWidth="1"/>
    <col min="1634" max="1634" width="9.28515625" bestFit="1" customWidth="1"/>
    <col min="1635" max="1635" width="9.140625" bestFit="1" customWidth="1"/>
    <col min="1636" max="1637" width="9.28515625" bestFit="1" customWidth="1"/>
    <col min="1638" max="1642" width="9.140625" bestFit="1" customWidth="1"/>
    <col min="1643" max="1643" width="8.28515625" bestFit="1" customWidth="1"/>
    <col min="1644" max="1644" width="9.7109375" bestFit="1" customWidth="1"/>
    <col min="1645" max="1645" width="9.140625" bestFit="1" customWidth="1"/>
    <col min="1646" max="1646" width="8.85546875" bestFit="1" customWidth="1"/>
    <col min="1647" max="1647" width="9.7109375" bestFit="1" customWidth="1"/>
    <col min="1648" max="1649" width="9.42578125" bestFit="1" customWidth="1"/>
    <col min="1650" max="1650" width="8.85546875" bestFit="1" customWidth="1"/>
    <col min="1651" max="1653" width="9.140625" bestFit="1" customWidth="1"/>
    <col min="1654" max="1654" width="9.7109375" bestFit="1" customWidth="1"/>
    <col min="1655" max="1655" width="9.140625" bestFit="1" customWidth="1"/>
    <col min="1656" max="1656" width="9.42578125" bestFit="1" customWidth="1"/>
    <col min="1657" max="1657" width="9.140625" bestFit="1" customWidth="1"/>
    <col min="1658" max="1658" width="9.42578125" bestFit="1" customWidth="1"/>
    <col min="1659" max="1659" width="8.85546875" bestFit="1" customWidth="1"/>
    <col min="1660" max="1660" width="9.140625" bestFit="1" customWidth="1"/>
    <col min="1661" max="1661" width="9.28515625" bestFit="1" customWidth="1"/>
    <col min="1662" max="1662" width="8.85546875" bestFit="1" customWidth="1"/>
    <col min="1663" max="1663" width="9.140625" bestFit="1" customWidth="1"/>
    <col min="1664" max="1665" width="9.28515625" bestFit="1" customWidth="1"/>
    <col min="1666" max="1667" width="9.140625" bestFit="1" customWidth="1"/>
    <col min="1668" max="1668" width="8.85546875" bestFit="1" customWidth="1"/>
    <col min="1669" max="1669" width="9.42578125" bestFit="1" customWidth="1"/>
    <col min="1670" max="1671" width="9.140625" bestFit="1" customWidth="1"/>
    <col min="1672" max="1672" width="8.85546875" bestFit="1" customWidth="1"/>
    <col min="1673" max="1673" width="9.7109375" bestFit="1" customWidth="1"/>
    <col min="1674" max="1674" width="8.85546875" bestFit="1" customWidth="1"/>
    <col min="1675" max="1676" width="9.7109375" bestFit="1" customWidth="1"/>
    <col min="1677" max="1677" width="8.85546875" bestFit="1" customWidth="1"/>
    <col min="1678" max="1678" width="8.28515625" bestFit="1" customWidth="1"/>
    <col min="1679" max="1679" width="9.28515625" bestFit="1" customWidth="1"/>
    <col min="1680" max="1682" width="8.85546875" bestFit="1" customWidth="1"/>
    <col min="1683" max="1683" width="9.42578125" bestFit="1" customWidth="1"/>
    <col min="1684" max="1684" width="9.7109375" bestFit="1" customWidth="1"/>
    <col min="1685" max="1685" width="9.140625" bestFit="1" customWidth="1"/>
    <col min="1686" max="1687" width="8.85546875" bestFit="1" customWidth="1"/>
    <col min="1688" max="1689" width="9.42578125" bestFit="1" customWidth="1"/>
    <col min="1690" max="1690" width="8.28515625" bestFit="1" customWidth="1"/>
    <col min="1691" max="1691" width="9.28515625" bestFit="1" customWidth="1"/>
    <col min="1692" max="1692" width="8.85546875" bestFit="1" customWidth="1"/>
    <col min="1693" max="1694" width="9.140625" bestFit="1" customWidth="1"/>
    <col min="1695" max="1695" width="8.28515625" bestFit="1" customWidth="1"/>
    <col min="1696" max="1696" width="9.7109375" bestFit="1" customWidth="1"/>
    <col min="1697" max="1697" width="8.85546875" bestFit="1" customWidth="1"/>
    <col min="1698" max="1698" width="9.140625" bestFit="1" customWidth="1"/>
    <col min="1699" max="1699" width="9.42578125" bestFit="1" customWidth="1"/>
    <col min="1700" max="1700" width="9.7109375" bestFit="1" customWidth="1"/>
    <col min="1701" max="1701" width="8.85546875" bestFit="1" customWidth="1"/>
    <col min="1702" max="1702" width="9.28515625" bestFit="1" customWidth="1"/>
    <col min="1703" max="1703" width="9.42578125" bestFit="1" customWidth="1"/>
    <col min="1704" max="1704" width="9.28515625" bestFit="1" customWidth="1"/>
    <col min="1705" max="1705" width="9.140625" bestFit="1" customWidth="1"/>
    <col min="1706" max="1707" width="8.85546875" bestFit="1" customWidth="1"/>
    <col min="1708" max="1708" width="8.28515625" bestFit="1" customWidth="1"/>
    <col min="1709" max="1710" width="9.140625" bestFit="1" customWidth="1"/>
    <col min="1711" max="1711" width="9.42578125" bestFit="1" customWidth="1"/>
    <col min="1712" max="1714" width="9.140625" bestFit="1" customWidth="1"/>
    <col min="1715" max="1716" width="8.28515625" bestFit="1" customWidth="1"/>
    <col min="1717" max="1717" width="9.140625" bestFit="1" customWidth="1"/>
    <col min="1718" max="1718" width="8.85546875" bestFit="1" customWidth="1"/>
    <col min="1719" max="1719" width="9.7109375" bestFit="1" customWidth="1"/>
    <col min="1720" max="1721" width="9.28515625" bestFit="1" customWidth="1"/>
    <col min="1722" max="1722" width="9.7109375" bestFit="1" customWidth="1"/>
    <col min="1723" max="1723" width="8.85546875" bestFit="1" customWidth="1"/>
    <col min="1724" max="1724" width="9.28515625" bestFit="1" customWidth="1"/>
    <col min="1725" max="1725" width="9.42578125" bestFit="1" customWidth="1"/>
    <col min="1726" max="1726" width="9.140625" bestFit="1" customWidth="1"/>
    <col min="1727" max="1728" width="9.7109375" bestFit="1" customWidth="1"/>
    <col min="1729" max="1729" width="9.140625" bestFit="1" customWidth="1"/>
    <col min="1730" max="1730" width="9.42578125" bestFit="1" customWidth="1"/>
    <col min="1731" max="1731" width="8.85546875" bestFit="1" customWidth="1"/>
    <col min="1732" max="1732" width="8.28515625" bestFit="1" customWidth="1"/>
    <col min="1733" max="1733" width="8.85546875" bestFit="1" customWidth="1"/>
    <col min="1734" max="1734" width="9.7109375" bestFit="1" customWidth="1"/>
    <col min="1735" max="1735" width="9.28515625" bestFit="1" customWidth="1"/>
    <col min="1736" max="1736" width="9.7109375" bestFit="1" customWidth="1"/>
    <col min="1737" max="1737" width="9.28515625" bestFit="1" customWidth="1"/>
    <col min="1738" max="1738" width="9.7109375" bestFit="1" customWidth="1"/>
    <col min="1739" max="1740" width="9.140625" bestFit="1" customWidth="1"/>
    <col min="1741" max="1741" width="9.7109375" bestFit="1" customWidth="1"/>
    <col min="1742" max="1742" width="9.42578125" bestFit="1" customWidth="1"/>
    <col min="1743" max="1743" width="9.140625" bestFit="1" customWidth="1"/>
    <col min="1744" max="1744" width="8.85546875" bestFit="1" customWidth="1"/>
    <col min="1745" max="1745" width="9.140625" bestFit="1" customWidth="1"/>
    <col min="1746" max="1746" width="9.28515625" bestFit="1" customWidth="1"/>
    <col min="1747" max="1747" width="9.42578125" bestFit="1" customWidth="1"/>
    <col min="1748" max="1748" width="9.7109375" bestFit="1" customWidth="1"/>
    <col min="1749" max="1749" width="9.28515625" bestFit="1" customWidth="1"/>
    <col min="1750" max="1751" width="9.140625" bestFit="1" customWidth="1"/>
    <col min="1752" max="1752" width="9.28515625" bestFit="1" customWidth="1"/>
    <col min="1753" max="1753" width="8.28515625" bestFit="1" customWidth="1"/>
    <col min="1754" max="1756" width="8.85546875" bestFit="1" customWidth="1"/>
    <col min="1757" max="1757" width="9.140625" bestFit="1" customWidth="1"/>
    <col min="1758" max="1758" width="8.28515625" bestFit="1" customWidth="1"/>
    <col min="1759" max="1759" width="9.140625" bestFit="1" customWidth="1"/>
    <col min="1760" max="1760" width="9.42578125" bestFit="1" customWidth="1"/>
    <col min="1761" max="1761" width="9.140625" bestFit="1" customWidth="1"/>
    <col min="1762" max="1762" width="8.85546875" bestFit="1" customWidth="1"/>
    <col min="1763" max="1763" width="9.42578125" bestFit="1" customWidth="1"/>
    <col min="1764" max="1764" width="9.7109375" bestFit="1" customWidth="1"/>
    <col min="1765" max="1766" width="9.140625" bestFit="1" customWidth="1"/>
    <col min="1767" max="1770" width="8.85546875" bestFit="1" customWidth="1"/>
    <col min="1771" max="1771" width="9.7109375" bestFit="1" customWidth="1"/>
    <col min="1772" max="1772" width="9.42578125" bestFit="1" customWidth="1"/>
    <col min="1773" max="1773" width="8.85546875" bestFit="1" customWidth="1"/>
    <col min="1774" max="1774" width="9.42578125" bestFit="1" customWidth="1"/>
    <col min="1775" max="1775" width="8.85546875" bestFit="1" customWidth="1"/>
    <col min="1776" max="1776" width="9.7109375" bestFit="1" customWidth="1"/>
    <col min="1777" max="1777" width="9.28515625" bestFit="1" customWidth="1"/>
    <col min="1778" max="1778" width="9.140625" bestFit="1" customWidth="1"/>
    <col min="1779" max="1779" width="9.28515625" bestFit="1" customWidth="1"/>
    <col min="1780" max="1780" width="9.7109375" bestFit="1" customWidth="1"/>
    <col min="1781" max="1781" width="9.140625" bestFit="1" customWidth="1"/>
    <col min="1782" max="1782" width="8.28515625" bestFit="1" customWidth="1"/>
    <col min="1783" max="1783" width="8.85546875" bestFit="1" customWidth="1"/>
    <col min="1784" max="1784" width="9.42578125" bestFit="1" customWidth="1"/>
    <col min="1785" max="1786" width="9.140625" bestFit="1" customWidth="1"/>
    <col min="1787" max="1787" width="8.28515625" bestFit="1" customWidth="1"/>
    <col min="1788" max="1788" width="8.85546875" bestFit="1" customWidth="1"/>
    <col min="1789" max="1789" width="9.140625" bestFit="1" customWidth="1"/>
    <col min="1790" max="1790" width="9.42578125" bestFit="1" customWidth="1"/>
    <col min="1791" max="1792" width="9.7109375" bestFit="1" customWidth="1"/>
    <col min="1793" max="1794" width="8.85546875" bestFit="1" customWidth="1"/>
    <col min="1795" max="1796" width="9.7109375" bestFit="1" customWidth="1"/>
    <col min="1797" max="1797" width="9.140625" bestFit="1" customWidth="1"/>
    <col min="1798" max="1799" width="9.42578125" bestFit="1" customWidth="1"/>
    <col min="1800" max="1800" width="8.85546875" bestFit="1" customWidth="1"/>
    <col min="1801" max="1801" width="9.140625" bestFit="1" customWidth="1"/>
    <col min="1802" max="1802" width="8.85546875" bestFit="1" customWidth="1"/>
    <col min="1803" max="1803" width="9.140625" bestFit="1" customWidth="1"/>
    <col min="1804" max="1804" width="9.28515625" bestFit="1" customWidth="1"/>
    <col min="1805" max="1805" width="8.85546875" bestFit="1" customWidth="1"/>
    <col min="1806" max="1807" width="9.140625" bestFit="1" customWidth="1"/>
    <col min="1808" max="1808" width="9.42578125" bestFit="1" customWidth="1"/>
    <col min="1809" max="1809" width="9.7109375" bestFit="1" customWidth="1"/>
    <col min="1810" max="1810" width="8.28515625" bestFit="1" customWidth="1"/>
    <col min="1811" max="1811" width="8.85546875" bestFit="1" customWidth="1"/>
    <col min="1812" max="1814" width="9.140625" bestFit="1" customWidth="1"/>
    <col min="1815" max="1815" width="8.28515625" bestFit="1" customWidth="1"/>
    <col min="1816" max="1816" width="8.85546875" bestFit="1" customWidth="1"/>
    <col min="1817" max="1817" width="8.28515625" bestFit="1" customWidth="1"/>
    <col min="1818" max="1818" width="9.28515625" bestFit="1" customWidth="1"/>
    <col min="1819" max="1819" width="8.28515625" bestFit="1" customWidth="1"/>
    <col min="1820" max="1822" width="8.85546875" bestFit="1" customWidth="1"/>
    <col min="1823" max="1823" width="9.140625" bestFit="1" customWidth="1"/>
    <col min="1824" max="1824" width="9.7109375" bestFit="1" customWidth="1"/>
    <col min="1825" max="1826" width="8.85546875" bestFit="1" customWidth="1"/>
    <col min="1827" max="1827" width="9.28515625" bestFit="1" customWidth="1"/>
    <col min="1828" max="1828" width="8.85546875" bestFit="1" customWidth="1"/>
    <col min="1829" max="1831" width="9.140625" bestFit="1" customWidth="1"/>
    <col min="1832" max="1832" width="8.85546875" bestFit="1" customWidth="1"/>
    <col min="1833" max="1833" width="9.140625" bestFit="1" customWidth="1"/>
    <col min="1834" max="1834" width="8.85546875" bestFit="1" customWidth="1"/>
    <col min="1835" max="1836" width="9.140625" bestFit="1" customWidth="1"/>
    <col min="1837" max="1837" width="9.42578125" bestFit="1" customWidth="1"/>
    <col min="1838" max="1839" width="8.85546875" bestFit="1" customWidth="1"/>
    <col min="1840" max="1840" width="9.7109375" bestFit="1" customWidth="1"/>
    <col min="1841" max="1841" width="9.140625" bestFit="1" customWidth="1"/>
    <col min="1842" max="1842" width="9.28515625" bestFit="1" customWidth="1"/>
    <col min="1843" max="1844" width="8.85546875" bestFit="1" customWidth="1"/>
    <col min="1845" max="1845" width="9.7109375" bestFit="1" customWidth="1"/>
    <col min="1846" max="1846" width="9.42578125" bestFit="1" customWidth="1"/>
    <col min="1847" max="1847" width="9.7109375" bestFit="1" customWidth="1"/>
    <col min="1848" max="1848" width="9.140625" bestFit="1" customWidth="1"/>
    <col min="1849" max="1850" width="8.85546875" bestFit="1" customWidth="1"/>
    <col min="1851" max="1852" width="9.140625" bestFit="1" customWidth="1"/>
    <col min="1853" max="1853" width="8.28515625" bestFit="1" customWidth="1"/>
    <col min="1854" max="1854" width="9.7109375" bestFit="1" customWidth="1"/>
    <col min="1855" max="1855" width="8.28515625" bestFit="1" customWidth="1"/>
    <col min="1856" max="1856" width="9.140625" bestFit="1" customWidth="1"/>
    <col min="1857" max="1857" width="9.42578125" bestFit="1" customWidth="1"/>
    <col min="1858" max="1858" width="9.7109375" bestFit="1" customWidth="1"/>
    <col min="1859" max="1859" width="9.140625" bestFit="1" customWidth="1"/>
    <col min="1860" max="1860" width="8.85546875" bestFit="1" customWidth="1"/>
    <col min="1861" max="1863" width="9.140625" bestFit="1" customWidth="1"/>
    <col min="1864" max="1866" width="8.85546875" bestFit="1" customWidth="1"/>
    <col min="1867" max="1867" width="9.140625" bestFit="1" customWidth="1"/>
    <col min="1868" max="1868" width="8.85546875" bestFit="1" customWidth="1"/>
    <col min="1869" max="1869" width="9.7109375" bestFit="1" customWidth="1"/>
    <col min="1870" max="1871" width="9.140625" bestFit="1" customWidth="1"/>
    <col min="1872" max="1872" width="9.7109375" bestFit="1" customWidth="1"/>
    <col min="1873" max="1874" width="8.28515625" bestFit="1" customWidth="1"/>
    <col min="1875" max="1875" width="9.7109375" bestFit="1" customWidth="1"/>
    <col min="1876" max="1876" width="9.140625" bestFit="1" customWidth="1"/>
    <col min="1877" max="1877" width="8.85546875" bestFit="1" customWidth="1"/>
    <col min="1878" max="1878" width="9.42578125" bestFit="1" customWidth="1"/>
    <col min="1879" max="1879" width="9.140625" bestFit="1" customWidth="1"/>
    <col min="1880" max="1880" width="9.28515625" bestFit="1" customWidth="1"/>
    <col min="1881" max="1882" width="8.85546875" bestFit="1" customWidth="1"/>
    <col min="1883" max="1883" width="8.28515625" bestFit="1" customWidth="1"/>
    <col min="1884" max="1884" width="9.140625" bestFit="1" customWidth="1"/>
    <col min="1885" max="1886" width="9.28515625" bestFit="1" customWidth="1"/>
    <col min="1887" max="1887" width="9.42578125" bestFit="1" customWidth="1"/>
    <col min="1888" max="1888" width="8.85546875" bestFit="1" customWidth="1"/>
    <col min="1889" max="1889" width="9.42578125" bestFit="1" customWidth="1"/>
    <col min="1890" max="1890" width="9.140625" bestFit="1" customWidth="1"/>
    <col min="1891" max="1891" width="8.85546875" bestFit="1" customWidth="1"/>
    <col min="1892" max="1892" width="8.28515625" bestFit="1" customWidth="1"/>
    <col min="1893" max="1893" width="8.85546875" bestFit="1" customWidth="1"/>
    <col min="1894" max="1894" width="9.28515625" bestFit="1" customWidth="1"/>
    <col min="1895" max="1895" width="8.85546875" bestFit="1" customWidth="1"/>
    <col min="1896" max="1896" width="9.7109375" bestFit="1" customWidth="1"/>
    <col min="1897" max="1897" width="8.85546875" bestFit="1" customWidth="1"/>
    <col min="1898" max="1900" width="9.140625" bestFit="1" customWidth="1"/>
    <col min="1901" max="1901" width="8.85546875" bestFit="1" customWidth="1"/>
    <col min="1902" max="1902" width="9.140625" bestFit="1" customWidth="1"/>
    <col min="1903" max="1903" width="9.28515625" bestFit="1" customWidth="1"/>
    <col min="1904" max="1904" width="9.140625" bestFit="1" customWidth="1"/>
    <col min="1905" max="1905" width="8.85546875" bestFit="1" customWidth="1"/>
    <col min="1906" max="1906" width="9.28515625" bestFit="1" customWidth="1"/>
    <col min="1907" max="1911" width="9.140625" bestFit="1" customWidth="1"/>
    <col min="1912" max="1913" width="9.7109375" bestFit="1" customWidth="1"/>
    <col min="1914" max="1917" width="9.140625" bestFit="1" customWidth="1"/>
    <col min="1918" max="1918" width="8.85546875" bestFit="1" customWidth="1"/>
    <col min="1919" max="1921" width="9.140625" bestFit="1" customWidth="1"/>
    <col min="1922" max="1922" width="9.28515625" bestFit="1" customWidth="1"/>
    <col min="1923" max="1923" width="9.42578125" bestFit="1" customWidth="1"/>
    <col min="1924" max="1924" width="9.140625" bestFit="1" customWidth="1"/>
    <col min="1925" max="1926" width="8.85546875" bestFit="1" customWidth="1"/>
    <col min="1927" max="1927" width="9.140625" bestFit="1" customWidth="1"/>
    <col min="1928" max="1930" width="9.28515625" bestFit="1" customWidth="1"/>
    <col min="1931" max="1931" width="8.85546875" bestFit="1" customWidth="1"/>
    <col min="1932" max="1932" width="9.28515625" bestFit="1" customWidth="1"/>
    <col min="1933" max="1933" width="9.140625" bestFit="1" customWidth="1"/>
    <col min="1934" max="1934" width="9.28515625" bestFit="1" customWidth="1"/>
    <col min="1935" max="1935" width="9.42578125" bestFit="1" customWidth="1"/>
    <col min="1936" max="1936" width="9.140625" bestFit="1" customWidth="1"/>
    <col min="1937" max="1937" width="9.28515625" bestFit="1" customWidth="1"/>
    <col min="1938" max="1939" width="9.140625" bestFit="1" customWidth="1"/>
    <col min="1940" max="1940" width="9.7109375" bestFit="1" customWidth="1"/>
    <col min="1941" max="1941" width="8.85546875" bestFit="1" customWidth="1"/>
    <col min="1942" max="1942" width="9.140625" bestFit="1" customWidth="1"/>
    <col min="1943" max="1944" width="8.85546875" bestFit="1" customWidth="1"/>
    <col min="1945" max="1945" width="8.28515625" bestFit="1" customWidth="1"/>
    <col min="1946" max="1946" width="9.7109375" bestFit="1" customWidth="1"/>
    <col min="1947" max="1947" width="9.140625" bestFit="1" customWidth="1"/>
    <col min="1948" max="1948" width="9.28515625" bestFit="1" customWidth="1"/>
    <col min="1949" max="1949" width="8.85546875" bestFit="1" customWidth="1"/>
    <col min="1950" max="1950" width="9.42578125" bestFit="1" customWidth="1"/>
    <col min="1951" max="1952" width="9.140625" bestFit="1" customWidth="1"/>
    <col min="1953" max="1953" width="8.85546875" bestFit="1" customWidth="1"/>
    <col min="1954" max="1954" width="9.28515625" bestFit="1" customWidth="1"/>
    <col min="1955" max="1955" width="9.140625" bestFit="1" customWidth="1"/>
    <col min="1956" max="1956" width="8.28515625" bestFit="1" customWidth="1"/>
    <col min="1957" max="1958" width="9.140625" bestFit="1" customWidth="1"/>
    <col min="1959" max="1959" width="8.85546875" bestFit="1" customWidth="1"/>
    <col min="1960" max="1960" width="9.140625" bestFit="1" customWidth="1"/>
    <col min="1961" max="1961" width="9.42578125" bestFit="1" customWidth="1"/>
    <col min="1962" max="1963" width="9.7109375" bestFit="1" customWidth="1"/>
    <col min="1964" max="1964" width="8.85546875" bestFit="1" customWidth="1"/>
    <col min="1965" max="1965" width="8.28515625" bestFit="1" customWidth="1"/>
    <col min="1966" max="1966" width="9.140625" bestFit="1" customWidth="1"/>
    <col min="1967" max="1967" width="8.85546875" bestFit="1" customWidth="1"/>
    <col min="1968" max="1968" width="8.28515625" bestFit="1" customWidth="1"/>
    <col min="1969" max="1969" width="9.7109375" bestFit="1" customWidth="1"/>
    <col min="1970" max="1970" width="8.85546875" bestFit="1" customWidth="1"/>
    <col min="1971" max="1971" width="9.140625" bestFit="1" customWidth="1"/>
    <col min="1972" max="1972" width="8.85546875" bestFit="1" customWidth="1"/>
    <col min="1973" max="1974" width="9.7109375" bestFit="1" customWidth="1"/>
    <col min="1975" max="1975" width="9.140625" bestFit="1" customWidth="1"/>
    <col min="1976" max="1978" width="8.85546875" bestFit="1" customWidth="1"/>
    <col min="1979" max="1979" width="9.140625" bestFit="1" customWidth="1"/>
    <col min="1980" max="1980" width="9.42578125" bestFit="1" customWidth="1"/>
    <col min="1981" max="1982" width="9.140625" bestFit="1" customWidth="1"/>
    <col min="1983" max="1983" width="9.42578125" bestFit="1" customWidth="1"/>
    <col min="1984" max="1984" width="8.85546875" bestFit="1" customWidth="1"/>
    <col min="1985" max="1986" width="9.140625" bestFit="1" customWidth="1"/>
    <col min="1987" max="1987" width="9.42578125" bestFit="1" customWidth="1"/>
    <col min="1988" max="1988" width="8.85546875" bestFit="1" customWidth="1"/>
    <col min="1989" max="1991" width="9.140625" bestFit="1" customWidth="1"/>
    <col min="1992" max="1992" width="9.42578125" bestFit="1" customWidth="1"/>
    <col min="1993" max="1993" width="9.140625" bestFit="1" customWidth="1"/>
    <col min="1994" max="1994" width="9.42578125" bestFit="1" customWidth="1"/>
    <col min="1995" max="1995" width="9.140625" bestFit="1" customWidth="1"/>
    <col min="1996" max="1996" width="8.28515625" bestFit="1" customWidth="1"/>
    <col min="1997" max="1997" width="9.7109375" bestFit="1" customWidth="1"/>
    <col min="1998" max="1998" width="9.140625" bestFit="1" customWidth="1"/>
    <col min="1999" max="2000" width="9.28515625" bestFit="1" customWidth="1"/>
    <col min="2001" max="2001" width="8.28515625" bestFit="1" customWidth="1"/>
    <col min="2002" max="2002" width="8.85546875" bestFit="1" customWidth="1"/>
    <col min="2003" max="2003" width="9.7109375" bestFit="1" customWidth="1"/>
    <col min="2004" max="2004" width="9.140625" bestFit="1" customWidth="1"/>
    <col min="2005" max="2006" width="9.7109375" bestFit="1" customWidth="1"/>
    <col min="2007" max="2007" width="8.85546875" bestFit="1" customWidth="1"/>
    <col min="2008" max="2009" width="9.140625" bestFit="1" customWidth="1"/>
    <col min="2010" max="2010" width="8.85546875" bestFit="1" customWidth="1"/>
    <col min="2011" max="2011" width="9.7109375" bestFit="1" customWidth="1"/>
    <col min="2012" max="2012" width="8.85546875" bestFit="1" customWidth="1"/>
    <col min="2013" max="2013" width="9.7109375" bestFit="1" customWidth="1"/>
    <col min="2014" max="2014" width="9.28515625" bestFit="1" customWidth="1"/>
    <col min="2015" max="2016" width="9.140625" bestFit="1" customWidth="1"/>
    <col min="2017" max="2018" width="9.7109375" bestFit="1" customWidth="1"/>
    <col min="2019" max="2019" width="9.140625" bestFit="1" customWidth="1"/>
    <col min="2020" max="2020" width="8.28515625" bestFit="1" customWidth="1"/>
    <col min="2021" max="2021" width="9.7109375" bestFit="1" customWidth="1"/>
    <col min="2022" max="2022" width="9.140625" bestFit="1" customWidth="1"/>
    <col min="2023" max="2023" width="9.7109375" bestFit="1" customWidth="1"/>
    <col min="2024" max="2024" width="9.28515625" bestFit="1" customWidth="1"/>
    <col min="2025" max="2025" width="8.28515625" bestFit="1" customWidth="1"/>
    <col min="2026" max="2026" width="8.85546875" bestFit="1" customWidth="1"/>
    <col min="2027" max="2029" width="9.140625" bestFit="1" customWidth="1"/>
    <col min="2030" max="2030" width="8.85546875" bestFit="1" customWidth="1"/>
    <col min="2031" max="2032" width="9.140625" bestFit="1" customWidth="1"/>
    <col min="2033" max="2033" width="9.28515625" bestFit="1" customWidth="1"/>
    <col min="2034" max="2034" width="9.7109375" bestFit="1" customWidth="1"/>
    <col min="2035" max="2035" width="9.28515625" bestFit="1" customWidth="1"/>
    <col min="2036" max="2036" width="9.140625" bestFit="1" customWidth="1"/>
    <col min="2037" max="2037" width="9.28515625" bestFit="1" customWidth="1"/>
    <col min="2038" max="2039" width="9.140625" bestFit="1" customWidth="1"/>
    <col min="2040" max="2040" width="8.85546875" bestFit="1" customWidth="1"/>
    <col min="2041" max="2041" width="9.28515625" bestFit="1" customWidth="1"/>
    <col min="2042" max="2042" width="9.140625" bestFit="1" customWidth="1"/>
    <col min="2043" max="2045" width="8.85546875" bestFit="1" customWidth="1"/>
    <col min="2046" max="2046" width="9.140625" bestFit="1" customWidth="1"/>
    <col min="2047" max="2047" width="8.85546875" bestFit="1" customWidth="1"/>
    <col min="2048" max="2049" width="9.140625" bestFit="1" customWidth="1"/>
    <col min="2050" max="2050" width="8.28515625" bestFit="1" customWidth="1"/>
    <col min="2051" max="2051" width="9.7109375" bestFit="1" customWidth="1"/>
    <col min="2052" max="2053" width="9.28515625" bestFit="1" customWidth="1"/>
    <col min="2054" max="2054" width="8.28515625" bestFit="1" customWidth="1"/>
    <col min="2055" max="2055" width="8.85546875" bestFit="1" customWidth="1"/>
    <col min="2056" max="2056" width="9.28515625" bestFit="1" customWidth="1"/>
    <col min="2057" max="2057" width="9.140625" bestFit="1" customWidth="1"/>
    <col min="2058" max="2058" width="8.85546875" bestFit="1" customWidth="1"/>
    <col min="2059" max="2059" width="9.42578125" bestFit="1" customWidth="1"/>
    <col min="2060" max="2063" width="9.140625" bestFit="1" customWidth="1"/>
    <col min="2064" max="2064" width="9.42578125" bestFit="1" customWidth="1"/>
    <col min="2065" max="2066" width="9.140625" bestFit="1" customWidth="1"/>
    <col min="2067" max="2067" width="8.85546875" bestFit="1" customWidth="1"/>
    <col min="2068" max="2068" width="9.7109375" bestFit="1" customWidth="1"/>
    <col min="2069" max="2069" width="9.140625" bestFit="1" customWidth="1"/>
    <col min="2070" max="2070" width="9.7109375" bestFit="1" customWidth="1"/>
    <col min="2071" max="2071" width="8.28515625" bestFit="1" customWidth="1"/>
    <col min="2072" max="2073" width="9.140625" bestFit="1" customWidth="1"/>
    <col min="2074" max="2074" width="9.7109375" bestFit="1" customWidth="1"/>
    <col min="2075" max="2075" width="8.28515625" bestFit="1" customWidth="1"/>
    <col min="2076" max="2076" width="9.140625" bestFit="1" customWidth="1"/>
    <col min="2077" max="2078" width="9.42578125" bestFit="1" customWidth="1"/>
    <col min="2079" max="2080" width="8.28515625" bestFit="1" customWidth="1"/>
    <col min="2081" max="2081" width="9.140625" bestFit="1" customWidth="1"/>
    <col min="2082" max="2082" width="8.85546875" bestFit="1" customWidth="1"/>
    <col min="2083" max="2083" width="9.140625" bestFit="1" customWidth="1"/>
    <col min="2084" max="2084" width="9.7109375" bestFit="1" customWidth="1"/>
    <col min="2085" max="2085" width="9.28515625" bestFit="1" customWidth="1"/>
    <col min="2086" max="2086" width="9.42578125" bestFit="1" customWidth="1"/>
    <col min="2087" max="2087" width="9.140625" bestFit="1" customWidth="1"/>
    <col min="2088" max="2088" width="9.42578125" bestFit="1" customWidth="1"/>
    <col min="2089" max="2090" width="9.140625" bestFit="1" customWidth="1"/>
    <col min="2091" max="2091" width="8.85546875" bestFit="1" customWidth="1"/>
    <col min="2092" max="2092" width="9.28515625" bestFit="1" customWidth="1"/>
    <col min="2093" max="2095" width="9.140625" bestFit="1" customWidth="1"/>
    <col min="2096" max="2096" width="9.7109375" bestFit="1" customWidth="1"/>
    <col min="2097" max="2097" width="9.140625" bestFit="1" customWidth="1"/>
    <col min="2098" max="2099" width="8.85546875" bestFit="1" customWidth="1"/>
    <col min="2100" max="2100" width="9.140625" bestFit="1" customWidth="1"/>
    <col min="2101" max="2101" width="8.85546875" bestFit="1" customWidth="1"/>
    <col min="2102" max="2102" width="9.42578125" bestFit="1" customWidth="1"/>
    <col min="2103" max="2103" width="9.140625" bestFit="1" customWidth="1"/>
    <col min="2104" max="2104" width="9.28515625" bestFit="1" customWidth="1"/>
    <col min="2105" max="2107" width="9.140625" bestFit="1" customWidth="1"/>
    <col min="2108" max="2108" width="9.42578125" bestFit="1" customWidth="1"/>
    <col min="2109" max="2110" width="8.85546875" bestFit="1" customWidth="1"/>
    <col min="2111" max="2111" width="9.140625" bestFit="1" customWidth="1"/>
    <col min="2112" max="2112" width="9.7109375" bestFit="1" customWidth="1"/>
    <col min="2113" max="2113" width="9.140625" bestFit="1" customWidth="1"/>
    <col min="2114" max="2114" width="8.28515625" bestFit="1" customWidth="1"/>
    <col min="2115" max="2115" width="9.140625" bestFit="1" customWidth="1"/>
    <col min="2116" max="2116" width="8.85546875" bestFit="1" customWidth="1"/>
    <col min="2117" max="2117" width="9.140625" bestFit="1" customWidth="1"/>
    <col min="2118" max="2118" width="9.7109375" bestFit="1" customWidth="1"/>
    <col min="2119" max="2120" width="9.140625" bestFit="1" customWidth="1"/>
    <col min="2121" max="2121" width="9.7109375" bestFit="1" customWidth="1"/>
    <col min="2122" max="2124" width="9.42578125" bestFit="1" customWidth="1"/>
    <col min="2125" max="2126" width="8.85546875" bestFit="1" customWidth="1"/>
    <col min="2127" max="2129" width="9.140625" bestFit="1" customWidth="1"/>
    <col min="2130" max="2130" width="9.7109375" bestFit="1" customWidth="1"/>
    <col min="2131" max="2131" width="9.140625" bestFit="1" customWidth="1"/>
    <col min="2132" max="2132" width="8.28515625" bestFit="1" customWidth="1"/>
    <col min="2133" max="2135" width="9.140625" bestFit="1" customWidth="1"/>
    <col min="2136" max="2136" width="8.28515625" bestFit="1" customWidth="1"/>
    <col min="2137" max="2138" width="8.85546875" bestFit="1" customWidth="1"/>
    <col min="2139" max="2139" width="9.28515625" bestFit="1" customWidth="1"/>
    <col min="2140" max="2140" width="9.42578125" bestFit="1" customWidth="1"/>
    <col min="2141" max="2143" width="8.85546875" bestFit="1" customWidth="1"/>
    <col min="2144" max="2144" width="9.7109375" bestFit="1" customWidth="1"/>
    <col min="2145" max="2149" width="9.140625" bestFit="1" customWidth="1"/>
    <col min="2150" max="2150" width="9.28515625" bestFit="1" customWidth="1"/>
    <col min="2151" max="2151" width="9.140625" bestFit="1" customWidth="1"/>
    <col min="2152" max="2152" width="8.85546875" bestFit="1" customWidth="1"/>
    <col min="2153" max="2153" width="8.28515625" bestFit="1" customWidth="1"/>
    <col min="2154" max="2154" width="8.85546875" bestFit="1" customWidth="1"/>
    <col min="2155" max="2155" width="9.140625" bestFit="1" customWidth="1"/>
    <col min="2156" max="2156" width="8.85546875" bestFit="1" customWidth="1"/>
    <col min="2157" max="2157" width="9.140625" bestFit="1" customWidth="1"/>
    <col min="2158" max="2158" width="9.42578125" bestFit="1" customWidth="1"/>
    <col min="2159" max="2159" width="8.85546875" bestFit="1" customWidth="1"/>
    <col min="2160" max="2160" width="9.28515625" bestFit="1" customWidth="1"/>
    <col min="2161" max="2161" width="9.140625" bestFit="1" customWidth="1"/>
    <col min="2162" max="2162" width="8.85546875" bestFit="1" customWidth="1"/>
    <col min="2163" max="2164" width="9.28515625" bestFit="1" customWidth="1"/>
    <col min="2165" max="2165" width="9.42578125" bestFit="1" customWidth="1"/>
    <col min="2166" max="2166" width="8.28515625" bestFit="1" customWidth="1"/>
    <col min="2167" max="2167" width="9.42578125" bestFit="1" customWidth="1"/>
    <col min="2168" max="2168" width="8.28515625" bestFit="1" customWidth="1"/>
    <col min="2169" max="2169" width="9.28515625" bestFit="1" customWidth="1"/>
    <col min="2170" max="2170" width="9.42578125" bestFit="1" customWidth="1"/>
    <col min="2171" max="2171" width="9.140625" bestFit="1" customWidth="1"/>
    <col min="2172" max="2172" width="8.85546875" bestFit="1" customWidth="1"/>
    <col min="2173" max="2173" width="8.28515625" bestFit="1" customWidth="1"/>
    <col min="2174" max="2175" width="9.140625" bestFit="1" customWidth="1"/>
    <col min="2176" max="2176" width="8.85546875" bestFit="1" customWidth="1"/>
    <col min="2177" max="2178" width="9.140625" bestFit="1" customWidth="1"/>
    <col min="2179" max="2179" width="8.85546875" bestFit="1" customWidth="1"/>
    <col min="2180" max="2180" width="9.140625" bestFit="1" customWidth="1"/>
    <col min="2181" max="2181" width="9.28515625" bestFit="1" customWidth="1"/>
    <col min="2182" max="2182" width="8.85546875" bestFit="1" customWidth="1"/>
    <col min="2183" max="2183" width="9.28515625" bestFit="1" customWidth="1"/>
    <col min="2184" max="2185" width="9.140625" bestFit="1" customWidth="1"/>
    <col min="2186" max="2186" width="8.28515625" bestFit="1" customWidth="1"/>
    <col min="2187" max="2188" width="9.140625" bestFit="1" customWidth="1"/>
    <col min="2189" max="2189" width="9.28515625" bestFit="1" customWidth="1"/>
    <col min="2190" max="2190" width="8.28515625" bestFit="1" customWidth="1"/>
    <col min="2191" max="2191" width="9.7109375" bestFit="1" customWidth="1"/>
    <col min="2192" max="2192" width="9.140625" bestFit="1" customWidth="1"/>
    <col min="2193" max="2193" width="9.7109375" bestFit="1" customWidth="1"/>
    <col min="2194" max="2194" width="9.140625" bestFit="1" customWidth="1"/>
    <col min="2195" max="2195" width="8.85546875" bestFit="1" customWidth="1"/>
    <col min="2196" max="2196" width="8.28515625" bestFit="1" customWidth="1"/>
    <col min="2197" max="2197" width="9.42578125" bestFit="1" customWidth="1"/>
    <col min="2198" max="2198" width="9.7109375" bestFit="1" customWidth="1"/>
    <col min="2199" max="2199" width="9.28515625" bestFit="1" customWidth="1"/>
    <col min="2200" max="2200" width="9.7109375" bestFit="1" customWidth="1"/>
    <col min="2201" max="2201" width="9.28515625" bestFit="1" customWidth="1"/>
    <col min="2202" max="2206" width="9.140625" bestFit="1" customWidth="1"/>
    <col min="2207" max="2207" width="8.85546875" bestFit="1" customWidth="1"/>
    <col min="2208" max="2208" width="9.42578125" bestFit="1" customWidth="1"/>
    <col min="2209" max="2210" width="9.140625" bestFit="1" customWidth="1"/>
    <col min="2211" max="2211" width="9.42578125" bestFit="1" customWidth="1"/>
    <col min="2212" max="2212" width="9.7109375" bestFit="1" customWidth="1"/>
    <col min="2213" max="2213" width="9.140625" bestFit="1" customWidth="1"/>
    <col min="2214" max="2214" width="8.85546875" bestFit="1" customWidth="1"/>
    <col min="2215" max="2215" width="9.140625" bestFit="1" customWidth="1"/>
    <col min="2216" max="2218" width="8.85546875" bestFit="1" customWidth="1"/>
    <col min="2219" max="2220" width="9.140625" bestFit="1" customWidth="1"/>
    <col min="2221" max="2221" width="8.85546875" bestFit="1" customWidth="1"/>
    <col min="2222" max="2222" width="9.42578125" bestFit="1" customWidth="1"/>
    <col min="2223" max="2223" width="9.7109375" bestFit="1" customWidth="1"/>
    <col min="2224" max="2224" width="9.140625" bestFit="1" customWidth="1"/>
    <col min="2225" max="2225" width="9.28515625" bestFit="1" customWidth="1"/>
    <col min="2226" max="2226" width="9.140625" bestFit="1" customWidth="1"/>
    <col min="2227" max="2227" width="8.28515625" bestFit="1" customWidth="1"/>
    <col min="2228" max="2228" width="9.7109375" bestFit="1" customWidth="1"/>
    <col min="2229" max="2229" width="8.85546875" bestFit="1" customWidth="1"/>
    <col min="2230" max="2230" width="9.140625" bestFit="1" customWidth="1"/>
    <col min="2231" max="2232" width="8.85546875" bestFit="1" customWidth="1"/>
    <col min="2233" max="2233" width="9.140625" bestFit="1" customWidth="1"/>
    <col min="2234" max="2234" width="8.85546875" bestFit="1" customWidth="1"/>
    <col min="2235" max="2235" width="9.140625" bestFit="1" customWidth="1"/>
    <col min="2236" max="2236" width="8.28515625" bestFit="1" customWidth="1"/>
    <col min="2237" max="2237" width="9.140625" bestFit="1" customWidth="1"/>
    <col min="2238" max="2238" width="9.7109375" bestFit="1" customWidth="1"/>
    <col min="2239" max="2239" width="8.85546875" bestFit="1" customWidth="1"/>
    <col min="2240" max="2240" width="9.7109375" bestFit="1" customWidth="1"/>
    <col min="2241" max="2244" width="9.42578125" bestFit="1" customWidth="1"/>
    <col min="2245" max="2246" width="8.85546875" bestFit="1" customWidth="1"/>
    <col min="2247" max="2248" width="9.140625" bestFit="1" customWidth="1"/>
    <col min="2249" max="2249" width="9.42578125" bestFit="1" customWidth="1"/>
    <col min="2250" max="2250" width="8.85546875" bestFit="1" customWidth="1"/>
    <col min="2251" max="2251" width="9.140625" bestFit="1" customWidth="1"/>
    <col min="2252" max="2252" width="9.42578125" bestFit="1" customWidth="1"/>
    <col min="2253" max="2253" width="9.28515625" bestFit="1" customWidth="1"/>
    <col min="2254" max="2254" width="9.7109375" bestFit="1" customWidth="1"/>
    <col min="2255" max="2255" width="9.140625" bestFit="1" customWidth="1"/>
    <col min="2256" max="2256" width="9.7109375" bestFit="1" customWidth="1"/>
    <col min="2257" max="2257" width="8.28515625" bestFit="1" customWidth="1"/>
    <col min="2258" max="2258" width="9.140625" bestFit="1" customWidth="1"/>
    <col min="2259" max="2259" width="8.85546875" bestFit="1" customWidth="1"/>
    <col min="2260" max="2261" width="9.140625" bestFit="1" customWidth="1"/>
    <col min="2262" max="2262" width="8.28515625" bestFit="1" customWidth="1"/>
    <col min="2263" max="2264" width="9.140625" bestFit="1" customWidth="1"/>
    <col min="2265" max="2265" width="9.42578125" bestFit="1" customWidth="1"/>
    <col min="2266" max="2266" width="9.140625" bestFit="1" customWidth="1"/>
    <col min="2267" max="2267" width="8.85546875" bestFit="1" customWidth="1"/>
    <col min="2268" max="2269" width="9.140625" bestFit="1" customWidth="1"/>
    <col min="2270" max="2270" width="8.28515625" bestFit="1" customWidth="1"/>
    <col min="2271" max="2272" width="8.85546875" bestFit="1" customWidth="1"/>
    <col min="2273" max="2273" width="9.28515625" bestFit="1" customWidth="1"/>
    <col min="2274" max="2275" width="9.140625" bestFit="1" customWidth="1"/>
    <col min="2276" max="2276" width="9.7109375" bestFit="1" customWidth="1"/>
    <col min="2277" max="2282" width="9.140625" bestFit="1" customWidth="1"/>
    <col min="2283" max="2283" width="9.42578125" bestFit="1" customWidth="1"/>
    <col min="2284" max="2286" width="8.85546875" bestFit="1" customWidth="1"/>
    <col min="2287" max="2287" width="9.28515625" bestFit="1" customWidth="1"/>
    <col min="2288" max="2288" width="9.140625" bestFit="1" customWidth="1"/>
    <col min="2289" max="2289" width="9.28515625" bestFit="1" customWidth="1"/>
    <col min="2290" max="2291" width="9.140625" bestFit="1" customWidth="1"/>
    <col min="2292" max="2292" width="9.7109375" bestFit="1" customWidth="1"/>
    <col min="2293" max="2294" width="8.85546875" bestFit="1" customWidth="1"/>
    <col min="2295" max="2295" width="9.140625" bestFit="1" customWidth="1"/>
    <col min="2296" max="2296" width="8.85546875" bestFit="1" customWidth="1"/>
    <col min="2297" max="2298" width="9.140625" bestFit="1" customWidth="1"/>
    <col min="2299" max="2300" width="8.85546875" bestFit="1" customWidth="1"/>
    <col min="2301" max="2301" width="9.7109375" bestFit="1" customWidth="1"/>
    <col min="2302" max="2302" width="9.140625" bestFit="1" customWidth="1"/>
    <col min="2303" max="2303" width="8.85546875" bestFit="1" customWidth="1"/>
    <col min="2304" max="2306" width="9.140625" bestFit="1" customWidth="1"/>
    <col min="2307" max="2307" width="8.85546875" bestFit="1" customWidth="1"/>
    <col min="2308" max="2309" width="9.140625" bestFit="1" customWidth="1"/>
    <col min="2310" max="2310" width="9.42578125" bestFit="1" customWidth="1"/>
    <col min="2311" max="2311" width="9.140625" bestFit="1" customWidth="1"/>
    <col min="2312" max="2314" width="8.85546875" bestFit="1" customWidth="1"/>
    <col min="2315" max="2315" width="9.42578125" bestFit="1" customWidth="1"/>
    <col min="2316" max="2316" width="9.140625" bestFit="1" customWidth="1"/>
    <col min="2317" max="2317" width="9.28515625" bestFit="1" customWidth="1"/>
    <col min="2318" max="2318" width="8.85546875" bestFit="1" customWidth="1"/>
    <col min="2319" max="2321" width="9.140625" bestFit="1" customWidth="1"/>
    <col min="2322" max="2322" width="9.28515625" bestFit="1" customWidth="1"/>
    <col min="2323" max="2323" width="8.85546875" bestFit="1" customWidth="1"/>
    <col min="2324" max="2324" width="9.28515625" bestFit="1" customWidth="1"/>
    <col min="2325" max="2325" width="9.140625" bestFit="1" customWidth="1"/>
    <col min="2326" max="2326" width="8.85546875" bestFit="1" customWidth="1"/>
    <col min="2327" max="2327" width="9.140625" bestFit="1" customWidth="1"/>
    <col min="2328" max="2329" width="8.85546875" bestFit="1" customWidth="1"/>
    <col min="2330" max="2330" width="9.28515625" bestFit="1" customWidth="1"/>
    <col min="2331" max="2333" width="9.140625" bestFit="1" customWidth="1"/>
    <col min="2334" max="2334" width="9.7109375" bestFit="1" customWidth="1"/>
    <col min="2335" max="2335" width="8.85546875" bestFit="1" customWidth="1"/>
    <col min="2336" max="2337" width="9.140625" bestFit="1" customWidth="1"/>
    <col min="2338" max="2339" width="8.85546875" bestFit="1" customWidth="1"/>
    <col min="2340" max="2340" width="9.140625" bestFit="1" customWidth="1"/>
    <col min="2341" max="2342" width="9.28515625" bestFit="1" customWidth="1"/>
    <col min="2343" max="2344" width="9.140625" bestFit="1" customWidth="1"/>
    <col min="2345" max="2345" width="9.7109375" bestFit="1" customWidth="1"/>
    <col min="2346" max="2346" width="8.85546875" bestFit="1" customWidth="1"/>
    <col min="2347" max="2347" width="8.28515625" bestFit="1" customWidth="1"/>
    <col min="2348" max="2348" width="9.7109375" bestFit="1" customWidth="1"/>
    <col min="2349" max="2349" width="9.28515625" bestFit="1" customWidth="1"/>
    <col min="2350" max="2350" width="9.42578125" bestFit="1" customWidth="1"/>
    <col min="2351" max="2351" width="8.28515625" bestFit="1" customWidth="1"/>
    <col min="2352" max="2352" width="9.140625" bestFit="1" customWidth="1"/>
    <col min="2353" max="2353" width="8.85546875" bestFit="1" customWidth="1"/>
    <col min="2354" max="2354" width="9.28515625" bestFit="1" customWidth="1"/>
    <col min="2355" max="2355" width="8.85546875" bestFit="1" customWidth="1"/>
    <col min="2356" max="2356" width="9.28515625" bestFit="1" customWidth="1"/>
    <col min="2357" max="2357" width="8.85546875" bestFit="1" customWidth="1"/>
    <col min="2358" max="2358" width="9.140625" bestFit="1" customWidth="1"/>
    <col min="2359" max="2359" width="8.85546875" bestFit="1" customWidth="1"/>
    <col min="2360" max="2360" width="9.140625" bestFit="1" customWidth="1"/>
    <col min="2361" max="2361" width="8.85546875" bestFit="1" customWidth="1"/>
    <col min="2362" max="2362" width="9.140625" bestFit="1" customWidth="1"/>
    <col min="2363" max="2363" width="9.42578125" bestFit="1" customWidth="1"/>
    <col min="2364" max="2365" width="9.140625" bestFit="1" customWidth="1"/>
    <col min="2366" max="2367" width="8.85546875" bestFit="1" customWidth="1"/>
    <col min="2368" max="2368" width="9.140625" bestFit="1" customWidth="1"/>
    <col min="2369" max="2369" width="8.85546875" bestFit="1" customWidth="1"/>
    <col min="2370" max="2370" width="8.28515625" bestFit="1" customWidth="1"/>
    <col min="2371" max="2371" width="9.28515625" bestFit="1" customWidth="1"/>
    <col min="2372" max="2373" width="8.85546875" bestFit="1" customWidth="1"/>
    <col min="2374" max="2374" width="9.7109375" bestFit="1" customWidth="1"/>
    <col min="2375" max="2375" width="9.28515625" bestFit="1" customWidth="1"/>
    <col min="2376" max="2376" width="9.7109375" bestFit="1" customWidth="1"/>
    <col min="2377" max="2378" width="9.140625" bestFit="1" customWidth="1"/>
    <col min="2379" max="2379" width="9.7109375" bestFit="1" customWidth="1"/>
    <col min="2380" max="2381" width="9.140625" bestFit="1" customWidth="1"/>
    <col min="2382" max="2382" width="8.85546875" bestFit="1" customWidth="1"/>
    <col min="2383" max="2383" width="9.140625" bestFit="1" customWidth="1"/>
    <col min="2384" max="2384" width="8.85546875" bestFit="1" customWidth="1"/>
    <col min="2385" max="2387" width="9.42578125" bestFit="1" customWidth="1"/>
    <col min="2388" max="2388" width="9.7109375" bestFit="1" customWidth="1"/>
    <col min="2389" max="2389" width="9.42578125" bestFit="1" customWidth="1"/>
    <col min="2390" max="2391" width="8.85546875" bestFit="1" customWidth="1"/>
    <col min="2392" max="2392" width="9.140625" bestFit="1" customWidth="1"/>
    <col min="2393" max="2393" width="8.85546875" bestFit="1" customWidth="1"/>
    <col min="2394" max="2394" width="8.28515625" bestFit="1" customWidth="1"/>
    <col min="2395" max="2395" width="9.140625" bestFit="1" customWidth="1"/>
    <col min="2396" max="2396" width="8.28515625" bestFit="1" customWidth="1"/>
    <col min="2397" max="2397" width="9.140625" bestFit="1" customWidth="1"/>
    <col min="2398" max="2398" width="9.42578125" bestFit="1" customWidth="1"/>
    <col min="2399" max="2400" width="9.28515625" bestFit="1" customWidth="1"/>
    <col min="2401" max="2401" width="8.85546875" bestFit="1" customWidth="1"/>
    <col min="2402" max="2402" width="8.28515625" bestFit="1" customWidth="1"/>
    <col min="2403" max="2403" width="9.7109375" bestFit="1" customWidth="1"/>
    <col min="2404" max="2404" width="9.140625" bestFit="1" customWidth="1"/>
    <col min="2405" max="2405" width="8.85546875" bestFit="1" customWidth="1"/>
    <col min="2406" max="2406" width="9.42578125" bestFit="1" customWidth="1"/>
    <col min="2407" max="2407" width="8.85546875" bestFit="1" customWidth="1"/>
    <col min="2408" max="2408" width="9.42578125" bestFit="1" customWidth="1"/>
    <col min="2409" max="2409" width="8.28515625" bestFit="1" customWidth="1"/>
    <col min="2410" max="2410" width="9.28515625" bestFit="1" customWidth="1"/>
    <col min="2411" max="2411" width="8.85546875" bestFit="1" customWidth="1"/>
    <col min="2412" max="2412" width="9.140625" bestFit="1" customWidth="1"/>
    <col min="2413" max="2413" width="8.85546875" bestFit="1" customWidth="1"/>
    <col min="2414" max="2416" width="9.42578125" bestFit="1" customWidth="1"/>
    <col min="2417" max="2417" width="9.140625" bestFit="1" customWidth="1"/>
    <col min="2418" max="2418" width="8.85546875" bestFit="1" customWidth="1"/>
    <col min="2419" max="2419" width="9.28515625" bestFit="1" customWidth="1"/>
    <col min="2420" max="2420" width="8.85546875" bestFit="1" customWidth="1"/>
    <col min="2421" max="2421" width="9.140625" bestFit="1" customWidth="1"/>
    <col min="2422" max="2422" width="8.85546875" bestFit="1" customWidth="1"/>
    <col min="2423" max="2423" width="9.140625" bestFit="1" customWidth="1"/>
    <col min="2424" max="2424" width="9.7109375" bestFit="1" customWidth="1"/>
    <col min="2425" max="2425" width="8.28515625" bestFit="1" customWidth="1"/>
    <col min="2426" max="2426" width="9.140625" bestFit="1" customWidth="1"/>
    <col min="2427" max="2427" width="9.42578125" bestFit="1" customWidth="1"/>
    <col min="2428" max="2429" width="9.140625" bestFit="1" customWidth="1"/>
    <col min="2430" max="2430" width="9.42578125" bestFit="1" customWidth="1"/>
    <col min="2431" max="2433" width="8.85546875" bestFit="1" customWidth="1"/>
    <col min="2434" max="2435" width="9.140625" bestFit="1" customWidth="1"/>
    <col min="2436" max="2436" width="8.28515625" bestFit="1" customWidth="1"/>
    <col min="2437" max="2437" width="9.7109375" bestFit="1" customWidth="1"/>
    <col min="2438" max="2438" width="8.28515625" bestFit="1" customWidth="1"/>
    <col min="2439" max="2439" width="9.42578125" bestFit="1" customWidth="1"/>
    <col min="2440" max="2442" width="8.85546875" bestFit="1" customWidth="1"/>
    <col min="2443" max="2444" width="9.140625" bestFit="1" customWidth="1"/>
    <col min="2445" max="2445" width="9.7109375" bestFit="1" customWidth="1"/>
    <col min="2446" max="2447" width="9.140625" bestFit="1" customWidth="1"/>
    <col min="2448" max="2448" width="9.42578125" bestFit="1" customWidth="1"/>
    <col min="2449" max="2449" width="8.85546875" bestFit="1" customWidth="1"/>
    <col min="2450" max="2451" width="9.42578125" bestFit="1" customWidth="1"/>
    <col min="2452" max="2452" width="9.7109375" bestFit="1" customWidth="1"/>
    <col min="2453" max="2453" width="8.85546875" bestFit="1" customWidth="1"/>
    <col min="2454" max="2454" width="9.7109375" bestFit="1" customWidth="1"/>
    <col min="2455" max="2455" width="9.140625" bestFit="1" customWidth="1"/>
    <col min="2456" max="2456" width="8.28515625" bestFit="1" customWidth="1"/>
    <col min="2457" max="2457" width="9.42578125" bestFit="1" customWidth="1"/>
    <col min="2458" max="2458" width="8.85546875" bestFit="1" customWidth="1"/>
    <col min="2459" max="2459" width="9.140625" bestFit="1" customWidth="1"/>
    <col min="2460" max="2461" width="8.85546875" bestFit="1" customWidth="1"/>
    <col min="2462" max="2462" width="8.28515625" bestFit="1" customWidth="1"/>
    <col min="2463" max="2463" width="9.140625" bestFit="1" customWidth="1"/>
    <col min="2464" max="2464" width="9.28515625" bestFit="1" customWidth="1"/>
    <col min="2465" max="2465" width="8.85546875" bestFit="1" customWidth="1"/>
    <col min="2466" max="2466" width="9.7109375" bestFit="1" customWidth="1"/>
    <col min="2467" max="2467" width="8.85546875" bestFit="1" customWidth="1"/>
    <col min="2468" max="2468" width="9.42578125" bestFit="1" customWidth="1"/>
    <col min="2469" max="2471" width="9.140625" bestFit="1" customWidth="1"/>
    <col min="2472" max="2472" width="8.85546875" bestFit="1" customWidth="1"/>
    <col min="2473" max="2473" width="9.140625" bestFit="1" customWidth="1"/>
    <col min="2474" max="2474" width="9.28515625" bestFit="1" customWidth="1"/>
    <col min="2475" max="2475" width="9.42578125" bestFit="1" customWidth="1"/>
    <col min="2476" max="2476" width="8.28515625" bestFit="1" customWidth="1"/>
    <col min="2477" max="2477" width="9.28515625" bestFit="1" customWidth="1"/>
    <col min="2478" max="2478" width="9.140625" bestFit="1" customWidth="1"/>
    <col min="2479" max="2479" width="9.28515625" bestFit="1" customWidth="1"/>
    <col min="2480" max="2480" width="9.42578125" bestFit="1" customWidth="1"/>
    <col min="2481" max="2481" width="9.28515625" bestFit="1" customWidth="1"/>
    <col min="2482" max="2484" width="9.140625" bestFit="1" customWidth="1"/>
    <col min="2485" max="2485" width="8.85546875" bestFit="1" customWidth="1"/>
    <col min="2486" max="2486" width="9.28515625" bestFit="1" customWidth="1"/>
    <col min="2487" max="2487" width="9.42578125" bestFit="1" customWidth="1"/>
    <col min="2488" max="2488" width="9.28515625" bestFit="1" customWidth="1"/>
    <col min="2489" max="2489" width="9.140625" bestFit="1" customWidth="1"/>
    <col min="2490" max="2490" width="8.85546875" bestFit="1" customWidth="1"/>
    <col min="2491" max="2491" width="9.140625" bestFit="1" customWidth="1"/>
    <col min="2492" max="2492" width="8.85546875" bestFit="1" customWidth="1"/>
    <col min="2493" max="2493" width="9.42578125" bestFit="1" customWidth="1"/>
    <col min="2494" max="2495" width="8.28515625" bestFit="1" customWidth="1"/>
    <col min="2496" max="2497" width="9.140625" bestFit="1" customWidth="1"/>
    <col min="2498" max="2498" width="9.7109375" bestFit="1" customWidth="1"/>
    <col min="2499" max="2499" width="8.85546875" bestFit="1" customWidth="1"/>
    <col min="2500" max="2500" width="9.7109375" bestFit="1" customWidth="1"/>
    <col min="2501" max="2501" width="8.85546875" bestFit="1" customWidth="1"/>
    <col min="2502" max="2502" width="9.28515625" bestFit="1" customWidth="1"/>
    <col min="2503" max="2504" width="9.140625" bestFit="1" customWidth="1"/>
    <col min="2505" max="2505" width="8.85546875" bestFit="1" customWidth="1"/>
    <col min="2506" max="2506" width="9.28515625" bestFit="1" customWidth="1"/>
    <col min="2507" max="2507" width="8.28515625" bestFit="1" customWidth="1"/>
    <col min="2508" max="2509" width="8.85546875" bestFit="1" customWidth="1"/>
    <col min="2510" max="2510" width="9.140625" bestFit="1" customWidth="1"/>
    <col min="2511" max="2511" width="8.85546875" bestFit="1" customWidth="1"/>
    <col min="2512" max="2512" width="9.28515625" bestFit="1" customWidth="1"/>
    <col min="2513" max="2513" width="8.28515625" bestFit="1" customWidth="1"/>
    <col min="2514" max="2514" width="9.140625" bestFit="1" customWidth="1"/>
    <col min="2515" max="2515" width="9.28515625" bestFit="1" customWidth="1"/>
    <col min="2516" max="2516" width="9.42578125" bestFit="1" customWidth="1"/>
    <col min="2517" max="2517" width="9.7109375" bestFit="1" customWidth="1"/>
    <col min="2518" max="2518" width="9.42578125" bestFit="1" customWidth="1"/>
    <col min="2519" max="2519" width="9.140625" bestFit="1" customWidth="1"/>
    <col min="2520" max="2520" width="8.85546875" bestFit="1" customWidth="1"/>
    <col min="2521" max="2521" width="9.140625" bestFit="1" customWidth="1"/>
    <col min="2522" max="2523" width="9.42578125" bestFit="1" customWidth="1"/>
    <col min="2524" max="2525" width="9.140625" bestFit="1" customWidth="1"/>
    <col min="2526" max="2526" width="8.28515625" bestFit="1" customWidth="1"/>
    <col min="2527" max="2527" width="9.140625" bestFit="1" customWidth="1"/>
    <col min="2528" max="2528" width="8.85546875" bestFit="1" customWidth="1"/>
    <col min="2529" max="2529" width="9.140625" bestFit="1" customWidth="1"/>
    <col min="2530" max="2530" width="9.42578125" bestFit="1" customWidth="1"/>
    <col min="2531" max="2531" width="9.140625" bestFit="1" customWidth="1"/>
    <col min="2532" max="2533" width="9.28515625" bestFit="1" customWidth="1"/>
    <col min="2534" max="2535" width="8.85546875" bestFit="1" customWidth="1"/>
    <col min="2536" max="2537" width="9.140625" bestFit="1" customWidth="1"/>
    <col min="2538" max="2538" width="9.7109375" bestFit="1" customWidth="1"/>
    <col min="2539" max="2540" width="8.85546875" bestFit="1" customWidth="1"/>
    <col min="2541" max="2545" width="9.140625" bestFit="1" customWidth="1"/>
    <col min="2546" max="2546" width="9.42578125" bestFit="1" customWidth="1"/>
    <col min="2547" max="2547" width="9.140625" bestFit="1" customWidth="1"/>
    <col min="2548" max="2549" width="8.85546875" bestFit="1" customWidth="1"/>
    <col min="2550" max="2550" width="9.140625" bestFit="1" customWidth="1"/>
    <col min="2551" max="2551" width="9.28515625" bestFit="1" customWidth="1"/>
    <col min="2552" max="2552" width="9.42578125" bestFit="1" customWidth="1"/>
    <col min="2553" max="2553" width="9.7109375" bestFit="1" customWidth="1"/>
    <col min="2554" max="2555" width="9.140625" bestFit="1" customWidth="1"/>
    <col min="2556" max="2556" width="8.28515625" bestFit="1" customWidth="1"/>
    <col min="2557" max="2557" width="8.85546875" bestFit="1" customWidth="1"/>
    <col min="2558" max="2558" width="8.28515625" bestFit="1" customWidth="1"/>
    <col min="2559" max="2559" width="9.7109375" bestFit="1" customWidth="1"/>
    <col min="2560" max="2560" width="9.28515625" bestFit="1" customWidth="1"/>
    <col min="2561" max="2562" width="9.7109375" bestFit="1" customWidth="1"/>
    <col min="2563" max="2563" width="9.140625" bestFit="1" customWidth="1"/>
    <col min="2564" max="2564" width="9.42578125" bestFit="1" customWidth="1"/>
    <col min="2565" max="2565" width="9.7109375" bestFit="1" customWidth="1"/>
    <col min="2566" max="2567" width="9.140625" bestFit="1" customWidth="1"/>
    <col min="2568" max="2568" width="8.28515625" bestFit="1" customWidth="1"/>
    <col min="2569" max="2569" width="9.140625" bestFit="1" customWidth="1"/>
    <col min="2570" max="2570" width="8.85546875" bestFit="1" customWidth="1"/>
    <col min="2571" max="2575" width="9.140625" bestFit="1" customWidth="1"/>
    <col min="2576" max="2576" width="9.28515625" bestFit="1" customWidth="1"/>
    <col min="2577" max="2577" width="8.28515625" bestFit="1" customWidth="1"/>
    <col min="2578" max="2578" width="9.7109375" bestFit="1" customWidth="1"/>
    <col min="2579" max="2580" width="9.140625" bestFit="1" customWidth="1"/>
    <col min="2581" max="2581" width="8.85546875" bestFit="1" customWidth="1"/>
    <col min="2582" max="2582" width="9.28515625" bestFit="1" customWidth="1"/>
    <col min="2583" max="2583" width="9.7109375" bestFit="1" customWidth="1"/>
    <col min="2584" max="2584" width="9.42578125" bestFit="1" customWidth="1"/>
    <col min="2585" max="2585" width="9.28515625" bestFit="1" customWidth="1"/>
    <col min="2586" max="2587" width="8.85546875" bestFit="1" customWidth="1"/>
    <col min="2588" max="2588" width="9.7109375" bestFit="1" customWidth="1"/>
    <col min="2589" max="2589" width="9.140625" bestFit="1" customWidth="1"/>
    <col min="2590" max="2591" width="8.85546875" bestFit="1" customWidth="1"/>
    <col min="2592" max="2592" width="9.140625" bestFit="1" customWidth="1"/>
    <col min="2593" max="2593" width="9.42578125" bestFit="1" customWidth="1"/>
    <col min="2594" max="2595" width="9.140625" bestFit="1" customWidth="1"/>
    <col min="2596" max="2596" width="8.85546875" bestFit="1" customWidth="1"/>
    <col min="2597" max="2597" width="9.7109375" bestFit="1" customWidth="1"/>
    <col min="2598" max="2598" width="8.85546875" bestFit="1" customWidth="1"/>
    <col min="2599" max="2599" width="9.7109375" bestFit="1" customWidth="1"/>
    <col min="2600" max="2600" width="8.28515625" bestFit="1" customWidth="1"/>
    <col min="2601" max="2601" width="9.140625" bestFit="1" customWidth="1"/>
    <col min="2602" max="2602" width="8.28515625" bestFit="1" customWidth="1"/>
    <col min="2603" max="2603" width="9.28515625" bestFit="1" customWidth="1"/>
    <col min="2604" max="2606" width="9.140625" bestFit="1" customWidth="1"/>
    <col min="2607" max="2607" width="8.85546875" bestFit="1" customWidth="1"/>
    <col min="2608" max="2608" width="9.42578125" bestFit="1" customWidth="1"/>
    <col min="2609" max="2613" width="9.140625" bestFit="1" customWidth="1"/>
    <col min="2614" max="2614" width="8.85546875" bestFit="1" customWidth="1"/>
    <col min="2615" max="2615" width="9.28515625" bestFit="1" customWidth="1"/>
    <col min="2616" max="2616" width="8.85546875" bestFit="1" customWidth="1"/>
    <col min="2617" max="2617" width="9.42578125" bestFit="1" customWidth="1"/>
    <col min="2618" max="2618" width="9.140625" bestFit="1" customWidth="1"/>
    <col min="2619" max="2619" width="9.42578125" bestFit="1" customWidth="1"/>
    <col min="2620" max="2620" width="8.85546875" bestFit="1" customWidth="1"/>
    <col min="2621" max="2621" width="9.140625" bestFit="1" customWidth="1"/>
    <col min="2622" max="2622" width="9.7109375" bestFit="1" customWidth="1"/>
    <col min="2623" max="2623" width="9.42578125" bestFit="1" customWidth="1"/>
    <col min="2624" max="2624" width="8.28515625" bestFit="1" customWidth="1"/>
    <col min="2625" max="2625" width="8.85546875" bestFit="1" customWidth="1"/>
    <col min="2626" max="2626" width="9.28515625" bestFit="1" customWidth="1"/>
    <col min="2627" max="2628" width="9.140625" bestFit="1" customWidth="1"/>
    <col min="2629" max="2629" width="9.42578125" bestFit="1" customWidth="1"/>
    <col min="2630" max="2630" width="9.28515625" bestFit="1" customWidth="1"/>
    <col min="2631" max="2631" width="9.140625" bestFit="1" customWidth="1"/>
    <col min="2632" max="2632" width="8.85546875" bestFit="1" customWidth="1"/>
    <col min="2633" max="2633" width="9.140625" bestFit="1" customWidth="1"/>
    <col min="2634" max="2634" width="8.85546875" bestFit="1" customWidth="1"/>
    <col min="2635" max="2635" width="8.28515625" bestFit="1" customWidth="1"/>
    <col min="2636" max="2636" width="9.140625" bestFit="1" customWidth="1"/>
    <col min="2637" max="2638" width="9.7109375" bestFit="1" customWidth="1"/>
    <col min="2639" max="2639" width="8.85546875" bestFit="1" customWidth="1"/>
    <col min="2640" max="2640" width="9.42578125" bestFit="1" customWidth="1"/>
    <col min="2641" max="2641" width="9.140625" bestFit="1" customWidth="1"/>
    <col min="2642" max="2642" width="8.28515625" bestFit="1" customWidth="1"/>
    <col min="2643" max="2644" width="9.140625" bestFit="1" customWidth="1"/>
    <col min="2645" max="2645" width="8.28515625" bestFit="1" customWidth="1"/>
    <col min="2646" max="2646" width="9.7109375" bestFit="1" customWidth="1"/>
    <col min="2647" max="2647" width="8.85546875" bestFit="1" customWidth="1"/>
    <col min="2648" max="2648" width="9.28515625" bestFit="1" customWidth="1"/>
    <col min="2649" max="2649" width="9.42578125" bestFit="1" customWidth="1"/>
    <col min="2650" max="2650" width="8.85546875" bestFit="1" customWidth="1"/>
    <col min="2651" max="2651" width="9.140625" bestFit="1" customWidth="1"/>
    <col min="2652" max="2652" width="9.28515625" bestFit="1" customWidth="1"/>
    <col min="2653" max="2656" width="9.140625" bestFit="1" customWidth="1"/>
    <col min="2657" max="2657" width="8.28515625" bestFit="1" customWidth="1"/>
    <col min="2658" max="2658" width="8.85546875" bestFit="1" customWidth="1"/>
    <col min="2659" max="2659" width="9.28515625" bestFit="1" customWidth="1"/>
    <col min="2660" max="2660" width="8.85546875" bestFit="1" customWidth="1"/>
    <col min="2661" max="2662" width="9.140625" bestFit="1" customWidth="1"/>
    <col min="2663" max="2663" width="8.85546875" bestFit="1" customWidth="1"/>
    <col min="2664" max="2664" width="8.28515625" bestFit="1" customWidth="1"/>
    <col min="2665" max="2665" width="9.42578125" bestFit="1" customWidth="1"/>
    <col min="2666" max="2666" width="9.28515625" bestFit="1" customWidth="1"/>
    <col min="2667" max="2667" width="9.140625" bestFit="1" customWidth="1"/>
    <col min="2668" max="2668" width="8.28515625" bestFit="1" customWidth="1"/>
    <col min="2669" max="2669" width="9.42578125" bestFit="1" customWidth="1"/>
    <col min="2670" max="2670" width="9.7109375" bestFit="1" customWidth="1"/>
    <col min="2671" max="2671" width="9.140625" bestFit="1" customWidth="1"/>
    <col min="2672" max="2672" width="8.85546875" bestFit="1" customWidth="1"/>
    <col min="2673" max="2673" width="9.42578125" bestFit="1" customWidth="1"/>
    <col min="2674" max="2674" width="8.85546875" bestFit="1" customWidth="1"/>
    <col min="2675" max="2675" width="9.140625" bestFit="1" customWidth="1"/>
    <col min="2676" max="2676" width="9.7109375" bestFit="1" customWidth="1"/>
    <col min="2677" max="2677" width="9.140625" bestFit="1" customWidth="1"/>
    <col min="2678" max="2678" width="9.42578125" bestFit="1" customWidth="1"/>
    <col min="2679" max="2679" width="9.140625" bestFit="1" customWidth="1"/>
    <col min="2680" max="2680" width="8.85546875" bestFit="1" customWidth="1"/>
    <col min="2681" max="2681" width="9.140625" bestFit="1" customWidth="1"/>
    <col min="2682" max="2683" width="9.28515625" bestFit="1" customWidth="1"/>
    <col min="2684" max="2684" width="9.42578125" bestFit="1" customWidth="1"/>
    <col min="2685" max="2685" width="9.7109375" bestFit="1" customWidth="1"/>
    <col min="2686" max="2686" width="8.28515625" bestFit="1" customWidth="1"/>
    <col min="2687" max="2687" width="9.28515625" bestFit="1" customWidth="1"/>
    <col min="2688" max="2688" width="9.140625" bestFit="1" customWidth="1"/>
    <col min="2689" max="2689" width="8.85546875" bestFit="1" customWidth="1"/>
    <col min="2690" max="2690" width="9.140625" bestFit="1" customWidth="1"/>
    <col min="2691" max="2691" width="8.85546875" bestFit="1" customWidth="1"/>
    <col min="2692" max="2693" width="9.140625" bestFit="1" customWidth="1"/>
    <col min="2694" max="2694" width="9.7109375" bestFit="1" customWidth="1"/>
    <col min="2695" max="2695" width="8.28515625" bestFit="1" customWidth="1"/>
    <col min="2696" max="2696" width="8.85546875" bestFit="1" customWidth="1"/>
    <col min="2697" max="2697" width="9.7109375" bestFit="1" customWidth="1"/>
    <col min="2698" max="2698" width="9.140625" bestFit="1" customWidth="1"/>
    <col min="2699" max="2699" width="8.28515625" bestFit="1" customWidth="1"/>
    <col min="2700" max="2700" width="9.140625" bestFit="1" customWidth="1"/>
    <col min="2701" max="2702" width="8.28515625" bestFit="1" customWidth="1"/>
    <col min="2703" max="2703" width="9.42578125" bestFit="1" customWidth="1"/>
    <col min="2704" max="2704" width="9.140625" bestFit="1" customWidth="1"/>
    <col min="2705" max="2706" width="9.42578125" bestFit="1" customWidth="1"/>
    <col min="2707" max="2707" width="8.85546875" bestFit="1" customWidth="1"/>
    <col min="2708" max="2708" width="9.140625" bestFit="1" customWidth="1"/>
    <col min="2709" max="2709" width="8.85546875" bestFit="1" customWidth="1"/>
    <col min="2710" max="2711" width="9.140625" bestFit="1" customWidth="1"/>
    <col min="2712" max="2712" width="8.85546875" bestFit="1" customWidth="1"/>
    <col min="2713" max="2713" width="9.140625" bestFit="1" customWidth="1"/>
    <col min="2714" max="2714" width="8.85546875" bestFit="1" customWidth="1"/>
    <col min="2715" max="2715" width="9.42578125" bestFit="1" customWidth="1"/>
    <col min="2716" max="2716" width="8.85546875" bestFit="1" customWidth="1"/>
    <col min="2717" max="2717" width="8.28515625" bestFit="1" customWidth="1"/>
    <col min="2718" max="2719" width="9.140625" bestFit="1" customWidth="1"/>
    <col min="2720" max="2720" width="9.42578125" bestFit="1" customWidth="1"/>
    <col min="2721" max="2721" width="9.140625" bestFit="1" customWidth="1"/>
    <col min="2722" max="2722" width="9.28515625" bestFit="1" customWidth="1"/>
    <col min="2723" max="2724" width="8.85546875" bestFit="1" customWidth="1"/>
    <col min="2725" max="2725" width="9.140625" bestFit="1" customWidth="1"/>
    <col min="2726" max="2726" width="8.28515625" bestFit="1" customWidth="1"/>
    <col min="2727" max="2727" width="9.140625" bestFit="1" customWidth="1"/>
    <col min="2728" max="2728" width="8.85546875" bestFit="1" customWidth="1"/>
    <col min="2729" max="2731" width="9.140625" bestFit="1" customWidth="1"/>
    <col min="2732" max="2732" width="8.85546875" bestFit="1" customWidth="1"/>
    <col min="2733" max="2733" width="9.42578125" bestFit="1" customWidth="1"/>
    <col min="2734" max="2734" width="9.140625" bestFit="1" customWidth="1"/>
    <col min="2735" max="2735" width="8.28515625" bestFit="1" customWidth="1"/>
    <col min="2736" max="2736" width="9.42578125" bestFit="1" customWidth="1"/>
    <col min="2737" max="2737" width="8.28515625" bestFit="1" customWidth="1"/>
    <col min="2738" max="2738" width="9.140625" bestFit="1" customWidth="1"/>
    <col min="2739" max="2739" width="9.42578125" bestFit="1" customWidth="1"/>
    <col min="2740" max="2740" width="8.85546875" bestFit="1" customWidth="1"/>
    <col min="2741" max="2741" width="9.140625" bestFit="1" customWidth="1"/>
    <col min="2742" max="2743" width="8.85546875" bestFit="1" customWidth="1"/>
    <col min="2744" max="2746" width="9.28515625" bestFit="1" customWidth="1"/>
    <col min="2747" max="2747" width="8.85546875" bestFit="1" customWidth="1"/>
    <col min="2748" max="2748" width="9.140625" bestFit="1" customWidth="1"/>
    <col min="2749" max="2749" width="9.7109375" bestFit="1" customWidth="1"/>
    <col min="2750" max="2750" width="9.28515625" bestFit="1" customWidth="1"/>
    <col min="2751" max="2751" width="8.85546875" bestFit="1" customWidth="1"/>
    <col min="2752" max="2752" width="9.28515625" bestFit="1" customWidth="1"/>
    <col min="2753" max="2753" width="9.140625" bestFit="1" customWidth="1"/>
    <col min="2754" max="2754" width="8.28515625" bestFit="1" customWidth="1"/>
    <col min="2755" max="2756" width="9.140625" bestFit="1" customWidth="1"/>
    <col min="2757" max="2757" width="8.28515625" bestFit="1" customWidth="1"/>
    <col min="2758" max="2758" width="9.28515625" bestFit="1" customWidth="1"/>
    <col min="2759" max="2759" width="8.85546875" bestFit="1" customWidth="1"/>
    <col min="2760" max="2761" width="9.140625" bestFit="1" customWidth="1"/>
    <col min="2762" max="2762" width="8.85546875" bestFit="1" customWidth="1"/>
    <col min="2763" max="2764" width="9.140625" bestFit="1" customWidth="1"/>
    <col min="2765" max="2765" width="8.85546875" bestFit="1" customWidth="1"/>
    <col min="2766" max="2767" width="9.140625" bestFit="1" customWidth="1"/>
    <col min="2768" max="2768" width="9.7109375" bestFit="1" customWidth="1"/>
    <col min="2769" max="2769" width="9.28515625" bestFit="1" customWidth="1"/>
    <col min="2770" max="2771" width="9.140625" bestFit="1" customWidth="1"/>
    <col min="2772" max="2772" width="8.28515625" bestFit="1" customWidth="1"/>
    <col min="2773" max="2773" width="9.28515625" bestFit="1" customWidth="1"/>
    <col min="2774" max="2774" width="9.42578125" bestFit="1" customWidth="1"/>
    <col min="2775" max="2775" width="8.85546875" bestFit="1" customWidth="1"/>
    <col min="2776" max="2776" width="9.140625" bestFit="1" customWidth="1"/>
    <col min="2777" max="2777" width="9.28515625" bestFit="1" customWidth="1"/>
    <col min="2778" max="2778" width="9.140625" bestFit="1" customWidth="1"/>
    <col min="2779" max="2779" width="8.85546875" bestFit="1" customWidth="1"/>
    <col min="2780" max="2780" width="9.28515625" bestFit="1" customWidth="1"/>
    <col min="2781" max="2783" width="9.140625" bestFit="1" customWidth="1"/>
    <col min="2784" max="2784" width="9.28515625" bestFit="1" customWidth="1"/>
    <col min="2785" max="2785" width="8.28515625" bestFit="1" customWidth="1"/>
    <col min="2786" max="2786" width="9.28515625" bestFit="1" customWidth="1"/>
    <col min="2787" max="2787" width="8.85546875" bestFit="1" customWidth="1"/>
    <col min="2788" max="2788" width="9.7109375" bestFit="1" customWidth="1"/>
    <col min="2789" max="2789" width="9.140625" bestFit="1" customWidth="1"/>
    <col min="2790" max="2790" width="9.28515625" bestFit="1" customWidth="1"/>
    <col min="2791" max="2793" width="9.140625" bestFit="1" customWidth="1"/>
    <col min="2794" max="2796" width="8.85546875" bestFit="1" customWidth="1"/>
    <col min="2797" max="2797" width="9.42578125" bestFit="1" customWidth="1"/>
    <col min="2798" max="2798" width="9.140625" bestFit="1" customWidth="1"/>
    <col min="2799" max="2801" width="8.85546875" bestFit="1" customWidth="1"/>
    <col min="2802" max="2802" width="9.28515625" bestFit="1" customWidth="1"/>
    <col min="2803" max="2803" width="9.42578125" bestFit="1" customWidth="1"/>
    <col min="2804" max="2804" width="8.28515625" bestFit="1" customWidth="1"/>
    <col min="2805" max="2806" width="9.140625" bestFit="1" customWidth="1"/>
    <col min="2807" max="2807" width="8.85546875" bestFit="1" customWidth="1"/>
    <col min="2808" max="2808" width="8.28515625" bestFit="1" customWidth="1"/>
    <col min="2809" max="2809" width="9.7109375" bestFit="1" customWidth="1"/>
    <col min="2810" max="2810" width="9.42578125" bestFit="1" customWidth="1"/>
    <col min="2811" max="2811" width="9.7109375" bestFit="1" customWidth="1"/>
    <col min="2812" max="2814" width="9.140625" bestFit="1" customWidth="1"/>
    <col min="2815" max="2815" width="8.85546875" bestFit="1" customWidth="1"/>
    <col min="2816" max="2816" width="9.7109375" bestFit="1" customWidth="1"/>
    <col min="2817" max="2817" width="8.28515625" bestFit="1" customWidth="1"/>
    <col min="2818" max="2818" width="8.85546875" bestFit="1" customWidth="1"/>
    <col min="2819" max="2819" width="9.140625" bestFit="1" customWidth="1"/>
    <col min="2820" max="2820" width="9.28515625" bestFit="1" customWidth="1"/>
    <col min="2821" max="2821" width="8.85546875" bestFit="1" customWidth="1"/>
    <col min="2822" max="2822" width="9.28515625" bestFit="1" customWidth="1"/>
    <col min="2823" max="2823" width="9.140625" bestFit="1" customWidth="1"/>
    <col min="2824" max="2824" width="8.85546875" bestFit="1" customWidth="1"/>
    <col min="2825" max="2825" width="9.28515625" bestFit="1" customWidth="1"/>
    <col min="2826" max="2826" width="9.140625" bestFit="1" customWidth="1"/>
    <col min="2827" max="2827" width="8.85546875" bestFit="1" customWidth="1"/>
    <col min="2828" max="2828" width="9.42578125" bestFit="1" customWidth="1"/>
    <col min="2829" max="2829" width="9.28515625" bestFit="1" customWidth="1"/>
    <col min="2830" max="2834" width="9.140625" bestFit="1" customWidth="1"/>
    <col min="2835" max="2835" width="8.28515625" bestFit="1" customWidth="1"/>
    <col min="2836" max="2836" width="8.85546875" bestFit="1" customWidth="1"/>
    <col min="2837" max="2837" width="9.28515625" bestFit="1" customWidth="1"/>
    <col min="2838" max="2838" width="9.140625" bestFit="1" customWidth="1"/>
    <col min="2839" max="2839" width="9.7109375" bestFit="1" customWidth="1"/>
    <col min="2840" max="2840" width="9.140625" bestFit="1" customWidth="1"/>
    <col min="2841" max="2841" width="8.85546875" bestFit="1" customWidth="1"/>
    <col min="2842" max="2842" width="9.42578125" bestFit="1" customWidth="1"/>
    <col min="2843" max="2844" width="8.85546875" bestFit="1" customWidth="1"/>
    <col min="2845" max="2845" width="9.7109375" bestFit="1" customWidth="1"/>
    <col min="2846" max="2846" width="9.140625" bestFit="1" customWidth="1"/>
    <col min="2847" max="2847" width="8.85546875" bestFit="1" customWidth="1"/>
    <col min="2848" max="2848" width="9.7109375" bestFit="1" customWidth="1"/>
    <col min="2849" max="2849" width="8.85546875" bestFit="1" customWidth="1"/>
    <col min="2850" max="2850" width="8.28515625" bestFit="1" customWidth="1"/>
    <col min="2851" max="2851" width="9.42578125" bestFit="1" customWidth="1"/>
    <col min="2852" max="2852" width="9.140625" bestFit="1" customWidth="1"/>
    <col min="2853" max="2854" width="9.42578125" bestFit="1" customWidth="1"/>
    <col min="2855" max="2856" width="9.140625" bestFit="1" customWidth="1"/>
    <col min="2857" max="2857" width="9.42578125" bestFit="1" customWidth="1"/>
    <col min="2858" max="2858" width="8.85546875" bestFit="1" customWidth="1"/>
    <col min="2859" max="2859" width="9.140625" bestFit="1" customWidth="1"/>
    <col min="2860" max="2860" width="9.28515625" bestFit="1" customWidth="1"/>
    <col min="2861" max="2861" width="9.140625" bestFit="1" customWidth="1"/>
    <col min="2862" max="2862" width="9.42578125" bestFit="1" customWidth="1"/>
    <col min="2863" max="2863" width="8.28515625" bestFit="1" customWidth="1"/>
    <col min="2864" max="2864" width="8.85546875" bestFit="1" customWidth="1"/>
    <col min="2865" max="2867" width="9.7109375" bestFit="1" customWidth="1"/>
    <col min="2868" max="2868" width="9.140625" bestFit="1" customWidth="1"/>
    <col min="2869" max="2869" width="8.85546875" bestFit="1" customWidth="1"/>
    <col min="2870" max="2870" width="9.42578125" bestFit="1" customWidth="1"/>
    <col min="2871" max="2871" width="9.140625" bestFit="1" customWidth="1"/>
    <col min="2872" max="2874" width="8.85546875" bestFit="1" customWidth="1"/>
    <col min="2875" max="2876" width="9.140625" bestFit="1" customWidth="1"/>
    <col min="2877" max="2877" width="9.28515625" bestFit="1" customWidth="1"/>
    <col min="2878" max="2878" width="8.85546875" bestFit="1" customWidth="1"/>
    <col min="2879" max="2879" width="9.140625" bestFit="1" customWidth="1"/>
    <col min="2880" max="2880" width="8.28515625" bestFit="1" customWidth="1"/>
    <col min="2881" max="2881" width="9.42578125" bestFit="1" customWidth="1"/>
    <col min="2882" max="2883" width="9.7109375" bestFit="1" customWidth="1"/>
    <col min="2884" max="2885" width="9.140625" bestFit="1" customWidth="1"/>
    <col min="2886" max="2886" width="8.28515625" bestFit="1" customWidth="1"/>
    <col min="2887" max="2887" width="9.140625" bestFit="1" customWidth="1"/>
    <col min="2888" max="2888" width="9.28515625" bestFit="1" customWidth="1"/>
    <col min="2889" max="2889" width="9.140625" bestFit="1" customWidth="1"/>
    <col min="2890" max="2890" width="9.28515625" bestFit="1" customWidth="1"/>
    <col min="2891" max="2891" width="9.140625" bestFit="1" customWidth="1"/>
    <col min="2892" max="2893" width="8.85546875" bestFit="1" customWidth="1"/>
    <col min="2894" max="2895" width="9.140625" bestFit="1" customWidth="1"/>
    <col min="2896" max="2896" width="9.7109375" bestFit="1" customWidth="1"/>
    <col min="2897" max="2897" width="9.140625" bestFit="1" customWidth="1"/>
    <col min="2898" max="2898" width="8.28515625" bestFit="1" customWidth="1"/>
    <col min="2899" max="2899" width="9.140625" bestFit="1" customWidth="1"/>
    <col min="2900" max="2900" width="9.7109375" bestFit="1" customWidth="1"/>
    <col min="2901" max="2901" width="9.140625" bestFit="1" customWidth="1"/>
    <col min="2902" max="2902" width="8.85546875" bestFit="1" customWidth="1"/>
    <col min="2903" max="2903" width="9.140625" bestFit="1" customWidth="1"/>
    <col min="2904" max="2904" width="8.85546875" bestFit="1" customWidth="1"/>
    <col min="2905" max="2905" width="9.140625" bestFit="1" customWidth="1"/>
    <col min="2906" max="2906" width="8.85546875" bestFit="1" customWidth="1"/>
    <col min="2907" max="2907" width="9.7109375" bestFit="1" customWidth="1"/>
    <col min="2908" max="2909" width="8.85546875" bestFit="1" customWidth="1"/>
    <col min="2910" max="2911" width="9.140625" bestFit="1" customWidth="1"/>
    <col min="2912" max="2912" width="8.85546875" bestFit="1" customWidth="1"/>
    <col min="2913" max="2913" width="9.42578125" bestFit="1" customWidth="1"/>
    <col min="2914" max="2914" width="9.140625" bestFit="1" customWidth="1"/>
    <col min="2915" max="2915" width="9.28515625" bestFit="1" customWidth="1"/>
    <col min="2916" max="2916" width="8.28515625" bestFit="1" customWidth="1"/>
    <col min="2917" max="2917" width="9.7109375" bestFit="1" customWidth="1"/>
    <col min="2918" max="2918" width="9.42578125" bestFit="1" customWidth="1"/>
    <col min="2919" max="2920" width="9.140625" bestFit="1" customWidth="1"/>
    <col min="2921" max="2921" width="8.85546875" bestFit="1" customWidth="1"/>
    <col min="2922" max="2922" width="9.7109375" bestFit="1" customWidth="1"/>
    <col min="2923" max="2923" width="9.140625" bestFit="1" customWidth="1"/>
    <col min="2924" max="2928" width="8.85546875" bestFit="1" customWidth="1"/>
    <col min="2929" max="2929" width="9.140625" bestFit="1" customWidth="1"/>
    <col min="2930" max="2931" width="8.85546875" bestFit="1" customWidth="1"/>
    <col min="2932" max="2935" width="9.140625" bestFit="1" customWidth="1"/>
    <col min="2936" max="2936" width="9.7109375" bestFit="1" customWidth="1"/>
    <col min="2937" max="2937" width="9.42578125" bestFit="1" customWidth="1"/>
    <col min="2938" max="2938" width="9.7109375" bestFit="1" customWidth="1"/>
    <col min="2939" max="2939" width="9.28515625" bestFit="1" customWidth="1"/>
    <col min="2940" max="2941" width="9.140625" bestFit="1" customWidth="1"/>
    <col min="2942" max="2942" width="8.28515625" bestFit="1" customWidth="1"/>
    <col min="2943" max="2943" width="8.85546875" bestFit="1" customWidth="1"/>
    <col min="2944" max="2944" width="8.28515625" bestFit="1" customWidth="1"/>
    <col min="2945" max="2945" width="9.140625" bestFit="1" customWidth="1"/>
    <col min="2946" max="2946" width="9.28515625" bestFit="1" customWidth="1"/>
    <col min="2947" max="2947" width="8.85546875" bestFit="1" customWidth="1"/>
    <col min="2948" max="2948" width="9.42578125" bestFit="1" customWidth="1"/>
    <col min="2949" max="2949" width="8.85546875" bestFit="1" customWidth="1"/>
    <col min="2950" max="2950" width="9.140625" bestFit="1" customWidth="1"/>
    <col min="2951" max="2951" width="8.85546875" bestFit="1" customWidth="1"/>
    <col min="2952" max="2952" width="8.28515625" bestFit="1" customWidth="1"/>
    <col min="2953" max="2953" width="8.85546875" bestFit="1" customWidth="1"/>
    <col min="2954" max="2954" width="9.42578125" bestFit="1" customWidth="1"/>
    <col min="2955" max="2956" width="9.140625" bestFit="1" customWidth="1"/>
    <col min="2957" max="2957" width="9.7109375" bestFit="1" customWidth="1"/>
    <col min="2958" max="2958" width="8.85546875" bestFit="1" customWidth="1"/>
    <col min="2959" max="2959" width="8.28515625" bestFit="1" customWidth="1"/>
    <col min="2960" max="2960" width="9.140625" bestFit="1" customWidth="1"/>
    <col min="2961" max="2961" width="8.85546875" bestFit="1" customWidth="1"/>
    <col min="2962" max="2962" width="8.28515625" bestFit="1" customWidth="1"/>
    <col min="2963" max="2963" width="9.140625" bestFit="1" customWidth="1"/>
    <col min="2964" max="2964" width="8.85546875" bestFit="1" customWidth="1"/>
    <col min="2965" max="2965" width="9.140625" bestFit="1" customWidth="1"/>
    <col min="2966" max="2966" width="9.28515625" bestFit="1" customWidth="1"/>
    <col min="2967" max="2968" width="9.140625" bestFit="1" customWidth="1"/>
    <col min="2969" max="2969" width="9.7109375" bestFit="1" customWidth="1"/>
    <col min="2970" max="2971" width="9.140625" bestFit="1" customWidth="1"/>
    <col min="2972" max="2973" width="9.7109375" bestFit="1" customWidth="1"/>
    <col min="2974" max="2976" width="9.140625" bestFit="1" customWidth="1"/>
    <col min="2977" max="2977" width="8.28515625" bestFit="1" customWidth="1"/>
    <col min="2978" max="2979" width="9.140625" bestFit="1" customWidth="1"/>
    <col min="2980" max="2980" width="9.28515625" bestFit="1" customWidth="1"/>
    <col min="2981" max="2981" width="9.140625" bestFit="1" customWidth="1"/>
    <col min="2982" max="2983" width="9.28515625" bestFit="1" customWidth="1"/>
    <col min="2984" max="2984" width="9.140625" bestFit="1" customWidth="1"/>
    <col min="2985" max="2985" width="9.7109375" bestFit="1" customWidth="1"/>
    <col min="2986" max="2986" width="9.28515625" bestFit="1" customWidth="1"/>
    <col min="2987" max="2987" width="8.85546875" bestFit="1" customWidth="1"/>
    <col min="2988" max="2988" width="8.28515625" bestFit="1" customWidth="1"/>
    <col min="2989" max="2989" width="9.140625" bestFit="1" customWidth="1"/>
    <col min="2990" max="2990" width="8.28515625" bestFit="1" customWidth="1"/>
    <col min="2991" max="2991" width="8.85546875" bestFit="1" customWidth="1"/>
    <col min="2992" max="2993" width="9.140625" bestFit="1" customWidth="1"/>
    <col min="2994" max="2994" width="9.42578125" bestFit="1" customWidth="1"/>
    <col min="2995" max="2996" width="9.140625" bestFit="1" customWidth="1"/>
    <col min="2997" max="2997" width="9.42578125" bestFit="1" customWidth="1"/>
    <col min="2998" max="2998" width="9.7109375" bestFit="1" customWidth="1"/>
    <col min="2999" max="3000" width="9.28515625" bestFit="1" customWidth="1"/>
    <col min="3001" max="3001" width="8.85546875" bestFit="1" customWidth="1"/>
    <col min="3002" max="3002" width="9.42578125" bestFit="1" customWidth="1"/>
    <col min="3003" max="3003" width="9.140625" bestFit="1" customWidth="1"/>
    <col min="3004" max="3005" width="8.85546875" bestFit="1" customWidth="1"/>
    <col min="3006" max="3006" width="9.42578125" bestFit="1" customWidth="1"/>
    <col min="3007" max="3007" width="8.85546875" bestFit="1" customWidth="1"/>
    <col min="3008" max="3010" width="9.140625" bestFit="1" customWidth="1"/>
    <col min="3011" max="3011" width="8.28515625" bestFit="1" customWidth="1"/>
    <col min="3012" max="3012" width="9.42578125" bestFit="1" customWidth="1"/>
    <col min="3013" max="3013" width="9.140625" bestFit="1" customWidth="1"/>
    <col min="3014" max="3015" width="8.85546875" bestFit="1" customWidth="1"/>
    <col min="3016" max="3017" width="9.28515625" bestFit="1" customWidth="1"/>
    <col min="3018" max="3018" width="9.42578125" bestFit="1" customWidth="1"/>
    <col min="3019" max="3022" width="8.85546875" bestFit="1" customWidth="1"/>
    <col min="3023" max="3024" width="9.140625" bestFit="1" customWidth="1"/>
    <col min="3025" max="3025" width="8.85546875" bestFit="1" customWidth="1"/>
    <col min="3026" max="3026" width="8.28515625" bestFit="1" customWidth="1"/>
    <col min="3027" max="3027" width="9.42578125" bestFit="1" customWidth="1"/>
    <col min="3028" max="3028" width="8.28515625" bestFit="1" customWidth="1"/>
    <col min="3029" max="3031" width="9.140625" bestFit="1" customWidth="1"/>
    <col min="3032" max="3033" width="8.85546875" bestFit="1" customWidth="1"/>
    <col min="3034" max="3034" width="9.42578125" bestFit="1" customWidth="1"/>
    <col min="3035" max="3036" width="9.140625" bestFit="1" customWidth="1"/>
    <col min="3037" max="3037" width="9.7109375" bestFit="1" customWidth="1"/>
    <col min="3038" max="3038" width="8.85546875" bestFit="1" customWidth="1"/>
    <col min="3039" max="3039" width="9.28515625" bestFit="1" customWidth="1"/>
    <col min="3040" max="3040" width="9.140625" bestFit="1" customWidth="1"/>
    <col min="3041" max="3041" width="8.85546875" bestFit="1" customWidth="1"/>
    <col min="3042" max="3042" width="8.28515625" bestFit="1" customWidth="1"/>
    <col min="3043" max="3043" width="9.140625" bestFit="1" customWidth="1"/>
    <col min="3044" max="3044" width="9.7109375" bestFit="1" customWidth="1"/>
    <col min="3045" max="3048" width="9.140625" bestFit="1" customWidth="1"/>
    <col min="3049" max="3049" width="9.7109375" bestFit="1" customWidth="1"/>
    <col min="3050" max="3050" width="9.140625" bestFit="1" customWidth="1"/>
    <col min="3051" max="3051" width="9.7109375" bestFit="1" customWidth="1"/>
    <col min="3052" max="3052" width="8.85546875" bestFit="1" customWidth="1"/>
    <col min="3053" max="3053" width="9.28515625" bestFit="1" customWidth="1"/>
    <col min="3054" max="3054" width="9.42578125" bestFit="1" customWidth="1"/>
    <col min="3055" max="3055" width="9.7109375" bestFit="1" customWidth="1"/>
    <col min="3056" max="3057" width="8.85546875" bestFit="1" customWidth="1"/>
    <col min="3058" max="3059" width="9.140625" bestFit="1" customWidth="1"/>
    <col min="3060" max="3060" width="8.28515625" bestFit="1" customWidth="1"/>
    <col min="3061" max="3061" width="9.140625" bestFit="1" customWidth="1"/>
    <col min="3062" max="3062" width="8.85546875" bestFit="1" customWidth="1"/>
    <col min="3063" max="3063" width="8.28515625" bestFit="1" customWidth="1"/>
    <col min="3064" max="3064" width="9.28515625" bestFit="1" customWidth="1"/>
    <col min="3065" max="3065" width="8.85546875" bestFit="1" customWidth="1"/>
    <col min="3066" max="3066" width="9.140625" bestFit="1" customWidth="1"/>
    <col min="3067" max="3068" width="8.85546875" bestFit="1" customWidth="1"/>
    <col min="3069" max="3069" width="9.28515625" bestFit="1" customWidth="1"/>
    <col min="3070" max="3070" width="8.85546875" bestFit="1" customWidth="1"/>
    <col min="3071" max="3071" width="9.42578125" bestFit="1" customWidth="1"/>
    <col min="3072" max="3072" width="9.28515625" bestFit="1" customWidth="1"/>
    <col min="3073" max="3073" width="9.140625" bestFit="1" customWidth="1"/>
    <col min="3074" max="3075" width="8.85546875" bestFit="1" customWidth="1"/>
    <col min="3076" max="3076" width="9.42578125" bestFit="1" customWidth="1"/>
    <col min="3077" max="3077" width="8.85546875" bestFit="1" customWidth="1"/>
    <col min="3078" max="3078" width="8.28515625" bestFit="1" customWidth="1"/>
    <col min="3079" max="3080" width="9.140625" bestFit="1" customWidth="1"/>
    <col min="3081" max="3081" width="9.28515625" bestFit="1" customWidth="1"/>
    <col min="3082" max="3082" width="9.7109375" bestFit="1" customWidth="1"/>
    <col min="3083" max="3084" width="9.140625" bestFit="1" customWidth="1"/>
    <col min="3085" max="3085" width="8.28515625" bestFit="1" customWidth="1"/>
    <col min="3086" max="3086" width="9.140625" bestFit="1" customWidth="1"/>
    <col min="3087" max="3087" width="9.42578125" bestFit="1" customWidth="1"/>
    <col min="3088" max="3093" width="9.140625" bestFit="1" customWidth="1"/>
    <col min="3094" max="3094" width="8.85546875" bestFit="1" customWidth="1"/>
    <col min="3095" max="3095" width="9.7109375" bestFit="1" customWidth="1"/>
    <col min="3096" max="3098" width="8.85546875" bestFit="1" customWidth="1"/>
    <col min="3099" max="3101" width="9.140625" bestFit="1" customWidth="1"/>
    <col min="3102" max="3102" width="8.85546875" bestFit="1" customWidth="1"/>
    <col min="3103" max="3103" width="8.28515625" bestFit="1" customWidth="1"/>
    <col min="3104" max="3104" width="9.42578125" bestFit="1" customWidth="1"/>
    <col min="3105" max="3105" width="8.85546875" bestFit="1" customWidth="1"/>
    <col min="3106" max="3106" width="9.140625" bestFit="1" customWidth="1"/>
    <col min="3107" max="3107" width="8.28515625" bestFit="1" customWidth="1"/>
    <col min="3108" max="3108" width="9.140625" bestFit="1" customWidth="1"/>
    <col min="3109" max="3109" width="9.28515625" bestFit="1" customWidth="1"/>
    <col min="3110" max="3110" width="9.140625" bestFit="1" customWidth="1"/>
    <col min="3111" max="3111" width="9.42578125" bestFit="1" customWidth="1"/>
    <col min="3112" max="3112" width="9.28515625" bestFit="1" customWidth="1"/>
    <col min="3113" max="3113" width="8.85546875" bestFit="1" customWidth="1"/>
    <col min="3114" max="3114" width="9.140625" bestFit="1" customWidth="1"/>
    <col min="3115" max="3115" width="9.28515625" bestFit="1" customWidth="1"/>
    <col min="3116" max="3116" width="8.85546875" bestFit="1" customWidth="1"/>
    <col min="3117" max="3117" width="9.42578125" bestFit="1" customWidth="1"/>
    <col min="3118" max="3118" width="9.28515625" bestFit="1" customWidth="1"/>
    <col min="3119" max="3119" width="8.85546875" bestFit="1" customWidth="1"/>
    <col min="3120" max="3120" width="9.7109375" bestFit="1" customWidth="1"/>
    <col min="3121" max="3121" width="8.85546875" bestFit="1" customWidth="1"/>
    <col min="3122" max="3122" width="9.7109375" bestFit="1" customWidth="1"/>
    <col min="3123" max="3123" width="9.140625" bestFit="1" customWidth="1"/>
    <col min="3124" max="3124" width="9.7109375" bestFit="1" customWidth="1"/>
    <col min="3125" max="3125" width="8.85546875" bestFit="1" customWidth="1"/>
    <col min="3126" max="3128" width="9.140625" bestFit="1" customWidth="1"/>
    <col min="3129" max="3129" width="9.7109375" bestFit="1" customWidth="1"/>
    <col min="3130" max="3130" width="8.85546875" bestFit="1" customWidth="1"/>
    <col min="3131" max="3132" width="9.140625" bestFit="1" customWidth="1"/>
    <col min="3133" max="3134" width="9.7109375" bestFit="1" customWidth="1"/>
    <col min="3135" max="3137" width="8.85546875" bestFit="1" customWidth="1"/>
    <col min="3138" max="3138" width="9.140625" bestFit="1" customWidth="1"/>
    <col min="3139" max="3140" width="8.85546875" bestFit="1" customWidth="1"/>
    <col min="3141" max="3141" width="9.7109375" bestFit="1" customWidth="1"/>
    <col min="3142" max="3143" width="8.85546875" bestFit="1" customWidth="1"/>
    <col min="3144" max="3144" width="9.140625" bestFit="1" customWidth="1"/>
    <col min="3145" max="3146" width="8.85546875" bestFit="1" customWidth="1"/>
    <col min="3147" max="3147" width="9.140625" bestFit="1" customWidth="1"/>
    <col min="3148" max="3148" width="9.28515625" bestFit="1" customWidth="1"/>
    <col min="3149" max="3149" width="9.140625" bestFit="1" customWidth="1"/>
    <col min="3150" max="3151" width="9.28515625" bestFit="1" customWidth="1"/>
    <col min="3152" max="3152" width="9.140625" bestFit="1" customWidth="1"/>
    <col min="3153" max="3154" width="8.85546875" bestFit="1" customWidth="1"/>
    <col min="3155" max="3155" width="9.7109375" bestFit="1" customWidth="1"/>
    <col min="3156" max="3156" width="9.140625" bestFit="1" customWidth="1"/>
    <col min="3157" max="3157" width="8.85546875" bestFit="1" customWidth="1"/>
    <col min="3158" max="3158" width="8.28515625" bestFit="1" customWidth="1"/>
    <col min="3159" max="3160" width="9.140625" bestFit="1" customWidth="1"/>
    <col min="3161" max="3161" width="9.42578125" bestFit="1" customWidth="1"/>
    <col min="3162" max="3162" width="8.28515625" bestFit="1" customWidth="1"/>
    <col min="3163" max="3165" width="8.85546875" bestFit="1" customWidth="1"/>
    <col min="3166" max="3166" width="9.140625" bestFit="1" customWidth="1"/>
    <col min="3167" max="3167" width="9.7109375" bestFit="1" customWidth="1"/>
    <col min="3168" max="3169" width="8.85546875" bestFit="1" customWidth="1"/>
    <col min="3170" max="3170" width="8.28515625" bestFit="1" customWidth="1"/>
    <col min="3171" max="3171" width="9.140625" bestFit="1" customWidth="1"/>
    <col min="3172" max="3172" width="9.28515625" bestFit="1" customWidth="1"/>
    <col min="3173" max="3175" width="9.7109375" bestFit="1" customWidth="1"/>
    <col min="3176" max="3176" width="9.28515625" bestFit="1" customWidth="1"/>
    <col min="3177" max="3177" width="9.42578125" bestFit="1" customWidth="1"/>
    <col min="3178" max="3178" width="9.140625" bestFit="1" customWidth="1"/>
    <col min="3179" max="3179" width="9.42578125" bestFit="1" customWidth="1"/>
    <col min="3180" max="3180" width="8.85546875" bestFit="1" customWidth="1"/>
    <col min="3181" max="3181" width="8.28515625" bestFit="1" customWidth="1"/>
    <col min="3182" max="3182" width="9.140625" bestFit="1" customWidth="1"/>
    <col min="3183" max="3185" width="8.85546875" bestFit="1" customWidth="1"/>
    <col min="3186" max="3186" width="9.42578125" bestFit="1" customWidth="1"/>
    <col min="3187" max="3187" width="9.7109375" bestFit="1" customWidth="1"/>
    <col min="3188" max="3188" width="9.140625" bestFit="1" customWidth="1"/>
    <col min="3189" max="3189" width="8.28515625" bestFit="1" customWidth="1"/>
    <col min="3190" max="3190" width="8.85546875" bestFit="1" customWidth="1"/>
    <col min="3191" max="3194" width="9.140625" bestFit="1" customWidth="1"/>
    <col min="3195" max="3195" width="8.85546875" bestFit="1" customWidth="1"/>
    <col min="3196" max="3196" width="9.140625" bestFit="1" customWidth="1"/>
    <col min="3197" max="3198" width="8.85546875" bestFit="1" customWidth="1"/>
    <col min="3199" max="3199" width="9.140625" bestFit="1" customWidth="1"/>
    <col min="3200" max="3200" width="8.28515625" bestFit="1" customWidth="1"/>
    <col min="3201" max="3201" width="8.85546875" bestFit="1" customWidth="1"/>
    <col min="3202" max="3202" width="9.28515625" bestFit="1" customWidth="1"/>
    <col min="3203" max="3203" width="9.140625" bestFit="1" customWidth="1"/>
    <col min="3204" max="3204" width="9.42578125" bestFit="1" customWidth="1"/>
    <col min="3205" max="3205" width="8.85546875" bestFit="1" customWidth="1"/>
    <col min="3206" max="3206" width="8.28515625" bestFit="1" customWidth="1"/>
    <col min="3207" max="3209" width="9.140625" bestFit="1" customWidth="1"/>
    <col min="3210" max="3210" width="9.42578125" bestFit="1" customWidth="1"/>
    <col min="3211" max="3211" width="8.85546875" bestFit="1" customWidth="1"/>
    <col min="3212" max="3213" width="9.28515625" bestFit="1" customWidth="1"/>
    <col min="3214" max="3215" width="8.85546875" bestFit="1" customWidth="1"/>
    <col min="3216" max="3216" width="9.42578125" bestFit="1" customWidth="1"/>
    <col min="3217" max="3217" width="9.7109375" bestFit="1" customWidth="1"/>
    <col min="3218" max="3218" width="9.28515625" bestFit="1" customWidth="1"/>
    <col min="3219" max="3220" width="9.140625" bestFit="1" customWidth="1"/>
    <col min="3221" max="3221" width="9.85546875" bestFit="1" customWidth="1"/>
    <col min="3222" max="3222" width="9.7109375" bestFit="1" customWidth="1"/>
    <col min="3223" max="3223" width="9.28515625" bestFit="1" customWidth="1"/>
    <col min="3224" max="3225" width="9.140625" bestFit="1" customWidth="1"/>
    <col min="3226" max="3226" width="8.85546875" bestFit="1" customWidth="1"/>
    <col min="3227" max="3227" width="9.28515625" bestFit="1" customWidth="1"/>
    <col min="3228" max="3228" width="8.28515625" bestFit="1" customWidth="1"/>
    <col min="3229" max="3229" width="9.28515625" bestFit="1" customWidth="1"/>
    <col min="3230" max="3230" width="8.85546875" bestFit="1" customWidth="1"/>
    <col min="3231" max="3231" width="9.42578125" bestFit="1" customWidth="1"/>
    <col min="3232" max="3232" width="8.85546875" bestFit="1" customWidth="1"/>
    <col min="3233" max="3233" width="9.140625" bestFit="1" customWidth="1"/>
    <col min="3234" max="3234" width="9.7109375" bestFit="1" customWidth="1"/>
    <col min="3235" max="3235" width="9.140625" bestFit="1" customWidth="1"/>
    <col min="3236" max="3236" width="8.28515625" bestFit="1" customWidth="1"/>
    <col min="3237" max="3237" width="9.42578125" bestFit="1" customWidth="1"/>
    <col min="3238" max="3238" width="8.28515625" bestFit="1" customWidth="1"/>
    <col min="3239" max="3241" width="8.85546875" bestFit="1" customWidth="1"/>
    <col min="3242" max="3242" width="9.28515625" bestFit="1" customWidth="1"/>
    <col min="3243" max="3243" width="9.140625" bestFit="1" customWidth="1"/>
    <col min="3244" max="3244" width="9.7109375" bestFit="1" customWidth="1"/>
    <col min="3245" max="3246" width="8.85546875" bestFit="1" customWidth="1"/>
    <col min="3247" max="3247" width="9.7109375" bestFit="1" customWidth="1"/>
    <col min="3248" max="3248" width="9.42578125" bestFit="1" customWidth="1"/>
    <col min="3249" max="3249" width="8.85546875" bestFit="1" customWidth="1"/>
    <col min="3250" max="3250" width="8.28515625" bestFit="1" customWidth="1"/>
    <col min="3251" max="3252" width="9.140625" bestFit="1" customWidth="1"/>
    <col min="3253" max="3253" width="8.28515625" bestFit="1" customWidth="1"/>
    <col min="3254" max="3256" width="9.140625" bestFit="1" customWidth="1"/>
    <col min="3257" max="3257" width="8.85546875" bestFit="1" customWidth="1"/>
    <col min="3258" max="3258" width="9.140625" bestFit="1" customWidth="1"/>
    <col min="3259" max="3259" width="8.85546875" bestFit="1" customWidth="1"/>
    <col min="3260" max="3260" width="9.7109375" bestFit="1" customWidth="1"/>
    <col min="3261" max="3261" width="9.42578125" bestFit="1" customWidth="1"/>
    <col min="3262" max="3262" width="9.28515625" bestFit="1" customWidth="1"/>
    <col min="3263" max="3263" width="8.85546875" bestFit="1" customWidth="1"/>
    <col min="3264" max="3265" width="9.140625" bestFit="1" customWidth="1"/>
    <col min="3266" max="3266" width="9.7109375" bestFit="1" customWidth="1"/>
    <col min="3267" max="3269" width="9.42578125" bestFit="1" customWidth="1"/>
    <col min="3270" max="3270" width="9.140625" bestFit="1" customWidth="1"/>
    <col min="3271" max="3273" width="8.85546875" bestFit="1" customWidth="1"/>
    <col min="3274" max="3274" width="9.140625" bestFit="1" customWidth="1"/>
    <col min="3275" max="3275" width="9.42578125" bestFit="1" customWidth="1"/>
    <col min="3276" max="3276" width="9.28515625" bestFit="1" customWidth="1"/>
    <col min="3277" max="3277" width="9.140625" bestFit="1" customWidth="1"/>
    <col min="3278" max="3278" width="8.85546875" bestFit="1" customWidth="1"/>
    <col min="3279" max="3279" width="9.28515625" bestFit="1" customWidth="1"/>
    <col min="3280" max="3280" width="9.7109375" bestFit="1" customWidth="1"/>
    <col min="3281" max="3281" width="9.42578125" bestFit="1" customWidth="1"/>
    <col min="3282" max="3282" width="9.140625" bestFit="1" customWidth="1"/>
    <col min="3283" max="3283" width="8.28515625" bestFit="1" customWidth="1"/>
    <col min="3284" max="3284" width="9.140625" bestFit="1" customWidth="1"/>
    <col min="3285" max="3286" width="8.85546875" bestFit="1" customWidth="1"/>
    <col min="3287" max="3287" width="9.42578125" bestFit="1" customWidth="1"/>
    <col min="3288" max="3288" width="9.7109375" bestFit="1" customWidth="1"/>
    <col min="3289" max="3291" width="8.85546875" bestFit="1" customWidth="1"/>
    <col min="3292" max="3292" width="9.140625" bestFit="1" customWidth="1"/>
    <col min="3293" max="3293" width="9.42578125" bestFit="1" customWidth="1"/>
    <col min="3294" max="3294" width="9.140625" bestFit="1" customWidth="1"/>
    <col min="3295" max="3295" width="8.85546875" bestFit="1" customWidth="1"/>
    <col min="3296" max="3299" width="9.140625" bestFit="1" customWidth="1"/>
    <col min="3300" max="3300" width="8.85546875" bestFit="1" customWidth="1"/>
    <col min="3301" max="3301" width="9.140625" bestFit="1" customWidth="1"/>
    <col min="3302" max="3302" width="8.28515625" bestFit="1" customWidth="1"/>
    <col min="3303" max="3303" width="9.140625" bestFit="1" customWidth="1"/>
    <col min="3304" max="3306" width="8.85546875" bestFit="1" customWidth="1"/>
    <col min="3307" max="3307" width="9.7109375" bestFit="1" customWidth="1"/>
    <col min="3308" max="3310" width="9.140625" bestFit="1" customWidth="1"/>
    <col min="3311" max="3311" width="8.85546875" bestFit="1" customWidth="1"/>
    <col min="3312" max="3313" width="9.140625" bestFit="1" customWidth="1"/>
    <col min="3314" max="3316" width="8.85546875" bestFit="1" customWidth="1"/>
    <col min="3317" max="3317" width="9.140625" bestFit="1" customWidth="1"/>
    <col min="3318" max="3318" width="9.28515625" bestFit="1" customWidth="1"/>
    <col min="3319" max="3319" width="8.85546875" bestFit="1" customWidth="1"/>
    <col min="3320" max="3321" width="9.42578125" bestFit="1" customWidth="1"/>
    <col min="3322" max="3322" width="8.28515625" bestFit="1" customWidth="1"/>
    <col min="3323" max="3323" width="9.140625" bestFit="1" customWidth="1"/>
    <col min="3324" max="3324" width="8.85546875" bestFit="1" customWidth="1"/>
    <col min="3325" max="3325" width="9.28515625" bestFit="1" customWidth="1"/>
    <col min="3326" max="3326" width="9.140625" bestFit="1" customWidth="1"/>
    <col min="3327" max="3327" width="9.7109375" bestFit="1" customWidth="1"/>
    <col min="3328" max="3328" width="9.140625" bestFit="1" customWidth="1"/>
    <col min="3329" max="3331" width="9.42578125" bestFit="1" customWidth="1"/>
    <col min="3332" max="3333" width="8.85546875" bestFit="1" customWidth="1"/>
    <col min="3334" max="3335" width="9.140625" bestFit="1" customWidth="1"/>
    <col min="3336" max="3336" width="8.28515625" bestFit="1" customWidth="1"/>
    <col min="3337" max="3337" width="9.140625" bestFit="1" customWidth="1"/>
    <col min="3338" max="3338" width="8.85546875" bestFit="1" customWidth="1"/>
    <col min="3339" max="3339" width="8.28515625" bestFit="1" customWidth="1"/>
    <col min="3340" max="3340" width="9.28515625" bestFit="1" customWidth="1"/>
    <col min="3341" max="3341" width="8.28515625" bestFit="1" customWidth="1"/>
    <col min="3342" max="3343" width="8.85546875" bestFit="1" customWidth="1"/>
    <col min="3344" max="3344" width="9.28515625" bestFit="1" customWidth="1"/>
    <col min="3345" max="3345" width="9.42578125" bestFit="1" customWidth="1"/>
    <col min="3346" max="3349" width="9.140625" bestFit="1" customWidth="1"/>
    <col min="3350" max="3350" width="9.42578125" bestFit="1" customWidth="1"/>
    <col min="3351" max="3351" width="8.28515625" bestFit="1" customWidth="1"/>
    <col min="3352" max="3352" width="9.140625" bestFit="1" customWidth="1"/>
    <col min="3353" max="3353" width="9.28515625" bestFit="1" customWidth="1"/>
    <col min="3354" max="3354" width="9.140625" bestFit="1" customWidth="1"/>
    <col min="3355" max="3355" width="9.7109375" bestFit="1" customWidth="1"/>
    <col min="3356" max="3357" width="9.140625" bestFit="1" customWidth="1"/>
    <col min="3358" max="3358" width="9.42578125" bestFit="1" customWidth="1"/>
    <col min="3359" max="3359" width="8.85546875" bestFit="1" customWidth="1"/>
    <col min="3360" max="3360" width="9.140625" bestFit="1" customWidth="1"/>
    <col min="3361" max="3361" width="8.85546875" bestFit="1" customWidth="1"/>
    <col min="3362" max="3362" width="9.140625" bestFit="1" customWidth="1"/>
    <col min="3363" max="3363" width="8.85546875" bestFit="1" customWidth="1"/>
    <col min="3364" max="3364" width="8.28515625" bestFit="1" customWidth="1"/>
    <col min="3365" max="3365" width="9.7109375" bestFit="1" customWidth="1"/>
    <col min="3366" max="3366" width="9.28515625" bestFit="1" customWidth="1"/>
    <col min="3367" max="3367" width="8.28515625" bestFit="1" customWidth="1"/>
    <col min="3368" max="3368" width="9.28515625" bestFit="1" customWidth="1"/>
    <col min="3369" max="3369" width="9.140625" bestFit="1" customWidth="1"/>
    <col min="3370" max="3370" width="9.7109375" bestFit="1" customWidth="1"/>
    <col min="3371" max="3371" width="9.140625" bestFit="1" customWidth="1"/>
    <col min="3372" max="3372" width="9.7109375" bestFit="1" customWidth="1"/>
    <col min="3373" max="3373" width="9.140625" bestFit="1" customWidth="1"/>
    <col min="3374" max="3374" width="9.7109375" bestFit="1" customWidth="1"/>
    <col min="3375" max="3375" width="9.140625" bestFit="1" customWidth="1"/>
    <col min="3376" max="3376" width="9.42578125" bestFit="1" customWidth="1"/>
    <col min="3377" max="3377" width="9.140625" bestFit="1" customWidth="1"/>
    <col min="3378" max="3379" width="9.7109375" bestFit="1" customWidth="1"/>
    <col min="3380" max="3380" width="9.28515625" bestFit="1" customWidth="1"/>
    <col min="3381" max="3381" width="8.85546875" bestFit="1" customWidth="1"/>
    <col min="3382" max="3383" width="9.7109375" bestFit="1" customWidth="1"/>
    <col min="3384" max="3384" width="8.28515625" bestFit="1" customWidth="1"/>
    <col min="3385" max="3385" width="9.7109375" bestFit="1" customWidth="1"/>
    <col min="3386" max="3387" width="9.42578125" bestFit="1" customWidth="1"/>
    <col min="3388" max="3388" width="8.28515625" bestFit="1" customWidth="1"/>
    <col min="3389" max="3389" width="9.140625" bestFit="1" customWidth="1"/>
    <col min="3390" max="3390" width="9.7109375" bestFit="1" customWidth="1"/>
    <col min="3391" max="3391" width="8.28515625" bestFit="1" customWidth="1"/>
    <col min="3392" max="3392" width="9.7109375" bestFit="1" customWidth="1"/>
    <col min="3393" max="3394" width="9.140625" bestFit="1" customWidth="1"/>
    <col min="3395" max="3395" width="8.28515625" bestFit="1" customWidth="1"/>
    <col min="3396" max="3396" width="9.7109375" bestFit="1" customWidth="1"/>
    <col min="3397" max="3397" width="9.140625" bestFit="1" customWidth="1"/>
    <col min="3398" max="3398" width="8.85546875" bestFit="1" customWidth="1"/>
    <col min="3399" max="3399" width="8.28515625" bestFit="1" customWidth="1"/>
    <col min="3400" max="3401" width="8.85546875" bestFit="1" customWidth="1"/>
    <col min="3402" max="3403" width="9.140625" bestFit="1" customWidth="1"/>
    <col min="3404" max="3404" width="8.85546875" bestFit="1" customWidth="1"/>
    <col min="3405" max="3405" width="9.140625" bestFit="1" customWidth="1"/>
    <col min="3406" max="3406" width="9.7109375" bestFit="1" customWidth="1"/>
    <col min="3407" max="3407" width="9.28515625" bestFit="1" customWidth="1"/>
    <col min="3408" max="3408" width="9.42578125" bestFit="1" customWidth="1"/>
    <col min="3409" max="3409" width="8.85546875" bestFit="1" customWidth="1"/>
    <col min="3410" max="3411" width="9.140625" bestFit="1" customWidth="1"/>
    <col min="3412" max="3413" width="8.85546875" bestFit="1" customWidth="1"/>
    <col min="3414" max="3414" width="8.28515625" bestFit="1" customWidth="1"/>
    <col min="3415" max="3415" width="9.7109375" bestFit="1" customWidth="1"/>
    <col min="3416" max="3416" width="8.28515625" bestFit="1" customWidth="1"/>
    <col min="3417" max="3417" width="9.140625" bestFit="1" customWidth="1"/>
    <col min="3418" max="3418" width="9.7109375" bestFit="1" customWidth="1"/>
    <col min="3419" max="3419" width="8.85546875" bestFit="1" customWidth="1"/>
    <col min="3420" max="3420" width="9.7109375" bestFit="1" customWidth="1"/>
    <col min="3421" max="3422" width="9.140625" bestFit="1" customWidth="1"/>
    <col min="3423" max="3423" width="9.28515625" bestFit="1" customWidth="1"/>
    <col min="3424" max="3424" width="8.85546875" bestFit="1" customWidth="1"/>
    <col min="3425" max="3427" width="9.140625" bestFit="1" customWidth="1"/>
    <col min="3428" max="3428" width="8.85546875" bestFit="1" customWidth="1"/>
    <col min="3429" max="3431" width="9.140625" bestFit="1" customWidth="1"/>
    <col min="3432" max="3432" width="8.28515625" bestFit="1" customWidth="1"/>
    <col min="3433" max="3436" width="9.140625" bestFit="1" customWidth="1"/>
    <col min="3437" max="3437" width="9.42578125" bestFit="1" customWidth="1"/>
    <col min="3438" max="3438" width="9.28515625" bestFit="1" customWidth="1"/>
    <col min="3439" max="3439" width="9.140625" bestFit="1" customWidth="1"/>
    <col min="3440" max="3440" width="9.42578125" bestFit="1" customWidth="1"/>
    <col min="3441" max="3442" width="9.140625" bestFit="1" customWidth="1"/>
    <col min="3443" max="3443" width="8.28515625" bestFit="1" customWidth="1"/>
    <col min="3444" max="3444" width="8.85546875" bestFit="1" customWidth="1"/>
    <col min="3445" max="3445" width="9.140625" bestFit="1" customWidth="1"/>
    <col min="3446" max="3446" width="8.28515625" bestFit="1" customWidth="1"/>
    <col min="3447" max="3447" width="9.42578125" bestFit="1" customWidth="1"/>
    <col min="3448" max="3448" width="8.85546875" bestFit="1" customWidth="1"/>
    <col min="3449" max="3450" width="9.140625" bestFit="1" customWidth="1"/>
    <col min="3451" max="3451" width="9.7109375" bestFit="1" customWidth="1"/>
    <col min="3452" max="3452" width="9.140625" bestFit="1" customWidth="1"/>
    <col min="3453" max="3453" width="8.85546875" bestFit="1" customWidth="1"/>
    <col min="3454" max="3454" width="8.28515625" bestFit="1" customWidth="1"/>
    <col min="3455" max="3455" width="9.28515625" bestFit="1" customWidth="1"/>
    <col min="3456" max="3457" width="9.140625" bestFit="1" customWidth="1"/>
    <col min="3458" max="3458" width="9.7109375" bestFit="1" customWidth="1"/>
    <col min="3459" max="3459" width="9.28515625" bestFit="1" customWidth="1"/>
    <col min="3460" max="3460" width="9.140625" bestFit="1" customWidth="1"/>
    <col min="3461" max="3461" width="9.7109375" bestFit="1" customWidth="1"/>
    <col min="3462" max="3462" width="9.140625" bestFit="1" customWidth="1"/>
    <col min="3463" max="3463" width="9.42578125" bestFit="1" customWidth="1"/>
    <col min="3464" max="3464" width="8.85546875" bestFit="1" customWidth="1"/>
    <col min="3465" max="3465" width="8.28515625" bestFit="1" customWidth="1"/>
    <col min="3466" max="3467" width="8.85546875" bestFit="1" customWidth="1"/>
    <col min="3468" max="3469" width="9.42578125" bestFit="1" customWidth="1"/>
    <col min="3470" max="3470" width="8.28515625" bestFit="1" customWidth="1"/>
    <col min="3471" max="3471" width="8.85546875" bestFit="1" customWidth="1"/>
    <col min="3472" max="3472" width="9.140625" bestFit="1" customWidth="1"/>
    <col min="3473" max="3473" width="8.85546875" bestFit="1" customWidth="1"/>
    <col min="3474" max="3474" width="9.28515625" bestFit="1" customWidth="1"/>
    <col min="3475" max="3475" width="9.140625" bestFit="1" customWidth="1"/>
    <col min="3476" max="3476" width="8.85546875" bestFit="1" customWidth="1"/>
    <col min="3477" max="3477" width="9.7109375" bestFit="1" customWidth="1"/>
    <col min="3478" max="3479" width="9.140625" bestFit="1" customWidth="1"/>
    <col min="3480" max="3480" width="9.28515625" bestFit="1" customWidth="1"/>
    <col min="3481" max="3481" width="8.85546875" bestFit="1" customWidth="1"/>
    <col min="3482" max="3482" width="9.28515625" bestFit="1" customWidth="1"/>
    <col min="3483" max="3483" width="9.140625" bestFit="1" customWidth="1"/>
    <col min="3484" max="3484" width="9.7109375" bestFit="1" customWidth="1"/>
    <col min="3485" max="3485" width="9.140625" bestFit="1" customWidth="1"/>
    <col min="3486" max="3487" width="8.85546875" bestFit="1" customWidth="1"/>
    <col min="3488" max="3491" width="9.140625" bestFit="1" customWidth="1"/>
    <col min="3492" max="3492" width="9.7109375" bestFit="1" customWidth="1"/>
    <col min="3493" max="3494" width="9.140625" bestFit="1" customWidth="1"/>
    <col min="3495" max="3495" width="8.85546875" bestFit="1" customWidth="1"/>
    <col min="3496" max="3496" width="9.7109375" bestFit="1" customWidth="1"/>
    <col min="3497" max="3497" width="8.85546875" bestFit="1" customWidth="1"/>
    <col min="3498" max="3498" width="8.28515625" bestFit="1" customWidth="1"/>
    <col min="3499" max="3499" width="9.7109375" bestFit="1" customWidth="1"/>
    <col min="3500" max="3500" width="8.85546875" bestFit="1" customWidth="1"/>
    <col min="3501" max="3501" width="9.140625" bestFit="1" customWidth="1"/>
    <col min="3502" max="3502" width="9.28515625" bestFit="1" customWidth="1"/>
    <col min="3503" max="3506" width="8.85546875" bestFit="1" customWidth="1"/>
    <col min="3507" max="3507" width="9.140625" bestFit="1" customWidth="1"/>
    <col min="3508" max="3508" width="8.85546875" bestFit="1" customWidth="1"/>
    <col min="3509" max="3509" width="8.28515625" bestFit="1" customWidth="1"/>
    <col min="3510" max="3511" width="9.140625" bestFit="1" customWidth="1"/>
    <col min="3512" max="3512" width="9.28515625" bestFit="1" customWidth="1"/>
    <col min="3513" max="3513" width="9.42578125" bestFit="1" customWidth="1"/>
    <col min="3514" max="3514" width="8.28515625" bestFit="1" customWidth="1"/>
    <col min="3515" max="3516" width="9.28515625" bestFit="1" customWidth="1"/>
    <col min="3517" max="3519" width="9.140625" bestFit="1" customWidth="1"/>
    <col min="3520" max="3520" width="8.28515625" bestFit="1" customWidth="1"/>
    <col min="3521" max="3521" width="8.85546875" bestFit="1" customWidth="1"/>
    <col min="3522" max="3523" width="8.28515625" bestFit="1" customWidth="1"/>
    <col min="3524" max="3526" width="8.85546875" bestFit="1" customWidth="1"/>
    <col min="3527" max="3527" width="9.42578125" bestFit="1" customWidth="1"/>
    <col min="3528" max="3528" width="9.140625" bestFit="1" customWidth="1"/>
    <col min="3529" max="3529" width="9.28515625" bestFit="1" customWidth="1"/>
    <col min="3530" max="3530" width="9.140625" bestFit="1" customWidth="1"/>
    <col min="3531" max="3531" width="9.42578125" bestFit="1" customWidth="1"/>
    <col min="3532" max="3535" width="9.140625" bestFit="1" customWidth="1"/>
    <col min="3536" max="3536" width="9.42578125" bestFit="1" customWidth="1"/>
    <col min="3537" max="3537" width="8.85546875" bestFit="1" customWidth="1"/>
    <col min="3538" max="3538" width="9.42578125" bestFit="1" customWidth="1"/>
    <col min="3539" max="3539" width="9.140625" bestFit="1" customWidth="1"/>
    <col min="3540" max="3540" width="9.7109375" bestFit="1" customWidth="1"/>
    <col min="3541" max="3541" width="9.28515625" bestFit="1" customWidth="1"/>
    <col min="3542" max="3542" width="8.85546875" bestFit="1" customWidth="1"/>
    <col min="3543" max="3543" width="8.28515625" bestFit="1" customWidth="1"/>
    <col min="3544" max="3544" width="8.85546875" bestFit="1" customWidth="1"/>
    <col min="3545" max="3545" width="9.42578125" bestFit="1" customWidth="1"/>
    <col min="3546" max="3546" width="8.85546875" bestFit="1" customWidth="1"/>
    <col min="3547" max="3549" width="9.140625" bestFit="1" customWidth="1"/>
    <col min="3550" max="3551" width="9.28515625" bestFit="1" customWidth="1"/>
    <col min="3552" max="3552" width="8.28515625" bestFit="1" customWidth="1"/>
    <col min="3553" max="3553" width="9.28515625" bestFit="1" customWidth="1"/>
    <col min="3554" max="3554" width="8.85546875" bestFit="1" customWidth="1"/>
    <col min="3555" max="3557" width="9.140625" bestFit="1" customWidth="1"/>
    <col min="3558" max="3558" width="9.42578125" bestFit="1" customWidth="1"/>
    <col min="3559" max="3559" width="9.140625" bestFit="1" customWidth="1"/>
    <col min="3560" max="3562" width="8.85546875" bestFit="1" customWidth="1"/>
    <col min="3563" max="3563" width="9.7109375" bestFit="1" customWidth="1"/>
    <col min="3564" max="3564" width="9.28515625" bestFit="1" customWidth="1"/>
    <col min="3565" max="3565" width="8.28515625" bestFit="1" customWidth="1"/>
    <col min="3566" max="3566" width="8.85546875" bestFit="1" customWidth="1"/>
    <col min="3567" max="3567" width="9.140625" bestFit="1" customWidth="1"/>
    <col min="3568" max="3568" width="8.85546875" bestFit="1" customWidth="1"/>
    <col min="3569" max="3569" width="9.140625" bestFit="1" customWidth="1"/>
    <col min="3570" max="3570" width="8.28515625" bestFit="1" customWidth="1"/>
    <col min="3571" max="3571" width="9.28515625" bestFit="1" customWidth="1"/>
    <col min="3572" max="3572" width="8.85546875" bestFit="1" customWidth="1"/>
    <col min="3573" max="3573" width="9.42578125" bestFit="1" customWidth="1"/>
    <col min="3574" max="3574" width="9.140625" bestFit="1" customWidth="1"/>
    <col min="3575" max="3575" width="8.85546875" bestFit="1" customWidth="1"/>
    <col min="3576" max="3576" width="8.28515625" bestFit="1" customWidth="1"/>
    <col min="3577" max="3577" width="9.42578125" bestFit="1" customWidth="1"/>
    <col min="3578" max="3578" width="9.28515625" bestFit="1" customWidth="1"/>
    <col min="3579" max="3579" width="8.28515625" bestFit="1" customWidth="1"/>
    <col min="3580" max="3580" width="9.140625" bestFit="1" customWidth="1"/>
    <col min="3581" max="3581" width="8.85546875" bestFit="1" customWidth="1"/>
    <col min="3582" max="3582" width="8.28515625" bestFit="1" customWidth="1"/>
    <col min="3583" max="3583" width="9.140625" bestFit="1" customWidth="1"/>
    <col min="3584" max="3584" width="8.85546875" bestFit="1" customWidth="1"/>
    <col min="3585" max="3585" width="9.28515625" bestFit="1" customWidth="1"/>
    <col min="3586" max="3590" width="9.140625" bestFit="1" customWidth="1"/>
    <col min="3591" max="3591" width="9.28515625" bestFit="1" customWidth="1"/>
    <col min="3592" max="3592" width="8.85546875" bestFit="1" customWidth="1"/>
    <col min="3593" max="3593" width="9.42578125" bestFit="1" customWidth="1"/>
    <col min="3594" max="3595" width="8.85546875" bestFit="1" customWidth="1"/>
    <col min="3596" max="3596" width="9.42578125" bestFit="1" customWidth="1"/>
    <col min="3597" max="3597" width="8.28515625" bestFit="1" customWidth="1"/>
    <col min="3598" max="3598" width="8.85546875" bestFit="1" customWidth="1"/>
    <col min="3599" max="3599" width="9.7109375" bestFit="1" customWidth="1"/>
    <col min="3600" max="3600" width="9.140625" bestFit="1" customWidth="1"/>
    <col min="3601" max="3601" width="9.28515625" bestFit="1" customWidth="1"/>
    <col min="3602" max="3602" width="8.28515625" bestFit="1" customWidth="1"/>
    <col min="3603" max="3603" width="9.140625" bestFit="1" customWidth="1"/>
    <col min="3604" max="3604" width="8.85546875" bestFit="1" customWidth="1"/>
    <col min="3605" max="3605" width="9.140625" bestFit="1" customWidth="1"/>
    <col min="3606" max="3607" width="8.85546875" bestFit="1" customWidth="1"/>
    <col min="3608" max="3608" width="9.28515625" bestFit="1" customWidth="1"/>
    <col min="3609" max="3611" width="9.140625" bestFit="1" customWidth="1"/>
    <col min="3612" max="3612" width="9.7109375" bestFit="1" customWidth="1"/>
    <col min="3613" max="3613" width="9.28515625" bestFit="1" customWidth="1"/>
    <col min="3614" max="3614" width="9.140625" bestFit="1" customWidth="1"/>
    <col min="3615" max="3616" width="9.28515625" bestFit="1" customWidth="1"/>
    <col min="3617" max="3619" width="8.85546875" bestFit="1" customWidth="1"/>
    <col min="3620" max="3620" width="9.7109375" bestFit="1" customWidth="1"/>
    <col min="3621" max="3621" width="9.42578125" bestFit="1" customWidth="1"/>
    <col min="3622" max="3625" width="9.140625" bestFit="1" customWidth="1"/>
    <col min="3626" max="3626" width="8.28515625" bestFit="1" customWidth="1"/>
    <col min="3627" max="3627" width="8.85546875" bestFit="1" customWidth="1"/>
    <col min="3628" max="3629" width="9.140625" bestFit="1" customWidth="1"/>
    <col min="3630" max="3631" width="8.85546875" bestFit="1" customWidth="1"/>
    <col min="3632" max="3632" width="9.140625" bestFit="1" customWidth="1"/>
    <col min="3633" max="3633" width="8.85546875" bestFit="1" customWidth="1"/>
    <col min="3634" max="3634" width="9.140625" bestFit="1" customWidth="1"/>
    <col min="3635" max="3635" width="9.28515625" bestFit="1" customWidth="1"/>
    <col min="3636" max="3637" width="8.85546875" bestFit="1" customWidth="1"/>
    <col min="3638" max="3638" width="9.28515625" bestFit="1" customWidth="1"/>
    <col min="3639" max="3640" width="9.140625" bestFit="1" customWidth="1"/>
    <col min="3641" max="3641" width="9.7109375" bestFit="1" customWidth="1"/>
    <col min="3642" max="3642" width="8.28515625" bestFit="1" customWidth="1"/>
    <col min="3643" max="3643" width="9.7109375" bestFit="1" customWidth="1"/>
    <col min="3644" max="3644" width="8.85546875" bestFit="1" customWidth="1"/>
    <col min="3645" max="3645" width="9.140625" bestFit="1" customWidth="1"/>
    <col min="3646" max="3646" width="9.28515625" bestFit="1" customWidth="1"/>
    <col min="3647" max="3647" width="9.140625" bestFit="1" customWidth="1"/>
    <col min="3648" max="3648" width="8.85546875" bestFit="1" customWidth="1"/>
    <col min="3649" max="3649" width="9.7109375" bestFit="1" customWidth="1"/>
    <col min="3650" max="3650" width="9.42578125" bestFit="1" customWidth="1"/>
    <col min="3651" max="3651" width="9.140625" bestFit="1" customWidth="1"/>
    <col min="3652" max="3652" width="9.42578125" bestFit="1" customWidth="1"/>
  </cols>
  <sheetData>
    <row r="3" spans="1:3">
      <c r="A3" s="3" t="s">
        <v>7812</v>
      </c>
      <c r="B3" t="s">
        <v>7813</v>
      </c>
      <c r="C3" t="s">
        <v>18</v>
      </c>
    </row>
    <row r="4" spans="1:3">
      <c r="A4" s="4" t="s">
        <v>76</v>
      </c>
      <c r="B4" s="1">
        <v>46076</v>
      </c>
      <c r="C4">
        <v>1760156</v>
      </c>
    </row>
    <row r="5" spans="1:3">
      <c r="A5" s="4" t="s">
        <v>1106</v>
      </c>
      <c r="B5" s="1">
        <v>46062</v>
      </c>
      <c r="C5">
        <v>1686991</v>
      </c>
    </row>
    <row r="6" spans="1:3">
      <c r="A6" s="4" t="s">
        <v>265</v>
      </c>
      <c r="B6" s="1">
        <v>46002</v>
      </c>
      <c r="C6">
        <v>1625575</v>
      </c>
    </row>
    <row r="7" spans="1:3">
      <c r="A7" s="4" t="s">
        <v>2987</v>
      </c>
      <c r="B7" s="1">
        <v>46077</v>
      </c>
      <c r="C7">
        <v>1483378</v>
      </c>
    </row>
    <row r="8" spans="1:3">
      <c r="A8" s="4" t="s">
        <v>1104</v>
      </c>
      <c r="B8" s="1">
        <v>46074</v>
      </c>
      <c r="C8">
        <v>1425127.933</v>
      </c>
    </row>
    <row r="9" spans="1:3">
      <c r="A9" s="4" t="s">
        <v>50</v>
      </c>
      <c r="B9" s="1">
        <v>46080</v>
      </c>
      <c r="C9">
        <v>1279923</v>
      </c>
    </row>
    <row r="10" spans="1:3">
      <c r="A10" s="4" t="s">
        <v>35</v>
      </c>
      <c r="B10" s="1">
        <v>46077</v>
      </c>
      <c r="C10">
        <v>1081054</v>
      </c>
    </row>
    <row r="11" spans="1:3">
      <c r="A11" s="4" t="s">
        <v>180</v>
      </c>
      <c r="B11" s="1">
        <v>46081</v>
      </c>
      <c r="C11">
        <v>912480</v>
      </c>
    </row>
    <row r="12" spans="1:3">
      <c r="A12" s="4" t="s">
        <v>43</v>
      </c>
      <c r="B12" s="1">
        <v>46079</v>
      </c>
      <c r="C12">
        <v>815695</v>
      </c>
    </row>
    <row r="13" spans="1:3">
      <c r="A13" s="4" t="s">
        <v>68</v>
      </c>
      <c r="B13" s="1">
        <v>46080</v>
      </c>
      <c r="C13">
        <v>811009</v>
      </c>
    </row>
    <row r="14" spans="1:3">
      <c r="A14" s="4" t="s">
        <v>1628</v>
      </c>
      <c r="B14" s="1">
        <v>46056</v>
      </c>
      <c r="C14">
        <v>721570</v>
      </c>
    </row>
    <row r="15" spans="1:3">
      <c r="A15" s="4" t="s">
        <v>48</v>
      </c>
      <c r="B15" s="1">
        <v>46041</v>
      </c>
      <c r="C15">
        <v>648248</v>
      </c>
    </row>
    <row r="16" spans="1:3">
      <c r="A16" s="4" t="s">
        <v>100</v>
      </c>
      <c r="B16" s="1">
        <v>46073</v>
      </c>
      <c r="C16">
        <v>601571</v>
      </c>
    </row>
    <row r="17" spans="1:3">
      <c r="A17" s="4" t="s">
        <v>557</v>
      </c>
      <c r="B17" s="1">
        <v>46074</v>
      </c>
      <c r="C17">
        <v>562664</v>
      </c>
    </row>
    <row r="18" spans="1:3">
      <c r="A18" s="4" t="s">
        <v>526</v>
      </c>
      <c r="B18" s="1">
        <v>46069</v>
      </c>
      <c r="C18">
        <v>539297</v>
      </c>
    </row>
    <row r="19" spans="1:3">
      <c r="A19" s="4" t="s">
        <v>135</v>
      </c>
      <c r="B19" s="1">
        <v>46076</v>
      </c>
      <c r="C19">
        <v>476063</v>
      </c>
    </row>
    <row r="20" spans="1:3">
      <c r="A20" s="4" t="s">
        <v>932</v>
      </c>
      <c r="B20" s="1">
        <v>46070</v>
      </c>
      <c r="C20">
        <v>468205</v>
      </c>
    </row>
    <row r="21" spans="1:3">
      <c r="A21" s="4" t="s">
        <v>360</v>
      </c>
      <c r="B21" s="1">
        <v>46076</v>
      </c>
      <c r="C21">
        <v>451761</v>
      </c>
    </row>
    <row r="22" spans="1:3">
      <c r="A22" s="4" t="s">
        <v>4144</v>
      </c>
      <c r="B22" s="1">
        <v>46058</v>
      </c>
      <c r="C22">
        <v>441866</v>
      </c>
    </row>
    <row r="23" spans="1:3">
      <c r="A23" s="4" t="s">
        <v>147</v>
      </c>
      <c r="B23" s="1">
        <v>46080</v>
      </c>
      <c r="C23">
        <v>433572</v>
      </c>
    </row>
    <row r="24" spans="1:3">
      <c r="A24" s="4" t="s">
        <v>193</v>
      </c>
      <c r="B24" s="1">
        <v>46077</v>
      </c>
      <c r="C24">
        <v>425797</v>
      </c>
    </row>
    <row r="25" spans="1:3">
      <c r="A25" s="4" t="s">
        <v>1075</v>
      </c>
      <c r="B25" s="1">
        <v>46079</v>
      </c>
      <c r="C25">
        <v>404375</v>
      </c>
    </row>
    <row r="26" spans="1:3">
      <c r="A26" s="4" t="s">
        <v>56</v>
      </c>
      <c r="B26" s="1">
        <v>46076</v>
      </c>
      <c r="C26">
        <v>389539</v>
      </c>
    </row>
    <row r="27" spans="1:3">
      <c r="A27" s="4" t="s">
        <v>1350</v>
      </c>
      <c r="B27" s="1">
        <v>46073</v>
      </c>
      <c r="C27">
        <v>377414</v>
      </c>
    </row>
    <row r="28" spans="1:3">
      <c r="A28" s="4" t="s">
        <v>817</v>
      </c>
      <c r="B28" s="1">
        <v>46080</v>
      </c>
      <c r="C28">
        <v>352968</v>
      </c>
    </row>
    <row r="29" spans="1:3">
      <c r="A29" s="4" t="s">
        <v>1179</v>
      </c>
      <c r="B29" s="1">
        <v>46032</v>
      </c>
      <c r="C29">
        <v>350294</v>
      </c>
    </row>
    <row r="30" spans="1:3">
      <c r="A30" s="4" t="s">
        <v>927</v>
      </c>
      <c r="B30" s="1">
        <v>46053</v>
      </c>
      <c r="C30">
        <v>346083</v>
      </c>
    </row>
    <row r="31" spans="1:3">
      <c r="A31" s="4" t="s">
        <v>2233</v>
      </c>
      <c r="B31" s="1">
        <v>46078</v>
      </c>
      <c r="C31">
        <v>339562</v>
      </c>
    </row>
    <row r="32" spans="1:3">
      <c r="A32" s="4" t="s">
        <v>1049</v>
      </c>
      <c r="B32" s="1">
        <v>45989</v>
      </c>
      <c r="C32">
        <v>338318</v>
      </c>
    </row>
    <row r="33" spans="1:3">
      <c r="A33" s="4" t="s">
        <v>455</v>
      </c>
      <c r="B33" s="1">
        <v>46074</v>
      </c>
      <c r="C33">
        <v>333506</v>
      </c>
    </row>
    <row r="34" spans="1:3">
      <c r="A34" s="4" t="s">
        <v>559</v>
      </c>
      <c r="B34" s="1">
        <v>45794</v>
      </c>
      <c r="C34">
        <v>326992</v>
      </c>
    </row>
    <row r="35" spans="1:3">
      <c r="A35" s="4" t="s">
        <v>2329</v>
      </c>
      <c r="B35" s="1">
        <v>46076</v>
      </c>
      <c r="C35">
        <v>306772</v>
      </c>
    </row>
    <row r="36" spans="1:3">
      <c r="A36" s="4" t="s">
        <v>6753</v>
      </c>
      <c r="B36" s="1">
        <v>46079</v>
      </c>
      <c r="C36">
        <v>305932</v>
      </c>
    </row>
    <row r="37" spans="1:3">
      <c r="A37" s="4" t="s">
        <v>543</v>
      </c>
      <c r="B37" s="1">
        <v>45903</v>
      </c>
      <c r="C37">
        <v>296255</v>
      </c>
    </row>
    <row r="38" spans="1:3">
      <c r="A38" s="4" t="s">
        <v>5840</v>
      </c>
      <c r="B38" s="1">
        <v>46078</v>
      </c>
      <c r="C38">
        <v>296054</v>
      </c>
    </row>
    <row r="39" spans="1:3">
      <c r="A39" s="4" t="s">
        <v>60</v>
      </c>
      <c r="B39" s="1">
        <v>46070</v>
      </c>
      <c r="C39">
        <v>291010</v>
      </c>
    </row>
    <row r="40" spans="1:3">
      <c r="A40" s="4" t="s">
        <v>2634</v>
      </c>
      <c r="B40" s="1">
        <v>46072</v>
      </c>
      <c r="C40">
        <v>285627</v>
      </c>
    </row>
    <row r="41" spans="1:3">
      <c r="A41" s="4" t="s">
        <v>6278</v>
      </c>
      <c r="B41" s="1">
        <v>46059</v>
      </c>
      <c r="C41">
        <v>281844</v>
      </c>
    </row>
    <row r="42" spans="1:3">
      <c r="A42" s="4" t="s">
        <v>443</v>
      </c>
      <c r="B42" s="1">
        <v>46073</v>
      </c>
      <c r="C42">
        <v>264609</v>
      </c>
    </row>
    <row r="43" spans="1:3">
      <c r="A43" s="4" t="s">
        <v>2786</v>
      </c>
      <c r="B43" s="1">
        <v>45938</v>
      </c>
      <c r="C43">
        <v>256712</v>
      </c>
    </row>
    <row r="44" spans="1:3">
      <c r="A44" s="4" t="s">
        <v>6523</v>
      </c>
      <c r="B44" s="1">
        <v>46036</v>
      </c>
      <c r="C44">
        <v>252500</v>
      </c>
    </row>
    <row r="45" spans="1:3">
      <c r="A45" s="4" t="s">
        <v>195</v>
      </c>
      <c r="B45" s="1">
        <v>45875</v>
      </c>
      <c r="C45">
        <v>249930</v>
      </c>
    </row>
    <row r="46" spans="1:3">
      <c r="A46" s="4" t="s">
        <v>2854</v>
      </c>
      <c r="B46" s="1">
        <v>46008</v>
      </c>
      <c r="C46">
        <v>245177</v>
      </c>
    </row>
    <row r="47" spans="1:3">
      <c r="A47" s="4" t="s">
        <v>709</v>
      </c>
      <c r="B47" s="1">
        <v>46077</v>
      </c>
      <c r="C47">
        <v>231365</v>
      </c>
    </row>
    <row r="48" spans="1:3">
      <c r="A48" s="4" t="s">
        <v>856</v>
      </c>
      <c r="B48" s="1">
        <v>46071</v>
      </c>
      <c r="C48">
        <v>227789</v>
      </c>
    </row>
    <row r="49" spans="1:3">
      <c r="A49" s="4" t="s">
        <v>3333</v>
      </c>
      <c r="B49" s="1">
        <v>46013</v>
      </c>
      <c r="C49">
        <v>225907</v>
      </c>
    </row>
    <row r="50" spans="1:3">
      <c r="A50" s="4" t="s">
        <v>5188</v>
      </c>
      <c r="B50" s="1">
        <v>46038</v>
      </c>
      <c r="C50">
        <v>223524</v>
      </c>
    </row>
    <row r="51" spans="1:3">
      <c r="A51" s="4" t="s">
        <v>6603</v>
      </c>
      <c r="B51" s="1">
        <v>46066</v>
      </c>
      <c r="C51">
        <v>222459</v>
      </c>
    </row>
    <row r="52" spans="1:3">
      <c r="A52" s="4" t="s">
        <v>844</v>
      </c>
      <c r="B52" s="1">
        <v>46076</v>
      </c>
      <c r="C52">
        <v>218545</v>
      </c>
    </row>
    <row r="53" spans="1:3">
      <c r="A53" s="4" t="s">
        <v>2958</v>
      </c>
      <c r="B53" s="1">
        <v>45962</v>
      </c>
      <c r="C53">
        <v>217909</v>
      </c>
    </row>
    <row r="54" spans="1:3">
      <c r="A54" s="4" t="s">
        <v>87</v>
      </c>
      <c r="B54" s="1">
        <v>46070</v>
      </c>
      <c r="C54">
        <v>203857</v>
      </c>
    </row>
    <row r="55" spans="1:3">
      <c r="A55" s="4" t="s">
        <v>331</v>
      </c>
      <c r="B55" s="1">
        <v>46060</v>
      </c>
      <c r="C55">
        <v>203264</v>
      </c>
    </row>
    <row r="56" spans="1:3">
      <c r="A56" s="4" t="s">
        <v>1182</v>
      </c>
      <c r="B56" s="1">
        <v>46046</v>
      </c>
      <c r="C56">
        <v>202081</v>
      </c>
    </row>
    <row r="57" spans="1:3">
      <c r="A57" s="4" t="s">
        <v>1258</v>
      </c>
      <c r="B57" s="1">
        <v>45794</v>
      </c>
      <c r="C57">
        <v>198500</v>
      </c>
    </row>
    <row r="58" spans="1:3">
      <c r="A58" s="4" t="s">
        <v>58</v>
      </c>
      <c r="B58" s="1">
        <v>46080</v>
      </c>
      <c r="C58">
        <v>194587</v>
      </c>
    </row>
    <row r="59" spans="1:3">
      <c r="A59" s="4" t="s">
        <v>4833</v>
      </c>
      <c r="B59" s="1">
        <v>46032</v>
      </c>
      <c r="C59">
        <v>193048</v>
      </c>
    </row>
    <row r="60" spans="1:3">
      <c r="A60" s="4" t="s">
        <v>2521</v>
      </c>
      <c r="B60" s="1">
        <v>45855</v>
      </c>
      <c r="C60">
        <v>192293</v>
      </c>
    </row>
    <row r="61" spans="1:3">
      <c r="A61" s="4" t="s">
        <v>2586</v>
      </c>
      <c r="B61" s="1">
        <v>45937</v>
      </c>
      <c r="C61">
        <v>186549</v>
      </c>
    </row>
    <row r="62" spans="1:3">
      <c r="A62" s="4" t="s">
        <v>1516</v>
      </c>
      <c r="B62" s="1">
        <v>46014</v>
      </c>
      <c r="C62">
        <v>182624</v>
      </c>
    </row>
    <row r="63" spans="1:3">
      <c r="A63" s="4" t="s">
        <v>512</v>
      </c>
      <c r="B63" s="1">
        <v>46063</v>
      </c>
      <c r="C63">
        <v>178894</v>
      </c>
    </row>
    <row r="64" spans="1:3">
      <c r="A64" s="4" t="s">
        <v>4089</v>
      </c>
      <c r="B64" s="1">
        <v>46064</v>
      </c>
      <c r="C64">
        <v>178378</v>
      </c>
    </row>
    <row r="65" spans="1:3">
      <c r="A65" s="4" t="s">
        <v>2782</v>
      </c>
      <c r="B65" s="1">
        <v>45869</v>
      </c>
      <c r="C65">
        <v>177607</v>
      </c>
    </row>
    <row r="66" spans="1:3">
      <c r="A66" s="4" t="s">
        <v>287</v>
      </c>
      <c r="B66" s="1">
        <v>46064</v>
      </c>
      <c r="C66">
        <v>175822</v>
      </c>
    </row>
    <row r="67" spans="1:3">
      <c r="A67" s="4" t="s">
        <v>81</v>
      </c>
      <c r="B67" s="1">
        <v>46030</v>
      </c>
      <c r="C67">
        <v>174117</v>
      </c>
    </row>
    <row r="68" spans="1:3">
      <c r="A68" s="4" t="s">
        <v>2498</v>
      </c>
      <c r="B68" s="1">
        <v>46062</v>
      </c>
      <c r="C68">
        <v>172994</v>
      </c>
    </row>
    <row r="69" spans="1:3">
      <c r="A69" s="4" t="s">
        <v>64</v>
      </c>
      <c r="B69" s="1">
        <v>45771</v>
      </c>
      <c r="C69">
        <v>172285</v>
      </c>
    </row>
    <row r="70" spans="1:3">
      <c r="A70" s="4" t="s">
        <v>6293</v>
      </c>
      <c r="B70" s="1">
        <v>46020</v>
      </c>
      <c r="C70">
        <v>169002</v>
      </c>
    </row>
    <row r="71" spans="1:3">
      <c r="A71" s="4" t="s">
        <v>7433</v>
      </c>
      <c r="B71" s="1">
        <v>46073</v>
      </c>
      <c r="C71">
        <v>164871</v>
      </c>
    </row>
    <row r="72" spans="1:3">
      <c r="A72" s="4" t="s">
        <v>222</v>
      </c>
      <c r="B72" s="1">
        <v>46074</v>
      </c>
      <c r="C72">
        <v>164237</v>
      </c>
    </row>
    <row r="73" spans="1:3">
      <c r="A73" s="4" t="s">
        <v>4013</v>
      </c>
      <c r="B73" s="1">
        <v>46008</v>
      </c>
      <c r="C73">
        <v>162143</v>
      </c>
    </row>
    <row r="74" spans="1:3">
      <c r="A74" s="4" t="s">
        <v>802</v>
      </c>
      <c r="B74" s="1">
        <v>46036</v>
      </c>
      <c r="C74">
        <v>161161</v>
      </c>
    </row>
    <row r="75" spans="1:3">
      <c r="A75" s="4" t="s">
        <v>2143</v>
      </c>
      <c r="B75" s="1">
        <v>46070</v>
      </c>
      <c r="C75">
        <v>160539</v>
      </c>
    </row>
    <row r="76" spans="1:3">
      <c r="A76" s="4" t="s">
        <v>6182</v>
      </c>
      <c r="B76" s="1">
        <v>46078</v>
      </c>
      <c r="C76">
        <v>160256</v>
      </c>
    </row>
    <row r="77" spans="1:3">
      <c r="A77" s="4" t="s">
        <v>2202</v>
      </c>
      <c r="B77" s="1">
        <v>45980</v>
      </c>
      <c r="C77">
        <v>159441</v>
      </c>
    </row>
    <row r="78" spans="1:3">
      <c r="A78" s="4" t="s">
        <v>1768</v>
      </c>
      <c r="B78" s="1">
        <v>45838</v>
      </c>
      <c r="C78">
        <v>157380</v>
      </c>
    </row>
    <row r="79" spans="1:3">
      <c r="A79" s="4" t="s">
        <v>4050</v>
      </c>
      <c r="B79" s="1">
        <v>46041</v>
      </c>
      <c r="C79">
        <v>154036</v>
      </c>
    </row>
    <row r="80" spans="1:3">
      <c r="A80" s="4" t="s">
        <v>4571</v>
      </c>
      <c r="B80" s="1">
        <v>45990</v>
      </c>
      <c r="C80">
        <v>151390</v>
      </c>
    </row>
    <row r="81" spans="1:3">
      <c r="A81" s="4" t="s">
        <v>3313</v>
      </c>
      <c r="B81" s="1">
        <v>45890</v>
      </c>
      <c r="C81">
        <v>146057</v>
      </c>
    </row>
    <row r="82" spans="1:3">
      <c r="A82" s="4" t="s">
        <v>566</v>
      </c>
      <c r="B82" s="1">
        <v>46079</v>
      </c>
      <c r="C82">
        <v>145256</v>
      </c>
    </row>
    <row r="83" spans="1:3">
      <c r="A83" s="4" t="s">
        <v>2417</v>
      </c>
      <c r="B83" s="1">
        <v>45874</v>
      </c>
      <c r="C83">
        <v>144232</v>
      </c>
    </row>
    <row r="84" spans="1:3">
      <c r="A84" s="4" t="s">
        <v>1424</v>
      </c>
      <c r="B84" s="1">
        <v>45954</v>
      </c>
      <c r="C84">
        <v>143956</v>
      </c>
    </row>
    <row r="85" spans="1:3">
      <c r="A85" s="4" t="s">
        <v>1685</v>
      </c>
      <c r="B85" s="1">
        <v>45864</v>
      </c>
      <c r="C85">
        <v>143584</v>
      </c>
    </row>
    <row r="86" spans="1:3">
      <c r="A86" s="4" t="s">
        <v>83</v>
      </c>
      <c r="B86" s="1">
        <v>45878</v>
      </c>
      <c r="C86">
        <v>143428</v>
      </c>
    </row>
    <row r="87" spans="1:3">
      <c r="A87" s="4" t="s">
        <v>4669</v>
      </c>
      <c r="B87" s="1">
        <v>46080</v>
      </c>
      <c r="C87">
        <v>141297</v>
      </c>
    </row>
    <row r="88" spans="1:3">
      <c r="A88" s="4" t="s">
        <v>3089</v>
      </c>
      <c r="B88" s="1">
        <v>46067</v>
      </c>
      <c r="C88">
        <v>140539</v>
      </c>
    </row>
    <row r="89" spans="1:3">
      <c r="A89" s="4" t="s">
        <v>586</v>
      </c>
      <c r="B89" s="1">
        <v>46056</v>
      </c>
      <c r="C89">
        <v>140404</v>
      </c>
    </row>
    <row r="90" spans="1:3">
      <c r="A90" s="4" t="s">
        <v>62</v>
      </c>
      <c r="B90" s="1">
        <v>45780</v>
      </c>
      <c r="C90">
        <v>137668</v>
      </c>
    </row>
    <row r="91" spans="1:3">
      <c r="A91" s="4" t="s">
        <v>601</v>
      </c>
      <c r="B91" s="1">
        <v>46079</v>
      </c>
      <c r="C91">
        <v>134431</v>
      </c>
    </row>
    <row r="92" spans="1:3">
      <c r="A92" s="4" t="s">
        <v>875</v>
      </c>
      <c r="B92" s="1">
        <v>46066</v>
      </c>
      <c r="C92">
        <v>133319</v>
      </c>
    </row>
    <row r="93" spans="1:3">
      <c r="A93" s="4" t="s">
        <v>3951</v>
      </c>
      <c r="B93" s="1">
        <v>45925</v>
      </c>
      <c r="C93">
        <v>132291</v>
      </c>
    </row>
    <row r="94" spans="1:3">
      <c r="A94" s="4" t="s">
        <v>2459</v>
      </c>
      <c r="B94" s="1">
        <v>46020</v>
      </c>
      <c r="C94">
        <v>130231</v>
      </c>
    </row>
    <row r="95" spans="1:3">
      <c r="A95" s="4" t="s">
        <v>220</v>
      </c>
      <c r="B95" s="1">
        <v>46025</v>
      </c>
      <c r="C95">
        <v>127237</v>
      </c>
    </row>
    <row r="96" spans="1:3">
      <c r="A96" s="4" t="s">
        <v>2455</v>
      </c>
      <c r="B96" s="1">
        <v>46027</v>
      </c>
      <c r="C96">
        <v>126772</v>
      </c>
    </row>
    <row r="97" spans="1:3">
      <c r="A97" s="4" t="s">
        <v>6255</v>
      </c>
      <c r="B97" s="1">
        <v>46055</v>
      </c>
      <c r="C97">
        <v>126205</v>
      </c>
    </row>
    <row r="98" spans="1:3">
      <c r="A98" s="4" t="s">
        <v>212</v>
      </c>
      <c r="B98" s="1">
        <v>45818</v>
      </c>
      <c r="C98">
        <v>125168</v>
      </c>
    </row>
    <row r="99" spans="1:3">
      <c r="A99" s="4" t="s">
        <v>2452</v>
      </c>
      <c r="B99" s="1">
        <v>46004</v>
      </c>
      <c r="C99">
        <v>123485</v>
      </c>
    </row>
    <row r="100" spans="1:3">
      <c r="A100" s="4" t="s">
        <v>774</v>
      </c>
      <c r="B100" s="1">
        <v>46077</v>
      </c>
      <c r="C100">
        <v>123324</v>
      </c>
    </row>
    <row r="101" spans="1:3">
      <c r="A101" s="4" t="s">
        <v>1377</v>
      </c>
      <c r="B101" s="1">
        <v>45883</v>
      </c>
      <c r="C101">
        <v>122906</v>
      </c>
    </row>
    <row r="102" spans="1:3">
      <c r="A102" s="4" t="s">
        <v>1397</v>
      </c>
      <c r="B102" s="1">
        <v>46064</v>
      </c>
      <c r="C102">
        <v>121917</v>
      </c>
    </row>
    <row r="103" spans="1:3">
      <c r="A103" s="4" t="s">
        <v>1721</v>
      </c>
      <c r="B103" s="1">
        <v>45895</v>
      </c>
      <c r="C103">
        <v>116800</v>
      </c>
    </row>
    <row r="104" spans="1:3">
      <c r="A104" s="4" t="s">
        <v>4322</v>
      </c>
      <c r="B104" s="1">
        <v>45930</v>
      </c>
      <c r="C104">
        <v>116672</v>
      </c>
    </row>
    <row r="105" spans="1:3">
      <c r="A105" s="4" t="s">
        <v>254</v>
      </c>
      <c r="B105" s="1">
        <v>46073</v>
      </c>
      <c r="C105">
        <v>115636</v>
      </c>
    </row>
    <row r="106" spans="1:3">
      <c r="A106" s="4" t="s">
        <v>239</v>
      </c>
      <c r="B106" s="1">
        <v>46080</v>
      </c>
      <c r="C106">
        <v>114394</v>
      </c>
    </row>
    <row r="107" spans="1:3">
      <c r="A107" s="4" t="s">
        <v>96</v>
      </c>
      <c r="B107" s="1">
        <v>46059</v>
      </c>
      <c r="C107">
        <v>113848</v>
      </c>
    </row>
    <row r="108" spans="1:3">
      <c r="A108" s="4" t="s">
        <v>1666</v>
      </c>
      <c r="B108" s="1">
        <v>45882</v>
      </c>
      <c r="C108">
        <v>113130</v>
      </c>
    </row>
    <row r="109" spans="1:3">
      <c r="A109" s="4" t="s">
        <v>1428</v>
      </c>
      <c r="B109" s="1">
        <v>45937</v>
      </c>
      <c r="C109">
        <v>112741</v>
      </c>
    </row>
    <row r="110" spans="1:3">
      <c r="A110" s="4" t="s">
        <v>5069</v>
      </c>
      <c r="B110" s="1">
        <v>46057</v>
      </c>
      <c r="C110">
        <v>111858</v>
      </c>
    </row>
    <row r="111" spans="1:3">
      <c r="A111" s="4" t="s">
        <v>3193</v>
      </c>
      <c r="B111" s="1">
        <v>45953</v>
      </c>
      <c r="C111">
        <v>111576</v>
      </c>
    </row>
    <row r="112" spans="1:3">
      <c r="A112" s="4" t="s">
        <v>5422</v>
      </c>
      <c r="B112" s="1">
        <v>45997</v>
      </c>
      <c r="C112">
        <v>111072</v>
      </c>
    </row>
    <row r="113" spans="1:3">
      <c r="A113" s="4" t="s">
        <v>246</v>
      </c>
      <c r="B113" s="1">
        <v>46076</v>
      </c>
      <c r="C113">
        <v>109694</v>
      </c>
    </row>
    <row r="114" spans="1:3">
      <c r="A114" s="4" t="s">
        <v>2702</v>
      </c>
      <c r="B114" s="1">
        <v>45954</v>
      </c>
      <c r="C114">
        <v>108415</v>
      </c>
    </row>
    <row r="115" spans="1:3">
      <c r="A115" s="4" t="s">
        <v>2406</v>
      </c>
      <c r="B115" s="1">
        <v>46060</v>
      </c>
      <c r="C115">
        <v>106813</v>
      </c>
    </row>
    <row r="116" spans="1:3">
      <c r="A116" s="4" t="s">
        <v>54</v>
      </c>
      <c r="B116" s="1">
        <v>45782</v>
      </c>
      <c r="C116">
        <v>105615</v>
      </c>
    </row>
    <row r="117" spans="1:3">
      <c r="A117" s="4" t="s">
        <v>4695</v>
      </c>
      <c r="B117" s="1">
        <v>46064</v>
      </c>
      <c r="C117">
        <v>103582</v>
      </c>
    </row>
    <row r="118" spans="1:3">
      <c r="A118" s="4" t="s">
        <v>252</v>
      </c>
      <c r="B118" s="1">
        <v>46042</v>
      </c>
      <c r="C118">
        <v>103445</v>
      </c>
    </row>
    <row r="119" spans="1:3">
      <c r="A119" s="4" t="s">
        <v>3008</v>
      </c>
      <c r="B119" s="1">
        <v>45890</v>
      </c>
      <c r="C119">
        <v>103075</v>
      </c>
    </row>
    <row r="120" spans="1:3">
      <c r="A120" s="4" t="s">
        <v>588</v>
      </c>
      <c r="B120" s="1">
        <v>46017</v>
      </c>
      <c r="C120">
        <v>101277</v>
      </c>
    </row>
    <row r="121" spans="1:3">
      <c r="A121" s="4" t="s">
        <v>2256</v>
      </c>
      <c r="B121" s="1">
        <v>45856</v>
      </c>
      <c r="C121">
        <v>101108</v>
      </c>
    </row>
    <row r="122" spans="1:3">
      <c r="A122" s="4" t="s">
        <v>1592</v>
      </c>
      <c r="B122" s="1">
        <v>45857</v>
      </c>
      <c r="C122">
        <v>100776</v>
      </c>
    </row>
    <row r="123" spans="1:3">
      <c r="A123" s="4" t="s">
        <v>763</v>
      </c>
      <c r="B123" s="1">
        <v>46044</v>
      </c>
      <c r="C123">
        <v>100178</v>
      </c>
    </row>
    <row r="124" spans="1:3">
      <c r="A124" s="4" t="s">
        <v>5593</v>
      </c>
      <c r="B124" s="1">
        <v>46077</v>
      </c>
      <c r="C124">
        <v>98989</v>
      </c>
    </row>
    <row r="125" spans="1:3">
      <c r="A125" s="4" t="s">
        <v>955</v>
      </c>
      <c r="B125" s="1">
        <v>45974</v>
      </c>
      <c r="C125">
        <v>98149</v>
      </c>
    </row>
    <row r="126" spans="1:3">
      <c r="A126" s="4" t="s">
        <v>6840</v>
      </c>
      <c r="B126" s="1">
        <v>46069</v>
      </c>
      <c r="C126">
        <v>97963</v>
      </c>
    </row>
    <row r="127" spans="1:3">
      <c r="A127" s="4" t="s">
        <v>2099</v>
      </c>
      <c r="B127" s="1">
        <v>46074</v>
      </c>
      <c r="C127">
        <v>97701</v>
      </c>
    </row>
    <row r="128" spans="1:3">
      <c r="A128" s="4" t="s">
        <v>5788</v>
      </c>
      <c r="B128" s="1">
        <v>46062</v>
      </c>
      <c r="C128">
        <v>97640</v>
      </c>
    </row>
    <row r="129" spans="1:3">
      <c r="A129" s="4" t="s">
        <v>968</v>
      </c>
      <c r="B129" s="1">
        <v>46006</v>
      </c>
      <c r="C129">
        <v>97371</v>
      </c>
    </row>
    <row r="130" spans="1:3">
      <c r="A130" s="4" t="s">
        <v>3066</v>
      </c>
      <c r="B130" s="1">
        <v>45885</v>
      </c>
      <c r="C130">
        <v>96748</v>
      </c>
    </row>
    <row r="131" spans="1:3">
      <c r="A131" s="4" t="s">
        <v>2206</v>
      </c>
      <c r="B131" s="1">
        <v>46079</v>
      </c>
      <c r="C131">
        <v>96587</v>
      </c>
    </row>
    <row r="132" spans="1:3">
      <c r="A132" s="4" t="s">
        <v>687</v>
      </c>
      <c r="B132" s="1">
        <v>45843</v>
      </c>
      <c r="C132">
        <v>95830</v>
      </c>
    </row>
    <row r="133" spans="1:3">
      <c r="A133" s="4" t="s">
        <v>5280</v>
      </c>
      <c r="B133" s="1">
        <v>45992</v>
      </c>
      <c r="C133">
        <v>95483</v>
      </c>
    </row>
    <row r="134" spans="1:3">
      <c r="A134" s="4" t="s">
        <v>33</v>
      </c>
      <c r="B134" s="1">
        <v>45994</v>
      </c>
      <c r="C134">
        <v>95454</v>
      </c>
    </row>
    <row r="135" spans="1:3">
      <c r="A135" s="4" t="s">
        <v>474</v>
      </c>
      <c r="B135" s="1">
        <v>45980</v>
      </c>
      <c r="C135">
        <v>95208</v>
      </c>
    </row>
    <row r="136" spans="1:3">
      <c r="A136" s="4" t="s">
        <v>3701</v>
      </c>
      <c r="B136" s="1">
        <v>46052</v>
      </c>
      <c r="C136">
        <v>95031</v>
      </c>
    </row>
    <row r="137" spans="1:3">
      <c r="A137" s="4" t="s">
        <v>7159</v>
      </c>
      <c r="B137" s="1">
        <v>46079</v>
      </c>
      <c r="C137">
        <v>94602</v>
      </c>
    </row>
    <row r="138" spans="1:3">
      <c r="A138" s="4" t="s">
        <v>2059</v>
      </c>
      <c r="B138" s="1">
        <v>45989</v>
      </c>
      <c r="C138">
        <v>91861</v>
      </c>
    </row>
    <row r="139" spans="1:3">
      <c r="A139" s="4" t="s">
        <v>4994</v>
      </c>
      <c r="B139" s="1">
        <v>45962</v>
      </c>
      <c r="C139">
        <v>90358</v>
      </c>
    </row>
    <row r="140" spans="1:3">
      <c r="A140" s="4" t="s">
        <v>2679</v>
      </c>
      <c r="B140" s="1">
        <v>46081</v>
      </c>
      <c r="C140">
        <v>88005</v>
      </c>
    </row>
    <row r="141" spans="1:3">
      <c r="A141" s="4" t="s">
        <v>4191</v>
      </c>
      <c r="B141" s="1">
        <v>45927</v>
      </c>
      <c r="C141">
        <v>87985</v>
      </c>
    </row>
    <row r="142" spans="1:3">
      <c r="A142" s="4" t="s">
        <v>2651</v>
      </c>
      <c r="B142" s="1">
        <v>45863</v>
      </c>
      <c r="C142">
        <v>86598</v>
      </c>
    </row>
    <row r="143" spans="1:3">
      <c r="A143" s="4" t="s">
        <v>1683</v>
      </c>
      <c r="B143" s="1">
        <v>46007</v>
      </c>
      <c r="C143">
        <v>86547</v>
      </c>
    </row>
    <row r="144" spans="1:3">
      <c r="A144" s="4" t="s">
        <v>321</v>
      </c>
      <c r="B144" s="1">
        <v>46072</v>
      </c>
      <c r="C144">
        <v>86056</v>
      </c>
    </row>
    <row r="145" spans="1:3">
      <c r="A145" s="4" t="s">
        <v>892</v>
      </c>
      <c r="B145" s="1">
        <v>45954</v>
      </c>
      <c r="C145">
        <v>85893</v>
      </c>
    </row>
    <row r="146" spans="1:3">
      <c r="A146" s="4" t="s">
        <v>7125</v>
      </c>
      <c r="B146" s="1">
        <v>46069</v>
      </c>
      <c r="C146">
        <v>85551</v>
      </c>
    </row>
    <row r="147" spans="1:3">
      <c r="A147" s="4" t="s">
        <v>3743</v>
      </c>
      <c r="B147" s="1">
        <v>45908</v>
      </c>
      <c r="C147">
        <v>83591</v>
      </c>
    </row>
    <row r="148" spans="1:3">
      <c r="A148" s="4" t="s">
        <v>7101</v>
      </c>
      <c r="B148" s="1">
        <v>46055</v>
      </c>
      <c r="C148">
        <v>83158</v>
      </c>
    </row>
    <row r="149" spans="1:3">
      <c r="A149" s="4" t="s">
        <v>2187</v>
      </c>
      <c r="B149" s="1">
        <v>45839</v>
      </c>
      <c r="C149">
        <v>83005</v>
      </c>
    </row>
    <row r="150" spans="1:3">
      <c r="A150" s="4" t="s">
        <v>733</v>
      </c>
      <c r="B150" s="1">
        <v>45916</v>
      </c>
      <c r="C150">
        <v>82875</v>
      </c>
    </row>
    <row r="151" spans="1:3">
      <c r="A151" s="4" t="s">
        <v>7309</v>
      </c>
      <c r="B151" s="1">
        <v>46078</v>
      </c>
      <c r="C151">
        <v>82364</v>
      </c>
    </row>
    <row r="152" spans="1:3">
      <c r="A152" s="4" t="s">
        <v>1061</v>
      </c>
      <c r="B152" s="1">
        <v>45885</v>
      </c>
      <c r="C152">
        <v>80484</v>
      </c>
    </row>
    <row r="153" spans="1:3">
      <c r="A153" s="4" t="s">
        <v>6426</v>
      </c>
      <c r="B153" s="1">
        <v>46081</v>
      </c>
      <c r="C153">
        <v>79714</v>
      </c>
    </row>
    <row r="154" spans="1:3">
      <c r="A154" s="4" t="s">
        <v>2486</v>
      </c>
      <c r="B154" s="1">
        <v>45992</v>
      </c>
      <c r="C154">
        <v>79120</v>
      </c>
    </row>
    <row r="155" spans="1:3">
      <c r="A155" s="4" t="s">
        <v>5941</v>
      </c>
      <c r="B155" s="1">
        <v>46079</v>
      </c>
      <c r="C155">
        <v>78704</v>
      </c>
    </row>
    <row r="156" spans="1:3">
      <c r="A156" s="4" t="s">
        <v>2645</v>
      </c>
      <c r="B156" s="1">
        <v>45952</v>
      </c>
      <c r="C156">
        <v>78349</v>
      </c>
    </row>
    <row r="157" spans="1:3">
      <c r="A157" s="4" t="s">
        <v>6613</v>
      </c>
      <c r="B157" s="1">
        <v>46057</v>
      </c>
      <c r="C157">
        <v>78231</v>
      </c>
    </row>
    <row r="158" spans="1:3">
      <c r="A158" s="4" t="s">
        <v>915</v>
      </c>
      <c r="B158" s="1">
        <v>46024</v>
      </c>
      <c r="C158">
        <v>77517</v>
      </c>
    </row>
    <row r="159" spans="1:3">
      <c r="A159" s="4" t="s">
        <v>6429</v>
      </c>
      <c r="B159" s="1">
        <v>46053</v>
      </c>
      <c r="C159">
        <v>76616</v>
      </c>
    </row>
    <row r="160" spans="1:3">
      <c r="A160" s="4" t="s">
        <v>5711</v>
      </c>
      <c r="B160" s="1">
        <v>46069</v>
      </c>
      <c r="C160">
        <v>76285</v>
      </c>
    </row>
    <row r="161" spans="1:3">
      <c r="A161" s="4" t="s">
        <v>378</v>
      </c>
      <c r="B161" s="1">
        <v>46029</v>
      </c>
      <c r="C161">
        <v>76258</v>
      </c>
    </row>
    <row r="162" spans="1:3">
      <c r="A162" s="4" t="s">
        <v>3408</v>
      </c>
      <c r="B162" s="1">
        <v>45901</v>
      </c>
      <c r="C162">
        <v>75872</v>
      </c>
    </row>
    <row r="163" spans="1:3">
      <c r="A163" s="4" t="s">
        <v>756</v>
      </c>
      <c r="B163" s="1">
        <v>46060</v>
      </c>
      <c r="C163">
        <v>74481</v>
      </c>
    </row>
    <row r="164" spans="1:3">
      <c r="A164" s="4" t="s">
        <v>6936</v>
      </c>
      <c r="B164" s="1">
        <v>46080</v>
      </c>
      <c r="C164">
        <v>72987</v>
      </c>
    </row>
    <row r="165" spans="1:3">
      <c r="A165" s="4" t="s">
        <v>345</v>
      </c>
      <c r="B165" s="1">
        <v>45803</v>
      </c>
      <c r="C165">
        <v>72702</v>
      </c>
    </row>
    <row r="166" spans="1:3">
      <c r="A166" s="4" t="s">
        <v>617</v>
      </c>
      <c r="B166" s="1">
        <v>45770</v>
      </c>
      <c r="C166">
        <v>71335</v>
      </c>
    </row>
    <row r="167" spans="1:3">
      <c r="A167" s="4" t="s">
        <v>5036</v>
      </c>
      <c r="B167" s="1">
        <v>45978</v>
      </c>
      <c r="C167">
        <v>71102</v>
      </c>
    </row>
    <row r="168" spans="1:3">
      <c r="A168" s="4" t="s">
        <v>2308</v>
      </c>
      <c r="B168" s="1">
        <v>45920</v>
      </c>
      <c r="C168">
        <v>70183</v>
      </c>
    </row>
    <row r="169" spans="1:3">
      <c r="A169" s="4" t="s">
        <v>907</v>
      </c>
      <c r="B169" s="1">
        <v>45943</v>
      </c>
      <c r="C169">
        <v>69866</v>
      </c>
    </row>
    <row r="170" spans="1:3">
      <c r="A170" s="4" t="s">
        <v>783</v>
      </c>
      <c r="B170" s="1">
        <v>45917</v>
      </c>
      <c r="C170">
        <v>69660</v>
      </c>
    </row>
    <row r="171" spans="1:3">
      <c r="A171" s="4" t="s">
        <v>6538</v>
      </c>
      <c r="B171" s="1">
        <v>46037</v>
      </c>
      <c r="C171">
        <v>69120</v>
      </c>
    </row>
    <row r="172" spans="1:3">
      <c r="A172" s="4" t="s">
        <v>41</v>
      </c>
      <c r="B172" s="1">
        <v>45861</v>
      </c>
      <c r="C172">
        <v>68731</v>
      </c>
    </row>
    <row r="173" spans="1:3">
      <c r="A173" s="4" t="s">
        <v>343</v>
      </c>
      <c r="B173" s="1">
        <v>45759</v>
      </c>
      <c r="C173">
        <v>68000</v>
      </c>
    </row>
    <row r="174" spans="1:3">
      <c r="A174" s="4" t="s">
        <v>3788</v>
      </c>
      <c r="B174" s="1">
        <v>45923</v>
      </c>
      <c r="C174">
        <v>67704</v>
      </c>
    </row>
    <row r="175" spans="1:3">
      <c r="A175" s="4" t="s">
        <v>750</v>
      </c>
      <c r="B175" s="1">
        <v>45843</v>
      </c>
      <c r="C175">
        <v>67417</v>
      </c>
    </row>
    <row r="176" spans="1:3">
      <c r="A176" s="4" t="s">
        <v>5222</v>
      </c>
      <c r="B176" s="1">
        <v>45972</v>
      </c>
      <c r="C176">
        <v>67290</v>
      </c>
    </row>
    <row r="177" spans="1:3">
      <c r="A177" s="4" t="s">
        <v>172</v>
      </c>
      <c r="B177" s="1">
        <v>45757</v>
      </c>
      <c r="C177">
        <v>67243</v>
      </c>
    </row>
    <row r="178" spans="1:3">
      <c r="A178" s="4" t="s">
        <v>2316</v>
      </c>
      <c r="B178" s="1">
        <v>45895</v>
      </c>
      <c r="C178">
        <v>66793</v>
      </c>
    </row>
    <row r="179" spans="1:3">
      <c r="A179" s="4" t="s">
        <v>4977</v>
      </c>
      <c r="B179" s="1">
        <v>46001</v>
      </c>
      <c r="C179">
        <v>66429</v>
      </c>
    </row>
    <row r="180" spans="1:3">
      <c r="A180" s="4" t="s">
        <v>781</v>
      </c>
      <c r="B180" s="1">
        <v>46062</v>
      </c>
      <c r="C180">
        <v>66004</v>
      </c>
    </row>
    <row r="181" spans="1:3">
      <c r="A181" s="4" t="s">
        <v>4733</v>
      </c>
      <c r="B181" s="1">
        <v>45975</v>
      </c>
      <c r="C181">
        <v>65084</v>
      </c>
    </row>
    <row r="182" spans="1:3">
      <c r="A182" s="4" t="s">
        <v>188</v>
      </c>
      <c r="B182" s="1">
        <v>46072</v>
      </c>
      <c r="C182">
        <v>64689</v>
      </c>
    </row>
    <row r="183" spans="1:3">
      <c r="A183" s="4" t="s">
        <v>2999</v>
      </c>
      <c r="B183" s="1">
        <v>46066</v>
      </c>
      <c r="C183">
        <v>64573</v>
      </c>
    </row>
    <row r="184" spans="1:3">
      <c r="A184" s="4" t="s">
        <v>2780</v>
      </c>
      <c r="B184" s="1">
        <v>45877</v>
      </c>
      <c r="C184">
        <v>64276</v>
      </c>
    </row>
    <row r="185" spans="1:3">
      <c r="A185" s="4" t="s">
        <v>52</v>
      </c>
      <c r="B185" s="1">
        <v>45911</v>
      </c>
      <c r="C185">
        <v>63557</v>
      </c>
    </row>
    <row r="186" spans="1:3">
      <c r="A186" s="4" t="s">
        <v>5184</v>
      </c>
      <c r="B186" s="1">
        <v>45982</v>
      </c>
      <c r="C186">
        <v>63554</v>
      </c>
    </row>
    <row r="187" spans="1:3">
      <c r="A187" s="4" t="s">
        <v>1617</v>
      </c>
      <c r="B187" s="1">
        <v>45968</v>
      </c>
      <c r="C187">
        <v>63524</v>
      </c>
    </row>
    <row r="188" spans="1:3">
      <c r="A188" s="4" t="s">
        <v>739</v>
      </c>
      <c r="B188" s="1">
        <v>45869</v>
      </c>
      <c r="C188">
        <v>63257</v>
      </c>
    </row>
    <row r="189" spans="1:3">
      <c r="A189" s="4" t="s">
        <v>1127</v>
      </c>
      <c r="B189" s="1">
        <v>45793</v>
      </c>
      <c r="C189">
        <v>63011</v>
      </c>
    </row>
    <row r="190" spans="1:3">
      <c r="A190" s="4" t="s">
        <v>521</v>
      </c>
      <c r="B190" s="1">
        <v>45846</v>
      </c>
      <c r="C190">
        <v>62732</v>
      </c>
    </row>
    <row r="191" spans="1:3">
      <c r="A191" s="4" t="s">
        <v>7399</v>
      </c>
      <c r="B191" s="1">
        <v>46079</v>
      </c>
      <c r="C191">
        <v>62722</v>
      </c>
    </row>
    <row r="192" spans="1:3">
      <c r="A192" s="4" t="s">
        <v>7787</v>
      </c>
      <c r="B192" s="1">
        <v>46080</v>
      </c>
      <c r="C192">
        <v>62695</v>
      </c>
    </row>
    <row r="193" spans="1:3">
      <c r="A193" s="4" t="s">
        <v>4590</v>
      </c>
      <c r="B193" s="1">
        <v>45987</v>
      </c>
      <c r="C193">
        <v>62646</v>
      </c>
    </row>
    <row r="194" spans="1:3">
      <c r="A194" s="4" t="s">
        <v>4972</v>
      </c>
      <c r="B194" s="1">
        <v>46078</v>
      </c>
      <c r="C194">
        <v>62630</v>
      </c>
    </row>
    <row r="195" spans="1:3">
      <c r="A195" s="4" t="s">
        <v>143</v>
      </c>
      <c r="B195" s="1">
        <v>45937</v>
      </c>
      <c r="C195">
        <v>62045</v>
      </c>
    </row>
    <row r="196" spans="1:3">
      <c r="A196" s="4" t="s">
        <v>1964</v>
      </c>
      <c r="B196" s="1">
        <v>45944</v>
      </c>
      <c r="C196">
        <v>61925</v>
      </c>
    </row>
    <row r="197" spans="1:3">
      <c r="A197" s="4" t="s">
        <v>131</v>
      </c>
      <c r="B197" s="1">
        <v>45948</v>
      </c>
      <c r="C197">
        <v>61880</v>
      </c>
    </row>
    <row r="198" spans="1:3">
      <c r="A198" s="4" t="s">
        <v>1021</v>
      </c>
      <c r="B198" s="1">
        <v>46020</v>
      </c>
      <c r="C198">
        <v>61604</v>
      </c>
    </row>
    <row r="199" spans="1:3">
      <c r="A199" s="4" t="s">
        <v>6054</v>
      </c>
      <c r="B199" s="1">
        <v>46014</v>
      </c>
      <c r="C199">
        <v>61506</v>
      </c>
    </row>
    <row r="200" spans="1:3">
      <c r="A200" s="4" t="s">
        <v>124</v>
      </c>
      <c r="B200" s="1">
        <v>45888</v>
      </c>
      <c r="C200">
        <v>61259</v>
      </c>
    </row>
    <row r="201" spans="1:3">
      <c r="A201" s="4" t="s">
        <v>4491</v>
      </c>
      <c r="B201" s="1">
        <v>45943</v>
      </c>
      <c r="C201">
        <v>61254</v>
      </c>
    </row>
    <row r="202" spans="1:3">
      <c r="A202" s="4" t="s">
        <v>870</v>
      </c>
      <c r="B202" s="1">
        <v>45962</v>
      </c>
      <c r="C202">
        <v>60813</v>
      </c>
    </row>
    <row r="203" spans="1:3">
      <c r="A203" s="4" t="s">
        <v>518</v>
      </c>
      <c r="B203" s="1">
        <v>45890</v>
      </c>
      <c r="C203">
        <v>60484</v>
      </c>
    </row>
    <row r="204" spans="1:3">
      <c r="A204" s="4" t="s">
        <v>2040</v>
      </c>
      <c r="B204" s="1">
        <v>45839</v>
      </c>
      <c r="C204">
        <v>60234</v>
      </c>
    </row>
    <row r="205" spans="1:3">
      <c r="A205" s="4" t="s">
        <v>3074</v>
      </c>
      <c r="B205" s="1">
        <v>45897</v>
      </c>
      <c r="C205">
        <v>60152</v>
      </c>
    </row>
    <row r="206" spans="1:3">
      <c r="A206" s="4" t="s">
        <v>1066</v>
      </c>
      <c r="B206" s="1">
        <v>46059</v>
      </c>
      <c r="C206">
        <v>60005</v>
      </c>
    </row>
    <row r="207" spans="1:3">
      <c r="A207" s="4" t="s">
        <v>7741</v>
      </c>
      <c r="B207" s="1">
        <v>46079</v>
      </c>
      <c r="C207">
        <v>60000</v>
      </c>
    </row>
    <row r="208" spans="1:3">
      <c r="A208" s="4" t="s">
        <v>2022</v>
      </c>
      <c r="B208" s="1">
        <v>46064</v>
      </c>
      <c r="C208">
        <v>59913</v>
      </c>
    </row>
    <row r="209" spans="1:3">
      <c r="A209" s="4" t="s">
        <v>7660</v>
      </c>
      <c r="B209" s="1">
        <v>46076</v>
      </c>
      <c r="C209">
        <v>59870</v>
      </c>
    </row>
    <row r="210" spans="1:3">
      <c r="A210" s="4" t="s">
        <v>3418</v>
      </c>
      <c r="B210" s="1">
        <v>45894</v>
      </c>
      <c r="C210">
        <v>59765</v>
      </c>
    </row>
    <row r="211" spans="1:3">
      <c r="A211" s="4" t="s">
        <v>1275</v>
      </c>
      <c r="B211" s="1">
        <v>45917</v>
      </c>
      <c r="C211">
        <v>59603</v>
      </c>
    </row>
    <row r="212" spans="1:3">
      <c r="A212" s="4" t="s">
        <v>6727</v>
      </c>
      <c r="B212" s="1">
        <v>46078</v>
      </c>
      <c r="C212">
        <v>59595</v>
      </c>
    </row>
    <row r="213" spans="1:3">
      <c r="A213" s="4" t="s">
        <v>1422</v>
      </c>
      <c r="B213" s="1">
        <v>45988</v>
      </c>
      <c r="C213">
        <v>59008</v>
      </c>
    </row>
    <row r="214" spans="1:3">
      <c r="A214" s="4" t="s">
        <v>900</v>
      </c>
      <c r="B214" s="1">
        <v>45827</v>
      </c>
      <c r="C214">
        <v>58984</v>
      </c>
    </row>
    <row r="215" spans="1:3">
      <c r="A215" s="4" t="s">
        <v>94</v>
      </c>
      <c r="B215" s="1">
        <v>45789</v>
      </c>
      <c r="C215">
        <v>58824</v>
      </c>
    </row>
    <row r="216" spans="1:3">
      <c r="A216" s="4" t="s">
        <v>591</v>
      </c>
      <c r="B216" s="1">
        <v>45850</v>
      </c>
      <c r="C216">
        <v>58756</v>
      </c>
    </row>
    <row r="217" spans="1:3">
      <c r="A217" s="4" t="s">
        <v>4921</v>
      </c>
      <c r="B217" s="1">
        <v>46013</v>
      </c>
      <c r="C217">
        <v>58706</v>
      </c>
    </row>
    <row r="218" spans="1:3">
      <c r="A218" s="4" t="s">
        <v>7757</v>
      </c>
      <c r="B218" s="1">
        <v>46079</v>
      </c>
      <c r="C218">
        <v>58182</v>
      </c>
    </row>
    <row r="219" spans="1:3">
      <c r="A219" s="4" t="s">
        <v>327</v>
      </c>
      <c r="B219" s="1">
        <v>46063</v>
      </c>
      <c r="C219">
        <v>58036</v>
      </c>
    </row>
    <row r="220" spans="1:3">
      <c r="A220" s="4" t="s">
        <v>7187</v>
      </c>
      <c r="B220" s="1">
        <v>46074</v>
      </c>
      <c r="C220">
        <v>57530</v>
      </c>
    </row>
    <row r="221" spans="1:3">
      <c r="A221" s="4" t="s">
        <v>5398</v>
      </c>
      <c r="B221" s="1">
        <v>46035</v>
      </c>
      <c r="C221">
        <v>57132</v>
      </c>
    </row>
    <row r="222" spans="1:3">
      <c r="A222" s="4" t="s">
        <v>3690</v>
      </c>
      <c r="B222" s="1">
        <v>45999</v>
      </c>
      <c r="C222">
        <v>57128</v>
      </c>
    </row>
    <row r="223" spans="1:3">
      <c r="A223" s="4" t="s">
        <v>2288</v>
      </c>
      <c r="B223" s="1">
        <v>46056</v>
      </c>
      <c r="C223">
        <v>56069</v>
      </c>
    </row>
    <row r="224" spans="1:3">
      <c r="A224" s="4" t="s">
        <v>3833</v>
      </c>
      <c r="B224" s="1">
        <v>45953</v>
      </c>
      <c r="C224">
        <v>55259</v>
      </c>
    </row>
    <row r="225" spans="1:3">
      <c r="A225" s="4" t="s">
        <v>2314</v>
      </c>
      <c r="B225" s="1">
        <v>46076</v>
      </c>
      <c r="C225">
        <v>55173</v>
      </c>
    </row>
    <row r="226" spans="1:3">
      <c r="A226" s="4" t="s">
        <v>117</v>
      </c>
      <c r="B226" s="1">
        <v>46076</v>
      </c>
      <c r="C226">
        <v>55066</v>
      </c>
    </row>
    <row r="227" spans="1:3">
      <c r="A227" s="4" t="s">
        <v>203</v>
      </c>
      <c r="B227" s="1">
        <v>46079</v>
      </c>
      <c r="C227">
        <v>54131</v>
      </c>
    </row>
    <row r="228" spans="1:3">
      <c r="A228" s="4" t="s">
        <v>1810</v>
      </c>
      <c r="B228" s="1">
        <v>45932</v>
      </c>
      <c r="C228">
        <v>54120</v>
      </c>
    </row>
    <row r="229" spans="1:3">
      <c r="A229" s="4" t="s">
        <v>514</v>
      </c>
      <c r="B229" s="1">
        <v>45805</v>
      </c>
      <c r="C229">
        <v>54036</v>
      </c>
    </row>
    <row r="230" spans="1:3">
      <c r="A230" s="4" t="s">
        <v>2963</v>
      </c>
      <c r="B230" s="1">
        <v>45877</v>
      </c>
      <c r="C230">
        <v>53478</v>
      </c>
    </row>
    <row r="231" spans="1:3">
      <c r="A231" s="4" t="s">
        <v>6196</v>
      </c>
      <c r="B231" s="1">
        <v>46051</v>
      </c>
      <c r="C231">
        <v>53383</v>
      </c>
    </row>
    <row r="232" spans="1:3">
      <c r="A232" s="4" t="s">
        <v>216</v>
      </c>
      <c r="B232" s="1">
        <v>46074</v>
      </c>
      <c r="C232">
        <v>53135</v>
      </c>
    </row>
    <row r="233" spans="1:3">
      <c r="A233" s="4" t="s">
        <v>7726</v>
      </c>
      <c r="B233" s="1">
        <v>46078</v>
      </c>
      <c r="C233">
        <v>52391</v>
      </c>
    </row>
    <row r="234" spans="1:3">
      <c r="A234" s="4" t="s">
        <v>6536</v>
      </c>
      <c r="B234" s="1">
        <v>46051</v>
      </c>
      <c r="C234">
        <v>52074</v>
      </c>
    </row>
    <row r="235" spans="1:3">
      <c r="A235" s="4" t="s">
        <v>3486</v>
      </c>
      <c r="B235" s="1">
        <v>45964</v>
      </c>
      <c r="C235">
        <v>52037</v>
      </c>
    </row>
    <row r="236" spans="1:3">
      <c r="A236" s="4" t="s">
        <v>107</v>
      </c>
      <c r="B236" s="1">
        <v>46035</v>
      </c>
      <c r="C236">
        <v>51747</v>
      </c>
    </row>
    <row r="237" spans="1:3">
      <c r="A237" s="4" t="s">
        <v>854</v>
      </c>
      <c r="B237" s="1">
        <v>46072</v>
      </c>
      <c r="C237">
        <v>51723</v>
      </c>
    </row>
    <row r="238" spans="1:3">
      <c r="A238" s="4" t="s">
        <v>723</v>
      </c>
      <c r="B238" s="1">
        <v>45891</v>
      </c>
      <c r="C238">
        <v>51575</v>
      </c>
    </row>
    <row r="239" spans="1:3">
      <c r="A239" s="4" t="s">
        <v>3505</v>
      </c>
      <c r="B239" s="1">
        <v>45918</v>
      </c>
      <c r="C239">
        <v>51460</v>
      </c>
    </row>
    <row r="240" spans="1:3">
      <c r="A240" s="4" t="s">
        <v>1147</v>
      </c>
      <c r="B240" s="1">
        <v>45790</v>
      </c>
      <c r="C240">
        <v>50190</v>
      </c>
    </row>
    <row r="241" spans="1:3">
      <c r="A241" s="4" t="s">
        <v>1507</v>
      </c>
      <c r="B241" s="1">
        <v>45811</v>
      </c>
      <c r="C241">
        <v>49912</v>
      </c>
    </row>
    <row r="242" spans="1:3">
      <c r="A242" s="4" t="s">
        <v>3050</v>
      </c>
      <c r="B242" s="1">
        <v>45952</v>
      </c>
      <c r="C242">
        <v>49643</v>
      </c>
    </row>
    <row r="243" spans="1:3">
      <c r="A243" s="4" t="s">
        <v>4522</v>
      </c>
      <c r="B243" s="1">
        <v>45952</v>
      </c>
      <c r="C243">
        <v>49309</v>
      </c>
    </row>
    <row r="244" spans="1:3">
      <c r="A244" s="4" t="s">
        <v>4531</v>
      </c>
      <c r="B244" s="1">
        <v>45940</v>
      </c>
      <c r="C244">
        <v>49304</v>
      </c>
    </row>
    <row r="245" spans="1:3">
      <c r="A245" s="4" t="s">
        <v>1578</v>
      </c>
      <c r="B245" s="1">
        <v>45965</v>
      </c>
      <c r="C245">
        <v>48640</v>
      </c>
    </row>
    <row r="246" spans="1:3">
      <c r="A246" s="4" t="s">
        <v>1916</v>
      </c>
      <c r="B246" s="1">
        <v>46056</v>
      </c>
      <c r="C246">
        <v>48332</v>
      </c>
    </row>
    <row r="247" spans="1:3">
      <c r="A247" s="4" t="s">
        <v>1381</v>
      </c>
      <c r="B247" s="1">
        <v>46030</v>
      </c>
      <c r="C247">
        <v>47825</v>
      </c>
    </row>
    <row r="248" spans="1:3">
      <c r="A248" s="4" t="s">
        <v>5579</v>
      </c>
      <c r="B248" s="1">
        <v>45988</v>
      </c>
      <c r="C248">
        <v>46476</v>
      </c>
    </row>
    <row r="249" spans="1:3">
      <c r="A249" s="4" t="s">
        <v>582</v>
      </c>
      <c r="B249" s="1">
        <v>45771</v>
      </c>
      <c r="C249">
        <v>46108</v>
      </c>
    </row>
    <row r="250" spans="1:3">
      <c r="A250" s="4" t="s">
        <v>7711</v>
      </c>
      <c r="B250" s="1">
        <v>46078</v>
      </c>
      <c r="C250">
        <v>45886</v>
      </c>
    </row>
    <row r="251" spans="1:3">
      <c r="A251" s="4" t="s">
        <v>3844</v>
      </c>
      <c r="B251" s="1">
        <v>45927</v>
      </c>
      <c r="C251">
        <v>45549</v>
      </c>
    </row>
    <row r="252" spans="1:3">
      <c r="A252" s="4" t="s">
        <v>7075</v>
      </c>
      <c r="B252" s="1">
        <v>46055</v>
      </c>
      <c r="C252">
        <v>45072</v>
      </c>
    </row>
    <row r="253" spans="1:3">
      <c r="A253" s="4" t="s">
        <v>1892</v>
      </c>
      <c r="B253" s="1">
        <v>45871</v>
      </c>
      <c r="C253">
        <v>44996</v>
      </c>
    </row>
    <row r="254" spans="1:3">
      <c r="A254" s="4" t="s">
        <v>7103</v>
      </c>
      <c r="B254" s="1">
        <v>46074</v>
      </c>
      <c r="C254">
        <v>43796</v>
      </c>
    </row>
    <row r="255" spans="1:3">
      <c r="A255" s="4" t="s">
        <v>1294</v>
      </c>
      <c r="B255" s="1">
        <v>45796</v>
      </c>
      <c r="C255">
        <v>43776</v>
      </c>
    </row>
    <row r="256" spans="1:3">
      <c r="A256" s="4" t="s">
        <v>2762</v>
      </c>
      <c r="B256" s="1">
        <v>45867</v>
      </c>
      <c r="C256">
        <v>43501</v>
      </c>
    </row>
    <row r="257" spans="1:3">
      <c r="A257" s="4" t="s">
        <v>6345</v>
      </c>
      <c r="B257" s="1">
        <v>46025</v>
      </c>
      <c r="C257">
        <v>43307</v>
      </c>
    </row>
    <row r="258" spans="1:3">
      <c r="A258" s="4" t="s">
        <v>5641</v>
      </c>
      <c r="B258" s="1">
        <v>45994</v>
      </c>
      <c r="C258">
        <v>43163</v>
      </c>
    </row>
    <row r="259" spans="1:3">
      <c r="A259" s="4" t="s">
        <v>1498</v>
      </c>
      <c r="B259" s="1">
        <v>45805</v>
      </c>
      <c r="C259">
        <v>42850</v>
      </c>
    </row>
    <row r="260" spans="1:3">
      <c r="A260" s="4" t="s">
        <v>6869</v>
      </c>
      <c r="B260" s="1">
        <v>46045</v>
      </c>
      <c r="C260">
        <v>42791</v>
      </c>
    </row>
    <row r="261" spans="1:3">
      <c r="A261" s="4" t="s">
        <v>6609</v>
      </c>
      <c r="B261" s="1">
        <v>46038</v>
      </c>
      <c r="C261">
        <v>42785</v>
      </c>
    </row>
    <row r="262" spans="1:3">
      <c r="A262" s="4" t="s">
        <v>112</v>
      </c>
      <c r="B262" s="1">
        <v>45786</v>
      </c>
      <c r="C262">
        <v>42561</v>
      </c>
    </row>
    <row r="263" spans="1:3">
      <c r="A263" s="4" t="s">
        <v>563</v>
      </c>
      <c r="B263" s="1">
        <v>46014</v>
      </c>
      <c r="C263">
        <v>42219</v>
      </c>
    </row>
    <row r="264" spans="1:3">
      <c r="A264" s="4" t="s">
        <v>5166</v>
      </c>
      <c r="B264" s="1">
        <v>45973</v>
      </c>
      <c r="C264">
        <v>41848</v>
      </c>
    </row>
    <row r="265" spans="1:3">
      <c r="A265" s="4" t="s">
        <v>358</v>
      </c>
      <c r="B265" s="1">
        <v>45862</v>
      </c>
      <c r="C265">
        <v>41712</v>
      </c>
    </row>
    <row r="266" spans="1:3">
      <c r="A266" s="4" t="s">
        <v>6440</v>
      </c>
      <c r="B266" s="1">
        <v>46036</v>
      </c>
      <c r="C266">
        <v>41603</v>
      </c>
    </row>
    <row r="267" spans="1:3">
      <c r="A267" s="4" t="s">
        <v>6142</v>
      </c>
      <c r="B267" s="1">
        <v>46028</v>
      </c>
      <c r="C267">
        <v>41563</v>
      </c>
    </row>
    <row r="268" spans="1:3">
      <c r="A268" s="4" t="s">
        <v>5192</v>
      </c>
      <c r="B268" s="1">
        <v>45974</v>
      </c>
      <c r="C268">
        <v>41392</v>
      </c>
    </row>
    <row r="269" spans="1:3">
      <c r="A269" s="4" t="s">
        <v>887</v>
      </c>
      <c r="B269" s="1">
        <v>45825</v>
      </c>
      <c r="C269">
        <v>41175</v>
      </c>
    </row>
    <row r="270" spans="1:3">
      <c r="A270" s="4" t="s">
        <v>6302</v>
      </c>
      <c r="B270" s="1">
        <v>46024</v>
      </c>
      <c r="C270">
        <v>41069</v>
      </c>
    </row>
    <row r="271" spans="1:3">
      <c r="A271" s="4" t="s">
        <v>2590</v>
      </c>
      <c r="B271" s="1">
        <v>45876</v>
      </c>
      <c r="C271">
        <v>40925</v>
      </c>
    </row>
    <row r="272" spans="1:3">
      <c r="A272" s="4" t="s">
        <v>1039</v>
      </c>
      <c r="B272" s="1">
        <v>45843</v>
      </c>
      <c r="C272">
        <v>40913</v>
      </c>
    </row>
    <row r="273" spans="1:3">
      <c r="A273" s="4" t="s">
        <v>6251</v>
      </c>
      <c r="B273" s="1">
        <v>46066</v>
      </c>
      <c r="C273">
        <v>40839</v>
      </c>
    </row>
    <row r="274" spans="1:3">
      <c r="A274" s="4" t="s">
        <v>4947</v>
      </c>
      <c r="B274" s="1">
        <v>46044</v>
      </c>
      <c r="C274">
        <v>40554</v>
      </c>
    </row>
    <row r="275" spans="1:3">
      <c r="A275" s="4" t="s">
        <v>1248</v>
      </c>
      <c r="B275" s="1">
        <v>45793</v>
      </c>
      <c r="C275">
        <v>40507</v>
      </c>
    </row>
    <row r="276" spans="1:3">
      <c r="A276" s="4" t="s">
        <v>1934</v>
      </c>
      <c r="B276" s="1">
        <v>45958</v>
      </c>
      <c r="C276">
        <v>40507</v>
      </c>
    </row>
    <row r="277" spans="1:3">
      <c r="A277" s="4" t="s">
        <v>923</v>
      </c>
      <c r="B277" s="1">
        <v>45782</v>
      </c>
      <c r="C277">
        <v>40359</v>
      </c>
    </row>
    <row r="278" spans="1:3">
      <c r="A278" s="4" t="s">
        <v>1741</v>
      </c>
      <c r="B278" s="1">
        <v>45817</v>
      </c>
      <c r="C278">
        <v>40180</v>
      </c>
    </row>
    <row r="279" spans="1:3">
      <c r="A279" s="4" t="s">
        <v>1495</v>
      </c>
      <c r="B279" s="1">
        <v>45812</v>
      </c>
      <c r="C279">
        <v>39948</v>
      </c>
    </row>
    <row r="280" spans="1:3">
      <c r="A280" s="4" t="s">
        <v>1122</v>
      </c>
      <c r="B280" s="1">
        <v>45789</v>
      </c>
      <c r="C280">
        <v>39500</v>
      </c>
    </row>
    <row r="281" spans="1:3">
      <c r="A281" s="4" t="s">
        <v>2603</v>
      </c>
      <c r="B281" s="1">
        <v>45878</v>
      </c>
      <c r="C281">
        <v>39481</v>
      </c>
    </row>
    <row r="282" spans="1:3">
      <c r="A282" s="4" t="s">
        <v>3104</v>
      </c>
      <c r="B282" s="1">
        <v>45881</v>
      </c>
      <c r="C282">
        <v>39183</v>
      </c>
    </row>
    <row r="283" spans="1:3">
      <c r="A283" s="4" t="s">
        <v>457</v>
      </c>
      <c r="B283" s="1">
        <v>45783</v>
      </c>
      <c r="C283">
        <v>38955</v>
      </c>
    </row>
    <row r="284" spans="1:3">
      <c r="A284" s="4" t="s">
        <v>7319</v>
      </c>
      <c r="B284" s="1">
        <v>46069</v>
      </c>
      <c r="C284">
        <v>38641</v>
      </c>
    </row>
    <row r="285" spans="1:3">
      <c r="A285" s="4" t="s">
        <v>3957</v>
      </c>
      <c r="B285" s="1">
        <v>45925</v>
      </c>
      <c r="C285">
        <v>38521</v>
      </c>
    </row>
    <row r="286" spans="1:3">
      <c r="A286" s="4" t="s">
        <v>2667</v>
      </c>
      <c r="B286" s="1">
        <v>45866</v>
      </c>
      <c r="C286">
        <v>38032</v>
      </c>
    </row>
    <row r="287" spans="1:3">
      <c r="A287" s="4" t="s">
        <v>3568</v>
      </c>
      <c r="B287" s="1">
        <v>45899</v>
      </c>
      <c r="C287">
        <v>37518</v>
      </c>
    </row>
    <row r="288" spans="1:3">
      <c r="A288" s="4" t="s">
        <v>4375</v>
      </c>
      <c r="B288" s="1">
        <v>45939</v>
      </c>
      <c r="C288">
        <v>37501</v>
      </c>
    </row>
    <row r="289" spans="1:3">
      <c r="A289" s="4" t="s">
        <v>89</v>
      </c>
      <c r="B289" s="1">
        <v>46070</v>
      </c>
      <c r="C289">
        <v>37353</v>
      </c>
    </row>
    <row r="290" spans="1:3">
      <c r="A290" s="4" t="s">
        <v>4000</v>
      </c>
      <c r="B290" s="1">
        <v>45920</v>
      </c>
      <c r="C290">
        <v>37194</v>
      </c>
    </row>
    <row r="291" spans="1:3">
      <c r="A291" s="4" t="s">
        <v>5264</v>
      </c>
      <c r="B291" s="1">
        <v>45978</v>
      </c>
      <c r="C291">
        <v>36989</v>
      </c>
    </row>
    <row r="292" spans="1:3">
      <c r="A292" s="4" t="s">
        <v>741</v>
      </c>
      <c r="B292" s="1">
        <v>45775</v>
      </c>
      <c r="C292">
        <v>36855</v>
      </c>
    </row>
    <row r="293" spans="1:3">
      <c r="A293" s="4" t="s">
        <v>4928</v>
      </c>
      <c r="B293" s="1">
        <v>46038</v>
      </c>
      <c r="C293">
        <v>36733</v>
      </c>
    </row>
    <row r="294" spans="1:3">
      <c r="A294" s="4" t="s">
        <v>1162</v>
      </c>
      <c r="B294" s="1">
        <v>45793</v>
      </c>
      <c r="C294">
        <v>36484</v>
      </c>
    </row>
    <row r="295" spans="1:3">
      <c r="A295" s="4" t="s">
        <v>6985</v>
      </c>
      <c r="B295" s="1">
        <v>46057</v>
      </c>
      <c r="C295">
        <v>36361</v>
      </c>
    </row>
    <row r="296" spans="1:3">
      <c r="A296" s="4" t="s">
        <v>5376</v>
      </c>
      <c r="B296" s="1">
        <v>46030</v>
      </c>
      <c r="C296">
        <v>36287</v>
      </c>
    </row>
    <row r="297" spans="1:3">
      <c r="A297" s="4" t="s">
        <v>6959</v>
      </c>
      <c r="B297" s="1">
        <v>46073</v>
      </c>
      <c r="C297">
        <v>36130</v>
      </c>
    </row>
    <row r="298" spans="1:3">
      <c r="A298" s="4" t="s">
        <v>706</v>
      </c>
      <c r="B298" s="1">
        <v>45870</v>
      </c>
      <c r="C298">
        <v>36130</v>
      </c>
    </row>
    <row r="299" spans="1:3">
      <c r="A299" s="4" t="s">
        <v>163</v>
      </c>
      <c r="B299" s="1">
        <v>45780</v>
      </c>
      <c r="C299">
        <v>36112</v>
      </c>
    </row>
    <row r="300" spans="1:3">
      <c r="A300" s="4" t="s">
        <v>4906</v>
      </c>
      <c r="B300" s="1">
        <v>46072</v>
      </c>
      <c r="C300">
        <v>35772</v>
      </c>
    </row>
    <row r="301" spans="1:3">
      <c r="A301" s="4" t="s">
        <v>1914</v>
      </c>
      <c r="B301" s="1">
        <v>45826</v>
      </c>
      <c r="C301">
        <v>35608</v>
      </c>
    </row>
    <row r="302" spans="1:3">
      <c r="A302" s="4" t="s">
        <v>6702</v>
      </c>
      <c r="B302" s="1">
        <v>46039</v>
      </c>
      <c r="C302">
        <v>35593</v>
      </c>
    </row>
    <row r="303" spans="1:3">
      <c r="A303" s="4" t="s">
        <v>5791</v>
      </c>
      <c r="B303" s="1">
        <v>46013</v>
      </c>
      <c r="C303">
        <v>35524</v>
      </c>
    </row>
    <row r="304" spans="1:3">
      <c r="A304" s="4" t="s">
        <v>6374</v>
      </c>
      <c r="B304" s="1">
        <v>46025</v>
      </c>
      <c r="C304">
        <v>35499</v>
      </c>
    </row>
    <row r="305" spans="1:3">
      <c r="A305" s="4" t="s">
        <v>309</v>
      </c>
      <c r="B305" s="1">
        <v>45757</v>
      </c>
      <c r="C305">
        <v>35375</v>
      </c>
    </row>
    <row r="306" spans="1:3">
      <c r="A306" s="4" t="s">
        <v>3392</v>
      </c>
      <c r="B306" s="1">
        <v>45903</v>
      </c>
      <c r="C306">
        <v>35340</v>
      </c>
    </row>
    <row r="307" spans="1:3">
      <c r="A307" s="4" t="s">
        <v>1004</v>
      </c>
      <c r="B307" s="1">
        <v>46025</v>
      </c>
      <c r="C307">
        <v>35280</v>
      </c>
    </row>
    <row r="308" spans="1:3">
      <c r="A308" s="4" t="s">
        <v>4962</v>
      </c>
      <c r="B308" s="1">
        <v>45967</v>
      </c>
      <c r="C308">
        <v>35129</v>
      </c>
    </row>
    <row r="309" spans="1:3">
      <c r="A309" s="4" t="s">
        <v>2728</v>
      </c>
      <c r="B309" s="1">
        <v>45889</v>
      </c>
      <c r="C309">
        <v>34921</v>
      </c>
    </row>
    <row r="310" spans="1:3">
      <c r="A310" s="4" t="s">
        <v>1748</v>
      </c>
      <c r="B310" s="1">
        <v>46074</v>
      </c>
      <c r="C310">
        <v>34803</v>
      </c>
    </row>
    <row r="311" spans="1:3">
      <c r="A311" s="4" t="s">
        <v>7613</v>
      </c>
      <c r="B311" s="1">
        <v>46074</v>
      </c>
      <c r="C311">
        <v>34652</v>
      </c>
    </row>
    <row r="312" spans="1:3">
      <c r="A312" s="4" t="s">
        <v>4201</v>
      </c>
      <c r="B312" s="1">
        <v>45926</v>
      </c>
      <c r="C312">
        <v>34545</v>
      </c>
    </row>
    <row r="313" spans="1:3">
      <c r="A313" s="4" t="s">
        <v>5647</v>
      </c>
      <c r="B313" s="1">
        <v>45994</v>
      </c>
      <c r="C313">
        <v>34403</v>
      </c>
    </row>
    <row r="314" spans="1:3">
      <c r="A314" s="4" t="s">
        <v>4852</v>
      </c>
      <c r="B314" s="1">
        <v>45958</v>
      </c>
      <c r="C314">
        <v>33921</v>
      </c>
    </row>
    <row r="315" spans="1:3">
      <c r="A315" s="4" t="s">
        <v>1991</v>
      </c>
      <c r="B315" s="1">
        <v>45829</v>
      </c>
      <c r="C315">
        <v>33874</v>
      </c>
    </row>
    <row r="316" spans="1:3">
      <c r="A316" s="4" t="s">
        <v>3976</v>
      </c>
      <c r="B316" s="1">
        <v>45939</v>
      </c>
      <c r="C316">
        <v>33863</v>
      </c>
    </row>
    <row r="317" spans="1:3">
      <c r="A317" s="4" t="s">
        <v>1975</v>
      </c>
      <c r="B317" s="1">
        <v>45831</v>
      </c>
      <c r="C317">
        <v>33856</v>
      </c>
    </row>
    <row r="318" spans="1:3">
      <c r="A318" s="4" t="s">
        <v>2047</v>
      </c>
      <c r="B318" s="1">
        <v>45836</v>
      </c>
      <c r="C318">
        <v>33673</v>
      </c>
    </row>
    <row r="319" spans="1:3">
      <c r="A319" s="4" t="s">
        <v>307</v>
      </c>
      <c r="B319" s="1">
        <v>45757</v>
      </c>
      <c r="C319">
        <v>33513</v>
      </c>
    </row>
    <row r="320" spans="1:3">
      <c r="A320" s="4" t="s">
        <v>3791</v>
      </c>
      <c r="B320" s="1">
        <v>45910</v>
      </c>
      <c r="C320">
        <v>33435</v>
      </c>
    </row>
    <row r="321" spans="1:3">
      <c r="A321" s="4" t="s">
        <v>1541</v>
      </c>
      <c r="B321" s="1">
        <v>45994</v>
      </c>
      <c r="C321">
        <v>33257</v>
      </c>
    </row>
    <row r="322" spans="1:3">
      <c r="A322" s="4" t="s">
        <v>5878</v>
      </c>
      <c r="B322" s="1">
        <v>46013</v>
      </c>
      <c r="C322">
        <v>33232</v>
      </c>
    </row>
    <row r="323" spans="1:3">
      <c r="A323" s="4" t="s">
        <v>1602</v>
      </c>
      <c r="B323" s="1">
        <v>45811</v>
      </c>
      <c r="C323">
        <v>33003</v>
      </c>
    </row>
    <row r="324" spans="1:3">
      <c r="A324" s="4" t="s">
        <v>1947</v>
      </c>
      <c r="B324" s="1">
        <v>45828</v>
      </c>
      <c r="C324">
        <v>32980</v>
      </c>
    </row>
    <row r="325" spans="1:3">
      <c r="A325" s="4" t="s">
        <v>2616</v>
      </c>
      <c r="B325" s="1">
        <v>45877</v>
      </c>
      <c r="C325">
        <v>32955</v>
      </c>
    </row>
    <row r="326" spans="1:3">
      <c r="A326" s="4" t="s">
        <v>5158</v>
      </c>
      <c r="B326" s="1">
        <v>45968</v>
      </c>
      <c r="C326">
        <v>32900</v>
      </c>
    </row>
    <row r="327" spans="1:3">
      <c r="A327" s="4" t="s">
        <v>3015</v>
      </c>
      <c r="B327" s="1">
        <v>45943</v>
      </c>
      <c r="C327">
        <v>32677</v>
      </c>
    </row>
    <row r="328" spans="1:3">
      <c r="A328" s="4" t="s">
        <v>3573</v>
      </c>
      <c r="B328" s="1">
        <v>45918</v>
      </c>
      <c r="C328">
        <v>32650</v>
      </c>
    </row>
    <row r="329" spans="1:3">
      <c r="A329" s="4" t="s">
        <v>4388</v>
      </c>
      <c r="B329" s="1">
        <v>45934</v>
      </c>
      <c r="C329">
        <v>32568</v>
      </c>
    </row>
    <row r="330" spans="1:3">
      <c r="A330" s="4" t="s">
        <v>176</v>
      </c>
      <c r="B330" s="1">
        <v>45882</v>
      </c>
      <c r="C330">
        <v>32177</v>
      </c>
    </row>
    <row r="331" spans="1:3">
      <c r="A331" s="4" t="s">
        <v>1096</v>
      </c>
      <c r="B331" s="1">
        <v>45996</v>
      </c>
      <c r="C331">
        <v>31867</v>
      </c>
    </row>
    <row r="332" spans="1:3">
      <c r="A332" s="4" t="s">
        <v>3306</v>
      </c>
      <c r="B332" s="1">
        <v>46000</v>
      </c>
      <c r="C332">
        <v>31661</v>
      </c>
    </row>
    <row r="333" spans="1:3">
      <c r="A333" s="4" t="s">
        <v>1159</v>
      </c>
      <c r="B333" s="1">
        <v>45790</v>
      </c>
      <c r="C333">
        <v>31600</v>
      </c>
    </row>
    <row r="334" spans="1:3">
      <c r="A334" s="4" t="s">
        <v>1296</v>
      </c>
      <c r="B334" s="1">
        <v>45799</v>
      </c>
      <c r="C334">
        <v>31164</v>
      </c>
    </row>
    <row r="335" spans="1:3">
      <c r="A335" s="4" t="s">
        <v>2069</v>
      </c>
      <c r="B335" s="1">
        <v>45846</v>
      </c>
      <c r="C335">
        <v>30750</v>
      </c>
    </row>
    <row r="336" spans="1:3">
      <c r="A336" s="4" t="s">
        <v>6288</v>
      </c>
      <c r="B336" s="1">
        <v>46048</v>
      </c>
      <c r="C336">
        <v>30686</v>
      </c>
    </row>
    <row r="337" spans="1:3">
      <c r="A337" s="4" t="s">
        <v>3899</v>
      </c>
      <c r="B337" s="1">
        <v>45920</v>
      </c>
      <c r="C337">
        <v>30453</v>
      </c>
    </row>
    <row r="338" spans="1:3">
      <c r="A338" s="4" t="s">
        <v>5140</v>
      </c>
      <c r="B338" s="1">
        <v>45986</v>
      </c>
      <c r="C338">
        <v>30291</v>
      </c>
    </row>
    <row r="339" spans="1:3">
      <c r="A339" s="4" t="s">
        <v>7702</v>
      </c>
      <c r="B339" s="1">
        <v>46079</v>
      </c>
      <c r="C339">
        <v>30058</v>
      </c>
    </row>
    <row r="340" spans="1:3">
      <c r="A340" s="4" t="s">
        <v>5654</v>
      </c>
      <c r="B340" s="1">
        <v>45990</v>
      </c>
      <c r="C340">
        <v>30000</v>
      </c>
    </row>
    <row r="341" spans="1:3">
      <c r="A341" s="4" t="s">
        <v>197</v>
      </c>
      <c r="B341" s="1">
        <v>46064</v>
      </c>
      <c r="C341">
        <v>29877</v>
      </c>
    </row>
    <row r="342" spans="1:3">
      <c r="A342" s="4" t="s">
        <v>1222</v>
      </c>
      <c r="B342" s="1">
        <v>45793</v>
      </c>
      <c r="C342">
        <v>29781</v>
      </c>
    </row>
    <row r="343" spans="1:3">
      <c r="A343" s="4" t="s">
        <v>754</v>
      </c>
      <c r="B343" s="1">
        <v>46043</v>
      </c>
      <c r="C343">
        <v>29765</v>
      </c>
    </row>
    <row r="344" spans="1:3">
      <c r="A344" s="4" t="s">
        <v>5908</v>
      </c>
      <c r="B344" s="1">
        <v>46020</v>
      </c>
      <c r="C344">
        <v>29750</v>
      </c>
    </row>
    <row r="345" spans="1:3">
      <c r="A345" s="4" t="s">
        <v>747</v>
      </c>
      <c r="B345" s="1">
        <v>45911</v>
      </c>
      <c r="C345">
        <v>29695</v>
      </c>
    </row>
    <row r="346" spans="1:3">
      <c r="A346" s="4" t="s">
        <v>4361</v>
      </c>
      <c r="B346" s="1">
        <v>45986</v>
      </c>
      <c r="C346">
        <v>29694</v>
      </c>
    </row>
    <row r="347" spans="1:3">
      <c r="A347" s="4" t="s">
        <v>6546</v>
      </c>
      <c r="B347" s="1">
        <v>46046</v>
      </c>
      <c r="C347">
        <v>29594</v>
      </c>
    </row>
    <row r="348" spans="1:3">
      <c r="A348" s="4" t="s">
        <v>509</v>
      </c>
      <c r="B348" s="1">
        <v>45874</v>
      </c>
      <c r="C348">
        <v>29498</v>
      </c>
    </row>
    <row r="349" spans="1:3">
      <c r="A349" s="4" t="s">
        <v>4524</v>
      </c>
      <c r="B349" s="1">
        <v>45939</v>
      </c>
      <c r="C349">
        <v>29200</v>
      </c>
    </row>
    <row r="350" spans="1:3">
      <c r="A350" s="4" t="s">
        <v>4932</v>
      </c>
      <c r="B350" s="1">
        <v>45959</v>
      </c>
      <c r="C350">
        <v>29173</v>
      </c>
    </row>
    <row r="351" spans="1:3">
      <c r="A351" s="4" t="s">
        <v>6553</v>
      </c>
      <c r="B351" s="1">
        <v>46032</v>
      </c>
      <c r="C351">
        <v>29134</v>
      </c>
    </row>
    <row r="352" spans="1:3">
      <c r="A352" s="4" t="s">
        <v>1302</v>
      </c>
      <c r="B352" s="1">
        <v>46076</v>
      </c>
      <c r="C352">
        <v>29132</v>
      </c>
    </row>
    <row r="353" spans="1:3">
      <c r="A353" s="4" t="s">
        <v>3926</v>
      </c>
      <c r="B353" s="1">
        <v>45915</v>
      </c>
      <c r="C353">
        <v>28986</v>
      </c>
    </row>
    <row r="354" spans="1:3">
      <c r="A354" s="4" t="s">
        <v>1216</v>
      </c>
      <c r="B354" s="1">
        <v>46055</v>
      </c>
      <c r="C354">
        <v>28975</v>
      </c>
    </row>
    <row r="355" spans="1:3">
      <c r="A355" s="4" t="s">
        <v>2726</v>
      </c>
      <c r="B355" s="1">
        <v>45866</v>
      </c>
      <c r="C355">
        <v>28855</v>
      </c>
    </row>
    <row r="356" spans="1:3">
      <c r="A356" s="4" t="s">
        <v>4347</v>
      </c>
      <c r="B356" s="1">
        <v>45936</v>
      </c>
      <c r="C356">
        <v>28787</v>
      </c>
    </row>
    <row r="357" spans="1:3">
      <c r="A357" s="4" t="s">
        <v>412</v>
      </c>
      <c r="B357" s="1">
        <v>45896</v>
      </c>
      <c r="C357">
        <v>28743</v>
      </c>
    </row>
    <row r="358" spans="1:3">
      <c r="A358" s="4" t="s">
        <v>5882</v>
      </c>
      <c r="B358" s="1">
        <v>46001</v>
      </c>
      <c r="C358">
        <v>28525</v>
      </c>
    </row>
    <row r="359" spans="1:3">
      <c r="A359" s="4" t="s">
        <v>5527</v>
      </c>
      <c r="B359" s="1">
        <v>45985</v>
      </c>
      <c r="C359">
        <v>28500</v>
      </c>
    </row>
    <row r="360" spans="1:3">
      <c r="A360" s="4" t="s">
        <v>6670</v>
      </c>
      <c r="B360" s="1">
        <v>46038</v>
      </c>
      <c r="C360">
        <v>28407</v>
      </c>
    </row>
    <row r="361" spans="1:3">
      <c r="A361" s="4" t="s">
        <v>7120</v>
      </c>
      <c r="B361" s="1">
        <v>46079</v>
      </c>
      <c r="C361">
        <v>28407</v>
      </c>
    </row>
    <row r="362" spans="1:3">
      <c r="A362" s="4" t="s">
        <v>1167</v>
      </c>
      <c r="B362" s="1">
        <v>45791</v>
      </c>
      <c r="C362">
        <v>28057</v>
      </c>
    </row>
    <row r="363" spans="1:3">
      <c r="A363" s="4" t="s">
        <v>156</v>
      </c>
      <c r="B363" s="1">
        <v>46009</v>
      </c>
      <c r="C363">
        <v>28007</v>
      </c>
    </row>
    <row r="364" spans="1:3">
      <c r="A364" s="4" t="s">
        <v>3347</v>
      </c>
      <c r="B364" s="1">
        <v>45891</v>
      </c>
      <c r="C364">
        <v>28000</v>
      </c>
    </row>
    <row r="365" spans="1:3">
      <c r="A365" s="4" t="s">
        <v>1796</v>
      </c>
      <c r="B365" s="1">
        <v>45939</v>
      </c>
      <c r="C365">
        <v>27911</v>
      </c>
    </row>
    <row r="366" spans="1:3">
      <c r="A366" s="4" t="s">
        <v>6167</v>
      </c>
      <c r="B366" s="1">
        <v>46069</v>
      </c>
      <c r="C366">
        <v>27832</v>
      </c>
    </row>
    <row r="367" spans="1:3">
      <c r="A367" s="4" t="s">
        <v>5086</v>
      </c>
      <c r="B367" s="1">
        <v>46072</v>
      </c>
      <c r="C367">
        <v>27804</v>
      </c>
    </row>
    <row r="368" spans="1:3">
      <c r="A368" s="4" t="s">
        <v>2149</v>
      </c>
      <c r="B368" s="1">
        <v>45838</v>
      </c>
      <c r="C368">
        <v>27797</v>
      </c>
    </row>
    <row r="369" spans="1:3">
      <c r="A369" s="4" t="s">
        <v>2482</v>
      </c>
      <c r="B369" s="1">
        <v>45853</v>
      </c>
      <c r="C369">
        <v>27786</v>
      </c>
    </row>
    <row r="370" spans="1:3">
      <c r="A370" s="4" t="s">
        <v>27</v>
      </c>
      <c r="B370" s="1">
        <v>45908</v>
      </c>
      <c r="C370">
        <v>27473</v>
      </c>
    </row>
    <row r="371" spans="1:3">
      <c r="A371" s="4" t="s">
        <v>6588</v>
      </c>
      <c r="B371" s="1">
        <v>46048</v>
      </c>
      <c r="C371">
        <v>27330</v>
      </c>
    </row>
    <row r="372" spans="1:3">
      <c r="A372" s="4" t="s">
        <v>2444</v>
      </c>
      <c r="B372" s="1">
        <v>46030</v>
      </c>
      <c r="C372">
        <v>27330</v>
      </c>
    </row>
    <row r="373" spans="1:3">
      <c r="A373" s="4" t="s">
        <v>4434</v>
      </c>
      <c r="B373" s="1">
        <v>45957</v>
      </c>
      <c r="C373">
        <v>27315</v>
      </c>
    </row>
    <row r="374" spans="1:3">
      <c r="A374" s="4" t="s">
        <v>5842</v>
      </c>
      <c r="B374" s="1">
        <v>46066</v>
      </c>
      <c r="C374">
        <v>27298</v>
      </c>
    </row>
    <row r="375" spans="1:3">
      <c r="A375" s="4" t="s">
        <v>3398</v>
      </c>
      <c r="B375" s="1">
        <v>45892</v>
      </c>
      <c r="C375">
        <v>27191</v>
      </c>
    </row>
    <row r="376" spans="1:3">
      <c r="A376" s="4" t="s">
        <v>4621</v>
      </c>
      <c r="B376" s="1">
        <v>45943</v>
      </c>
      <c r="C376">
        <v>27162</v>
      </c>
    </row>
    <row r="377" spans="1:3">
      <c r="A377" s="4" t="s">
        <v>1089</v>
      </c>
      <c r="B377" s="1">
        <v>45920</v>
      </c>
      <c r="C377">
        <v>27151</v>
      </c>
    </row>
    <row r="378" spans="1:3">
      <c r="A378" s="4" t="s">
        <v>4939</v>
      </c>
      <c r="B378" s="1">
        <v>45959</v>
      </c>
      <c r="C378">
        <v>27130</v>
      </c>
    </row>
    <row r="379" spans="1:3">
      <c r="A379" s="4" t="s">
        <v>3809</v>
      </c>
      <c r="B379" s="1">
        <v>45920</v>
      </c>
      <c r="C379">
        <v>27011</v>
      </c>
    </row>
    <row r="380" spans="1:3">
      <c r="A380" s="4" t="s">
        <v>1585</v>
      </c>
      <c r="B380" s="1">
        <v>45810</v>
      </c>
      <c r="C380">
        <v>27000</v>
      </c>
    </row>
    <row r="381" spans="1:3">
      <c r="A381" s="4" t="s">
        <v>744</v>
      </c>
      <c r="B381" s="1">
        <v>46060</v>
      </c>
      <c r="C381">
        <v>26960</v>
      </c>
    </row>
    <row r="382" spans="1:3">
      <c r="A382" s="4" t="s">
        <v>2609</v>
      </c>
      <c r="B382" s="1">
        <v>45981</v>
      </c>
      <c r="C382">
        <v>26665</v>
      </c>
    </row>
    <row r="383" spans="1:3">
      <c r="A383" s="4" t="s">
        <v>1755</v>
      </c>
      <c r="B383" s="1">
        <v>45958</v>
      </c>
      <c r="C383">
        <v>26420</v>
      </c>
    </row>
    <row r="384" spans="1:3">
      <c r="A384" s="4" t="s">
        <v>483</v>
      </c>
      <c r="B384" s="1">
        <v>45931</v>
      </c>
      <c r="C384">
        <v>26272</v>
      </c>
    </row>
    <row r="385" spans="1:3">
      <c r="A385" s="4" t="s">
        <v>1184</v>
      </c>
      <c r="B385" s="1">
        <v>45791</v>
      </c>
      <c r="C385">
        <v>26156</v>
      </c>
    </row>
    <row r="386" spans="1:3">
      <c r="A386" s="4" t="s">
        <v>4283</v>
      </c>
      <c r="B386" s="1">
        <v>45929</v>
      </c>
      <c r="C386">
        <v>26154</v>
      </c>
    </row>
    <row r="387" spans="1:3">
      <c r="A387" s="4" t="s">
        <v>504</v>
      </c>
      <c r="B387" s="1">
        <v>45764</v>
      </c>
      <c r="C387">
        <v>26050</v>
      </c>
    </row>
    <row r="388" spans="1:3">
      <c r="A388" s="4" t="s">
        <v>1194</v>
      </c>
      <c r="B388" s="1">
        <v>45791</v>
      </c>
      <c r="C388">
        <v>26004</v>
      </c>
    </row>
    <row r="389" spans="1:3">
      <c r="A389" s="4" t="s">
        <v>1051</v>
      </c>
      <c r="B389" s="1">
        <v>46020</v>
      </c>
      <c r="C389">
        <v>25994</v>
      </c>
    </row>
    <row r="390" spans="1:3">
      <c r="A390" s="4" t="s">
        <v>6918</v>
      </c>
      <c r="B390" s="1">
        <v>46073</v>
      </c>
      <c r="C390">
        <v>25940</v>
      </c>
    </row>
    <row r="391" spans="1:3">
      <c r="A391" s="4" t="s">
        <v>536</v>
      </c>
      <c r="B391" s="1">
        <v>45976</v>
      </c>
      <c r="C391">
        <v>25764</v>
      </c>
    </row>
    <row r="392" spans="1:3">
      <c r="A392" s="4" t="s">
        <v>4459</v>
      </c>
      <c r="B392" s="1">
        <v>46063</v>
      </c>
      <c r="C392">
        <v>25626</v>
      </c>
    </row>
    <row r="393" spans="1:3">
      <c r="A393" s="4" t="s">
        <v>430</v>
      </c>
      <c r="B393" s="1">
        <v>45762</v>
      </c>
      <c r="C393">
        <v>25590</v>
      </c>
    </row>
    <row r="394" spans="1:3">
      <c r="A394" s="4" t="s">
        <v>5644</v>
      </c>
      <c r="B394" s="1">
        <v>45989</v>
      </c>
      <c r="C394">
        <v>25434</v>
      </c>
    </row>
    <row r="395" spans="1:3">
      <c r="A395" s="4" t="s">
        <v>2815</v>
      </c>
      <c r="B395" s="1">
        <v>46053</v>
      </c>
      <c r="C395">
        <v>25388</v>
      </c>
    </row>
    <row r="396" spans="1:3">
      <c r="A396" s="4" t="s">
        <v>479</v>
      </c>
      <c r="B396" s="1">
        <v>45764</v>
      </c>
      <c r="C396">
        <v>25357</v>
      </c>
    </row>
    <row r="397" spans="1:3">
      <c r="A397" s="4" t="s">
        <v>5889</v>
      </c>
      <c r="B397" s="1">
        <v>46001</v>
      </c>
      <c r="C397">
        <v>25320</v>
      </c>
    </row>
    <row r="398" spans="1:3">
      <c r="A398" s="4" t="s">
        <v>6458</v>
      </c>
      <c r="B398" s="1">
        <v>46027</v>
      </c>
      <c r="C398">
        <v>25290</v>
      </c>
    </row>
    <row r="399" spans="1:3">
      <c r="A399" s="4" t="s">
        <v>2057</v>
      </c>
      <c r="B399" s="1">
        <v>45833</v>
      </c>
      <c r="C399">
        <v>25275</v>
      </c>
    </row>
    <row r="400" spans="1:3">
      <c r="A400" s="4" t="s">
        <v>2083</v>
      </c>
      <c r="B400" s="1">
        <v>45833</v>
      </c>
      <c r="C400">
        <v>25252</v>
      </c>
    </row>
    <row r="401" spans="1:3">
      <c r="A401" s="4" t="s">
        <v>2563</v>
      </c>
      <c r="B401" s="1">
        <v>46041</v>
      </c>
      <c r="C401">
        <v>25243</v>
      </c>
    </row>
    <row r="402" spans="1:3">
      <c r="A402" s="4" t="s">
        <v>3677</v>
      </c>
      <c r="B402" s="1">
        <v>45903</v>
      </c>
      <c r="C402">
        <v>25160</v>
      </c>
    </row>
    <row r="403" spans="1:3">
      <c r="A403" s="4" t="s">
        <v>182</v>
      </c>
      <c r="B403" s="1">
        <v>45754</v>
      </c>
      <c r="C403">
        <v>25070</v>
      </c>
    </row>
    <row r="404" spans="1:3">
      <c r="A404" s="4" t="s">
        <v>662</v>
      </c>
      <c r="B404" s="1">
        <v>45771</v>
      </c>
      <c r="C404">
        <v>24830</v>
      </c>
    </row>
    <row r="405" spans="1:3">
      <c r="A405" s="4" t="s">
        <v>3077</v>
      </c>
      <c r="B405" s="1">
        <v>45929</v>
      </c>
      <c r="C405">
        <v>24799</v>
      </c>
    </row>
    <row r="406" spans="1:3">
      <c r="A406" s="4" t="s">
        <v>470</v>
      </c>
      <c r="B406" s="1">
        <v>45785</v>
      </c>
      <c r="C406">
        <v>24636</v>
      </c>
    </row>
    <row r="407" spans="1:3">
      <c r="A407" s="4" t="s">
        <v>231</v>
      </c>
      <c r="B407" s="1">
        <v>46031</v>
      </c>
      <c r="C407">
        <v>24547</v>
      </c>
    </row>
    <row r="408" spans="1:3">
      <c r="A408" s="4" t="s">
        <v>1845</v>
      </c>
      <c r="B408" s="1">
        <v>45822</v>
      </c>
      <c r="C408">
        <v>24530</v>
      </c>
    </row>
    <row r="409" spans="1:3">
      <c r="A409" s="4" t="s">
        <v>7572</v>
      </c>
      <c r="B409" s="1">
        <v>46077</v>
      </c>
      <c r="C409">
        <v>24395</v>
      </c>
    </row>
    <row r="410" spans="1:3">
      <c r="A410" s="4" t="s">
        <v>2266</v>
      </c>
      <c r="B410" s="1">
        <v>45988</v>
      </c>
      <c r="C410">
        <v>24297</v>
      </c>
    </row>
    <row r="411" spans="1:3">
      <c r="A411" s="4" t="s">
        <v>2630</v>
      </c>
      <c r="B411" s="1">
        <v>45861</v>
      </c>
      <c r="C411">
        <v>24267</v>
      </c>
    </row>
    <row r="412" spans="1:3">
      <c r="A412" s="4" t="s">
        <v>4178</v>
      </c>
      <c r="B412" s="1">
        <v>45925</v>
      </c>
      <c r="C412">
        <v>24252</v>
      </c>
    </row>
    <row r="413" spans="1:3">
      <c r="A413" s="4" t="s">
        <v>1970</v>
      </c>
      <c r="B413" s="1">
        <v>45828</v>
      </c>
      <c r="C413">
        <v>24134</v>
      </c>
    </row>
    <row r="414" spans="1:3">
      <c r="A414" s="4" t="s">
        <v>6578</v>
      </c>
      <c r="B414" s="1">
        <v>46032</v>
      </c>
      <c r="C414">
        <v>24064</v>
      </c>
    </row>
    <row r="415" spans="1:3">
      <c r="A415" s="4" t="s">
        <v>835</v>
      </c>
      <c r="B415" s="1">
        <v>46028</v>
      </c>
      <c r="C415">
        <v>23945</v>
      </c>
    </row>
    <row r="416" spans="1:3">
      <c r="A416" s="4" t="s">
        <v>244</v>
      </c>
      <c r="B416" s="1">
        <v>45756</v>
      </c>
      <c r="C416">
        <v>23790</v>
      </c>
    </row>
    <row r="417" spans="1:3">
      <c r="A417" s="4" t="s">
        <v>5416</v>
      </c>
      <c r="B417" s="1">
        <v>46051</v>
      </c>
      <c r="C417">
        <v>23673</v>
      </c>
    </row>
    <row r="418" spans="1:3">
      <c r="A418" s="4" t="s">
        <v>45</v>
      </c>
      <c r="B418" s="1">
        <v>46042</v>
      </c>
      <c r="C418">
        <v>23642</v>
      </c>
    </row>
    <row r="419" spans="1:3">
      <c r="A419" s="4" t="s">
        <v>4156</v>
      </c>
      <c r="B419" s="1">
        <v>45924</v>
      </c>
      <c r="C419">
        <v>23593</v>
      </c>
    </row>
    <row r="420" spans="1:3">
      <c r="A420" s="4" t="s">
        <v>721</v>
      </c>
      <c r="B420" s="1">
        <v>45831</v>
      </c>
      <c r="C420">
        <v>23574</v>
      </c>
    </row>
    <row r="421" spans="1:3">
      <c r="A421" s="4" t="s">
        <v>2355</v>
      </c>
      <c r="B421" s="1">
        <v>45896</v>
      </c>
      <c r="C421">
        <v>23304</v>
      </c>
    </row>
    <row r="422" spans="1:3">
      <c r="A422" s="4" t="s">
        <v>1135</v>
      </c>
      <c r="B422" s="1">
        <v>46072</v>
      </c>
      <c r="C422">
        <v>23160</v>
      </c>
    </row>
    <row r="423" spans="1:3">
      <c r="A423" s="4" t="s">
        <v>3536</v>
      </c>
      <c r="B423" s="1">
        <v>46063</v>
      </c>
      <c r="C423">
        <v>23160</v>
      </c>
    </row>
    <row r="424" spans="1:3">
      <c r="A424" s="4" t="s">
        <v>6006</v>
      </c>
      <c r="B424" s="1">
        <v>46009</v>
      </c>
      <c r="C424">
        <v>23144</v>
      </c>
    </row>
    <row r="425" spans="1:3">
      <c r="A425" s="4" t="s">
        <v>1819</v>
      </c>
      <c r="B425" s="1">
        <v>45820</v>
      </c>
      <c r="C425">
        <v>23120</v>
      </c>
    </row>
    <row r="426" spans="1:3">
      <c r="A426" s="4" t="s">
        <v>3101</v>
      </c>
      <c r="B426" s="1">
        <v>45885</v>
      </c>
      <c r="C426">
        <v>23052</v>
      </c>
    </row>
    <row r="427" spans="1:3">
      <c r="A427" s="4" t="s">
        <v>2184</v>
      </c>
      <c r="B427" s="1">
        <v>45839</v>
      </c>
      <c r="C427">
        <v>22924</v>
      </c>
    </row>
    <row r="428" spans="1:3">
      <c r="A428" s="4" t="s">
        <v>6217</v>
      </c>
      <c r="B428" s="1">
        <v>46021</v>
      </c>
      <c r="C428">
        <v>22917</v>
      </c>
    </row>
    <row r="429" spans="1:3">
      <c r="A429" s="4" t="s">
        <v>4124</v>
      </c>
      <c r="B429" s="1">
        <v>45923</v>
      </c>
      <c r="C429">
        <v>22910</v>
      </c>
    </row>
    <row r="430" spans="1:3">
      <c r="A430" s="4" t="s">
        <v>4448</v>
      </c>
      <c r="B430" s="1">
        <v>45937</v>
      </c>
      <c r="C430">
        <v>22843</v>
      </c>
    </row>
    <row r="431" spans="1:3">
      <c r="A431" s="4" t="s">
        <v>4758</v>
      </c>
      <c r="B431" s="1">
        <v>45950</v>
      </c>
      <c r="C431">
        <v>22682</v>
      </c>
    </row>
    <row r="432" spans="1:3">
      <c r="A432" s="4" t="s">
        <v>2754</v>
      </c>
      <c r="B432" s="1">
        <v>45867</v>
      </c>
      <c r="C432">
        <v>22600</v>
      </c>
    </row>
    <row r="433" spans="1:3">
      <c r="A433" s="4" t="s">
        <v>1776</v>
      </c>
      <c r="B433" s="1">
        <v>45898</v>
      </c>
      <c r="C433">
        <v>22250</v>
      </c>
    </row>
    <row r="434" spans="1:3">
      <c r="A434" s="4" t="s">
        <v>1083</v>
      </c>
      <c r="B434" s="1">
        <v>45894</v>
      </c>
      <c r="C434">
        <v>22237</v>
      </c>
    </row>
    <row r="435" spans="1:3">
      <c r="A435" s="4" t="s">
        <v>6760</v>
      </c>
      <c r="B435" s="1">
        <v>46041</v>
      </c>
      <c r="C435">
        <v>22186</v>
      </c>
    </row>
    <row r="436" spans="1:3">
      <c r="A436" s="4" t="s">
        <v>205</v>
      </c>
      <c r="B436" s="1">
        <v>45770</v>
      </c>
      <c r="C436">
        <v>22185</v>
      </c>
    </row>
    <row r="437" spans="1:3">
      <c r="A437" s="4" t="s">
        <v>1569</v>
      </c>
      <c r="B437" s="1">
        <v>45920</v>
      </c>
      <c r="C437">
        <v>22143</v>
      </c>
    </row>
    <row r="438" spans="1:3">
      <c r="A438" s="4" t="s">
        <v>5303</v>
      </c>
      <c r="B438" s="1">
        <v>45994</v>
      </c>
      <c r="C438">
        <v>22046</v>
      </c>
    </row>
    <row r="439" spans="1:3">
      <c r="A439" s="4" t="s">
        <v>4132</v>
      </c>
      <c r="B439" s="1">
        <v>45946</v>
      </c>
      <c r="C439">
        <v>21982</v>
      </c>
    </row>
    <row r="440" spans="1:3">
      <c r="A440" s="4" t="s">
        <v>2020</v>
      </c>
      <c r="B440" s="1">
        <v>46020</v>
      </c>
      <c r="C440">
        <v>21807</v>
      </c>
    </row>
    <row r="441" spans="1:3">
      <c r="A441" s="4" t="s">
        <v>3463</v>
      </c>
      <c r="B441" s="1">
        <v>45917</v>
      </c>
      <c r="C441">
        <v>21450</v>
      </c>
    </row>
    <row r="442" spans="1:3">
      <c r="A442" s="4" t="s">
        <v>2391</v>
      </c>
      <c r="B442" s="1">
        <v>45848</v>
      </c>
      <c r="C442">
        <v>21443</v>
      </c>
    </row>
    <row r="443" spans="1:3">
      <c r="A443" s="4" t="s">
        <v>6735</v>
      </c>
      <c r="B443" s="1">
        <v>46039</v>
      </c>
      <c r="C443">
        <v>21433</v>
      </c>
    </row>
    <row r="444" spans="1:3">
      <c r="A444" s="4" t="s">
        <v>214</v>
      </c>
      <c r="B444" s="1">
        <v>45754</v>
      </c>
      <c r="C444">
        <v>21328</v>
      </c>
    </row>
    <row r="445" spans="1:3">
      <c r="A445" s="4" t="s">
        <v>3703</v>
      </c>
      <c r="B445" s="1">
        <v>45969</v>
      </c>
      <c r="C445">
        <v>21298</v>
      </c>
    </row>
    <row r="446" spans="1:3">
      <c r="A446" s="4" t="s">
        <v>2001</v>
      </c>
      <c r="B446" s="1">
        <v>45842</v>
      </c>
      <c r="C446">
        <v>21291</v>
      </c>
    </row>
    <row r="447" spans="1:3">
      <c r="A447" s="4" t="s">
        <v>3910</v>
      </c>
      <c r="B447" s="1">
        <v>46007</v>
      </c>
      <c r="C447">
        <v>21286</v>
      </c>
    </row>
    <row r="448" spans="1:3">
      <c r="A448" s="4" t="s">
        <v>4884</v>
      </c>
      <c r="B448" s="1">
        <v>45957</v>
      </c>
      <c r="C448">
        <v>21267</v>
      </c>
    </row>
    <row r="449" spans="1:3">
      <c r="A449" s="4" t="s">
        <v>2802</v>
      </c>
      <c r="B449" s="1">
        <v>45868</v>
      </c>
      <c r="C449">
        <v>21266</v>
      </c>
    </row>
    <row r="450" spans="1:3">
      <c r="A450" s="4" t="s">
        <v>3748</v>
      </c>
      <c r="B450" s="1">
        <v>45908</v>
      </c>
      <c r="C450">
        <v>21173</v>
      </c>
    </row>
    <row r="451" spans="1:3">
      <c r="A451" s="4" t="s">
        <v>2429</v>
      </c>
      <c r="B451" s="1">
        <v>45850</v>
      </c>
      <c r="C451">
        <v>21052</v>
      </c>
    </row>
    <row r="452" spans="1:3">
      <c r="A452" s="4" t="s">
        <v>7401</v>
      </c>
      <c r="B452" s="1">
        <v>46066</v>
      </c>
      <c r="C452">
        <v>21015</v>
      </c>
    </row>
    <row r="453" spans="1:3">
      <c r="A453" s="4" t="s">
        <v>2399</v>
      </c>
      <c r="B453" s="1">
        <v>46071</v>
      </c>
      <c r="C453">
        <v>20976</v>
      </c>
    </row>
    <row r="454" spans="1:3">
      <c r="A454" s="4" t="s">
        <v>6914</v>
      </c>
      <c r="B454" s="1">
        <v>46046</v>
      </c>
      <c r="C454">
        <v>20804</v>
      </c>
    </row>
    <row r="455" spans="1:3">
      <c r="A455" s="4" t="s">
        <v>1291</v>
      </c>
      <c r="B455" s="1">
        <v>45810</v>
      </c>
      <c r="C455">
        <v>20785</v>
      </c>
    </row>
    <row r="456" spans="1:3">
      <c r="A456" s="4" t="s">
        <v>1169</v>
      </c>
      <c r="B456" s="1">
        <v>46070</v>
      </c>
      <c r="C456">
        <v>20703</v>
      </c>
    </row>
    <row r="457" spans="1:3">
      <c r="A457" s="4" t="s">
        <v>1445</v>
      </c>
      <c r="B457" s="1">
        <v>45801</v>
      </c>
      <c r="C457">
        <v>20677</v>
      </c>
    </row>
    <row r="458" spans="1:3">
      <c r="A458" s="4" t="s">
        <v>2319</v>
      </c>
      <c r="B458" s="1">
        <v>45848</v>
      </c>
      <c r="C458">
        <v>20617</v>
      </c>
    </row>
    <row r="459" spans="1:3">
      <c r="A459" s="4" t="s">
        <v>290</v>
      </c>
      <c r="B459" s="1">
        <v>45972</v>
      </c>
      <c r="C459">
        <v>20512</v>
      </c>
    </row>
    <row r="460" spans="1:3">
      <c r="A460" s="4" t="s">
        <v>501</v>
      </c>
      <c r="B460" s="1">
        <v>45764</v>
      </c>
      <c r="C460">
        <v>20390</v>
      </c>
    </row>
    <row r="461" spans="1:3">
      <c r="A461" s="4" t="s">
        <v>4639</v>
      </c>
      <c r="B461" s="1">
        <v>45944</v>
      </c>
      <c r="C461">
        <v>20380</v>
      </c>
    </row>
    <row r="462" spans="1:3">
      <c r="A462" s="4" t="s">
        <v>2501</v>
      </c>
      <c r="B462" s="1">
        <v>45857</v>
      </c>
      <c r="C462">
        <v>20373</v>
      </c>
    </row>
    <row r="463" spans="1:3">
      <c r="A463" s="4" t="s">
        <v>7067</v>
      </c>
      <c r="B463" s="1">
        <v>46081</v>
      </c>
      <c r="C463">
        <v>20266</v>
      </c>
    </row>
    <row r="464" spans="1:3">
      <c r="A464" s="4" t="s">
        <v>5002</v>
      </c>
      <c r="B464" s="1">
        <v>45965</v>
      </c>
      <c r="C464">
        <v>20215</v>
      </c>
    </row>
    <row r="465" spans="1:3">
      <c r="A465" s="4" t="s">
        <v>6663</v>
      </c>
      <c r="B465" s="1">
        <v>46038</v>
      </c>
      <c r="C465">
        <v>20164</v>
      </c>
    </row>
    <row r="466" spans="1:3">
      <c r="A466" s="4" t="s">
        <v>2470</v>
      </c>
      <c r="B466" s="1">
        <v>45891</v>
      </c>
      <c r="C466">
        <v>20133</v>
      </c>
    </row>
    <row r="467" spans="1:3">
      <c r="A467" s="4" t="s">
        <v>5986</v>
      </c>
      <c r="B467" s="1">
        <v>46006</v>
      </c>
      <c r="C467">
        <v>20121</v>
      </c>
    </row>
    <row r="468" spans="1:3">
      <c r="A468" s="4" t="s">
        <v>2862</v>
      </c>
      <c r="B468" s="1">
        <v>45871</v>
      </c>
      <c r="C468">
        <v>20037</v>
      </c>
    </row>
    <row r="469" spans="1:3">
      <c r="A469" s="4" t="s">
        <v>3525</v>
      </c>
      <c r="B469" s="1">
        <v>45897</v>
      </c>
      <c r="C469">
        <v>20003</v>
      </c>
    </row>
    <row r="470" spans="1:3">
      <c r="A470" s="4" t="s">
        <v>3801</v>
      </c>
      <c r="B470" s="1">
        <v>45910</v>
      </c>
      <c r="C470">
        <v>19954</v>
      </c>
    </row>
    <row r="471" spans="1:3">
      <c r="A471" s="4" t="s">
        <v>2592</v>
      </c>
      <c r="B471" s="1">
        <v>46000</v>
      </c>
      <c r="C471">
        <v>19949</v>
      </c>
    </row>
    <row r="472" spans="1:3">
      <c r="A472" s="4" t="s">
        <v>2795</v>
      </c>
      <c r="B472" s="1">
        <v>45868</v>
      </c>
      <c r="C472">
        <v>19867</v>
      </c>
    </row>
    <row r="473" spans="1:3">
      <c r="A473" s="4" t="s">
        <v>840</v>
      </c>
      <c r="B473" s="1">
        <v>45779</v>
      </c>
      <c r="C473">
        <v>19800</v>
      </c>
    </row>
    <row r="474" spans="1:3">
      <c r="A474" s="4" t="s">
        <v>5408</v>
      </c>
      <c r="B474" s="1">
        <v>45979</v>
      </c>
      <c r="C474">
        <v>19650</v>
      </c>
    </row>
    <row r="475" spans="1:3">
      <c r="A475" s="4" t="s">
        <v>402</v>
      </c>
      <c r="B475" s="1">
        <v>45996</v>
      </c>
      <c r="C475">
        <v>19391</v>
      </c>
    </row>
    <row r="476" spans="1:3">
      <c r="A476" s="4" t="s">
        <v>7065</v>
      </c>
      <c r="B476" s="1">
        <v>46071</v>
      </c>
      <c r="C476">
        <v>19031</v>
      </c>
    </row>
    <row r="477" spans="1:3">
      <c r="A477" s="4" t="s">
        <v>5062</v>
      </c>
      <c r="B477" s="1">
        <v>45965</v>
      </c>
      <c r="C477">
        <v>18855</v>
      </c>
    </row>
    <row r="478" spans="1:3">
      <c r="A478" s="4" t="s">
        <v>2905</v>
      </c>
      <c r="B478" s="1">
        <v>45873</v>
      </c>
      <c r="C478">
        <v>18843</v>
      </c>
    </row>
    <row r="479" spans="1:3">
      <c r="A479" s="4" t="s">
        <v>1881</v>
      </c>
      <c r="B479" s="1">
        <v>46080</v>
      </c>
      <c r="C479">
        <v>18827</v>
      </c>
    </row>
    <row r="480" spans="1:3">
      <c r="A480" s="4" t="s">
        <v>5091</v>
      </c>
      <c r="B480" s="1">
        <v>45965</v>
      </c>
      <c r="C480">
        <v>18820</v>
      </c>
    </row>
    <row r="481" spans="1:3">
      <c r="A481" s="4" t="s">
        <v>1013</v>
      </c>
      <c r="B481" s="1">
        <v>45784</v>
      </c>
      <c r="C481">
        <v>18750</v>
      </c>
    </row>
    <row r="482" spans="1:3">
      <c r="A482" s="4" t="s">
        <v>4752</v>
      </c>
      <c r="B482" s="1">
        <v>45950</v>
      </c>
      <c r="C482">
        <v>18740</v>
      </c>
    </row>
    <row r="483" spans="1:3">
      <c r="A483" s="4" t="s">
        <v>1250</v>
      </c>
      <c r="B483" s="1">
        <v>45793</v>
      </c>
      <c r="C483">
        <v>18631</v>
      </c>
    </row>
    <row r="484" spans="1:3">
      <c r="A484" s="4" t="s">
        <v>5122</v>
      </c>
      <c r="B484" s="1">
        <v>45967</v>
      </c>
      <c r="C484">
        <v>18622</v>
      </c>
    </row>
    <row r="485" spans="1:3">
      <c r="A485" s="4" t="s">
        <v>4138</v>
      </c>
      <c r="B485" s="1">
        <v>45926</v>
      </c>
      <c r="C485">
        <v>18610</v>
      </c>
    </row>
    <row r="486" spans="1:3">
      <c r="A486" s="4" t="s">
        <v>3295</v>
      </c>
      <c r="B486" s="1">
        <v>45890</v>
      </c>
      <c r="C486">
        <v>18531</v>
      </c>
    </row>
    <row r="487" spans="1:3">
      <c r="A487" s="4" t="s">
        <v>463</v>
      </c>
      <c r="B487" s="1">
        <v>45938</v>
      </c>
      <c r="C487">
        <v>18520</v>
      </c>
    </row>
    <row r="488" spans="1:3">
      <c r="A488" s="4" t="s">
        <v>7313</v>
      </c>
      <c r="B488" s="1">
        <v>46080</v>
      </c>
      <c r="C488">
        <v>18496</v>
      </c>
    </row>
    <row r="489" spans="1:3">
      <c r="A489" s="4" t="s">
        <v>4418</v>
      </c>
      <c r="B489" s="1">
        <v>45934</v>
      </c>
      <c r="C489">
        <v>18486</v>
      </c>
    </row>
    <row r="490" spans="1:3">
      <c r="A490" s="4" t="s">
        <v>2024</v>
      </c>
      <c r="B490" s="1">
        <v>46079</v>
      </c>
      <c r="C490">
        <v>18238</v>
      </c>
    </row>
    <row r="491" spans="1:3">
      <c r="A491" s="4" t="s">
        <v>7638</v>
      </c>
      <c r="B491" s="1">
        <v>46078</v>
      </c>
      <c r="C491">
        <v>18182</v>
      </c>
    </row>
    <row r="492" spans="1:3">
      <c r="A492" s="4" t="s">
        <v>2364</v>
      </c>
      <c r="B492" s="1">
        <v>45860</v>
      </c>
      <c r="C492">
        <v>18085</v>
      </c>
    </row>
    <row r="493" spans="1:3">
      <c r="A493" s="4" t="s">
        <v>2696</v>
      </c>
      <c r="B493" s="1">
        <v>45864</v>
      </c>
      <c r="C493">
        <v>18020</v>
      </c>
    </row>
    <row r="494" spans="1:3">
      <c r="A494" s="4" t="s">
        <v>129</v>
      </c>
      <c r="B494" s="1">
        <v>46058</v>
      </c>
      <c r="C494">
        <v>17951</v>
      </c>
    </row>
    <row r="495" spans="1:3">
      <c r="A495" s="4" t="s">
        <v>4899</v>
      </c>
      <c r="B495" s="1">
        <v>45985</v>
      </c>
      <c r="C495">
        <v>17886</v>
      </c>
    </row>
    <row r="496" spans="1:3">
      <c r="A496" s="4" t="s">
        <v>2434</v>
      </c>
      <c r="B496" s="1">
        <v>45850</v>
      </c>
      <c r="C496">
        <v>17795</v>
      </c>
    </row>
    <row r="497" spans="1:3">
      <c r="A497" s="4" t="s">
        <v>4329</v>
      </c>
      <c r="B497" s="1">
        <v>46078</v>
      </c>
      <c r="C497">
        <v>17755</v>
      </c>
    </row>
    <row r="498" spans="1:3">
      <c r="A498" s="4" t="s">
        <v>1771</v>
      </c>
      <c r="B498" s="1">
        <v>45981</v>
      </c>
      <c r="C498">
        <v>17663</v>
      </c>
    </row>
    <row r="499" spans="1:3">
      <c r="A499" s="4" t="s">
        <v>506</v>
      </c>
      <c r="B499" s="1">
        <v>45848</v>
      </c>
      <c r="C499">
        <v>17638</v>
      </c>
    </row>
    <row r="500" spans="1:3">
      <c r="A500" s="4" t="s">
        <v>1042</v>
      </c>
      <c r="B500" s="1">
        <v>45850</v>
      </c>
      <c r="C500">
        <v>17617</v>
      </c>
    </row>
    <row r="501" spans="1:3">
      <c r="A501" s="4" t="s">
        <v>7041</v>
      </c>
      <c r="B501" s="1">
        <v>46053</v>
      </c>
      <c r="C501">
        <v>17468</v>
      </c>
    </row>
    <row r="502" spans="1:3">
      <c r="A502" s="4" t="s">
        <v>7616</v>
      </c>
      <c r="B502" s="1">
        <v>46074</v>
      </c>
      <c r="C502">
        <v>17440</v>
      </c>
    </row>
    <row r="503" spans="1:3">
      <c r="A503" s="4" t="s">
        <v>3996</v>
      </c>
      <c r="B503" s="1">
        <v>46002</v>
      </c>
      <c r="C503">
        <v>17308</v>
      </c>
    </row>
    <row r="504" spans="1:3">
      <c r="A504" s="4" t="s">
        <v>4230</v>
      </c>
      <c r="B504" s="1">
        <v>45929</v>
      </c>
      <c r="C504">
        <v>17098</v>
      </c>
    </row>
    <row r="505" spans="1:3">
      <c r="A505" s="4" t="s">
        <v>2323</v>
      </c>
      <c r="B505" s="1">
        <v>45940</v>
      </c>
      <c r="C505">
        <v>17054</v>
      </c>
    </row>
    <row r="506" spans="1:3">
      <c r="A506" s="4" t="s">
        <v>674</v>
      </c>
      <c r="B506" s="1">
        <v>45974</v>
      </c>
      <c r="C506">
        <v>17005</v>
      </c>
    </row>
    <row r="507" spans="1:3">
      <c r="A507" s="4" t="s">
        <v>3317</v>
      </c>
      <c r="B507" s="1">
        <v>45890</v>
      </c>
      <c r="C507">
        <v>16982</v>
      </c>
    </row>
    <row r="508" spans="1:3">
      <c r="A508" s="4" t="s">
        <v>1998</v>
      </c>
      <c r="B508" s="1">
        <v>45829</v>
      </c>
      <c r="C508">
        <v>16836</v>
      </c>
    </row>
    <row r="509" spans="1:3">
      <c r="A509" s="4" t="s">
        <v>2386</v>
      </c>
      <c r="B509" s="1">
        <v>45850</v>
      </c>
      <c r="C509">
        <v>16831</v>
      </c>
    </row>
    <row r="510" spans="1:3">
      <c r="A510" s="4" t="s">
        <v>3187</v>
      </c>
      <c r="B510" s="1">
        <v>45884</v>
      </c>
      <c r="C510">
        <v>16777</v>
      </c>
    </row>
    <row r="511" spans="1:3">
      <c r="A511" s="4" t="s">
        <v>786</v>
      </c>
      <c r="B511" s="1">
        <v>45861</v>
      </c>
      <c r="C511">
        <v>16762</v>
      </c>
    </row>
    <row r="512" spans="1:3">
      <c r="A512" s="4" t="s">
        <v>595</v>
      </c>
      <c r="B512" s="1">
        <v>45906</v>
      </c>
      <c r="C512">
        <v>16714</v>
      </c>
    </row>
    <row r="513" spans="1:3">
      <c r="A513" s="4" t="s">
        <v>6661</v>
      </c>
      <c r="B513" s="1">
        <v>46039</v>
      </c>
      <c r="C513">
        <v>16655</v>
      </c>
    </row>
    <row r="514" spans="1:3">
      <c r="A514" s="4" t="s">
        <v>3231</v>
      </c>
      <c r="B514" s="1">
        <v>45902</v>
      </c>
      <c r="C514">
        <v>16498</v>
      </c>
    </row>
    <row r="515" spans="1:3">
      <c r="A515" s="4" t="s">
        <v>7723</v>
      </c>
      <c r="B515" s="1">
        <v>46078</v>
      </c>
      <c r="C515">
        <v>16454</v>
      </c>
    </row>
    <row r="516" spans="1:3">
      <c r="A516" s="4" t="s">
        <v>1188</v>
      </c>
      <c r="B516" s="1">
        <v>46063</v>
      </c>
      <c r="C516">
        <v>16437</v>
      </c>
    </row>
    <row r="517" spans="1:3">
      <c r="A517" s="4" t="s">
        <v>647</v>
      </c>
      <c r="B517" s="1">
        <v>45940</v>
      </c>
      <c r="C517">
        <v>16352</v>
      </c>
    </row>
    <row r="518" spans="1:3">
      <c r="A518" s="4" t="s">
        <v>4107</v>
      </c>
      <c r="B518" s="1">
        <v>46017</v>
      </c>
      <c r="C518">
        <v>16310</v>
      </c>
    </row>
    <row r="519" spans="1:3">
      <c r="A519" s="4" t="s">
        <v>2007</v>
      </c>
      <c r="B519" s="1">
        <v>45979</v>
      </c>
      <c r="C519">
        <v>16215</v>
      </c>
    </row>
    <row r="520" spans="1:3">
      <c r="A520" s="4" t="s">
        <v>496</v>
      </c>
      <c r="B520" s="1">
        <v>45873</v>
      </c>
      <c r="C520">
        <v>16152</v>
      </c>
    </row>
    <row r="521" spans="1:3">
      <c r="A521" s="4" t="s">
        <v>3966</v>
      </c>
      <c r="B521" s="1">
        <v>45920</v>
      </c>
      <c r="C521">
        <v>16110</v>
      </c>
    </row>
    <row r="522" spans="1:3">
      <c r="A522" s="4" t="s">
        <v>2989</v>
      </c>
      <c r="B522" s="1">
        <v>45877</v>
      </c>
      <c r="C522">
        <v>15990</v>
      </c>
    </row>
    <row r="523" spans="1:3">
      <c r="A523" s="4" t="s">
        <v>5529</v>
      </c>
      <c r="B523" s="1">
        <v>45983</v>
      </c>
      <c r="C523">
        <v>15927</v>
      </c>
    </row>
    <row r="524" spans="1:3">
      <c r="A524" s="4" t="s">
        <v>7523</v>
      </c>
      <c r="B524" s="1">
        <v>46071</v>
      </c>
      <c r="C524">
        <v>15915</v>
      </c>
    </row>
    <row r="525" spans="1:3">
      <c r="A525" s="4" t="s">
        <v>6987</v>
      </c>
      <c r="B525" s="1">
        <v>46058</v>
      </c>
      <c r="C525">
        <v>15874</v>
      </c>
    </row>
    <row r="526" spans="1:3">
      <c r="A526" s="4" t="s">
        <v>7155</v>
      </c>
      <c r="B526" s="1">
        <v>46076</v>
      </c>
      <c r="C526">
        <v>15821</v>
      </c>
    </row>
    <row r="527" spans="1:3">
      <c r="A527" s="4" t="s">
        <v>5893</v>
      </c>
      <c r="B527" s="1">
        <v>46034</v>
      </c>
      <c r="C527">
        <v>15806</v>
      </c>
    </row>
    <row r="528" spans="1:3">
      <c r="A528" s="4" t="s">
        <v>7417</v>
      </c>
      <c r="B528" s="1">
        <v>46067</v>
      </c>
      <c r="C528">
        <v>15790</v>
      </c>
    </row>
    <row r="529" spans="1:3">
      <c r="A529" s="4" t="s">
        <v>656</v>
      </c>
      <c r="B529" s="1">
        <v>46041</v>
      </c>
      <c r="C529">
        <v>15726</v>
      </c>
    </row>
    <row r="530" spans="1:3">
      <c r="A530" s="4" t="s">
        <v>3860</v>
      </c>
      <c r="B530" s="1">
        <v>45958</v>
      </c>
      <c r="C530">
        <v>15715</v>
      </c>
    </row>
    <row r="531" spans="1:3">
      <c r="A531" s="4" t="s">
        <v>2510</v>
      </c>
      <c r="B531" s="1">
        <v>45854</v>
      </c>
      <c r="C531">
        <v>15672</v>
      </c>
    </row>
    <row r="532" spans="1:3">
      <c r="A532" s="4" t="s">
        <v>7515</v>
      </c>
      <c r="B532" s="1">
        <v>46071</v>
      </c>
      <c r="C532">
        <v>15652</v>
      </c>
    </row>
    <row r="533" spans="1:3">
      <c r="A533" s="4" t="s">
        <v>1196</v>
      </c>
      <c r="B533" s="1">
        <v>46079</v>
      </c>
      <c r="C533">
        <v>15582</v>
      </c>
    </row>
    <row r="534" spans="1:3">
      <c r="A534" s="4" t="s">
        <v>6414</v>
      </c>
      <c r="B534" s="1">
        <v>46060</v>
      </c>
      <c r="C534">
        <v>15520</v>
      </c>
    </row>
    <row r="535" spans="1:3">
      <c r="A535" s="4" t="s">
        <v>7153</v>
      </c>
      <c r="B535" s="1">
        <v>46058</v>
      </c>
      <c r="C535">
        <v>15500</v>
      </c>
    </row>
    <row r="536" spans="1:3">
      <c r="A536" s="4" t="s">
        <v>260</v>
      </c>
      <c r="B536" s="1">
        <v>45756</v>
      </c>
      <c r="C536">
        <v>15480</v>
      </c>
    </row>
    <row r="537" spans="1:3">
      <c r="A537" s="4" t="s">
        <v>1677</v>
      </c>
      <c r="B537" s="1">
        <v>45822</v>
      </c>
      <c r="C537">
        <v>15458</v>
      </c>
    </row>
    <row r="538" spans="1:3">
      <c r="A538" s="4" t="s">
        <v>1000</v>
      </c>
      <c r="B538" s="1">
        <v>45860</v>
      </c>
      <c r="C538">
        <v>15457</v>
      </c>
    </row>
    <row r="539" spans="1:3">
      <c r="A539" s="4" t="s">
        <v>684</v>
      </c>
      <c r="B539" s="1">
        <v>45772</v>
      </c>
      <c r="C539">
        <v>15415</v>
      </c>
    </row>
    <row r="540" spans="1:3">
      <c r="A540" s="4" t="s">
        <v>3329</v>
      </c>
      <c r="B540" s="1">
        <v>45890</v>
      </c>
      <c r="C540">
        <v>15366</v>
      </c>
    </row>
    <row r="541" spans="1:3">
      <c r="A541" s="4" t="s">
        <v>5661</v>
      </c>
      <c r="B541" s="1">
        <v>45996</v>
      </c>
      <c r="C541">
        <v>15336</v>
      </c>
    </row>
    <row r="542" spans="1:3">
      <c r="A542" s="4" t="s">
        <v>158</v>
      </c>
      <c r="B542" s="1">
        <v>45752</v>
      </c>
      <c r="C542">
        <v>15307</v>
      </c>
    </row>
    <row r="543" spans="1:3">
      <c r="A543" s="4" t="s">
        <v>1313</v>
      </c>
      <c r="B543" s="1">
        <v>45796</v>
      </c>
      <c r="C543">
        <v>15296</v>
      </c>
    </row>
    <row r="544" spans="1:3">
      <c r="A544" s="4" t="s">
        <v>4402</v>
      </c>
      <c r="B544" s="1">
        <v>45934</v>
      </c>
      <c r="C544">
        <v>15274</v>
      </c>
    </row>
    <row r="545" spans="1:3">
      <c r="A545" s="4" t="s">
        <v>5532</v>
      </c>
      <c r="B545" s="1">
        <v>45985</v>
      </c>
      <c r="C545">
        <v>15271</v>
      </c>
    </row>
    <row r="546" spans="1:3">
      <c r="A546" s="4" t="s">
        <v>298</v>
      </c>
      <c r="B546" s="1">
        <v>45887</v>
      </c>
      <c r="C546">
        <v>15253</v>
      </c>
    </row>
    <row r="547" spans="1:3">
      <c r="A547" s="4" t="s">
        <v>1008</v>
      </c>
      <c r="B547" s="1">
        <v>45852</v>
      </c>
      <c r="C547">
        <v>15217</v>
      </c>
    </row>
    <row r="548" spans="1:3">
      <c r="A548" s="4" t="s">
        <v>1753</v>
      </c>
      <c r="B548" s="1">
        <v>45817</v>
      </c>
      <c r="C548">
        <v>14797</v>
      </c>
    </row>
    <row r="549" spans="1:3">
      <c r="A549" s="4" t="s">
        <v>1243</v>
      </c>
      <c r="B549" s="1">
        <v>45793</v>
      </c>
      <c r="C549">
        <v>14670</v>
      </c>
    </row>
    <row r="550" spans="1:3">
      <c r="A550" s="4" t="s">
        <v>653</v>
      </c>
      <c r="B550" s="1">
        <v>45919</v>
      </c>
      <c r="C550">
        <v>14664</v>
      </c>
    </row>
    <row r="551" spans="1:3">
      <c r="A551" s="4" t="s">
        <v>2708</v>
      </c>
      <c r="B551" s="1">
        <v>46034</v>
      </c>
      <c r="C551">
        <v>14650</v>
      </c>
    </row>
    <row r="552" spans="1:3">
      <c r="A552" s="4" t="s">
        <v>7609</v>
      </c>
      <c r="B552" s="1">
        <v>46074</v>
      </c>
      <c r="C552">
        <v>14643</v>
      </c>
    </row>
    <row r="553" spans="1:3">
      <c r="A553" s="4" t="s">
        <v>4656</v>
      </c>
      <c r="B553" s="1">
        <v>45948</v>
      </c>
      <c r="C553">
        <v>14555</v>
      </c>
    </row>
    <row r="554" spans="1:3">
      <c r="A554" s="4" t="s">
        <v>4773</v>
      </c>
      <c r="B554" s="1">
        <v>46014</v>
      </c>
      <c r="C554">
        <v>14528</v>
      </c>
    </row>
    <row r="555" spans="1:3">
      <c r="A555" s="4" t="s">
        <v>2663</v>
      </c>
      <c r="B555" s="1">
        <v>45862</v>
      </c>
      <c r="C555">
        <v>14486</v>
      </c>
    </row>
    <row r="556" spans="1:3">
      <c r="A556" s="4" t="s">
        <v>5283</v>
      </c>
      <c r="B556" s="1">
        <v>45974</v>
      </c>
      <c r="C556">
        <v>14477</v>
      </c>
    </row>
    <row r="557" spans="1:3">
      <c r="A557" s="4" t="s">
        <v>5418</v>
      </c>
      <c r="B557" s="1">
        <v>45979</v>
      </c>
      <c r="C557">
        <v>14460</v>
      </c>
    </row>
    <row r="558" spans="1:3">
      <c r="A558" s="4" t="s">
        <v>2554</v>
      </c>
      <c r="B558" s="1">
        <v>45976</v>
      </c>
      <c r="C558">
        <v>14430</v>
      </c>
    </row>
    <row r="559" spans="1:3">
      <c r="A559" s="4" t="s">
        <v>5587</v>
      </c>
      <c r="B559" s="1">
        <v>45989</v>
      </c>
      <c r="C559">
        <v>14405</v>
      </c>
    </row>
    <row r="560" spans="1:3">
      <c r="A560" s="4" t="s">
        <v>712</v>
      </c>
      <c r="B560" s="1">
        <v>46055</v>
      </c>
      <c r="C560">
        <v>14366</v>
      </c>
    </row>
    <row r="561" spans="1:3">
      <c r="A561" s="4" t="s">
        <v>790</v>
      </c>
      <c r="B561" s="1">
        <v>45777</v>
      </c>
      <c r="C561">
        <v>14356</v>
      </c>
    </row>
    <row r="562" spans="1:3">
      <c r="A562" s="4" t="s">
        <v>6695</v>
      </c>
      <c r="B562" s="1">
        <v>46052</v>
      </c>
      <c r="C562">
        <v>14320</v>
      </c>
    </row>
    <row r="563" spans="1:3">
      <c r="A563" s="4" t="s">
        <v>609</v>
      </c>
      <c r="B563" s="1">
        <v>45794</v>
      </c>
      <c r="C563">
        <v>14320</v>
      </c>
    </row>
    <row r="564" spans="1:3">
      <c r="A564" s="4" t="s">
        <v>3878</v>
      </c>
      <c r="B564" s="1">
        <v>45912</v>
      </c>
      <c r="C564">
        <v>14310</v>
      </c>
    </row>
    <row r="565" spans="1:3">
      <c r="A565" s="4" t="s">
        <v>1524</v>
      </c>
      <c r="B565" s="1">
        <v>45813</v>
      </c>
      <c r="C565">
        <v>14213</v>
      </c>
    </row>
    <row r="566" spans="1:3">
      <c r="A566" s="4" t="s">
        <v>2804</v>
      </c>
      <c r="B566" s="1">
        <v>45868</v>
      </c>
      <c r="C566">
        <v>14193</v>
      </c>
    </row>
    <row r="567" spans="1:3">
      <c r="A567" s="4" t="s">
        <v>1707</v>
      </c>
      <c r="B567" s="1">
        <v>45814</v>
      </c>
      <c r="C567">
        <v>14180</v>
      </c>
    </row>
    <row r="568" spans="1:3">
      <c r="A568" s="4" t="s">
        <v>597</v>
      </c>
      <c r="B568" s="1">
        <v>45804</v>
      </c>
      <c r="C568">
        <v>14129</v>
      </c>
    </row>
    <row r="569" spans="1:3">
      <c r="A569" s="4" t="s">
        <v>5029</v>
      </c>
      <c r="B569" s="1">
        <v>45975</v>
      </c>
      <c r="C569">
        <v>14094</v>
      </c>
    </row>
    <row r="570" spans="1:3">
      <c r="A570" s="4" t="s">
        <v>727</v>
      </c>
      <c r="B570" s="1">
        <v>45773</v>
      </c>
      <c r="C570">
        <v>14000</v>
      </c>
    </row>
    <row r="571" spans="1:3">
      <c r="A571" s="4" t="s">
        <v>1441</v>
      </c>
      <c r="B571" s="1">
        <v>45812</v>
      </c>
      <c r="C571">
        <v>13869</v>
      </c>
    </row>
    <row r="572" spans="1:3">
      <c r="A572" s="4" t="s">
        <v>7781</v>
      </c>
      <c r="B572" s="1">
        <v>46080</v>
      </c>
      <c r="C572">
        <v>13770</v>
      </c>
    </row>
    <row r="573" spans="1:3">
      <c r="A573" s="4" t="s">
        <v>3519</v>
      </c>
      <c r="B573" s="1">
        <v>46013</v>
      </c>
      <c r="C573">
        <v>13697</v>
      </c>
    </row>
    <row r="574" spans="1:3">
      <c r="A574" s="4" t="s">
        <v>1734</v>
      </c>
      <c r="B574" s="1">
        <v>45833</v>
      </c>
      <c r="C574">
        <v>13452</v>
      </c>
    </row>
    <row r="575" spans="1:3">
      <c r="A575" s="4" t="s">
        <v>7764</v>
      </c>
      <c r="B575" s="1">
        <v>46079</v>
      </c>
      <c r="C575">
        <v>13448</v>
      </c>
    </row>
    <row r="576" spans="1:3">
      <c r="A576" s="4" t="s">
        <v>3257</v>
      </c>
      <c r="B576" s="1">
        <v>45890</v>
      </c>
      <c r="C576">
        <v>13430</v>
      </c>
    </row>
    <row r="577" spans="1:3">
      <c r="A577" s="4" t="s">
        <v>7337</v>
      </c>
      <c r="B577" s="1">
        <v>46064</v>
      </c>
      <c r="C577">
        <v>13354</v>
      </c>
    </row>
    <row r="578" spans="1:3">
      <c r="A578" s="4" t="s">
        <v>438</v>
      </c>
      <c r="B578" s="1">
        <v>45801</v>
      </c>
      <c r="C578">
        <v>13285</v>
      </c>
    </row>
    <row r="579" spans="1:3">
      <c r="A579" s="4" t="s">
        <v>1816</v>
      </c>
      <c r="B579" s="1">
        <v>46006</v>
      </c>
      <c r="C579">
        <v>13136</v>
      </c>
    </row>
    <row r="580" spans="1:3">
      <c r="A580" s="4" t="s">
        <v>714</v>
      </c>
      <c r="B580" s="1">
        <v>45773</v>
      </c>
      <c r="C580">
        <v>13090</v>
      </c>
    </row>
    <row r="581" spans="1:3">
      <c r="A581" s="4" t="s">
        <v>3759</v>
      </c>
      <c r="B581" s="1">
        <v>45908</v>
      </c>
      <c r="C581">
        <v>13090</v>
      </c>
    </row>
    <row r="582" spans="1:3">
      <c r="A582" s="4" t="s">
        <v>2154</v>
      </c>
      <c r="B582" s="1">
        <v>45915</v>
      </c>
      <c r="C582">
        <v>13081</v>
      </c>
    </row>
    <row r="583" spans="1:3">
      <c r="A583" s="4" t="s">
        <v>5856</v>
      </c>
      <c r="B583" s="1">
        <v>46077</v>
      </c>
      <c r="C583">
        <v>13075</v>
      </c>
    </row>
    <row r="584" spans="1:3">
      <c r="A584" s="4" t="s">
        <v>5773</v>
      </c>
      <c r="B584" s="1">
        <v>45997</v>
      </c>
      <c r="C584">
        <v>13063</v>
      </c>
    </row>
    <row r="585" spans="1:3">
      <c r="A585" s="4" t="s">
        <v>4251</v>
      </c>
      <c r="B585" s="1">
        <v>46000</v>
      </c>
      <c r="C585">
        <v>13032</v>
      </c>
    </row>
    <row r="586" spans="1:3">
      <c r="A586" s="4" t="s">
        <v>2214</v>
      </c>
      <c r="B586" s="1">
        <v>45926</v>
      </c>
      <c r="C586">
        <v>12890</v>
      </c>
    </row>
    <row r="587" spans="1:3">
      <c r="A587" s="4" t="s">
        <v>5360</v>
      </c>
      <c r="B587" s="1">
        <v>45978</v>
      </c>
      <c r="C587">
        <v>12845</v>
      </c>
    </row>
    <row r="588" spans="1:3">
      <c r="A588" s="4" t="s">
        <v>5664</v>
      </c>
      <c r="B588" s="1">
        <v>45990</v>
      </c>
      <c r="C588">
        <v>12838</v>
      </c>
    </row>
    <row r="589" spans="1:3">
      <c r="A589" s="4" t="s">
        <v>6229</v>
      </c>
      <c r="B589" s="1">
        <v>46017</v>
      </c>
      <c r="C589">
        <v>12814</v>
      </c>
    </row>
    <row r="590" spans="1:3">
      <c r="A590" s="4" t="s">
        <v>2791</v>
      </c>
      <c r="B590" s="1">
        <v>45868</v>
      </c>
      <c r="C590">
        <v>12812</v>
      </c>
    </row>
    <row r="591" spans="1:3">
      <c r="A591" s="4" t="s">
        <v>228</v>
      </c>
      <c r="B591" s="1">
        <v>45755</v>
      </c>
      <c r="C591">
        <v>12790</v>
      </c>
    </row>
    <row r="592" spans="1:3">
      <c r="A592" s="4" t="s">
        <v>1923</v>
      </c>
      <c r="B592" s="1">
        <v>45827</v>
      </c>
      <c r="C592">
        <v>12788</v>
      </c>
    </row>
    <row r="593" spans="1:3">
      <c r="A593" s="4" t="s">
        <v>7003</v>
      </c>
      <c r="B593" s="1">
        <v>46051</v>
      </c>
      <c r="C593">
        <v>12760</v>
      </c>
    </row>
    <row r="594" spans="1:3">
      <c r="A594" s="4" t="s">
        <v>4333</v>
      </c>
      <c r="B594" s="1">
        <v>45931</v>
      </c>
      <c r="C594">
        <v>12594</v>
      </c>
    </row>
    <row r="595" spans="1:3">
      <c r="A595" s="4" t="s">
        <v>4260</v>
      </c>
      <c r="B595" s="1">
        <v>45927</v>
      </c>
      <c r="C595">
        <v>12513</v>
      </c>
    </row>
    <row r="596" spans="1:3">
      <c r="A596" s="4" t="s">
        <v>6833</v>
      </c>
      <c r="B596" s="1">
        <v>46044</v>
      </c>
      <c r="C596">
        <v>12389</v>
      </c>
    </row>
    <row r="597" spans="1:3">
      <c r="A597" s="4" t="s">
        <v>2977</v>
      </c>
      <c r="B597" s="1">
        <v>45876</v>
      </c>
      <c r="C597">
        <v>12326</v>
      </c>
    </row>
    <row r="598" spans="1:3">
      <c r="A598" s="4" t="s">
        <v>2573</v>
      </c>
      <c r="B598" s="1">
        <v>45857</v>
      </c>
      <c r="C598">
        <v>12287</v>
      </c>
    </row>
    <row r="599" spans="1:3">
      <c r="A599" s="4" t="s">
        <v>1278</v>
      </c>
      <c r="B599" s="1">
        <v>45796</v>
      </c>
      <c r="C599">
        <v>12283</v>
      </c>
    </row>
    <row r="600" spans="1:3">
      <c r="A600" s="4" t="s">
        <v>6101</v>
      </c>
      <c r="B600" s="1">
        <v>46011</v>
      </c>
      <c r="C600">
        <v>12261</v>
      </c>
    </row>
    <row r="601" spans="1:3">
      <c r="A601" s="4" t="s">
        <v>1173</v>
      </c>
      <c r="B601" s="1">
        <v>45875</v>
      </c>
      <c r="C601">
        <v>12254</v>
      </c>
    </row>
    <row r="602" spans="1:3">
      <c r="A602" s="4" t="s">
        <v>642</v>
      </c>
      <c r="B602" s="1">
        <v>46029</v>
      </c>
      <c r="C602">
        <v>12244</v>
      </c>
    </row>
    <row r="603" spans="1:3">
      <c r="A603" s="4" t="s">
        <v>2250</v>
      </c>
      <c r="B603" s="1">
        <v>45842</v>
      </c>
      <c r="C603">
        <v>12235</v>
      </c>
    </row>
    <row r="604" spans="1:3">
      <c r="A604" s="4" t="s">
        <v>2916</v>
      </c>
      <c r="B604" s="1">
        <v>46045</v>
      </c>
      <c r="C604">
        <v>12164</v>
      </c>
    </row>
    <row r="605" spans="1:3">
      <c r="A605" s="4" t="s">
        <v>3660</v>
      </c>
      <c r="B605" s="1">
        <v>45903</v>
      </c>
      <c r="C605">
        <v>12118</v>
      </c>
    </row>
    <row r="606" spans="1:3">
      <c r="A606" s="4" t="s">
        <v>681</v>
      </c>
      <c r="B606" s="1">
        <v>46013</v>
      </c>
      <c r="C606">
        <v>12090</v>
      </c>
    </row>
    <row r="607" spans="1:3">
      <c r="A607" s="4" t="s">
        <v>3414</v>
      </c>
      <c r="B607" s="1">
        <v>46035</v>
      </c>
      <c r="C607">
        <v>12089.008</v>
      </c>
    </row>
    <row r="608" spans="1:3">
      <c r="A608" s="4" t="s">
        <v>1202</v>
      </c>
      <c r="B608" s="1">
        <v>45792</v>
      </c>
      <c r="C608">
        <v>12005</v>
      </c>
    </row>
    <row r="609" spans="1:3">
      <c r="A609" s="4" t="s">
        <v>2279</v>
      </c>
      <c r="B609" s="1">
        <v>45843</v>
      </c>
      <c r="C609">
        <v>12000</v>
      </c>
    </row>
    <row r="610" spans="1:3">
      <c r="A610" s="4" t="s">
        <v>282</v>
      </c>
      <c r="B610" s="1">
        <v>45771</v>
      </c>
      <c r="C610">
        <v>11950</v>
      </c>
    </row>
    <row r="611" spans="1:3">
      <c r="A611" s="4" t="s">
        <v>1903</v>
      </c>
      <c r="B611" s="1">
        <v>45826</v>
      </c>
      <c r="C611">
        <v>11922</v>
      </c>
    </row>
    <row r="612" spans="1:3">
      <c r="A612" s="4" t="s">
        <v>2112</v>
      </c>
      <c r="B612" s="1">
        <v>45835</v>
      </c>
      <c r="C612">
        <v>11920</v>
      </c>
    </row>
    <row r="613" spans="1:3">
      <c r="A613" s="4" t="s">
        <v>3616</v>
      </c>
      <c r="B613" s="1">
        <v>45902</v>
      </c>
      <c r="C613">
        <v>11893</v>
      </c>
    </row>
    <row r="614" spans="1:3">
      <c r="A614" s="4" t="s">
        <v>4304</v>
      </c>
      <c r="B614" s="1">
        <v>45951</v>
      </c>
      <c r="C614">
        <v>11864</v>
      </c>
    </row>
    <row r="615" spans="1:3">
      <c r="A615" s="4" t="s">
        <v>4086</v>
      </c>
      <c r="B615" s="1">
        <v>45920</v>
      </c>
      <c r="C615">
        <v>11831</v>
      </c>
    </row>
    <row r="616" spans="1:3">
      <c r="A616" s="4" t="s">
        <v>7224</v>
      </c>
      <c r="B616" s="1">
        <v>46060</v>
      </c>
      <c r="C616">
        <v>11812</v>
      </c>
    </row>
    <row r="617" spans="1:3">
      <c r="A617" s="4" t="s">
        <v>436</v>
      </c>
      <c r="B617" s="1">
        <v>45762</v>
      </c>
      <c r="C617">
        <v>11690</v>
      </c>
    </row>
    <row r="618" spans="1:3">
      <c r="A618" s="4" t="s">
        <v>6455</v>
      </c>
      <c r="B618" s="1">
        <v>46077</v>
      </c>
      <c r="C618">
        <v>11653</v>
      </c>
    </row>
    <row r="619" spans="1:3">
      <c r="A619" s="4" t="s">
        <v>6859</v>
      </c>
      <c r="B619" s="1">
        <v>46048</v>
      </c>
      <c r="C619">
        <v>11636</v>
      </c>
    </row>
    <row r="620" spans="1:3">
      <c r="A620" s="4" t="s">
        <v>5612</v>
      </c>
      <c r="B620" s="1">
        <v>45989</v>
      </c>
      <c r="C620">
        <v>11613</v>
      </c>
    </row>
    <row r="621" spans="1:3">
      <c r="A621" s="4" t="s">
        <v>6615</v>
      </c>
      <c r="B621" s="1">
        <v>46041</v>
      </c>
      <c r="C621">
        <v>11492</v>
      </c>
    </row>
    <row r="622" spans="1:3">
      <c r="A622" s="4" t="s">
        <v>949</v>
      </c>
      <c r="B622" s="1">
        <v>45782</v>
      </c>
      <c r="C622">
        <v>11486</v>
      </c>
    </row>
    <row r="623" spans="1:3">
      <c r="A623" s="4" t="s">
        <v>3151</v>
      </c>
      <c r="B623" s="1">
        <v>45883</v>
      </c>
      <c r="C623">
        <v>11456</v>
      </c>
    </row>
    <row r="624" spans="1:3">
      <c r="A624" s="4" t="s">
        <v>3816</v>
      </c>
      <c r="B624" s="1">
        <v>45920</v>
      </c>
      <c r="C624">
        <v>11396</v>
      </c>
    </row>
    <row r="625" spans="1:3">
      <c r="A625" s="4" t="s">
        <v>1901</v>
      </c>
      <c r="B625" s="1">
        <v>46028</v>
      </c>
      <c r="C625">
        <v>11345</v>
      </c>
    </row>
    <row r="626" spans="1:3">
      <c r="A626" s="4" t="s">
        <v>5676</v>
      </c>
      <c r="B626" s="1">
        <v>45990</v>
      </c>
      <c r="C626">
        <v>11237</v>
      </c>
    </row>
    <row r="627" spans="1:3">
      <c r="A627" s="4" t="s">
        <v>5046</v>
      </c>
      <c r="B627" s="1">
        <v>45964</v>
      </c>
      <c r="C627">
        <v>11220</v>
      </c>
    </row>
    <row r="628" spans="1:3">
      <c r="A628" s="4" t="s">
        <v>1280</v>
      </c>
      <c r="B628" s="1">
        <v>46023</v>
      </c>
      <c r="C628">
        <v>11200</v>
      </c>
    </row>
    <row r="629" spans="1:3">
      <c r="A629" s="4" t="s">
        <v>270</v>
      </c>
      <c r="B629" s="1">
        <v>45756</v>
      </c>
      <c r="C629">
        <v>11182</v>
      </c>
    </row>
    <row r="630" spans="1:3">
      <c r="A630" s="4" t="s">
        <v>1348</v>
      </c>
      <c r="B630" s="1">
        <v>45798</v>
      </c>
      <c r="C630">
        <v>11100</v>
      </c>
    </row>
    <row r="631" spans="1:3">
      <c r="A631" s="4" t="s">
        <v>1307</v>
      </c>
      <c r="B631" s="1">
        <v>45890</v>
      </c>
      <c r="C631">
        <v>11061</v>
      </c>
    </row>
    <row r="632" spans="1:3">
      <c r="A632" s="4" t="s">
        <v>5770</v>
      </c>
      <c r="B632" s="1">
        <v>45996</v>
      </c>
      <c r="C632">
        <v>10966</v>
      </c>
    </row>
    <row r="633" spans="1:3">
      <c r="A633" s="4" t="s">
        <v>370</v>
      </c>
      <c r="B633" s="1">
        <v>46072</v>
      </c>
      <c r="C633">
        <v>10786</v>
      </c>
    </row>
    <row r="634" spans="1:3">
      <c r="A634" s="4" t="s">
        <v>1358</v>
      </c>
      <c r="B634" s="1">
        <v>45798</v>
      </c>
      <c r="C634">
        <v>10760</v>
      </c>
    </row>
    <row r="635" spans="1:3">
      <c r="A635" s="4" t="s">
        <v>5300</v>
      </c>
      <c r="B635" s="1">
        <v>46009</v>
      </c>
      <c r="C635">
        <v>10743</v>
      </c>
    </row>
    <row r="636" spans="1:3">
      <c r="A636" s="4" t="s">
        <v>2505</v>
      </c>
      <c r="B636" s="1">
        <v>45854</v>
      </c>
      <c r="C636">
        <v>10742</v>
      </c>
    </row>
    <row r="637" spans="1:3">
      <c r="A637" s="4" t="s">
        <v>3234</v>
      </c>
      <c r="B637" s="1">
        <v>45887</v>
      </c>
      <c r="C637">
        <v>10742</v>
      </c>
    </row>
    <row r="638" spans="1:3">
      <c r="A638" s="4" t="s">
        <v>703</v>
      </c>
      <c r="B638" s="1">
        <v>45776</v>
      </c>
      <c r="C638">
        <v>10691</v>
      </c>
    </row>
    <row r="639" spans="1:3">
      <c r="A639" s="4" t="s">
        <v>1994</v>
      </c>
      <c r="B639" s="1">
        <v>45839</v>
      </c>
      <c r="C639">
        <v>10667</v>
      </c>
    </row>
    <row r="640" spans="1:3">
      <c r="A640" s="4" t="s">
        <v>1229</v>
      </c>
      <c r="B640" s="1">
        <v>45873</v>
      </c>
      <c r="C640">
        <v>10620</v>
      </c>
    </row>
    <row r="641" spans="1:3">
      <c r="A641" s="4" t="s">
        <v>3683</v>
      </c>
      <c r="B641" s="1">
        <v>45904</v>
      </c>
      <c r="C641">
        <v>10550</v>
      </c>
    </row>
    <row r="642" spans="1:3">
      <c r="A642" s="4" t="s">
        <v>4248</v>
      </c>
      <c r="B642" s="1">
        <v>45927</v>
      </c>
      <c r="C642">
        <v>10500</v>
      </c>
    </row>
    <row r="643" spans="1:3">
      <c r="A643" s="4" t="s">
        <v>4355</v>
      </c>
      <c r="B643" s="1">
        <v>45932</v>
      </c>
      <c r="C643">
        <v>10431</v>
      </c>
    </row>
    <row r="644" spans="1:3">
      <c r="A644" s="4" t="s">
        <v>7035</v>
      </c>
      <c r="B644" s="1">
        <v>46052</v>
      </c>
      <c r="C644">
        <v>10415</v>
      </c>
    </row>
    <row r="645" spans="1:3">
      <c r="A645" s="4" t="s">
        <v>528</v>
      </c>
      <c r="B645" s="1">
        <v>45856</v>
      </c>
      <c r="C645">
        <v>10368</v>
      </c>
    </row>
    <row r="646" spans="1:3">
      <c r="A646" s="4" t="s">
        <v>4159</v>
      </c>
      <c r="B646" s="1">
        <v>45924</v>
      </c>
      <c r="C646">
        <v>10350</v>
      </c>
    </row>
    <row r="647" spans="1:3">
      <c r="A647" s="4" t="s">
        <v>122</v>
      </c>
      <c r="B647" s="1">
        <v>45938</v>
      </c>
      <c r="C647">
        <v>10348</v>
      </c>
    </row>
    <row r="648" spans="1:3">
      <c r="A648" s="4" t="s">
        <v>4056</v>
      </c>
      <c r="B648" s="1">
        <v>45920</v>
      </c>
      <c r="C648">
        <v>10301</v>
      </c>
    </row>
    <row r="649" spans="1:3">
      <c r="A649" s="4" t="s">
        <v>5465</v>
      </c>
      <c r="B649" s="1">
        <v>45981</v>
      </c>
      <c r="C649">
        <v>10156</v>
      </c>
    </row>
    <row r="650" spans="1:3">
      <c r="A650" s="4" t="s">
        <v>1206</v>
      </c>
      <c r="B650" s="1">
        <v>46001</v>
      </c>
      <c r="C650">
        <v>10152</v>
      </c>
    </row>
    <row r="651" spans="1:3">
      <c r="A651" s="4" t="s">
        <v>1688</v>
      </c>
      <c r="B651" s="1">
        <v>45814</v>
      </c>
      <c r="C651">
        <v>10150</v>
      </c>
    </row>
    <row r="652" spans="1:3">
      <c r="A652" s="4" t="s">
        <v>530</v>
      </c>
      <c r="B652" s="1">
        <v>45766</v>
      </c>
      <c r="C652">
        <v>10120</v>
      </c>
    </row>
    <row r="653" spans="1:3">
      <c r="A653" s="4" t="s">
        <v>5912</v>
      </c>
      <c r="B653" s="1">
        <v>46002</v>
      </c>
      <c r="C653">
        <v>10074</v>
      </c>
    </row>
    <row r="654" spans="1:3">
      <c r="A654" s="4" t="s">
        <v>375</v>
      </c>
      <c r="B654" s="1">
        <v>46057</v>
      </c>
      <c r="C654">
        <v>10027</v>
      </c>
    </row>
    <row r="655" spans="1:3">
      <c r="A655" s="4" t="s">
        <v>4519</v>
      </c>
      <c r="B655" s="1">
        <v>45939</v>
      </c>
      <c r="C655">
        <v>10027</v>
      </c>
    </row>
    <row r="656" spans="1:3">
      <c r="A656" s="4" t="s">
        <v>3601</v>
      </c>
      <c r="B656" s="1">
        <v>45902</v>
      </c>
      <c r="C656">
        <v>10010</v>
      </c>
    </row>
    <row r="657" spans="1:3">
      <c r="A657" s="4" t="s">
        <v>5934</v>
      </c>
      <c r="B657" s="1">
        <v>46004</v>
      </c>
      <c r="C657">
        <v>9970</v>
      </c>
    </row>
    <row r="658" spans="1:3">
      <c r="A658" s="4" t="s">
        <v>5015</v>
      </c>
      <c r="B658" s="1">
        <v>45973</v>
      </c>
      <c r="C658">
        <v>9801</v>
      </c>
    </row>
    <row r="659" spans="1:3">
      <c r="A659" s="4" t="s">
        <v>5235</v>
      </c>
      <c r="B659" s="1">
        <v>45972</v>
      </c>
      <c r="C659">
        <v>9689</v>
      </c>
    </row>
    <row r="660" spans="1:3">
      <c r="A660" s="4" t="s">
        <v>778</v>
      </c>
      <c r="B660" s="1">
        <v>45926</v>
      </c>
      <c r="C660">
        <v>9663</v>
      </c>
    </row>
    <row r="661" spans="1:3">
      <c r="A661" s="4" t="s">
        <v>5373</v>
      </c>
      <c r="B661" s="1">
        <v>45979</v>
      </c>
      <c r="C661">
        <v>9659</v>
      </c>
    </row>
    <row r="662" spans="1:3">
      <c r="A662" s="4" t="s">
        <v>7471</v>
      </c>
      <c r="B662" s="1">
        <v>46070</v>
      </c>
      <c r="C662">
        <v>9600</v>
      </c>
    </row>
    <row r="663" spans="1:3">
      <c r="A663" s="4" t="s">
        <v>866</v>
      </c>
      <c r="B663" s="1">
        <v>45779</v>
      </c>
      <c r="C663">
        <v>9597</v>
      </c>
    </row>
    <row r="664" spans="1:3">
      <c r="A664" s="4" t="s">
        <v>628</v>
      </c>
      <c r="B664" s="1">
        <v>46067</v>
      </c>
      <c r="C664">
        <v>9588</v>
      </c>
    </row>
    <row r="665" spans="1:3">
      <c r="A665" s="4" t="s">
        <v>3631</v>
      </c>
      <c r="B665" s="1">
        <v>46058</v>
      </c>
      <c r="C665">
        <v>9585</v>
      </c>
    </row>
    <row r="666" spans="1:3">
      <c r="A666" s="4" t="s">
        <v>154</v>
      </c>
      <c r="B666" s="1">
        <v>45939</v>
      </c>
      <c r="C666">
        <v>9575</v>
      </c>
    </row>
    <row r="667" spans="1:3">
      <c r="A667" s="4" t="s">
        <v>2560</v>
      </c>
      <c r="B667" s="1">
        <v>45857</v>
      </c>
      <c r="C667">
        <v>9560</v>
      </c>
    </row>
    <row r="668" spans="1:3">
      <c r="A668" s="4" t="s">
        <v>4468</v>
      </c>
      <c r="B668" s="1">
        <v>45938</v>
      </c>
      <c r="C668">
        <v>9491</v>
      </c>
    </row>
    <row r="669" spans="1:3">
      <c r="A669" s="4" t="s">
        <v>814</v>
      </c>
      <c r="B669" s="1">
        <v>45778</v>
      </c>
      <c r="C669">
        <v>9482</v>
      </c>
    </row>
    <row r="670" spans="1:3">
      <c r="A670" s="4" t="s">
        <v>2966</v>
      </c>
      <c r="B670" s="1">
        <v>46046</v>
      </c>
      <c r="C670">
        <v>9450</v>
      </c>
    </row>
    <row r="671" spans="1:3">
      <c r="A671" s="4" t="s">
        <v>5504</v>
      </c>
      <c r="B671" s="1">
        <v>45990</v>
      </c>
      <c r="C671">
        <v>9257</v>
      </c>
    </row>
    <row r="672" spans="1:3">
      <c r="A672" s="4" t="s">
        <v>644</v>
      </c>
      <c r="B672" s="1">
        <v>45771</v>
      </c>
      <c r="C672">
        <v>9257</v>
      </c>
    </row>
    <row r="673" spans="1:3">
      <c r="A673" s="4" t="s">
        <v>1940</v>
      </c>
      <c r="B673" s="1">
        <v>45827</v>
      </c>
      <c r="C673">
        <v>9250</v>
      </c>
    </row>
    <row r="674" spans="1:3">
      <c r="A674" s="4" t="s">
        <v>2749</v>
      </c>
      <c r="B674" s="1">
        <v>46022</v>
      </c>
      <c r="C674">
        <v>9230</v>
      </c>
    </row>
    <row r="675" spans="1:3">
      <c r="A675" s="4" t="s">
        <v>6708</v>
      </c>
      <c r="B675" s="1">
        <v>46073</v>
      </c>
      <c r="C675">
        <v>9162</v>
      </c>
    </row>
    <row r="676" spans="1:3">
      <c r="A676" s="4" t="s">
        <v>6206</v>
      </c>
      <c r="B676" s="1">
        <v>46017</v>
      </c>
      <c r="C676">
        <v>9156</v>
      </c>
    </row>
    <row r="677" spans="1:3">
      <c r="A677" s="4" t="s">
        <v>4290</v>
      </c>
      <c r="B677" s="1">
        <v>45946</v>
      </c>
      <c r="C677">
        <v>9135</v>
      </c>
    </row>
    <row r="678" spans="1:3">
      <c r="A678" s="4" t="s">
        <v>3814</v>
      </c>
      <c r="B678" s="1">
        <v>45912</v>
      </c>
      <c r="C678">
        <v>9129</v>
      </c>
    </row>
    <row r="679" spans="1:3">
      <c r="A679" s="4" t="s">
        <v>7744</v>
      </c>
      <c r="B679" s="1">
        <v>46079</v>
      </c>
      <c r="C679">
        <v>9090</v>
      </c>
    </row>
    <row r="680" spans="1:3">
      <c r="A680" s="4" t="s">
        <v>3482</v>
      </c>
      <c r="B680" s="1">
        <v>45896</v>
      </c>
      <c r="C680">
        <v>9074</v>
      </c>
    </row>
    <row r="681" spans="1:3">
      <c r="A681" s="4" t="s">
        <v>1085</v>
      </c>
      <c r="B681" s="1">
        <v>45964</v>
      </c>
      <c r="C681">
        <v>9072</v>
      </c>
    </row>
    <row r="682" spans="1:3">
      <c r="A682" s="4" t="s">
        <v>6848</v>
      </c>
      <c r="B682" s="1">
        <v>46044</v>
      </c>
      <c r="C682">
        <v>9064</v>
      </c>
    </row>
    <row r="683" spans="1:3">
      <c r="A683" s="4" t="s">
        <v>3837</v>
      </c>
      <c r="B683" s="1">
        <v>45911</v>
      </c>
      <c r="C683">
        <v>9042</v>
      </c>
    </row>
    <row r="684" spans="1:3">
      <c r="A684" s="4" t="s">
        <v>5237</v>
      </c>
      <c r="B684" s="1">
        <v>46070</v>
      </c>
      <c r="C684">
        <v>9027</v>
      </c>
    </row>
    <row r="685" spans="1:3">
      <c r="A685" s="4" t="s">
        <v>2580</v>
      </c>
      <c r="B685" s="1">
        <v>45981</v>
      </c>
      <c r="C685">
        <v>8985</v>
      </c>
    </row>
    <row r="686" spans="1:3">
      <c r="A686" s="4" t="s">
        <v>5463</v>
      </c>
      <c r="B686" s="1">
        <v>45981</v>
      </c>
      <c r="C686">
        <v>8977</v>
      </c>
    </row>
    <row r="687" spans="1:3">
      <c r="A687" s="4" t="s">
        <v>31</v>
      </c>
      <c r="B687" s="1">
        <v>45759</v>
      </c>
      <c r="C687">
        <v>8965</v>
      </c>
    </row>
    <row r="688" spans="1:3">
      <c r="A688" s="4" t="s">
        <v>3109</v>
      </c>
      <c r="B688" s="1">
        <v>46051</v>
      </c>
      <c r="C688">
        <v>8880</v>
      </c>
    </row>
    <row r="689" spans="1:3">
      <c r="A689" s="4" t="s">
        <v>5810</v>
      </c>
      <c r="B689" s="1">
        <v>45997</v>
      </c>
      <c r="C689">
        <v>8838</v>
      </c>
    </row>
    <row r="690" spans="1:3">
      <c r="A690" s="4" t="s">
        <v>6780</v>
      </c>
      <c r="B690" s="1">
        <v>46043</v>
      </c>
      <c r="C690">
        <v>8723</v>
      </c>
    </row>
    <row r="691" spans="1:3">
      <c r="A691" s="4" t="s">
        <v>2980</v>
      </c>
      <c r="B691" s="1">
        <v>45876</v>
      </c>
      <c r="C691">
        <v>8720</v>
      </c>
    </row>
    <row r="692" spans="1:3">
      <c r="A692" s="4" t="s">
        <v>7801</v>
      </c>
      <c r="B692" s="1">
        <v>46080</v>
      </c>
      <c r="C692">
        <v>8678</v>
      </c>
    </row>
    <row r="693" spans="1:3">
      <c r="A693" s="4" t="s">
        <v>1026</v>
      </c>
      <c r="B693" s="1">
        <v>46027</v>
      </c>
      <c r="C693">
        <v>8670</v>
      </c>
    </row>
    <row r="694" spans="1:3">
      <c r="A694" s="4" t="s">
        <v>3469</v>
      </c>
      <c r="B694" s="1">
        <v>45895</v>
      </c>
      <c r="C694">
        <v>8667</v>
      </c>
    </row>
    <row r="695" spans="1:3">
      <c r="A695" s="4" t="s">
        <v>5863</v>
      </c>
      <c r="B695" s="1">
        <v>46001</v>
      </c>
      <c r="C695">
        <v>8664</v>
      </c>
    </row>
    <row r="696" spans="1:3">
      <c r="A696" s="4" t="s">
        <v>7798</v>
      </c>
      <c r="B696" s="1">
        <v>46080</v>
      </c>
      <c r="C696">
        <v>8634</v>
      </c>
    </row>
    <row r="697" spans="1:3">
      <c r="A697" s="4" t="s">
        <v>7354</v>
      </c>
      <c r="B697" s="1">
        <v>46071</v>
      </c>
      <c r="C697">
        <v>8630</v>
      </c>
    </row>
    <row r="698" spans="1:3">
      <c r="A698" s="4" t="s">
        <v>4786</v>
      </c>
      <c r="B698" s="1">
        <v>46079</v>
      </c>
      <c r="C698">
        <v>8609</v>
      </c>
    </row>
    <row r="699" spans="1:3">
      <c r="A699" s="4" t="s">
        <v>6257</v>
      </c>
      <c r="B699" s="1">
        <v>46018</v>
      </c>
      <c r="C699">
        <v>8560</v>
      </c>
    </row>
    <row r="700" spans="1:3">
      <c r="A700" s="4" t="s">
        <v>7098</v>
      </c>
      <c r="B700" s="1">
        <v>46055</v>
      </c>
      <c r="C700">
        <v>8436</v>
      </c>
    </row>
    <row r="701" spans="1:3">
      <c r="A701" s="4" t="s">
        <v>7735</v>
      </c>
      <c r="B701" s="1">
        <v>46080</v>
      </c>
      <c r="C701">
        <v>8433</v>
      </c>
    </row>
    <row r="702" spans="1:3">
      <c r="A702" s="4" t="s">
        <v>1644</v>
      </c>
      <c r="B702" s="1">
        <v>46029</v>
      </c>
      <c r="C702">
        <v>8425</v>
      </c>
    </row>
    <row r="703" spans="1:3">
      <c r="A703" s="4" t="s">
        <v>1331</v>
      </c>
      <c r="B703" s="1">
        <v>45797</v>
      </c>
      <c r="C703">
        <v>8400</v>
      </c>
    </row>
    <row r="704" spans="1:3">
      <c r="A704" s="4" t="s">
        <v>4182</v>
      </c>
      <c r="B704" s="1">
        <v>45955</v>
      </c>
      <c r="C704">
        <v>8397</v>
      </c>
    </row>
    <row r="705" spans="1:3">
      <c r="A705" s="4" t="s">
        <v>3087</v>
      </c>
      <c r="B705" s="1">
        <v>45934</v>
      </c>
      <c r="C705">
        <v>8356</v>
      </c>
    </row>
    <row r="706" spans="1:3">
      <c r="A706" s="4" t="s">
        <v>6298</v>
      </c>
      <c r="B706" s="1">
        <v>46020</v>
      </c>
      <c r="C706">
        <v>8318</v>
      </c>
    </row>
    <row r="707" spans="1:3">
      <c r="A707" s="4" t="s">
        <v>5853</v>
      </c>
      <c r="B707" s="1">
        <v>46000</v>
      </c>
      <c r="C707">
        <v>8308</v>
      </c>
    </row>
    <row r="708" spans="1:3">
      <c r="A708" s="4" t="s">
        <v>2410</v>
      </c>
      <c r="B708" s="1">
        <v>45940</v>
      </c>
      <c r="C708">
        <v>8251</v>
      </c>
    </row>
    <row r="709" spans="1:3">
      <c r="A709" s="4" t="s">
        <v>3705</v>
      </c>
      <c r="B709" s="1">
        <v>45906</v>
      </c>
      <c r="C709">
        <v>8250</v>
      </c>
    </row>
    <row r="710" spans="1:3">
      <c r="A710" s="4" t="s">
        <v>3037</v>
      </c>
      <c r="B710" s="1">
        <v>45962</v>
      </c>
      <c r="C710">
        <v>8199</v>
      </c>
    </row>
    <row r="711" spans="1:3">
      <c r="A711" s="4" t="s">
        <v>2380</v>
      </c>
      <c r="B711" s="1">
        <v>45848</v>
      </c>
      <c r="C711">
        <v>8190</v>
      </c>
    </row>
    <row r="712" spans="1:3">
      <c r="A712" s="4" t="s">
        <v>2851</v>
      </c>
      <c r="B712" s="1">
        <v>46023</v>
      </c>
      <c r="C712">
        <v>8170</v>
      </c>
    </row>
    <row r="713" spans="1:3">
      <c r="A713" s="4" t="s">
        <v>1460</v>
      </c>
      <c r="B713" s="1">
        <v>45803</v>
      </c>
      <c r="C713">
        <v>8130</v>
      </c>
    </row>
    <row r="714" spans="1:3">
      <c r="A714" s="4" t="s">
        <v>1186</v>
      </c>
      <c r="B714" s="1">
        <v>45791</v>
      </c>
      <c r="C714">
        <v>8056</v>
      </c>
    </row>
    <row r="715" spans="1:3">
      <c r="A715" s="4" t="s">
        <v>2064</v>
      </c>
      <c r="B715" s="1">
        <v>45833</v>
      </c>
      <c r="C715">
        <v>8052</v>
      </c>
    </row>
    <row r="716" spans="1:3">
      <c r="A716" s="4" t="s">
        <v>493</v>
      </c>
      <c r="B716" s="1">
        <v>45764</v>
      </c>
      <c r="C716">
        <v>8040</v>
      </c>
    </row>
    <row r="717" spans="1:3">
      <c r="A717" s="4" t="s">
        <v>5127</v>
      </c>
      <c r="B717" s="1">
        <v>45967</v>
      </c>
      <c r="C717">
        <v>8015</v>
      </c>
    </row>
    <row r="718" spans="1:3">
      <c r="A718" s="4" t="s">
        <v>3697</v>
      </c>
      <c r="B718" s="1">
        <v>45934</v>
      </c>
      <c r="C718">
        <v>7995</v>
      </c>
    </row>
    <row r="719" spans="1:3">
      <c r="A719" s="4" t="s">
        <v>85</v>
      </c>
      <c r="B719" s="1">
        <v>45749</v>
      </c>
      <c r="C719">
        <v>7930</v>
      </c>
    </row>
    <row r="720" spans="1:3">
      <c r="A720" s="4" t="s">
        <v>4093</v>
      </c>
      <c r="B720" s="1">
        <v>45966</v>
      </c>
      <c r="C720">
        <v>7888</v>
      </c>
    </row>
    <row r="721" spans="1:3">
      <c r="A721" s="4" t="s">
        <v>4476</v>
      </c>
      <c r="B721" s="1">
        <v>45937</v>
      </c>
      <c r="C721">
        <v>7793</v>
      </c>
    </row>
    <row r="722" spans="1:3">
      <c r="A722" s="4" t="s">
        <v>4781</v>
      </c>
      <c r="B722" s="1">
        <v>45965</v>
      </c>
      <c r="C722">
        <v>7753</v>
      </c>
    </row>
    <row r="723" spans="1:3">
      <c r="A723" s="4" t="s">
        <v>467</v>
      </c>
      <c r="B723" s="1">
        <v>45763</v>
      </c>
      <c r="C723">
        <v>7737</v>
      </c>
    </row>
    <row r="724" spans="1:3">
      <c r="A724" s="4" t="s">
        <v>4312</v>
      </c>
      <c r="B724" s="1">
        <v>46049</v>
      </c>
      <c r="C724">
        <v>7700</v>
      </c>
    </row>
    <row r="725" spans="1:3">
      <c r="A725" s="4" t="s">
        <v>1264</v>
      </c>
      <c r="B725" s="1">
        <v>45794</v>
      </c>
      <c r="C725">
        <v>7631</v>
      </c>
    </row>
    <row r="726" spans="1:3">
      <c r="A726" s="4" t="s">
        <v>2515</v>
      </c>
      <c r="B726" s="1">
        <v>45862</v>
      </c>
      <c r="C726">
        <v>7610</v>
      </c>
    </row>
    <row r="727" spans="1:3">
      <c r="A727" s="4" t="s">
        <v>5379</v>
      </c>
      <c r="B727" s="1">
        <v>45980</v>
      </c>
      <c r="C727">
        <v>7608</v>
      </c>
    </row>
    <row r="728" spans="1:3">
      <c r="A728" s="4" t="s">
        <v>1110</v>
      </c>
      <c r="B728" s="1">
        <v>45789</v>
      </c>
      <c r="C728">
        <v>7600</v>
      </c>
    </row>
    <row r="729" spans="1:3">
      <c r="A729" s="4" t="s">
        <v>453</v>
      </c>
      <c r="B729" s="1">
        <v>45763</v>
      </c>
      <c r="C729">
        <v>7573</v>
      </c>
    </row>
    <row r="730" spans="1:3">
      <c r="A730" s="4" t="s">
        <v>6828</v>
      </c>
      <c r="B730" s="1">
        <v>46044</v>
      </c>
      <c r="C730">
        <v>7532</v>
      </c>
    </row>
    <row r="731" spans="1:3">
      <c r="A731" s="4" t="s">
        <v>318</v>
      </c>
      <c r="B731" s="1">
        <v>45758</v>
      </c>
      <c r="C731">
        <v>7513</v>
      </c>
    </row>
    <row r="732" spans="1:3">
      <c r="A732" s="4" t="s">
        <v>1015</v>
      </c>
      <c r="B732" s="1">
        <v>45784</v>
      </c>
      <c r="C732">
        <v>7495</v>
      </c>
    </row>
    <row r="733" spans="1:3">
      <c r="A733" s="4" t="s">
        <v>5701</v>
      </c>
      <c r="B733" s="1">
        <v>45992</v>
      </c>
      <c r="C733">
        <v>7477</v>
      </c>
    </row>
    <row r="734" spans="1:3">
      <c r="A734" s="4" t="s">
        <v>1614</v>
      </c>
      <c r="B734" s="1">
        <v>45811</v>
      </c>
      <c r="C734">
        <v>7465</v>
      </c>
    </row>
    <row r="735" spans="1:3">
      <c r="A735" s="4" t="s">
        <v>2840</v>
      </c>
      <c r="B735" s="1">
        <v>45870</v>
      </c>
      <c r="C735">
        <v>7455</v>
      </c>
    </row>
    <row r="736" spans="1:3">
      <c r="A736" s="4" t="s">
        <v>1254</v>
      </c>
      <c r="B736" s="1">
        <v>46074</v>
      </c>
      <c r="C736">
        <v>7429</v>
      </c>
    </row>
    <row r="737" spans="1:3">
      <c r="A737" s="4" t="s">
        <v>2361</v>
      </c>
      <c r="B737" s="1">
        <v>45847</v>
      </c>
      <c r="C737">
        <v>7400</v>
      </c>
    </row>
    <row r="738" spans="1:3">
      <c r="A738" s="4" t="s">
        <v>1529</v>
      </c>
      <c r="B738" s="1">
        <v>46032</v>
      </c>
      <c r="C738">
        <v>7393</v>
      </c>
    </row>
    <row r="739" spans="1:3">
      <c r="A739" s="4" t="s">
        <v>7127</v>
      </c>
      <c r="B739" s="1">
        <v>46056</v>
      </c>
      <c r="C739">
        <v>7360</v>
      </c>
    </row>
    <row r="740" spans="1:3">
      <c r="A740" s="4" t="s">
        <v>4053</v>
      </c>
      <c r="B740" s="1">
        <v>45920</v>
      </c>
      <c r="C740">
        <v>7354</v>
      </c>
    </row>
    <row r="741" spans="1:3">
      <c r="A741" s="4" t="s">
        <v>2649</v>
      </c>
      <c r="B741" s="1">
        <v>46032</v>
      </c>
      <c r="C741">
        <v>7300</v>
      </c>
    </row>
    <row r="742" spans="1:3">
      <c r="A742" s="4" t="s">
        <v>4959</v>
      </c>
      <c r="B742" s="1">
        <v>46076</v>
      </c>
      <c r="C742">
        <v>7296</v>
      </c>
    </row>
    <row r="743" spans="1:3">
      <c r="A743" s="4" t="s">
        <v>6253</v>
      </c>
      <c r="B743" s="1">
        <v>46018</v>
      </c>
      <c r="C743">
        <v>7165</v>
      </c>
    </row>
    <row r="744" spans="1:3">
      <c r="A744" s="4" t="s">
        <v>72</v>
      </c>
      <c r="B744" s="1">
        <v>45749</v>
      </c>
      <c r="C744">
        <v>7115</v>
      </c>
    </row>
    <row r="745" spans="1:3">
      <c r="A745" s="4" t="s">
        <v>1457</v>
      </c>
      <c r="B745" s="1">
        <v>46058</v>
      </c>
      <c r="C745">
        <v>7112</v>
      </c>
    </row>
    <row r="746" spans="1:3">
      <c r="A746" s="4" t="s">
        <v>6097</v>
      </c>
      <c r="B746" s="1">
        <v>46010</v>
      </c>
      <c r="C746">
        <v>7055</v>
      </c>
    </row>
    <row r="747" spans="1:3">
      <c r="A747" s="4" t="s">
        <v>3447</v>
      </c>
      <c r="B747" s="1">
        <v>45894</v>
      </c>
      <c r="C747">
        <v>7029</v>
      </c>
    </row>
    <row r="748" spans="1:3">
      <c r="A748" s="4" t="s">
        <v>4450</v>
      </c>
      <c r="B748" s="1">
        <v>45974</v>
      </c>
      <c r="C748">
        <v>7001</v>
      </c>
    </row>
    <row r="749" spans="1:3">
      <c r="A749" s="4" t="s">
        <v>3355</v>
      </c>
      <c r="B749" s="1">
        <v>45891</v>
      </c>
      <c r="C749">
        <v>6920</v>
      </c>
    </row>
    <row r="750" spans="1:3">
      <c r="A750" s="4" t="s">
        <v>5389</v>
      </c>
      <c r="B750" s="1">
        <v>45978</v>
      </c>
      <c r="C750">
        <v>6900</v>
      </c>
    </row>
    <row r="751" spans="1:3">
      <c r="A751" s="4" t="s">
        <v>4149</v>
      </c>
      <c r="B751" s="1">
        <v>46042</v>
      </c>
      <c r="C751">
        <v>6878</v>
      </c>
    </row>
    <row r="752" spans="1:3">
      <c r="A752" s="4" t="s">
        <v>5821</v>
      </c>
      <c r="B752" s="1">
        <v>45999</v>
      </c>
      <c r="C752">
        <v>6875</v>
      </c>
    </row>
    <row r="753" spans="1:3">
      <c r="A753" s="4" t="s">
        <v>1511</v>
      </c>
      <c r="B753" s="1">
        <v>45972</v>
      </c>
      <c r="C753">
        <v>6871</v>
      </c>
    </row>
    <row r="754" spans="1:3">
      <c r="A754" s="4" t="s">
        <v>3936</v>
      </c>
      <c r="B754" s="1">
        <v>45915</v>
      </c>
      <c r="C754">
        <v>6830</v>
      </c>
    </row>
    <row r="755" spans="1:3">
      <c r="A755" s="4" t="s">
        <v>5780</v>
      </c>
      <c r="B755" s="1">
        <v>45996</v>
      </c>
      <c r="C755">
        <v>6804</v>
      </c>
    </row>
    <row r="756" spans="1:3">
      <c r="A756" s="4" t="s">
        <v>39</v>
      </c>
      <c r="B756" s="1">
        <v>45748</v>
      </c>
      <c r="C756">
        <v>6800</v>
      </c>
    </row>
    <row r="757" spans="1:3">
      <c r="A757" s="4" t="s">
        <v>2736</v>
      </c>
      <c r="B757" s="1">
        <v>45969</v>
      </c>
      <c r="C757">
        <v>6780</v>
      </c>
    </row>
    <row r="758" spans="1:3">
      <c r="A758" s="4" t="s">
        <v>862</v>
      </c>
      <c r="B758" s="1">
        <v>45779</v>
      </c>
      <c r="C758">
        <v>6720</v>
      </c>
    </row>
    <row r="759" spans="1:3">
      <c r="A759" s="4" t="s">
        <v>910</v>
      </c>
      <c r="B759" s="1">
        <v>45839</v>
      </c>
      <c r="C759">
        <v>6680</v>
      </c>
    </row>
    <row r="760" spans="1:3">
      <c r="A760" s="4" t="s">
        <v>7359</v>
      </c>
      <c r="B760" s="1">
        <v>46064</v>
      </c>
      <c r="C760">
        <v>6637</v>
      </c>
    </row>
    <row r="761" spans="1:3">
      <c r="A761" s="4" t="s">
        <v>1663</v>
      </c>
      <c r="B761" s="1">
        <v>45813</v>
      </c>
      <c r="C761">
        <v>6630</v>
      </c>
    </row>
    <row r="762" spans="1:3">
      <c r="A762" s="4" t="s">
        <v>2759</v>
      </c>
      <c r="B762" s="1">
        <v>46009</v>
      </c>
      <c r="C762">
        <v>6610</v>
      </c>
    </row>
    <row r="763" spans="1:3">
      <c r="A763" s="4" t="s">
        <v>2879</v>
      </c>
      <c r="B763" s="1">
        <v>46015</v>
      </c>
      <c r="C763">
        <v>6535</v>
      </c>
    </row>
    <row r="764" spans="1:3">
      <c r="A764" s="4" t="s">
        <v>2848</v>
      </c>
      <c r="B764" s="1">
        <v>45969</v>
      </c>
      <c r="C764">
        <v>6518</v>
      </c>
    </row>
    <row r="765" spans="1:3">
      <c r="A765" s="4" t="s">
        <v>5697</v>
      </c>
      <c r="B765" s="1">
        <v>46002</v>
      </c>
      <c r="C765">
        <v>6502</v>
      </c>
    </row>
    <row r="766" spans="1:3">
      <c r="A766" s="4" t="s">
        <v>5621</v>
      </c>
      <c r="B766" s="1">
        <v>45989</v>
      </c>
      <c r="C766">
        <v>6500</v>
      </c>
    </row>
    <row r="767" spans="1:3">
      <c r="A767" s="4" t="s">
        <v>1761</v>
      </c>
      <c r="B767" s="1">
        <v>45817</v>
      </c>
      <c r="C767">
        <v>6500</v>
      </c>
    </row>
    <row r="768" spans="1:3">
      <c r="A768" s="4" t="s">
        <v>2558</v>
      </c>
      <c r="B768" s="1">
        <v>45857</v>
      </c>
      <c r="C768">
        <v>6470</v>
      </c>
    </row>
    <row r="769" spans="1:3">
      <c r="A769" s="4" t="s">
        <v>1360</v>
      </c>
      <c r="B769" s="1">
        <v>45955</v>
      </c>
      <c r="C769">
        <v>6456</v>
      </c>
    </row>
    <row r="770" spans="1:3">
      <c r="A770" s="4" t="s">
        <v>1557</v>
      </c>
      <c r="B770" s="1">
        <v>45853</v>
      </c>
      <c r="C770">
        <v>6430</v>
      </c>
    </row>
    <row r="771" spans="1:3">
      <c r="A771" s="4" t="s">
        <v>5305</v>
      </c>
      <c r="B771" s="1">
        <v>45975</v>
      </c>
      <c r="C771">
        <v>6403</v>
      </c>
    </row>
    <row r="772" spans="1:3">
      <c r="A772" s="4" t="s">
        <v>7594</v>
      </c>
      <c r="B772" s="1">
        <v>46074</v>
      </c>
      <c r="C772">
        <v>6400</v>
      </c>
    </row>
    <row r="773" spans="1:3">
      <c r="A773" s="4" t="s">
        <v>145</v>
      </c>
      <c r="B773" s="1">
        <v>45752</v>
      </c>
      <c r="C773">
        <v>6365</v>
      </c>
    </row>
    <row r="774" spans="1:3">
      <c r="A774" s="4" t="s">
        <v>6756</v>
      </c>
      <c r="B774" s="1">
        <v>46041</v>
      </c>
      <c r="C774">
        <v>6360</v>
      </c>
    </row>
    <row r="775" spans="1:3">
      <c r="A775" s="4" t="s">
        <v>1270</v>
      </c>
      <c r="B775" s="1">
        <v>45794</v>
      </c>
      <c r="C775">
        <v>6337</v>
      </c>
    </row>
    <row r="776" spans="1:3">
      <c r="A776" s="4" t="s">
        <v>481</v>
      </c>
      <c r="B776" s="1">
        <v>45901</v>
      </c>
      <c r="C776">
        <v>6320</v>
      </c>
    </row>
    <row r="777" spans="1:3">
      <c r="A777" s="4" t="s">
        <v>1705</v>
      </c>
      <c r="B777" s="1">
        <v>45814</v>
      </c>
      <c r="C777">
        <v>6283</v>
      </c>
    </row>
    <row r="778" spans="1:3">
      <c r="A778" s="4" t="s">
        <v>7089</v>
      </c>
      <c r="B778" s="1">
        <v>46055</v>
      </c>
      <c r="C778">
        <v>6277</v>
      </c>
    </row>
    <row r="779" spans="1:3">
      <c r="A779" s="4" t="s">
        <v>4876</v>
      </c>
      <c r="B779" s="1">
        <v>45957</v>
      </c>
      <c r="C779">
        <v>6264</v>
      </c>
    </row>
    <row r="780" spans="1:3">
      <c r="A780" s="4" t="s">
        <v>3439</v>
      </c>
      <c r="B780" s="1">
        <v>45894</v>
      </c>
      <c r="C780">
        <v>6258</v>
      </c>
    </row>
    <row r="781" spans="1:3">
      <c r="A781" s="4" t="s">
        <v>812</v>
      </c>
      <c r="B781" s="1">
        <v>46069</v>
      </c>
      <c r="C781">
        <v>6256</v>
      </c>
    </row>
    <row r="782" spans="1:3">
      <c r="A782" s="4" t="s">
        <v>1631</v>
      </c>
      <c r="B782" s="1">
        <v>45901</v>
      </c>
      <c r="C782">
        <v>6250</v>
      </c>
    </row>
    <row r="783" spans="1:3">
      <c r="A783" s="4" t="s">
        <v>7663</v>
      </c>
      <c r="B783" s="1">
        <v>46076</v>
      </c>
      <c r="C783">
        <v>6222</v>
      </c>
    </row>
    <row r="784" spans="1:3">
      <c r="A784" s="4" t="s">
        <v>2114</v>
      </c>
      <c r="B784" s="1">
        <v>45835</v>
      </c>
      <c r="C784">
        <v>6208</v>
      </c>
    </row>
    <row r="785" spans="1:3">
      <c r="A785" s="4" t="s">
        <v>7052</v>
      </c>
      <c r="B785" s="1">
        <v>46079</v>
      </c>
      <c r="C785">
        <v>6202</v>
      </c>
    </row>
    <row r="786" spans="1:3">
      <c r="A786" s="4" t="s">
        <v>1563</v>
      </c>
      <c r="B786" s="1">
        <v>45808</v>
      </c>
      <c r="C786">
        <v>6151</v>
      </c>
    </row>
    <row r="787" spans="1:3">
      <c r="A787" s="4" t="s">
        <v>4430</v>
      </c>
      <c r="B787" s="1">
        <v>46076</v>
      </c>
      <c r="C787">
        <v>6117</v>
      </c>
    </row>
    <row r="788" spans="1:3">
      <c r="A788" s="4" t="s">
        <v>5899</v>
      </c>
      <c r="B788" s="1">
        <v>46060</v>
      </c>
      <c r="C788">
        <v>6110</v>
      </c>
    </row>
    <row r="789" spans="1:3">
      <c r="A789" s="4" t="s">
        <v>3121</v>
      </c>
      <c r="B789" s="1">
        <v>45965</v>
      </c>
      <c r="C789">
        <v>6080</v>
      </c>
    </row>
    <row r="790" spans="1:3">
      <c r="A790" s="4" t="s">
        <v>2369</v>
      </c>
      <c r="B790" s="1">
        <v>45848</v>
      </c>
      <c r="C790">
        <v>6062</v>
      </c>
    </row>
    <row r="791" spans="1:3">
      <c r="A791" s="4" t="s">
        <v>7391</v>
      </c>
      <c r="B791" s="1">
        <v>46066</v>
      </c>
      <c r="C791">
        <v>6061</v>
      </c>
    </row>
    <row r="792" spans="1:3">
      <c r="A792" s="4" t="s">
        <v>1362</v>
      </c>
      <c r="B792" s="1">
        <v>45901</v>
      </c>
      <c r="C792">
        <v>6054</v>
      </c>
    </row>
    <row r="793" spans="1:3">
      <c r="A793" s="4" t="s">
        <v>6174</v>
      </c>
      <c r="B793" s="1">
        <v>46021</v>
      </c>
      <c r="C793">
        <v>6046</v>
      </c>
    </row>
    <row r="794" spans="1:3">
      <c r="A794" s="4" t="s">
        <v>5513</v>
      </c>
      <c r="B794" s="1">
        <v>46046</v>
      </c>
      <c r="C794">
        <v>6035</v>
      </c>
    </row>
    <row r="795" spans="1:3">
      <c r="A795" s="4" t="s">
        <v>6531</v>
      </c>
      <c r="B795" s="1">
        <v>46031</v>
      </c>
      <c r="C795">
        <v>6031</v>
      </c>
    </row>
    <row r="796" spans="1:3">
      <c r="A796" s="4" t="s">
        <v>6627</v>
      </c>
      <c r="B796" s="1">
        <v>46035</v>
      </c>
      <c r="C796">
        <v>5960</v>
      </c>
    </row>
    <row r="797" spans="1:3">
      <c r="A797" s="4" t="s">
        <v>1131</v>
      </c>
      <c r="B797" s="1">
        <v>45922</v>
      </c>
      <c r="C797">
        <v>5939</v>
      </c>
    </row>
    <row r="798" spans="1:3">
      <c r="A798" s="4" t="s">
        <v>4715</v>
      </c>
      <c r="B798" s="1">
        <v>45950</v>
      </c>
      <c r="C798">
        <v>5905</v>
      </c>
    </row>
    <row r="799" spans="1:3">
      <c r="A799" s="4" t="s">
        <v>6348</v>
      </c>
      <c r="B799" s="1">
        <v>46028</v>
      </c>
      <c r="C799">
        <v>5902</v>
      </c>
    </row>
    <row r="800" spans="1:3">
      <c r="A800" s="4" t="s">
        <v>7268</v>
      </c>
      <c r="B800" s="1">
        <v>46062</v>
      </c>
      <c r="C800">
        <v>5896</v>
      </c>
    </row>
    <row r="801" spans="1:3">
      <c r="A801" s="4" t="s">
        <v>2274</v>
      </c>
      <c r="B801" s="1">
        <v>45843</v>
      </c>
      <c r="C801">
        <v>5894</v>
      </c>
    </row>
    <row r="802" spans="1:3">
      <c r="A802" s="4" t="s">
        <v>3006</v>
      </c>
      <c r="B802" s="1">
        <v>45877</v>
      </c>
      <c r="C802">
        <v>5853</v>
      </c>
    </row>
    <row r="803" spans="1:3">
      <c r="A803" s="4" t="s">
        <v>1828</v>
      </c>
      <c r="B803" s="1">
        <v>45821</v>
      </c>
      <c r="C803">
        <v>5803</v>
      </c>
    </row>
    <row r="804" spans="1:3">
      <c r="A804" s="4" t="s">
        <v>6163</v>
      </c>
      <c r="B804" s="1">
        <v>46014</v>
      </c>
      <c r="C804">
        <v>5772</v>
      </c>
    </row>
    <row r="805" spans="1:3">
      <c r="A805" s="4" t="s">
        <v>3903</v>
      </c>
      <c r="B805" s="1">
        <v>45913</v>
      </c>
      <c r="C805">
        <v>5760</v>
      </c>
    </row>
    <row r="806" spans="1:3">
      <c r="A806" s="4" t="s">
        <v>6313</v>
      </c>
      <c r="B806" s="1">
        <v>46021</v>
      </c>
      <c r="C806">
        <v>5745</v>
      </c>
    </row>
    <row r="807" spans="1:3">
      <c r="A807" s="4" t="s">
        <v>1366</v>
      </c>
      <c r="B807" s="1">
        <v>45801</v>
      </c>
      <c r="C807">
        <v>5717</v>
      </c>
    </row>
    <row r="808" spans="1:3">
      <c r="A808" s="4" t="s">
        <v>736</v>
      </c>
      <c r="B808" s="1">
        <v>45931</v>
      </c>
      <c r="C808">
        <v>5700</v>
      </c>
    </row>
    <row r="809" spans="1:3">
      <c r="A809" s="4" t="s">
        <v>7294</v>
      </c>
      <c r="B809" s="1">
        <v>46062</v>
      </c>
      <c r="C809">
        <v>5682</v>
      </c>
    </row>
    <row r="810" spans="1:3">
      <c r="A810" s="4" t="s">
        <v>1814</v>
      </c>
      <c r="B810" s="1">
        <v>45820</v>
      </c>
      <c r="C810">
        <v>5664</v>
      </c>
    </row>
    <row r="811" spans="1:3">
      <c r="A811" s="4" t="s">
        <v>5860</v>
      </c>
      <c r="B811" s="1">
        <v>46000</v>
      </c>
      <c r="C811">
        <v>5639</v>
      </c>
    </row>
    <row r="812" spans="1:3">
      <c r="A812" s="4" t="s">
        <v>184</v>
      </c>
      <c r="B812" s="1">
        <v>45887</v>
      </c>
      <c r="C812">
        <v>5613</v>
      </c>
    </row>
    <row r="813" spans="1:3">
      <c r="A813" s="4" t="s">
        <v>5345</v>
      </c>
      <c r="B813" s="1">
        <v>45976</v>
      </c>
      <c r="C813">
        <v>5575</v>
      </c>
    </row>
    <row r="814" spans="1:3">
      <c r="A814" s="4" t="s">
        <v>5725</v>
      </c>
      <c r="B814" s="1">
        <v>45993</v>
      </c>
      <c r="C814">
        <v>5574</v>
      </c>
    </row>
    <row r="815" spans="1:3">
      <c r="A815" s="4" t="s">
        <v>3425</v>
      </c>
      <c r="B815" s="1">
        <v>46029</v>
      </c>
      <c r="C815">
        <v>5567</v>
      </c>
    </row>
    <row r="816" spans="1:3">
      <c r="A816" s="4" t="s">
        <v>4114</v>
      </c>
      <c r="B816" s="1">
        <v>45948</v>
      </c>
      <c r="C816">
        <v>5516</v>
      </c>
    </row>
    <row r="817" spans="1:3">
      <c r="A817" s="4" t="s">
        <v>1407</v>
      </c>
      <c r="B817" s="1">
        <v>45800</v>
      </c>
      <c r="C817">
        <v>5507</v>
      </c>
    </row>
    <row r="818" spans="1:3">
      <c r="A818" s="4" t="s">
        <v>6844</v>
      </c>
      <c r="B818" s="1">
        <v>46044</v>
      </c>
      <c r="C818">
        <v>5503</v>
      </c>
    </row>
    <row r="819" spans="1:3">
      <c r="A819" s="4" t="s">
        <v>546</v>
      </c>
      <c r="B819" s="1">
        <v>45793</v>
      </c>
      <c r="C819">
        <v>5500</v>
      </c>
    </row>
    <row r="820" spans="1:3">
      <c r="A820" s="4" t="s">
        <v>1352</v>
      </c>
      <c r="B820" s="1">
        <v>45798</v>
      </c>
      <c r="C820">
        <v>5373</v>
      </c>
    </row>
    <row r="821" spans="1:3">
      <c r="A821" s="4" t="s">
        <v>6432</v>
      </c>
      <c r="B821" s="1">
        <v>46025</v>
      </c>
      <c r="C821">
        <v>5345</v>
      </c>
    </row>
    <row r="822" spans="1:3">
      <c r="A822" s="4" t="s">
        <v>2682</v>
      </c>
      <c r="B822" s="1">
        <v>45863</v>
      </c>
      <c r="C822">
        <v>5340</v>
      </c>
    </row>
    <row r="823" spans="1:3">
      <c r="A823" s="4" t="s">
        <v>5469</v>
      </c>
      <c r="B823" s="1">
        <v>45982</v>
      </c>
      <c r="C823">
        <v>5317</v>
      </c>
    </row>
    <row r="824" spans="1:3">
      <c r="A824" s="4" t="s">
        <v>6271</v>
      </c>
      <c r="B824" s="1">
        <v>46044</v>
      </c>
      <c r="C824">
        <v>5290</v>
      </c>
    </row>
    <row r="825" spans="1:3">
      <c r="A825" s="4" t="s">
        <v>4777</v>
      </c>
      <c r="B825" s="1">
        <v>45951</v>
      </c>
      <c r="C825">
        <v>5290</v>
      </c>
    </row>
    <row r="826" spans="1:3">
      <c r="A826" s="4" t="s">
        <v>168</v>
      </c>
      <c r="B826" s="1">
        <v>45962</v>
      </c>
      <c r="C826">
        <v>5284</v>
      </c>
    </row>
    <row r="827" spans="1:3">
      <c r="A827" s="4" t="s">
        <v>1899</v>
      </c>
      <c r="B827" s="1">
        <v>45826</v>
      </c>
      <c r="C827">
        <v>5284</v>
      </c>
    </row>
    <row r="828" spans="1:3">
      <c r="A828" s="4" t="s">
        <v>1414</v>
      </c>
      <c r="B828" s="1">
        <v>45800</v>
      </c>
      <c r="C828">
        <v>5277</v>
      </c>
    </row>
    <row r="829" spans="1:3">
      <c r="A829" s="4" t="s">
        <v>5213</v>
      </c>
      <c r="B829" s="1">
        <v>45971</v>
      </c>
      <c r="C829">
        <v>5263</v>
      </c>
    </row>
    <row r="830" spans="1:3">
      <c r="A830" s="4" t="s">
        <v>7548</v>
      </c>
      <c r="B830" s="1">
        <v>46073</v>
      </c>
      <c r="C830">
        <v>5201</v>
      </c>
    </row>
    <row r="831" spans="1:3">
      <c r="A831" s="4" t="s">
        <v>1671</v>
      </c>
      <c r="B831" s="1">
        <v>45829</v>
      </c>
      <c r="C831">
        <v>5191</v>
      </c>
    </row>
    <row r="832" spans="1:3">
      <c r="A832" s="4" t="s">
        <v>1727</v>
      </c>
      <c r="B832" s="1">
        <v>45930</v>
      </c>
      <c r="C832">
        <v>5154</v>
      </c>
    </row>
    <row r="833" spans="1:3">
      <c r="A833" s="4" t="s">
        <v>3856</v>
      </c>
      <c r="B833" s="1">
        <v>45912</v>
      </c>
      <c r="C833">
        <v>5140</v>
      </c>
    </row>
    <row r="834" spans="1:3">
      <c r="A834" s="4" t="s">
        <v>1157</v>
      </c>
      <c r="B834" s="1">
        <v>45790</v>
      </c>
      <c r="C834">
        <v>5140</v>
      </c>
    </row>
    <row r="835" spans="1:3">
      <c r="A835" s="4" t="s">
        <v>5039</v>
      </c>
      <c r="B835" s="1">
        <v>45982</v>
      </c>
      <c r="C835">
        <v>5136</v>
      </c>
    </row>
    <row r="836" spans="1:3">
      <c r="A836" s="4" t="s">
        <v>5775</v>
      </c>
      <c r="B836" s="1">
        <v>45996</v>
      </c>
      <c r="C836">
        <v>5093</v>
      </c>
    </row>
    <row r="837" spans="1:3">
      <c r="A837" s="4" t="s">
        <v>1505</v>
      </c>
      <c r="B837" s="1">
        <v>45811</v>
      </c>
      <c r="C837">
        <v>4967</v>
      </c>
    </row>
    <row r="838" spans="1:3">
      <c r="A838" s="4" t="s">
        <v>385</v>
      </c>
      <c r="B838" s="1">
        <v>45759</v>
      </c>
      <c r="C838">
        <v>4959</v>
      </c>
    </row>
    <row r="839" spans="1:3">
      <c r="A839" s="4" t="s">
        <v>115</v>
      </c>
      <c r="B839" s="1">
        <v>45750</v>
      </c>
      <c r="C839">
        <v>4937</v>
      </c>
    </row>
    <row r="840" spans="1:3">
      <c r="A840" s="4" t="s">
        <v>3670</v>
      </c>
      <c r="B840" s="1">
        <v>45906</v>
      </c>
      <c r="C840">
        <v>4933</v>
      </c>
    </row>
    <row r="841" spans="1:3">
      <c r="A841" s="4" t="s">
        <v>4941</v>
      </c>
      <c r="B841" s="1">
        <v>45960</v>
      </c>
      <c r="C841">
        <v>4920</v>
      </c>
    </row>
    <row r="842" spans="1:3">
      <c r="A842" s="4" t="s">
        <v>5977</v>
      </c>
      <c r="B842" s="1">
        <v>46006</v>
      </c>
      <c r="C842">
        <v>4892</v>
      </c>
    </row>
    <row r="843" spans="1:3">
      <c r="A843" s="4" t="s">
        <v>570</v>
      </c>
      <c r="B843" s="1">
        <v>46045</v>
      </c>
      <c r="C843">
        <v>4891</v>
      </c>
    </row>
    <row r="844" spans="1:3">
      <c r="A844" s="4" t="s">
        <v>3375</v>
      </c>
      <c r="B844" s="1">
        <v>45891</v>
      </c>
      <c r="C844">
        <v>4880</v>
      </c>
    </row>
    <row r="845" spans="1:3">
      <c r="A845" s="4" t="s">
        <v>37</v>
      </c>
      <c r="B845" s="1">
        <v>46024</v>
      </c>
      <c r="C845">
        <v>4830</v>
      </c>
    </row>
    <row r="846" spans="1:3">
      <c r="A846" s="4" t="s">
        <v>6491</v>
      </c>
      <c r="B846" s="1">
        <v>46029</v>
      </c>
      <c r="C846">
        <v>4824</v>
      </c>
    </row>
    <row r="847" spans="1:3">
      <c r="A847" s="4" t="s">
        <v>3750</v>
      </c>
      <c r="B847" s="1">
        <v>45915</v>
      </c>
      <c r="C847">
        <v>4811</v>
      </c>
    </row>
    <row r="848" spans="1:3">
      <c r="A848" s="4" t="s">
        <v>2474</v>
      </c>
      <c r="B848" s="1">
        <v>45869</v>
      </c>
      <c r="C848">
        <v>4810</v>
      </c>
    </row>
    <row r="849" spans="1:3">
      <c r="A849" s="4" t="s">
        <v>3576</v>
      </c>
      <c r="B849" s="1">
        <v>45903</v>
      </c>
      <c r="C849">
        <v>4810</v>
      </c>
    </row>
    <row r="850" spans="1:3">
      <c r="A850" s="4" t="s">
        <v>7217</v>
      </c>
      <c r="B850" s="1">
        <v>46059</v>
      </c>
      <c r="C850">
        <v>4800</v>
      </c>
    </row>
    <row r="851" spans="1:3">
      <c r="A851" s="4" t="s">
        <v>6213</v>
      </c>
      <c r="B851" s="1">
        <v>46073</v>
      </c>
      <c r="C851">
        <v>4700</v>
      </c>
    </row>
    <row r="852" spans="1:3">
      <c r="A852" s="4" t="s">
        <v>440</v>
      </c>
      <c r="B852" s="1">
        <v>45762</v>
      </c>
      <c r="C852">
        <v>4696</v>
      </c>
    </row>
    <row r="853" spans="1:3">
      <c r="A853" s="4" t="s">
        <v>79</v>
      </c>
      <c r="B853" s="1">
        <v>45755</v>
      </c>
      <c r="C853">
        <v>4694</v>
      </c>
    </row>
    <row r="854" spans="1:3">
      <c r="A854" s="4" t="s">
        <v>137</v>
      </c>
      <c r="B854" s="1">
        <v>46067</v>
      </c>
      <c r="C854">
        <v>4677</v>
      </c>
    </row>
    <row r="855" spans="1:3">
      <c r="A855" s="4" t="s">
        <v>3159</v>
      </c>
      <c r="B855" s="1">
        <v>45929</v>
      </c>
      <c r="C855">
        <v>4650</v>
      </c>
    </row>
    <row r="856" spans="1:3">
      <c r="A856" s="4" t="s">
        <v>1477</v>
      </c>
      <c r="B856" s="1">
        <v>45812</v>
      </c>
      <c r="C856">
        <v>4640</v>
      </c>
    </row>
    <row r="857" spans="1:3">
      <c r="A857" s="4" t="s">
        <v>603</v>
      </c>
      <c r="B857" s="1">
        <v>45769</v>
      </c>
      <c r="C857">
        <v>4602</v>
      </c>
    </row>
    <row r="858" spans="1:3">
      <c r="A858" s="4" t="s">
        <v>5607</v>
      </c>
      <c r="B858" s="1">
        <v>45990</v>
      </c>
      <c r="C858">
        <v>4595</v>
      </c>
    </row>
    <row r="859" spans="1:3">
      <c r="A859" s="4" t="s">
        <v>1937</v>
      </c>
      <c r="B859" s="1">
        <v>46025</v>
      </c>
      <c r="C859">
        <v>4591</v>
      </c>
    </row>
    <row r="860" spans="1:3">
      <c r="A860" s="4" t="s">
        <v>5558</v>
      </c>
      <c r="B860" s="1">
        <v>45986</v>
      </c>
      <c r="C860">
        <v>4552</v>
      </c>
    </row>
    <row r="861" spans="1:3">
      <c r="A861" s="4" t="s">
        <v>1555</v>
      </c>
      <c r="B861" s="1">
        <v>45808</v>
      </c>
      <c r="C861">
        <v>4552</v>
      </c>
    </row>
    <row r="862" spans="1:3">
      <c r="A862" s="4" t="s">
        <v>1045</v>
      </c>
      <c r="B862" s="1">
        <v>45786</v>
      </c>
      <c r="C862">
        <v>4514</v>
      </c>
    </row>
    <row r="863" spans="1:3">
      <c r="A863" s="4" t="s">
        <v>6684</v>
      </c>
      <c r="B863" s="1">
        <v>46037</v>
      </c>
      <c r="C863">
        <v>4512</v>
      </c>
    </row>
    <row r="864" spans="1:3">
      <c r="A864" s="4" t="s">
        <v>5521</v>
      </c>
      <c r="B864" s="1">
        <v>45983</v>
      </c>
      <c r="C864">
        <v>4490</v>
      </c>
    </row>
    <row r="865" spans="1:3">
      <c r="A865" s="4" t="s">
        <v>6599</v>
      </c>
      <c r="B865" s="1">
        <v>46034</v>
      </c>
      <c r="C865">
        <v>4487</v>
      </c>
    </row>
    <row r="866" spans="1:3">
      <c r="A866" s="4" t="s">
        <v>410</v>
      </c>
      <c r="B866" s="1">
        <v>45932</v>
      </c>
      <c r="C866">
        <v>4450</v>
      </c>
    </row>
    <row r="867" spans="1:3">
      <c r="A867" s="4" t="s">
        <v>1117</v>
      </c>
      <c r="B867" s="1">
        <v>45789</v>
      </c>
      <c r="C867">
        <v>4450</v>
      </c>
    </row>
    <row r="868" spans="1:3">
      <c r="A868" s="4" t="s">
        <v>395</v>
      </c>
      <c r="B868" s="1">
        <v>45761</v>
      </c>
      <c r="C868">
        <v>4443</v>
      </c>
    </row>
    <row r="869" spans="1:3">
      <c r="A869" s="4" t="s">
        <v>761</v>
      </c>
      <c r="B869" s="1">
        <v>45776</v>
      </c>
      <c r="C869">
        <v>4440</v>
      </c>
    </row>
    <row r="870" spans="1:3">
      <c r="A870" s="4" t="s">
        <v>3728</v>
      </c>
      <c r="B870" s="1">
        <v>45912</v>
      </c>
      <c r="C870">
        <v>4440</v>
      </c>
    </row>
    <row r="871" spans="1:3">
      <c r="A871" s="4" t="s">
        <v>1454</v>
      </c>
      <c r="B871" s="1">
        <v>45803</v>
      </c>
      <c r="C871">
        <v>4432</v>
      </c>
    </row>
    <row r="872" spans="1:3">
      <c r="A872" s="4" t="s">
        <v>6961</v>
      </c>
      <c r="B872" s="1">
        <v>46049</v>
      </c>
      <c r="C872">
        <v>4424</v>
      </c>
    </row>
    <row r="873" spans="1:3">
      <c r="A873" s="4" t="s">
        <v>626</v>
      </c>
      <c r="B873" s="1">
        <v>46004</v>
      </c>
      <c r="C873">
        <v>4422</v>
      </c>
    </row>
    <row r="874" spans="1:3">
      <c r="A874" s="4" t="s">
        <v>7427</v>
      </c>
      <c r="B874" s="1">
        <v>46067</v>
      </c>
      <c r="C874">
        <v>4418</v>
      </c>
    </row>
    <row r="875" spans="1:3">
      <c r="A875" s="4" t="s">
        <v>2078</v>
      </c>
      <c r="B875" s="1">
        <v>45918</v>
      </c>
      <c r="C875">
        <v>4358</v>
      </c>
    </row>
    <row r="876" spans="1:3">
      <c r="A876" s="4" t="s">
        <v>2303</v>
      </c>
      <c r="B876" s="1">
        <v>45992</v>
      </c>
      <c r="C876">
        <v>4355</v>
      </c>
    </row>
    <row r="877" spans="1:3">
      <c r="A877" s="4" t="s">
        <v>6022</v>
      </c>
      <c r="B877" s="1">
        <v>46073</v>
      </c>
      <c r="C877">
        <v>4352</v>
      </c>
    </row>
    <row r="878" spans="1:3">
      <c r="A878" s="4" t="s">
        <v>2829</v>
      </c>
      <c r="B878" s="1">
        <v>45870</v>
      </c>
      <c r="C878">
        <v>4303</v>
      </c>
    </row>
    <row r="879" spans="1:3">
      <c r="A879" s="4" t="s">
        <v>5215</v>
      </c>
      <c r="B879" s="1">
        <v>46014</v>
      </c>
      <c r="C879">
        <v>4299</v>
      </c>
    </row>
    <row r="880" spans="1:3">
      <c r="A880" s="4" t="s">
        <v>1650</v>
      </c>
      <c r="B880" s="1">
        <v>45813</v>
      </c>
      <c r="C880">
        <v>4250</v>
      </c>
    </row>
    <row r="881" spans="1:3">
      <c r="A881" s="4" t="s">
        <v>5635</v>
      </c>
      <c r="B881" s="1">
        <v>45989</v>
      </c>
      <c r="C881">
        <v>4245</v>
      </c>
    </row>
    <row r="882" spans="1:3">
      <c r="A882" s="4" t="s">
        <v>541</v>
      </c>
      <c r="B882" s="1">
        <v>45843</v>
      </c>
      <c r="C882">
        <v>4240</v>
      </c>
    </row>
    <row r="883" spans="1:3">
      <c r="A883" s="4" t="s">
        <v>4239</v>
      </c>
      <c r="B883" s="1">
        <v>46049</v>
      </c>
      <c r="C883">
        <v>4240</v>
      </c>
    </row>
    <row r="884" spans="1:3">
      <c r="A884" s="4" t="s">
        <v>5351</v>
      </c>
      <c r="B884" s="1">
        <v>46078</v>
      </c>
      <c r="C884">
        <v>4190</v>
      </c>
    </row>
    <row r="885" spans="1:3">
      <c r="A885" s="4" t="s">
        <v>2053</v>
      </c>
      <c r="B885" s="1">
        <v>45833</v>
      </c>
      <c r="C885">
        <v>4190</v>
      </c>
    </row>
    <row r="886" spans="1:3">
      <c r="A886" s="4" t="s">
        <v>7194</v>
      </c>
      <c r="B886" s="1">
        <v>46059</v>
      </c>
      <c r="C886">
        <v>4160</v>
      </c>
    </row>
    <row r="887" spans="1:3">
      <c r="A887" s="4" t="s">
        <v>1847</v>
      </c>
      <c r="B887" s="1">
        <v>45822</v>
      </c>
      <c r="C887">
        <v>4150</v>
      </c>
    </row>
    <row r="888" spans="1:3">
      <c r="A888" s="4" t="s">
        <v>6485</v>
      </c>
      <c r="B888" s="1">
        <v>46029</v>
      </c>
      <c r="C888">
        <v>4143</v>
      </c>
    </row>
    <row r="889" spans="1:3">
      <c r="A889" s="4" t="s">
        <v>7689</v>
      </c>
      <c r="B889" s="1">
        <v>46080</v>
      </c>
      <c r="C889">
        <v>4100</v>
      </c>
    </row>
    <row r="890" spans="1:3">
      <c r="A890" s="4" t="s">
        <v>5012</v>
      </c>
      <c r="B890" s="1">
        <v>45962</v>
      </c>
      <c r="C890">
        <v>4096</v>
      </c>
    </row>
    <row r="891" spans="1:3">
      <c r="A891" s="4" t="s">
        <v>7149</v>
      </c>
      <c r="B891" s="1">
        <v>46057</v>
      </c>
      <c r="C891">
        <v>4090</v>
      </c>
    </row>
    <row r="892" spans="1:3">
      <c r="A892" s="4" t="s">
        <v>799</v>
      </c>
      <c r="B892" s="1">
        <v>45817</v>
      </c>
      <c r="C892">
        <v>4084</v>
      </c>
    </row>
    <row r="893" spans="1:3">
      <c r="A893" s="4" t="s">
        <v>29</v>
      </c>
      <c r="B893" s="1">
        <v>45752</v>
      </c>
      <c r="C893">
        <v>4080</v>
      </c>
    </row>
    <row r="894" spans="1:3">
      <c r="A894" s="4" t="s">
        <v>3959</v>
      </c>
      <c r="B894" s="1">
        <v>45992</v>
      </c>
      <c r="C894">
        <v>4065</v>
      </c>
    </row>
    <row r="895" spans="1:3">
      <c r="A895" s="4" t="s">
        <v>1679</v>
      </c>
      <c r="B895" s="1">
        <v>45813</v>
      </c>
      <c r="C895">
        <v>4052</v>
      </c>
    </row>
    <row r="896" spans="1:3">
      <c r="A896" s="4" t="s">
        <v>3371</v>
      </c>
      <c r="B896" s="1">
        <v>45891</v>
      </c>
      <c r="C896">
        <v>4032</v>
      </c>
    </row>
    <row r="897" spans="1:3">
      <c r="A897" s="4" t="s">
        <v>102</v>
      </c>
      <c r="B897" s="1">
        <v>45757</v>
      </c>
      <c r="C897">
        <v>4014</v>
      </c>
    </row>
    <row r="898" spans="1:3">
      <c r="A898" s="4" t="s">
        <v>66</v>
      </c>
      <c r="B898" s="1">
        <v>46050</v>
      </c>
      <c r="C898">
        <v>3987</v>
      </c>
    </row>
    <row r="899" spans="1:3">
      <c r="A899" s="4" t="s">
        <v>2004</v>
      </c>
      <c r="B899" s="1">
        <v>45829</v>
      </c>
      <c r="C899">
        <v>3968</v>
      </c>
    </row>
    <row r="900" spans="1:3">
      <c r="A900" s="4" t="s">
        <v>7091</v>
      </c>
      <c r="B900" s="1">
        <v>46055</v>
      </c>
      <c r="C900">
        <v>3945</v>
      </c>
    </row>
    <row r="901" spans="1:3">
      <c r="A901" s="4" t="s">
        <v>981</v>
      </c>
      <c r="B901" s="1">
        <v>45854</v>
      </c>
      <c r="C901">
        <v>3935</v>
      </c>
    </row>
    <row r="902" spans="1:3">
      <c r="A902" s="4" t="s">
        <v>7484</v>
      </c>
      <c r="B902" s="1">
        <v>46070</v>
      </c>
      <c r="C902">
        <v>3933</v>
      </c>
    </row>
    <row r="903" spans="1:3">
      <c r="A903" s="4" t="s">
        <v>2397</v>
      </c>
      <c r="B903" s="1">
        <v>45849</v>
      </c>
      <c r="C903">
        <v>3930</v>
      </c>
    </row>
    <row r="904" spans="1:3">
      <c r="A904" s="4" t="s">
        <v>5156</v>
      </c>
      <c r="B904" s="1">
        <v>46021</v>
      </c>
      <c r="C904">
        <v>3883</v>
      </c>
    </row>
    <row r="905" spans="1:3">
      <c r="A905" s="4" t="s">
        <v>2401</v>
      </c>
      <c r="B905" s="1">
        <v>45849</v>
      </c>
      <c r="C905">
        <v>3882</v>
      </c>
    </row>
    <row r="906" spans="1:3">
      <c r="A906" s="4" t="s">
        <v>7453</v>
      </c>
      <c r="B906" s="1">
        <v>46069</v>
      </c>
      <c r="C906">
        <v>3881</v>
      </c>
    </row>
    <row r="907" spans="1:3">
      <c r="A907" s="4" t="s">
        <v>1030</v>
      </c>
      <c r="B907" s="1">
        <v>45785</v>
      </c>
      <c r="C907">
        <v>3860</v>
      </c>
    </row>
    <row r="908" spans="1:3">
      <c r="A908" s="4" t="s">
        <v>2961</v>
      </c>
      <c r="B908" s="1">
        <v>45875</v>
      </c>
      <c r="C908">
        <v>3847</v>
      </c>
    </row>
    <row r="909" spans="1:3">
      <c r="A909" s="4" t="s">
        <v>5633</v>
      </c>
      <c r="B909" s="1">
        <v>45989</v>
      </c>
      <c r="C909">
        <v>3843</v>
      </c>
    </row>
    <row r="910" spans="1:3">
      <c r="A910" s="4" t="s">
        <v>5895</v>
      </c>
      <c r="B910" s="1">
        <v>46002</v>
      </c>
      <c r="C910">
        <v>3802</v>
      </c>
    </row>
    <row r="911" spans="1:3">
      <c r="A911" s="4" t="s">
        <v>1416</v>
      </c>
      <c r="B911" s="1">
        <v>45800</v>
      </c>
      <c r="C911">
        <v>3790</v>
      </c>
    </row>
    <row r="912" spans="1:3">
      <c r="A912" s="4" t="s">
        <v>1743</v>
      </c>
      <c r="B912" s="1">
        <v>45817</v>
      </c>
      <c r="C912">
        <v>3700</v>
      </c>
    </row>
    <row r="913" spans="1:3">
      <c r="A913" s="4" t="s">
        <v>92</v>
      </c>
      <c r="B913" s="1">
        <v>45985</v>
      </c>
      <c r="C913">
        <v>3690</v>
      </c>
    </row>
    <row r="914" spans="1:3">
      <c r="A914" s="4" t="s">
        <v>3135</v>
      </c>
      <c r="B914" s="1">
        <v>45884</v>
      </c>
      <c r="C914">
        <v>3645</v>
      </c>
    </row>
    <row r="915" spans="1:3">
      <c r="A915" s="4" t="s">
        <v>6208</v>
      </c>
      <c r="B915" s="1">
        <v>46022</v>
      </c>
      <c r="C915">
        <v>3627</v>
      </c>
    </row>
    <row r="916" spans="1:3">
      <c r="A916" s="4" t="s">
        <v>825</v>
      </c>
      <c r="B916" s="1">
        <v>45778</v>
      </c>
      <c r="C916">
        <v>3600</v>
      </c>
    </row>
    <row r="917" spans="1:3">
      <c r="A917" s="4" t="s">
        <v>2764</v>
      </c>
      <c r="B917" s="1">
        <v>45867</v>
      </c>
      <c r="C917">
        <v>3580</v>
      </c>
    </row>
    <row r="918" spans="1:3">
      <c r="A918" s="4" t="s">
        <v>460</v>
      </c>
      <c r="B918" s="1">
        <v>45999</v>
      </c>
      <c r="C918">
        <v>3580</v>
      </c>
    </row>
    <row r="919" spans="1:3">
      <c r="A919" s="4" t="s">
        <v>151</v>
      </c>
      <c r="B919" s="1">
        <v>45759</v>
      </c>
      <c r="C919">
        <v>3577</v>
      </c>
    </row>
    <row r="920" spans="1:3">
      <c r="A920" s="4" t="s">
        <v>5457</v>
      </c>
      <c r="B920" s="1">
        <v>45981</v>
      </c>
      <c r="C920">
        <v>3543</v>
      </c>
    </row>
    <row r="921" spans="1:3">
      <c r="A921" s="4" t="s">
        <v>417</v>
      </c>
      <c r="B921" s="1">
        <v>45762</v>
      </c>
      <c r="C921">
        <v>3537</v>
      </c>
    </row>
    <row r="922" spans="1:3">
      <c r="A922" s="4" t="s">
        <v>1337</v>
      </c>
      <c r="B922" s="1">
        <v>45797</v>
      </c>
      <c r="C922">
        <v>3530</v>
      </c>
    </row>
    <row r="923" spans="1:3">
      <c r="A923" s="4" t="s">
        <v>4352</v>
      </c>
      <c r="B923" s="1">
        <v>45932</v>
      </c>
      <c r="C923">
        <v>3500</v>
      </c>
    </row>
    <row r="924" spans="1:3">
      <c r="A924" s="4" t="s">
        <v>4032</v>
      </c>
      <c r="B924" s="1">
        <v>45919</v>
      </c>
      <c r="C924">
        <v>3500</v>
      </c>
    </row>
    <row r="925" spans="1:3">
      <c r="A925" s="4" t="s">
        <v>5590</v>
      </c>
      <c r="B925" s="1">
        <v>45988</v>
      </c>
      <c r="C925">
        <v>3500</v>
      </c>
    </row>
    <row r="926" spans="1:3">
      <c r="A926" s="4" t="s">
        <v>200</v>
      </c>
      <c r="B926" s="1">
        <v>45777</v>
      </c>
      <c r="C926">
        <v>3480</v>
      </c>
    </row>
    <row r="927" spans="1:3">
      <c r="A927" s="4" t="s">
        <v>7330</v>
      </c>
      <c r="B927" s="1">
        <v>46064</v>
      </c>
      <c r="C927">
        <v>3460</v>
      </c>
    </row>
    <row r="928" spans="1:3">
      <c r="A928" s="4" t="s">
        <v>2956</v>
      </c>
      <c r="B928" s="1">
        <v>45887</v>
      </c>
      <c r="C928">
        <v>3456</v>
      </c>
    </row>
    <row r="929" spans="1:3">
      <c r="A929" s="4" t="s">
        <v>4500</v>
      </c>
      <c r="B929" s="1">
        <v>45938</v>
      </c>
      <c r="C929">
        <v>3450</v>
      </c>
    </row>
    <row r="930" spans="1:3">
      <c r="A930" s="4" t="s">
        <v>3585</v>
      </c>
      <c r="B930" s="1">
        <v>45939</v>
      </c>
      <c r="C930">
        <v>3448</v>
      </c>
    </row>
    <row r="931" spans="1:3">
      <c r="A931" s="4" t="s">
        <v>942</v>
      </c>
      <c r="B931" s="1">
        <v>45782</v>
      </c>
      <c r="C931">
        <v>3445</v>
      </c>
    </row>
    <row r="932" spans="1:3">
      <c r="A932" s="4" t="s">
        <v>1567</v>
      </c>
      <c r="B932" s="1">
        <v>45824</v>
      </c>
      <c r="C932">
        <v>3431</v>
      </c>
    </row>
    <row r="933" spans="1:3">
      <c r="A933" s="4" t="s">
        <v>419</v>
      </c>
      <c r="B933" s="1">
        <v>45762</v>
      </c>
      <c r="C933">
        <v>3400</v>
      </c>
    </row>
    <row r="934" spans="1:3">
      <c r="A934" s="4" t="s">
        <v>4545</v>
      </c>
      <c r="B934" s="1">
        <v>45940</v>
      </c>
      <c r="C934">
        <v>3400</v>
      </c>
    </row>
    <row r="935" spans="1:3">
      <c r="A935" s="4" t="s">
        <v>5367</v>
      </c>
      <c r="B935" s="1">
        <v>45978</v>
      </c>
      <c r="C935">
        <v>3400</v>
      </c>
    </row>
    <row r="936" spans="1:3">
      <c r="A936" s="4" t="s">
        <v>6034</v>
      </c>
      <c r="B936" s="1">
        <v>46008</v>
      </c>
      <c r="C936">
        <v>3351</v>
      </c>
    </row>
    <row r="937" spans="1:3">
      <c r="A937" s="4" t="s">
        <v>316</v>
      </c>
      <c r="B937" s="1">
        <v>46042</v>
      </c>
      <c r="C937">
        <v>3342</v>
      </c>
    </row>
    <row r="938" spans="1:3">
      <c r="A938" s="4" t="s">
        <v>1311</v>
      </c>
      <c r="B938" s="1">
        <v>45836</v>
      </c>
      <c r="C938">
        <v>3321</v>
      </c>
    </row>
    <row r="939" spans="1:3">
      <c r="A939" s="4" t="s">
        <v>3919</v>
      </c>
      <c r="B939" s="1">
        <v>45915</v>
      </c>
      <c r="C939">
        <v>3306</v>
      </c>
    </row>
    <row r="940" spans="1:3">
      <c r="A940" s="4" t="s">
        <v>191</v>
      </c>
      <c r="B940" s="1">
        <v>45915</v>
      </c>
      <c r="C940">
        <v>3296</v>
      </c>
    </row>
    <row r="941" spans="1:3">
      <c r="A941" s="4" t="s">
        <v>619</v>
      </c>
      <c r="B941" s="1">
        <v>46058</v>
      </c>
      <c r="C941">
        <v>3277</v>
      </c>
    </row>
    <row r="942" spans="1:3">
      <c r="A942" s="4" t="s">
        <v>4997</v>
      </c>
      <c r="B942" s="1">
        <v>45961</v>
      </c>
      <c r="C942">
        <v>3274</v>
      </c>
    </row>
    <row r="943" spans="1:3">
      <c r="A943" s="4" t="s">
        <v>5867</v>
      </c>
      <c r="B943" s="1">
        <v>46003</v>
      </c>
      <c r="C943">
        <v>3262</v>
      </c>
    </row>
    <row r="944" spans="1:3">
      <c r="A944" s="4" t="s">
        <v>5056</v>
      </c>
      <c r="B944" s="1">
        <v>46008</v>
      </c>
      <c r="C944">
        <v>3258</v>
      </c>
    </row>
    <row r="945" spans="1:3">
      <c r="A945" s="4" t="s">
        <v>6032</v>
      </c>
      <c r="B945" s="1">
        <v>46008</v>
      </c>
      <c r="C945">
        <v>3237</v>
      </c>
    </row>
    <row r="946" spans="1:3">
      <c r="A946" s="4" t="s">
        <v>7529</v>
      </c>
      <c r="B946" s="1">
        <v>46072</v>
      </c>
      <c r="C946">
        <v>3234</v>
      </c>
    </row>
    <row r="947" spans="1:3">
      <c r="A947" s="4" t="s">
        <v>1394</v>
      </c>
      <c r="B947" s="1">
        <v>46043</v>
      </c>
      <c r="C947">
        <v>3230</v>
      </c>
    </row>
    <row r="948" spans="1:3">
      <c r="A948" s="4" t="s">
        <v>6622</v>
      </c>
      <c r="B948" s="1">
        <v>46035</v>
      </c>
      <c r="C948">
        <v>3200</v>
      </c>
    </row>
    <row r="949" spans="1:3">
      <c r="A949" s="4" t="s">
        <v>1220</v>
      </c>
      <c r="B949" s="1">
        <v>45792</v>
      </c>
      <c r="C949">
        <v>3192</v>
      </c>
    </row>
    <row r="950" spans="1:3">
      <c r="A950" s="4" t="s">
        <v>1369</v>
      </c>
      <c r="B950" s="1">
        <v>45813</v>
      </c>
      <c r="C950">
        <v>3177</v>
      </c>
    </row>
    <row r="951" spans="1:3">
      <c r="A951" s="4" t="s">
        <v>3479</v>
      </c>
      <c r="B951" s="1">
        <v>45994</v>
      </c>
      <c r="C951">
        <v>3162</v>
      </c>
    </row>
    <row r="952" spans="1:3">
      <c r="A952" s="4" t="s">
        <v>4004</v>
      </c>
      <c r="B952" s="1">
        <v>45930</v>
      </c>
      <c r="C952">
        <v>3150</v>
      </c>
    </row>
    <row r="953" spans="1:3">
      <c r="A953" s="4" t="s">
        <v>1323</v>
      </c>
      <c r="B953" s="1">
        <v>46077</v>
      </c>
      <c r="C953">
        <v>3124</v>
      </c>
    </row>
    <row r="954" spans="1:3">
      <c r="A954" s="4" t="s">
        <v>4161</v>
      </c>
      <c r="B954" s="1">
        <v>45924</v>
      </c>
      <c r="C954">
        <v>3123</v>
      </c>
    </row>
    <row r="955" spans="1:3">
      <c r="A955" s="4" t="s">
        <v>6998</v>
      </c>
      <c r="B955" s="1">
        <v>46051</v>
      </c>
      <c r="C955">
        <v>3106</v>
      </c>
    </row>
    <row r="956" spans="1:3">
      <c r="A956" s="4" t="s">
        <v>6512</v>
      </c>
      <c r="B956" s="1">
        <v>46030</v>
      </c>
      <c r="C956">
        <v>3100</v>
      </c>
    </row>
    <row r="957" spans="1:3">
      <c r="A957" s="4" t="s">
        <v>7082</v>
      </c>
      <c r="B957" s="1">
        <v>46055</v>
      </c>
      <c r="C957">
        <v>3100</v>
      </c>
    </row>
    <row r="958" spans="1:3">
      <c r="A958" s="4" t="s">
        <v>2898</v>
      </c>
      <c r="B958" s="1">
        <v>46056</v>
      </c>
      <c r="C958">
        <v>3082</v>
      </c>
    </row>
    <row r="959" spans="1:3">
      <c r="A959" s="4" t="s">
        <v>4382</v>
      </c>
      <c r="B959" s="1">
        <v>45933</v>
      </c>
      <c r="C959">
        <v>3080</v>
      </c>
    </row>
    <row r="960" spans="1:3">
      <c r="A960" s="4" t="s">
        <v>7448</v>
      </c>
      <c r="B960" s="1">
        <v>46069</v>
      </c>
      <c r="C960">
        <v>3060</v>
      </c>
    </row>
    <row r="961" spans="1:3">
      <c r="A961" s="4" t="s">
        <v>1897</v>
      </c>
      <c r="B961" s="1">
        <v>45825</v>
      </c>
      <c r="C961">
        <v>3048</v>
      </c>
    </row>
    <row r="962" spans="1:3">
      <c r="A962" s="4" t="s">
        <v>1286</v>
      </c>
      <c r="B962" s="1">
        <v>45794</v>
      </c>
      <c r="C962">
        <v>3044</v>
      </c>
    </row>
    <row r="963" spans="1:3">
      <c r="A963" s="4" t="s">
        <v>4653</v>
      </c>
      <c r="B963" s="1">
        <v>45945</v>
      </c>
      <c r="C963">
        <v>3041</v>
      </c>
    </row>
    <row r="964" spans="1:3">
      <c r="A964" s="4" t="s">
        <v>7381</v>
      </c>
      <c r="B964" s="1">
        <v>46071</v>
      </c>
      <c r="C964">
        <v>3019</v>
      </c>
    </row>
    <row r="965" spans="1:3">
      <c r="A965" s="4" t="s">
        <v>2204</v>
      </c>
      <c r="B965" s="1">
        <v>45840</v>
      </c>
      <c r="C965">
        <v>3018</v>
      </c>
    </row>
    <row r="966" spans="1:3">
      <c r="A966" s="4" t="s">
        <v>6768</v>
      </c>
      <c r="B966" s="1">
        <v>46041</v>
      </c>
      <c r="C966">
        <v>3016</v>
      </c>
    </row>
    <row r="967" spans="1:3">
      <c r="A967" s="4" t="s">
        <v>285</v>
      </c>
      <c r="B967" s="1">
        <v>45814</v>
      </c>
      <c r="C967">
        <v>2982</v>
      </c>
    </row>
    <row r="968" spans="1:3">
      <c r="A968" s="4" t="s">
        <v>6581</v>
      </c>
      <c r="B968" s="1">
        <v>46032</v>
      </c>
      <c r="C968">
        <v>2981</v>
      </c>
    </row>
    <row r="969" spans="1:3">
      <c r="A969" s="4" t="s">
        <v>6846</v>
      </c>
      <c r="B969" s="1">
        <v>46074</v>
      </c>
      <c r="C969">
        <v>2980</v>
      </c>
    </row>
    <row r="970" spans="1:3">
      <c r="A970" s="4" t="s">
        <v>1155</v>
      </c>
      <c r="B970" s="1">
        <v>45790</v>
      </c>
      <c r="C970">
        <v>2960</v>
      </c>
    </row>
    <row r="971" spans="1:3">
      <c r="A971" s="4" t="s">
        <v>3166</v>
      </c>
      <c r="B971" s="1">
        <v>45889</v>
      </c>
      <c r="C971">
        <v>2960</v>
      </c>
    </row>
    <row r="972" spans="1:3">
      <c r="A972" s="4" t="s">
        <v>6443</v>
      </c>
      <c r="B972" s="1">
        <v>46027</v>
      </c>
      <c r="C972">
        <v>2931</v>
      </c>
    </row>
    <row r="973" spans="1:3">
      <c r="A973" s="4" t="s">
        <v>3714</v>
      </c>
      <c r="B973" s="1">
        <v>45948</v>
      </c>
      <c r="C973">
        <v>2906</v>
      </c>
    </row>
    <row r="974" spans="1:3">
      <c r="A974" s="4" t="s">
        <v>5195</v>
      </c>
      <c r="B974" s="1">
        <v>45971</v>
      </c>
      <c r="C974">
        <v>2870</v>
      </c>
    </row>
    <row r="975" spans="1:3">
      <c r="A975" s="4" t="s">
        <v>3555</v>
      </c>
      <c r="B975" s="1">
        <v>45899</v>
      </c>
      <c r="C975">
        <v>2847</v>
      </c>
    </row>
    <row r="976" spans="1:3">
      <c r="A976" s="4" t="s">
        <v>1607</v>
      </c>
      <c r="B976" s="1">
        <v>46035</v>
      </c>
      <c r="C976">
        <v>2823</v>
      </c>
    </row>
    <row r="977" spans="1:3">
      <c r="A977" s="4" t="s">
        <v>1996</v>
      </c>
      <c r="B977" s="1">
        <v>45829</v>
      </c>
      <c r="C977">
        <v>2800</v>
      </c>
    </row>
    <row r="978" spans="1:3">
      <c r="A978" s="4" t="s">
        <v>293</v>
      </c>
      <c r="B978" s="1">
        <v>45891</v>
      </c>
      <c r="C978">
        <v>2792</v>
      </c>
    </row>
    <row r="979" spans="1:3">
      <c r="A979" s="4" t="s">
        <v>7607</v>
      </c>
      <c r="B979" s="1">
        <v>46074</v>
      </c>
      <c r="C979">
        <v>2790</v>
      </c>
    </row>
    <row r="980" spans="1:3">
      <c r="A980" s="4" t="s">
        <v>1984</v>
      </c>
      <c r="B980" s="1">
        <v>45829</v>
      </c>
      <c r="C980">
        <v>2772</v>
      </c>
    </row>
    <row r="981" spans="1:3">
      <c r="A981" s="4" t="s">
        <v>3804</v>
      </c>
      <c r="B981" s="1">
        <v>45912</v>
      </c>
      <c r="C981">
        <v>2772</v>
      </c>
    </row>
    <row r="982" spans="1:3">
      <c r="A982" s="4" t="s">
        <v>848</v>
      </c>
      <c r="B982" s="1">
        <v>45779</v>
      </c>
      <c r="C982">
        <v>2760</v>
      </c>
    </row>
    <row r="983" spans="1:3">
      <c r="A983" s="4" t="s">
        <v>6211</v>
      </c>
      <c r="B983" s="1">
        <v>46079</v>
      </c>
      <c r="C983">
        <v>2740</v>
      </c>
    </row>
    <row r="984" spans="1:3">
      <c r="A984" s="4" t="s">
        <v>1246</v>
      </c>
      <c r="B984" s="1">
        <v>46074</v>
      </c>
      <c r="C984">
        <v>2740</v>
      </c>
    </row>
    <row r="985" spans="1:3">
      <c r="A985" s="4" t="s">
        <v>5813</v>
      </c>
      <c r="B985" s="1">
        <v>45997</v>
      </c>
      <c r="C985">
        <v>2740</v>
      </c>
    </row>
    <row r="986" spans="1:3">
      <c r="A986" s="4" t="s">
        <v>658</v>
      </c>
      <c r="B986" s="1">
        <v>46067</v>
      </c>
      <c r="C986">
        <v>2717</v>
      </c>
    </row>
    <row r="987" spans="1:3">
      <c r="A987" s="4" t="s">
        <v>1099</v>
      </c>
      <c r="B987" s="1">
        <v>45934</v>
      </c>
      <c r="C987">
        <v>2697</v>
      </c>
    </row>
    <row r="988" spans="1:3">
      <c r="A988" s="4" t="s">
        <v>5209</v>
      </c>
      <c r="B988" s="1">
        <v>45971</v>
      </c>
      <c r="C988">
        <v>2680</v>
      </c>
    </row>
    <row r="989" spans="1:3">
      <c r="A989" s="4" t="s">
        <v>4980</v>
      </c>
      <c r="B989" s="1">
        <v>46048</v>
      </c>
      <c r="C989">
        <v>2660</v>
      </c>
    </row>
    <row r="990" spans="1:3">
      <c r="A990" s="4" t="s">
        <v>2534</v>
      </c>
      <c r="B990" s="1">
        <v>46018</v>
      </c>
      <c r="C990">
        <v>2631</v>
      </c>
    </row>
    <row r="991" spans="1:3">
      <c r="A991" s="4" t="s">
        <v>5253</v>
      </c>
      <c r="B991" s="1">
        <v>45973</v>
      </c>
      <c r="C991">
        <v>2621</v>
      </c>
    </row>
    <row r="992" spans="1:3">
      <c r="A992" s="4" t="s">
        <v>3842</v>
      </c>
      <c r="B992" s="1">
        <v>45911</v>
      </c>
      <c r="C992">
        <v>2618</v>
      </c>
    </row>
    <row r="993" spans="1:3">
      <c r="A993" s="4" t="s">
        <v>6221</v>
      </c>
      <c r="B993" s="1">
        <v>46027</v>
      </c>
      <c r="C993">
        <v>2617</v>
      </c>
    </row>
    <row r="994" spans="1:3">
      <c r="A994" s="4" t="s">
        <v>6184</v>
      </c>
      <c r="B994" s="1">
        <v>46015</v>
      </c>
      <c r="C994">
        <v>2608</v>
      </c>
    </row>
    <row r="995" spans="1:3">
      <c r="A995" s="4" t="s">
        <v>1758</v>
      </c>
      <c r="B995" s="1">
        <v>45817</v>
      </c>
      <c r="C995">
        <v>2580</v>
      </c>
    </row>
    <row r="996" spans="1:3">
      <c r="A996" s="4" t="s">
        <v>1256</v>
      </c>
      <c r="B996" s="1">
        <v>45794</v>
      </c>
      <c r="C996">
        <v>2576</v>
      </c>
    </row>
    <row r="997" spans="1:3">
      <c r="A997" s="4" t="s">
        <v>4472</v>
      </c>
      <c r="B997" s="1">
        <v>45937</v>
      </c>
      <c r="C997">
        <v>2553</v>
      </c>
    </row>
    <row r="998" spans="1:3">
      <c r="A998" s="4" t="s">
        <v>1410</v>
      </c>
      <c r="B998" s="1">
        <v>45892</v>
      </c>
      <c r="C998">
        <v>2543</v>
      </c>
    </row>
    <row r="999" spans="1:3">
      <c r="A999" s="4" t="s">
        <v>6408</v>
      </c>
      <c r="B999" s="1">
        <v>46039</v>
      </c>
      <c r="C999">
        <v>2530</v>
      </c>
    </row>
    <row r="1000" spans="1:3">
      <c r="A1000" s="4" t="s">
        <v>2140</v>
      </c>
      <c r="B1000" s="1">
        <v>45836</v>
      </c>
      <c r="C1000">
        <v>2505</v>
      </c>
    </row>
    <row r="1001" spans="1:3">
      <c r="A1001" s="4" t="s">
        <v>3500</v>
      </c>
      <c r="B1001" s="1">
        <v>46018</v>
      </c>
      <c r="C1001">
        <v>2490</v>
      </c>
    </row>
    <row r="1002" spans="1:3">
      <c r="A1002" s="4" t="s">
        <v>2427</v>
      </c>
      <c r="B1002" s="1">
        <v>46046</v>
      </c>
      <c r="C1002">
        <v>2463</v>
      </c>
    </row>
    <row r="1003" spans="1:3">
      <c r="A1003" s="4" t="s">
        <v>5154</v>
      </c>
      <c r="B1003" s="1">
        <v>45968</v>
      </c>
      <c r="C1003">
        <v>2446</v>
      </c>
    </row>
    <row r="1004" spans="1:3">
      <c r="A1004" s="4" t="s">
        <v>272</v>
      </c>
      <c r="B1004" s="1">
        <v>45756</v>
      </c>
      <c r="C1004">
        <v>2435</v>
      </c>
    </row>
    <row r="1005" spans="1:3">
      <c r="A1005" s="4" t="s">
        <v>3674</v>
      </c>
      <c r="B1005" s="1">
        <v>45903</v>
      </c>
      <c r="C1005">
        <v>2435</v>
      </c>
    </row>
    <row r="1006" spans="1:3">
      <c r="A1006" s="4" t="s">
        <v>5944</v>
      </c>
      <c r="B1006" s="1">
        <v>46004</v>
      </c>
      <c r="C1006">
        <v>2420</v>
      </c>
    </row>
    <row r="1007" spans="1:3">
      <c r="A1007" s="4" t="s">
        <v>6381</v>
      </c>
      <c r="B1007" s="1">
        <v>46046</v>
      </c>
      <c r="C1007">
        <v>2387</v>
      </c>
    </row>
    <row r="1008" spans="1:3">
      <c r="A1008" s="4" t="s">
        <v>2260</v>
      </c>
      <c r="B1008" s="1">
        <v>45842</v>
      </c>
      <c r="C1008">
        <v>2354</v>
      </c>
    </row>
    <row r="1009" spans="1:3">
      <c r="A1009" s="4" t="s">
        <v>6989</v>
      </c>
      <c r="B1009" s="1">
        <v>46074</v>
      </c>
      <c r="C1009">
        <v>2350</v>
      </c>
    </row>
    <row r="1010" spans="1:3">
      <c r="A1010" s="4" t="s">
        <v>3880</v>
      </c>
      <c r="B1010" s="1">
        <v>45912</v>
      </c>
      <c r="C1010">
        <v>2340</v>
      </c>
    </row>
    <row r="1011" spans="1:3">
      <c r="A1011" s="4" t="s">
        <v>1058</v>
      </c>
      <c r="B1011" s="1">
        <v>45786</v>
      </c>
      <c r="C1011">
        <v>2333</v>
      </c>
    </row>
    <row r="1012" spans="1:3">
      <c r="A1012" s="4" t="s">
        <v>1802</v>
      </c>
      <c r="B1012" s="1">
        <v>45819</v>
      </c>
      <c r="C1012">
        <v>2327</v>
      </c>
    </row>
    <row r="1013" spans="1:3">
      <c r="A1013" s="4" t="s">
        <v>4263</v>
      </c>
      <c r="B1013" s="1">
        <v>45968</v>
      </c>
      <c r="C1013">
        <v>2320</v>
      </c>
    </row>
    <row r="1014" spans="1:3">
      <c r="A1014" s="4" t="s">
        <v>6938</v>
      </c>
      <c r="B1014" s="1">
        <v>46048</v>
      </c>
      <c r="C1014">
        <v>2280</v>
      </c>
    </row>
    <row r="1015" spans="1:3">
      <c r="A1015" s="4" t="s">
        <v>5971</v>
      </c>
      <c r="B1015" s="1">
        <v>46006</v>
      </c>
      <c r="C1015">
        <v>2234</v>
      </c>
    </row>
    <row r="1016" spans="1:3">
      <c r="A1016" s="4" t="s">
        <v>4258</v>
      </c>
      <c r="B1016" s="1">
        <v>45927</v>
      </c>
      <c r="C1016">
        <v>2228</v>
      </c>
    </row>
    <row r="1017" spans="1:3">
      <c r="A1017" s="4" t="s">
        <v>3593</v>
      </c>
      <c r="B1017" s="1">
        <v>45902</v>
      </c>
      <c r="C1017">
        <v>2220</v>
      </c>
    </row>
    <row r="1018" spans="1:3">
      <c r="A1018" s="4" t="s">
        <v>7464</v>
      </c>
      <c r="B1018" s="1">
        <v>46069</v>
      </c>
      <c r="C1018">
        <v>2205</v>
      </c>
    </row>
    <row r="1019" spans="1:3">
      <c r="A1019" s="4" t="s">
        <v>6058</v>
      </c>
      <c r="B1019" s="1">
        <v>46053</v>
      </c>
      <c r="C1019">
        <v>2200</v>
      </c>
    </row>
    <row r="1020" spans="1:3">
      <c r="A1020" s="4" t="s">
        <v>970</v>
      </c>
      <c r="B1020" s="1">
        <v>45783</v>
      </c>
      <c r="C1020">
        <v>2200</v>
      </c>
    </row>
    <row r="1021" spans="1:3">
      <c r="A1021" s="4" t="s">
        <v>4594</v>
      </c>
      <c r="B1021" s="1">
        <v>45941</v>
      </c>
      <c r="C1021">
        <v>2190</v>
      </c>
    </row>
    <row r="1022" spans="1:3">
      <c r="A1022" s="4" t="s">
        <v>939</v>
      </c>
      <c r="B1022" s="1">
        <v>45939</v>
      </c>
      <c r="C1022">
        <v>2174</v>
      </c>
    </row>
    <row r="1023" spans="1:3">
      <c r="A1023" s="4" t="s">
        <v>1175</v>
      </c>
      <c r="B1023" s="1">
        <v>45834</v>
      </c>
      <c r="C1023">
        <v>2160</v>
      </c>
    </row>
    <row r="1024" spans="1:3">
      <c r="A1024" s="4" t="s">
        <v>1344</v>
      </c>
      <c r="B1024" s="1">
        <v>45797</v>
      </c>
      <c r="C1024">
        <v>2160</v>
      </c>
    </row>
    <row r="1025" spans="1:3">
      <c r="A1025" s="4" t="s">
        <v>3775</v>
      </c>
      <c r="B1025" s="1">
        <v>45909</v>
      </c>
      <c r="C1025">
        <v>2158</v>
      </c>
    </row>
    <row r="1026" spans="1:3">
      <c r="A1026" s="4" t="s">
        <v>5609</v>
      </c>
      <c r="B1026" s="1">
        <v>45988</v>
      </c>
      <c r="C1026">
        <v>2137</v>
      </c>
    </row>
    <row r="1027" spans="1:3">
      <c r="A1027" s="4" t="s">
        <v>2931</v>
      </c>
      <c r="B1027" s="1">
        <v>45875</v>
      </c>
      <c r="C1027">
        <v>2125</v>
      </c>
    </row>
    <row r="1028" spans="1:3">
      <c r="A1028" s="4" t="s">
        <v>1960</v>
      </c>
      <c r="B1028" s="1">
        <v>45828</v>
      </c>
      <c r="C1028">
        <v>2120</v>
      </c>
    </row>
    <row r="1029" spans="1:3">
      <c r="A1029" s="4" t="s">
        <v>3299</v>
      </c>
      <c r="B1029" s="1">
        <v>45889</v>
      </c>
      <c r="C1029">
        <v>2100</v>
      </c>
    </row>
    <row r="1030" spans="1:3">
      <c r="A1030" s="4" t="s">
        <v>2536</v>
      </c>
      <c r="B1030" s="1">
        <v>45855</v>
      </c>
      <c r="C1030">
        <v>2085</v>
      </c>
    </row>
    <row r="1031" spans="1:3">
      <c r="A1031" s="4" t="s">
        <v>5160</v>
      </c>
      <c r="B1031" s="1">
        <v>45968</v>
      </c>
      <c r="C1031">
        <v>2080</v>
      </c>
    </row>
    <row r="1032" spans="1:3">
      <c r="A1032" s="4" t="s">
        <v>2567</v>
      </c>
      <c r="B1032" s="1">
        <v>46046</v>
      </c>
      <c r="C1032">
        <v>2065</v>
      </c>
    </row>
    <row r="1033" spans="1:3">
      <c r="A1033" s="4" t="s">
        <v>4813</v>
      </c>
      <c r="B1033" s="1">
        <v>45953</v>
      </c>
      <c r="C1033">
        <v>2060</v>
      </c>
    </row>
    <row r="1034" spans="1:3">
      <c r="A1034" s="4" t="s">
        <v>6233</v>
      </c>
      <c r="B1034" s="1">
        <v>46017</v>
      </c>
      <c r="C1034">
        <v>2055</v>
      </c>
    </row>
    <row r="1035" spans="1:3">
      <c r="A1035" s="4" t="s">
        <v>398</v>
      </c>
      <c r="B1035" s="1">
        <v>45761</v>
      </c>
      <c r="C1035">
        <v>2025</v>
      </c>
    </row>
    <row r="1036" spans="1:3">
      <c r="A1036" s="4" t="s">
        <v>5105</v>
      </c>
      <c r="B1036" s="1">
        <v>46004</v>
      </c>
      <c r="C1036">
        <v>2020</v>
      </c>
    </row>
    <row r="1037" spans="1:3">
      <c r="A1037" s="4" t="s">
        <v>7315</v>
      </c>
      <c r="B1037" s="1">
        <v>46063</v>
      </c>
      <c r="C1037">
        <v>2000</v>
      </c>
    </row>
    <row r="1038" spans="1:3">
      <c r="A1038" s="4" t="s">
        <v>7347</v>
      </c>
      <c r="B1038" s="1">
        <v>46064</v>
      </c>
      <c r="C1038">
        <v>1997</v>
      </c>
    </row>
    <row r="1039" spans="1:3">
      <c r="A1039" s="4" t="s">
        <v>4597</v>
      </c>
      <c r="B1039" s="1">
        <v>45941</v>
      </c>
      <c r="C1039">
        <v>1980</v>
      </c>
    </row>
    <row r="1040" spans="1:3">
      <c r="A1040" s="4" t="s">
        <v>2992</v>
      </c>
      <c r="B1040" s="1">
        <v>45877</v>
      </c>
      <c r="C1040">
        <v>1966</v>
      </c>
    </row>
    <row r="1041" spans="1:3">
      <c r="A1041" s="4" t="s">
        <v>2350</v>
      </c>
      <c r="B1041" s="1">
        <v>46057</v>
      </c>
      <c r="C1041">
        <v>1957</v>
      </c>
    </row>
    <row r="1042" spans="1:3">
      <c r="A1042" s="4" t="s">
        <v>120</v>
      </c>
      <c r="B1042" s="1">
        <v>45751</v>
      </c>
      <c r="C1042">
        <v>1947</v>
      </c>
    </row>
    <row r="1043" spans="1:3">
      <c r="A1043" s="4" t="s">
        <v>977</v>
      </c>
      <c r="B1043" s="1">
        <v>45783</v>
      </c>
      <c r="C1043">
        <v>1920</v>
      </c>
    </row>
    <row r="1044" spans="1:3">
      <c r="A1044" s="4" t="s">
        <v>6830</v>
      </c>
      <c r="B1044" s="1">
        <v>46044</v>
      </c>
      <c r="C1044">
        <v>1920</v>
      </c>
    </row>
    <row r="1045" spans="1:3">
      <c r="A1045" s="4" t="s">
        <v>6668</v>
      </c>
      <c r="B1045" s="1">
        <v>46038</v>
      </c>
      <c r="C1045">
        <v>1900</v>
      </c>
    </row>
    <row r="1046" spans="1:3">
      <c r="A1046" s="4" t="s">
        <v>6133</v>
      </c>
      <c r="B1046" s="1">
        <v>46057</v>
      </c>
      <c r="C1046">
        <v>1896</v>
      </c>
    </row>
    <row r="1047" spans="1:3">
      <c r="A1047" s="4" t="s">
        <v>4555</v>
      </c>
      <c r="B1047" s="1">
        <v>45940</v>
      </c>
      <c r="C1047">
        <v>1883</v>
      </c>
    </row>
    <row r="1048" spans="1:3">
      <c r="A1048" s="4" t="s">
        <v>3054</v>
      </c>
      <c r="B1048" s="1">
        <v>45880</v>
      </c>
      <c r="C1048">
        <v>1862</v>
      </c>
    </row>
    <row r="1049" spans="1:3">
      <c r="A1049" s="4" t="s">
        <v>5794</v>
      </c>
      <c r="B1049" s="1">
        <v>45997</v>
      </c>
      <c r="C1049">
        <v>1860</v>
      </c>
    </row>
    <row r="1050" spans="1:3">
      <c r="A1050" s="4" t="s">
        <v>1093</v>
      </c>
      <c r="B1050" s="1">
        <v>45787</v>
      </c>
      <c r="C1050">
        <v>1850</v>
      </c>
    </row>
    <row r="1051" spans="1:3">
      <c r="A1051" s="4" t="s">
        <v>3685</v>
      </c>
      <c r="B1051" s="1">
        <v>45904</v>
      </c>
      <c r="C1051">
        <v>1850</v>
      </c>
    </row>
    <row r="1052" spans="1:3">
      <c r="A1052" s="4" t="s">
        <v>624</v>
      </c>
      <c r="B1052" s="1">
        <v>45771</v>
      </c>
      <c r="C1052">
        <v>1842</v>
      </c>
    </row>
    <row r="1053" spans="1:3">
      <c r="A1053" s="4" t="s">
        <v>3061</v>
      </c>
      <c r="B1053" s="1">
        <v>45880</v>
      </c>
      <c r="C1053">
        <v>1840</v>
      </c>
    </row>
    <row r="1054" spans="1:3">
      <c r="A1054" s="4" t="s">
        <v>7456</v>
      </c>
      <c r="B1054" s="1">
        <v>46069</v>
      </c>
      <c r="C1054">
        <v>1836</v>
      </c>
    </row>
    <row r="1055" spans="1:3">
      <c r="A1055" s="4" t="s">
        <v>6748</v>
      </c>
      <c r="B1055" s="1">
        <v>46039</v>
      </c>
      <c r="C1055">
        <v>1833</v>
      </c>
    </row>
    <row r="1056" spans="1:3">
      <c r="A1056" s="4" t="s">
        <v>2212</v>
      </c>
      <c r="B1056" s="1">
        <v>45840</v>
      </c>
      <c r="C1056">
        <v>1800</v>
      </c>
    </row>
    <row r="1057" spans="1:3">
      <c r="A1057" s="4" t="s">
        <v>873</v>
      </c>
      <c r="B1057" s="1">
        <v>45779</v>
      </c>
      <c r="C1057">
        <v>1800</v>
      </c>
    </row>
    <row r="1058" spans="1:3">
      <c r="A1058" s="4" t="s">
        <v>7739</v>
      </c>
      <c r="B1058" s="1">
        <v>46079</v>
      </c>
      <c r="C1058">
        <v>1788</v>
      </c>
    </row>
    <row r="1059" spans="1:3">
      <c r="A1059" s="4" t="s">
        <v>670</v>
      </c>
      <c r="B1059" s="1">
        <v>45771</v>
      </c>
      <c r="C1059">
        <v>1782</v>
      </c>
    </row>
    <row r="1060" spans="1:3">
      <c r="A1060" s="4" t="s">
        <v>7189</v>
      </c>
      <c r="B1060" s="1">
        <v>46058</v>
      </c>
      <c r="C1060">
        <v>1771</v>
      </c>
    </row>
    <row r="1061" spans="1:3">
      <c r="A1061" s="4" t="s">
        <v>4344</v>
      </c>
      <c r="B1061" s="1">
        <v>45932</v>
      </c>
      <c r="C1061">
        <v>1750</v>
      </c>
    </row>
    <row r="1062" spans="1:3">
      <c r="A1062" s="4" t="s">
        <v>4535</v>
      </c>
      <c r="B1062" s="1">
        <v>45939</v>
      </c>
      <c r="C1062">
        <v>1746</v>
      </c>
    </row>
    <row r="1063" spans="1:3">
      <c r="A1063" s="4" t="s">
        <v>1375</v>
      </c>
      <c r="B1063" s="1">
        <v>45908</v>
      </c>
      <c r="C1063">
        <v>1737</v>
      </c>
    </row>
    <row r="1064" spans="1:3">
      <c r="A1064" s="4" t="s">
        <v>4338</v>
      </c>
      <c r="B1064" s="1">
        <v>45973</v>
      </c>
      <c r="C1064">
        <v>1720</v>
      </c>
    </row>
    <row r="1065" spans="1:3">
      <c r="A1065" s="4" t="s">
        <v>4225</v>
      </c>
      <c r="B1065" s="1">
        <v>46080</v>
      </c>
      <c r="C1065">
        <v>1712</v>
      </c>
    </row>
    <row r="1066" spans="1:3">
      <c r="A1066" s="4" t="s">
        <v>3401</v>
      </c>
      <c r="B1066" s="1">
        <v>45892</v>
      </c>
      <c r="C1066">
        <v>1702</v>
      </c>
    </row>
    <row r="1067" spans="1:3">
      <c r="A1067" s="4" t="s">
        <v>365</v>
      </c>
      <c r="B1067" s="1">
        <v>45759</v>
      </c>
      <c r="C1067">
        <v>1700</v>
      </c>
    </row>
    <row r="1068" spans="1:3">
      <c r="A1068" s="4" t="s">
        <v>5657</v>
      </c>
      <c r="B1068" s="1">
        <v>45992</v>
      </c>
      <c r="C1068">
        <v>1700</v>
      </c>
    </row>
    <row r="1069" spans="1:3">
      <c r="A1069" s="4" t="s">
        <v>868</v>
      </c>
      <c r="B1069" s="1">
        <v>45779</v>
      </c>
      <c r="C1069">
        <v>1699</v>
      </c>
    </row>
    <row r="1070" spans="1:3">
      <c r="A1070" s="4" t="s">
        <v>2164</v>
      </c>
      <c r="B1070" s="1">
        <v>45838</v>
      </c>
      <c r="C1070">
        <v>1677</v>
      </c>
    </row>
    <row r="1071" spans="1:3">
      <c r="A1071" s="4" t="s">
        <v>3725</v>
      </c>
      <c r="B1071" s="1">
        <v>45906</v>
      </c>
      <c r="C1071">
        <v>1607</v>
      </c>
    </row>
    <row r="1072" spans="1:3">
      <c r="A1072" s="4" t="s">
        <v>7333</v>
      </c>
      <c r="B1072" s="1">
        <v>46066</v>
      </c>
      <c r="C1072">
        <v>1600</v>
      </c>
    </row>
    <row r="1073" spans="1:3">
      <c r="A1073" s="4" t="s">
        <v>1342</v>
      </c>
      <c r="B1073" s="1">
        <v>45797</v>
      </c>
      <c r="C1073">
        <v>1600</v>
      </c>
    </row>
    <row r="1074" spans="1:3">
      <c r="A1074" s="4" t="s">
        <v>7273</v>
      </c>
      <c r="B1074" s="1">
        <v>46062</v>
      </c>
      <c r="C1074">
        <v>1600</v>
      </c>
    </row>
    <row r="1075" spans="1:3">
      <c r="A1075" s="4" t="s">
        <v>7280</v>
      </c>
      <c r="B1075" s="1">
        <v>46062</v>
      </c>
      <c r="C1075">
        <v>1600</v>
      </c>
    </row>
    <row r="1076" spans="1:3">
      <c r="A1076" s="4" t="s">
        <v>3443</v>
      </c>
      <c r="B1076" s="1">
        <v>45894</v>
      </c>
      <c r="C1076">
        <v>1593</v>
      </c>
    </row>
    <row r="1077" spans="1:3">
      <c r="A1077" s="4" t="s">
        <v>3266</v>
      </c>
      <c r="B1077" s="1">
        <v>45888</v>
      </c>
      <c r="C1077">
        <v>1590</v>
      </c>
    </row>
    <row r="1078" spans="1:3">
      <c r="A1078" s="4" t="s">
        <v>1383</v>
      </c>
      <c r="B1078" s="1">
        <v>45799</v>
      </c>
      <c r="C1078">
        <v>1580</v>
      </c>
    </row>
    <row r="1079" spans="1:3">
      <c r="A1079" s="4" t="s">
        <v>1237</v>
      </c>
      <c r="B1079" s="1">
        <v>45793</v>
      </c>
      <c r="C1079">
        <v>1578</v>
      </c>
    </row>
    <row r="1080" spans="1:3">
      <c r="A1080" s="4" t="s">
        <v>5072</v>
      </c>
      <c r="B1080" s="1">
        <v>45965</v>
      </c>
      <c r="C1080">
        <v>1578</v>
      </c>
    </row>
    <row r="1081" spans="1:3">
      <c r="A1081" s="4" t="s">
        <v>3823</v>
      </c>
      <c r="B1081" s="1">
        <v>45980</v>
      </c>
      <c r="C1081">
        <v>1575</v>
      </c>
    </row>
    <row r="1082" spans="1:3">
      <c r="A1082" s="4" t="s">
        <v>2907</v>
      </c>
      <c r="B1082" s="1">
        <v>45873</v>
      </c>
      <c r="C1082">
        <v>1573</v>
      </c>
    </row>
    <row r="1083" spans="1:3">
      <c r="A1083" s="4" t="s">
        <v>5849</v>
      </c>
      <c r="B1083" s="1">
        <v>46000</v>
      </c>
      <c r="C1083">
        <v>1568</v>
      </c>
    </row>
    <row r="1084" spans="1:3">
      <c r="A1084" s="4" t="s">
        <v>5100</v>
      </c>
      <c r="B1084" s="1">
        <v>46044</v>
      </c>
      <c r="C1084">
        <v>1560</v>
      </c>
    </row>
    <row r="1085" spans="1:3">
      <c r="A1085" s="4" t="s">
        <v>6189</v>
      </c>
      <c r="B1085" s="1">
        <v>46015</v>
      </c>
      <c r="C1085">
        <v>1550</v>
      </c>
    </row>
    <row r="1086" spans="1:3">
      <c r="A1086" s="4" t="s">
        <v>859</v>
      </c>
      <c r="B1086" s="1">
        <v>45863</v>
      </c>
      <c r="C1086">
        <v>1547</v>
      </c>
    </row>
    <row r="1087" spans="1:3">
      <c r="A1087" s="4" t="s">
        <v>666</v>
      </c>
      <c r="B1087" s="1">
        <v>45771</v>
      </c>
      <c r="C1087">
        <v>1540</v>
      </c>
    </row>
    <row r="1088" spans="1:3">
      <c r="A1088" s="4" t="s">
        <v>74</v>
      </c>
      <c r="B1088" s="1">
        <v>45749</v>
      </c>
      <c r="C1088">
        <v>1540</v>
      </c>
    </row>
    <row r="1089" spans="1:3">
      <c r="A1089" s="4" t="s">
        <v>4135</v>
      </c>
      <c r="B1089" s="1">
        <v>45923</v>
      </c>
      <c r="C1089">
        <v>1538</v>
      </c>
    </row>
    <row r="1090" spans="1:3">
      <c r="A1090" s="4" t="s">
        <v>2734</v>
      </c>
      <c r="B1090" s="1">
        <v>45866</v>
      </c>
      <c r="C1090">
        <v>1536</v>
      </c>
    </row>
    <row r="1091" spans="1:3">
      <c r="A1091" s="4" t="s">
        <v>3270</v>
      </c>
      <c r="B1091" s="1">
        <v>45888</v>
      </c>
      <c r="C1091">
        <v>1535</v>
      </c>
    </row>
    <row r="1092" spans="1:3">
      <c r="A1092" s="4" t="s">
        <v>7656</v>
      </c>
      <c r="B1092" s="1">
        <v>46076</v>
      </c>
      <c r="C1092">
        <v>1521</v>
      </c>
    </row>
    <row r="1093" spans="1:3">
      <c r="A1093" s="4" t="s">
        <v>1550</v>
      </c>
      <c r="B1093" s="1">
        <v>45863</v>
      </c>
      <c r="C1093">
        <v>1516</v>
      </c>
    </row>
    <row r="1094" spans="1:3">
      <c r="A1094" s="4" t="s">
        <v>6397</v>
      </c>
      <c r="B1094" s="1">
        <v>46038</v>
      </c>
      <c r="C1094">
        <v>1495</v>
      </c>
    </row>
    <row r="1095" spans="1:3">
      <c r="A1095" s="4" t="s">
        <v>2704</v>
      </c>
      <c r="B1095" s="1">
        <v>45864</v>
      </c>
      <c r="C1095">
        <v>1486</v>
      </c>
    </row>
    <row r="1096" spans="1:3">
      <c r="A1096" s="4" t="s">
        <v>6922</v>
      </c>
      <c r="B1096" s="1">
        <v>46046</v>
      </c>
      <c r="C1096">
        <v>1486</v>
      </c>
    </row>
    <row r="1097" spans="1:3">
      <c r="A1097" s="4" t="s">
        <v>2331</v>
      </c>
      <c r="B1097" s="1">
        <v>45846</v>
      </c>
      <c r="C1097">
        <v>1480</v>
      </c>
    </row>
    <row r="1098" spans="1:3">
      <c r="A1098" s="4" t="s">
        <v>1824</v>
      </c>
      <c r="B1098" s="1">
        <v>45850</v>
      </c>
      <c r="C1098">
        <v>1480</v>
      </c>
    </row>
    <row r="1099" spans="1:3">
      <c r="A1099" s="4" t="s">
        <v>2093</v>
      </c>
      <c r="B1099" s="1">
        <v>45834</v>
      </c>
      <c r="C1099">
        <v>1480</v>
      </c>
    </row>
    <row r="1100" spans="1:3">
      <c r="A1100" s="4" t="s">
        <v>2223</v>
      </c>
      <c r="B1100" s="1">
        <v>45841</v>
      </c>
      <c r="C1100">
        <v>1478</v>
      </c>
    </row>
    <row r="1101" spans="1:3">
      <c r="A1101" s="4" t="s">
        <v>351</v>
      </c>
      <c r="B1101" s="1">
        <v>45759</v>
      </c>
      <c r="C1101">
        <v>1476</v>
      </c>
    </row>
    <row r="1102" spans="1:3">
      <c r="A1102" s="4" t="s">
        <v>4743</v>
      </c>
      <c r="B1102" s="1">
        <v>45948</v>
      </c>
      <c r="C1102">
        <v>1465</v>
      </c>
    </row>
    <row r="1103" spans="1:3">
      <c r="A1103" s="4" t="s">
        <v>6335</v>
      </c>
      <c r="B1103" s="1">
        <v>46022</v>
      </c>
      <c r="C1103">
        <v>1452</v>
      </c>
    </row>
    <row r="1104" spans="1:3">
      <c r="A1104" s="4" t="s">
        <v>6066</v>
      </c>
      <c r="B1104" s="1">
        <v>46009</v>
      </c>
      <c r="C1104">
        <v>1451</v>
      </c>
    </row>
    <row r="1105" spans="1:3">
      <c r="A1105" s="4" t="s">
        <v>6176</v>
      </c>
      <c r="B1105" s="1">
        <v>46014</v>
      </c>
      <c r="C1105">
        <v>1450</v>
      </c>
    </row>
    <row r="1106" spans="1:3">
      <c r="A1106" s="4" t="s">
        <v>1717</v>
      </c>
      <c r="B1106" s="1">
        <v>45815</v>
      </c>
      <c r="C1106">
        <v>1440</v>
      </c>
    </row>
    <row r="1107" spans="1:3">
      <c r="A1107" s="4" t="s">
        <v>2484</v>
      </c>
      <c r="B1107" s="1">
        <v>45853</v>
      </c>
      <c r="C1107">
        <v>1438</v>
      </c>
    </row>
    <row r="1108" spans="1:3">
      <c r="A1108" s="4" t="s">
        <v>5224</v>
      </c>
      <c r="B1108" s="1">
        <v>45972</v>
      </c>
      <c r="C1108">
        <v>1436</v>
      </c>
    </row>
    <row r="1109" spans="1:3">
      <c r="A1109" s="4" t="s">
        <v>3278</v>
      </c>
      <c r="B1109" s="1">
        <v>45980</v>
      </c>
      <c r="C1109">
        <v>1420</v>
      </c>
    </row>
    <row r="1110" spans="1:3">
      <c r="A1110" s="4" t="s">
        <v>6982</v>
      </c>
      <c r="B1110" s="1">
        <v>46050</v>
      </c>
      <c r="C1110">
        <v>1411</v>
      </c>
    </row>
    <row r="1111" spans="1:3">
      <c r="A1111" s="4" t="s">
        <v>2119</v>
      </c>
      <c r="B1111" s="1">
        <v>45835</v>
      </c>
      <c r="C1111">
        <v>1402</v>
      </c>
    </row>
    <row r="1112" spans="1:3">
      <c r="A1112" s="4" t="s">
        <v>4371</v>
      </c>
      <c r="B1112" s="1">
        <v>45933</v>
      </c>
      <c r="C1112">
        <v>1400</v>
      </c>
    </row>
    <row r="1113" spans="1:3">
      <c r="A1113" s="4" t="s">
        <v>426</v>
      </c>
      <c r="B1113" s="1">
        <v>45762</v>
      </c>
      <c r="C1113">
        <v>1400</v>
      </c>
    </row>
    <row r="1114" spans="1:3">
      <c r="A1114" s="4" t="s">
        <v>4951</v>
      </c>
      <c r="B1114" s="1">
        <v>45960</v>
      </c>
      <c r="C1114">
        <v>1396</v>
      </c>
    </row>
    <row r="1115" spans="1:3">
      <c r="A1115" s="4" t="s">
        <v>5500</v>
      </c>
      <c r="B1115" s="1">
        <v>46018</v>
      </c>
      <c r="C1115">
        <v>1390</v>
      </c>
    </row>
    <row r="1116" spans="1:3">
      <c r="A1116" s="4" t="s">
        <v>4428</v>
      </c>
      <c r="B1116" s="1">
        <v>45937</v>
      </c>
      <c r="C1116">
        <v>1360</v>
      </c>
    </row>
    <row r="1117" spans="1:3">
      <c r="A1117" s="4" t="s">
        <v>1532</v>
      </c>
      <c r="B1117" s="1">
        <v>45807</v>
      </c>
      <c r="C1117">
        <v>1357</v>
      </c>
    </row>
    <row r="1118" spans="1:3">
      <c r="A1118" s="4" t="s">
        <v>1400</v>
      </c>
      <c r="B1118" s="1">
        <v>46034</v>
      </c>
      <c r="C1118">
        <v>1350</v>
      </c>
    </row>
    <row r="1119" spans="1:3">
      <c r="A1119" s="4" t="s">
        <v>6092</v>
      </c>
      <c r="B1119" s="1">
        <v>46010</v>
      </c>
      <c r="C1119">
        <v>1334</v>
      </c>
    </row>
    <row r="1120" spans="1:3">
      <c r="A1120" s="4" t="s">
        <v>3998</v>
      </c>
      <c r="B1120" s="1">
        <v>46025</v>
      </c>
      <c r="C1120">
        <v>1327</v>
      </c>
    </row>
    <row r="1121" spans="1:3">
      <c r="A1121" s="4" t="s">
        <v>3688</v>
      </c>
      <c r="B1121" s="1">
        <v>45904</v>
      </c>
      <c r="C1121">
        <v>1326</v>
      </c>
    </row>
    <row r="1122" spans="1:3">
      <c r="A1122" s="4" t="s">
        <v>3532</v>
      </c>
      <c r="B1122" s="1">
        <v>45965</v>
      </c>
      <c r="C1122">
        <v>1305</v>
      </c>
    </row>
    <row r="1123" spans="1:3">
      <c r="A1123" s="4" t="s">
        <v>1926</v>
      </c>
      <c r="B1123" s="1">
        <v>45827</v>
      </c>
      <c r="C1123">
        <v>1300</v>
      </c>
    </row>
    <row r="1124" spans="1:3">
      <c r="A1124" s="4" t="s">
        <v>4936</v>
      </c>
      <c r="B1124" s="1">
        <v>45959</v>
      </c>
      <c r="C1124">
        <v>1295</v>
      </c>
    </row>
    <row r="1125" spans="1:3">
      <c r="A1125" s="4" t="s">
        <v>445</v>
      </c>
      <c r="B1125" s="1">
        <v>45763</v>
      </c>
      <c r="C1125">
        <v>1293</v>
      </c>
    </row>
    <row r="1126" spans="1:3">
      <c r="A1126" s="4" t="s">
        <v>575</v>
      </c>
      <c r="B1126" s="1">
        <v>46024</v>
      </c>
      <c r="C1126">
        <v>1283</v>
      </c>
    </row>
    <row r="1127" spans="1:3">
      <c r="A1127" s="4" t="s">
        <v>7654</v>
      </c>
      <c r="B1127" s="1">
        <v>46076</v>
      </c>
      <c r="C1127">
        <v>1280</v>
      </c>
    </row>
    <row r="1128" spans="1:3">
      <c r="A1128" s="4" t="s">
        <v>2229</v>
      </c>
      <c r="B1128" s="1">
        <v>45841</v>
      </c>
      <c r="C1128">
        <v>1264</v>
      </c>
    </row>
    <row r="1129" spans="1:3">
      <c r="A1129" s="4" t="s">
        <v>4687</v>
      </c>
      <c r="B1129" s="1">
        <v>45946</v>
      </c>
      <c r="C1129">
        <v>1254</v>
      </c>
    </row>
    <row r="1130" spans="1:3">
      <c r="A1130" s="4" t="s">
        <v>110</v>
      </c>
      <c r="B1130" s="1">
        <v>45750</v>
      </c>
      <c r="C1130">
        <v>1250</v>
      </c>
    </row>
    <row r="1131" spans="1:3">
      <c r="A1131" s="4" t="s">
        <v>5836</v>
      </c>
      <c r="B1131" s="1">
        <v>45999</v>
      </c>
      <c r="C1131">
        <v>1240</v>
      </c>
    </row>
    <row r="1132" spans="1:3">
      <c r="A1132" s="4" t="s">
        <v>296</v>
      </c>
      <c r="B1132" s="1">
        <v>45757</v>
      </c>
      <c r="C1132">
        <v>1240</v>
      </c>
    </row>
    <row r="1133" spans="1:3">
      <c r="A1133" s="4" t="s">
        <v>3516</v>
      </c>
      <c r="B1133" s="1">
        <v>45897</v>
      </c>
      <c r="C1133">
        <v>1227</v>
      </c>
    </row>
    <row r="1134" spans="1:3">
      <c r="A1134" s="4" t="s">
        <v>1073</v>
      </c>
      <c r="B1134" s="1">
        <v>45786</v>
      </c>
      <c r="C1134">
        <v>1224</v>
      </c>
    </row>
    <row r="1135" spans="1:3">
      <c r="A1135" s="4" t="s">
        <v>1836</v>
      </c>
      <c r="B1135" s="1">
        <v>45821</v>
      </c>
      <c r="C1135">
        <v>1211</v>
      </c>
    </row>
    <row r="1136" spans="1:3">
      <c r="A1136" s="4" t="s">
        <v>4599</v>
      </c>
      <c r="B1136" s="1">
        <v>45941</v>
      </c>
      <c r="C1136">
        <v>1200</v>
      </c>
    </row>
    <row r="1137" spans="1:3">
      <c r="A1137" s="4" t="s">
        <v>6813</v>
      </c>
      <c r="B1137" s="1">
        <v>46043</v>
      </c>
      <c r="C1137">
        <v>1200</v>
      </c>
    </row>
    <row r="1138" spans="1:3">
      <c r="A1138" s="4" t="s">
        <v>3064</v>
      </c>
      <c r="B1138" s="1">
        <v>45926</v>
      </c>
      <c r="C1138">
        <v>1194</v>
      </c>
    </row>
    <row r="1139" spans="1:3">
      <c r="A1139" s="4" t="s">
        <v>7246</v>
      </c>
      <c r="B1139" s="1">
        <v>46060</v>
      </c>
      <c r="C1139">
        <v>1184</v>
      </c>
    </row>
    <row r="1140" spans="1:3">
      <c r="A1140" s="4" t="s">
        <v>4888</v>
      </c>
      <c r="B1140" s="1">
        <v>45957</v>
      </c>
      <c r="C1140">
        <v>1162</v>
      </c>
    </row>
    <row r="1141" spans="1:3">
      <c r="A1141" s="4" t="s">
        <v>5683</v>
      </c>
      <c r="B1141" s="1">
        <v>46015</v>
      </c>
      <c r="C1141">
        <v>1161</v>
      </c>
    </row>
    <row r="1142" spans="1:3">
      <c r="A1142" s="4" t="s">
        <v>3541</v>
      </c>
      <c r="B1142" s="1">
        <v>45898</v>
      </c>
      <c r="C1142">
        <v>1157</v>
      </c>
    </row>
    <row r="1143" spans="1:3">
      <c r="A1143" s="4" t="s">
        <v>6330</v>
      </c>
      <c r="B1143" s="1">
        <v>46021</v>
      </c>
      <c r="C1143">
        <v>1155</v>
      </c>
    </row>
    <row r="1144" spans="1:3">
      <c r="A1144" s="4" t="s">
        <v>4064</v>
      </c>
      <c r="B1144" s="1">
        <v>45920</v>
      </c>
      <c r="C1144">
        <v>1150</v>
      </c>
    </row>
    <row r="1145" spans="1:3">
      <c r="A1145" s="4" t="s">
        <v>236</v>
      </c>
      <c r="B1145" s="1">
        <v>45755</v>
      </c>
      <c r="C1145">
        <v>1146</v>
      </c>
    </row>
    <row r="1146" spans="1:3">
      <c r="A1146" s="4" t="s">
        <v>6300</v>
      </c>
      <c r="B1146" s="1">
        <v>46020</v>
      </c>
      <c r="C1146">
        <v>1141</v>
      </c>
    </row>
    <row r="1147" spans="1:3">
      <c r="A1147" s="4" t="s">
        <v>4187</v>
      </c>
      <c r="B1147" s="1">
        <v>45925</v>
      </c>
      <c r="C1147">
        <v>1139</v>
      </c>
    </row>
    <row r="1148" spans="1:3">
      <c r="A1148" s="4" t="s">
        <v>5973</v>
      </c>
      <c r="B1148" s="1">
        <v>46006</v>
      </c>
      <c r="C1148">
        <v>1137</v>
      </c>
    </row>
    <row r="1149" spans="1:3">
      <c r="A1149" s="4" t="s">
        <v>4924</v>
      </c>
      <c r="B1149" s="1">
        <v>45959</v>
      </c>
      <c r="C1149">
        <v>1130</v>
      </c>
    </row>
    <row r="1150" spans="1:3">
      <c r="A1150" s="4" t="s">
        <v>952</v>
      </c>
      <c r="B1150" s="1">
        <v>45782</v>
      </c>
      <c r="C1150">
        <v>1123</v>
      </c>
    </row>
    <row r="1151" spans="1:3">
      <c r="A1151" s="4" t="s">
        <v>174</v>
      </c>
      <c r="B1151" s="1">
        <v>45768</v>
      </c>
      <c r="C1151">
        <v>1120</v>
      </c>
    </row>
    <row r="1152" spans="1:3">
      <c r="A1152" s="4" t="s">
        <v>3094</v>
      </c>
      <c r="B1152" s="1">
        <v>45881</v>
      </c>
      <c r="C1152">
        <v>1110</v>
      </c>
    </row>
    <row r="1153" spans="1:3">
      <c r="A1153" s="4" t="s">
        <v>3914</v>
      </c>
      <c r="B1153" s="1">
        <v>45913</v>
      </c>
      <c r="C1153">
        <v>1110</v>
      </c>
    </row>
    <row r="1154" spans="1:3">
      <c r="A1154" s="4" t="s">
        <v>1373</v>
      </c>
      <c r="B1154" s="1">
        <v>45798</v>
      </c>
      <c r="C1154">
        <v>1110</v>
      </c>
    </row>
    <row r="1155" spans="1:3">
      <c r="A1155" s="4" t="s">
        <v>7503</v>
      </c>
      <c r="B1155" s="1">
        <v>46071</v>
      </c>
      <c r="C1155">
        <v>1090</v>
      </c>
    </row>
    <row r="1156" spans="1:3">
      <c r="A1156" s="4" t="s">
        <v>607</v>
      </c>
      <c r="B1156" s="1">
        <v>45852</v>
      </c>
      <c r="C1156">
        <v>1080</v>
      </c>
    </row>
    <row r="1157" spans="1:3">
      <c r="A1157" s="4" t="s">
        <v>336</v>
      </c>
      <c r="B1157" s="1">
        <v>45777</v>
      </c>
      <c r="C1157">
        <v>1070</v>
      </c>
    </row>
    <row r="1158" spans="1:3">
      <c r="A1158" s="4" t="s">
        <v>1587</v>
      </c>
      <c r="B1158" s="1">
        <v>45812</v>
      </c>
      <c r="C1158">
        <v>1065</v>
      </c>
    </row>
    <row r="1159" spans="1:3">
      <c r="A1159" s="4" t="s">
        <v>2412</v>
      </c>
      <c r="B1159" s="1">
        <v>46036</v>
      </c>
      <c r="C1159">
        <v>1060</v>
      </c>
    </row>
    <row r="1160" spans="1:3">
      <c r="A1160" s="4" t="s">
        <v>4516</v>
      </c>
      <c r="B1160" s="1">
        <v>45939</v>
      </c>
      <c r="C1160">
        <v>1056</v>
      </c>
    </row>
    <row r="1161" spans="1:3">
      <c r="A1161" s="4" t="s">
        <v>4151</v>
      </c>
      <c r="B1161" s="1">
        <v>45924</v>
      </c>
      <c r="C1161">
        <v>1050</v>
      </c>
    </row>
    <row r="1162" spans="1:3">
      <c r="A1162" s="4" t="s">
        <v>1315</v>
      </c>
      <c r="B1162" s="1">
        <v>45796</v>
      </c>
      <c r="C1162">
        <v>1050</v>
      </c>
    </row>
    <row r="1163" spans="1:3">
      <c r="A1163" s="4" t="s">
        <v>7695</v>
      </c>
      <c r="B1163" s="1">
        <v>46077</v>
      </c>
      <c r="C1163">
        <v>1046</v>
      </c>
    </row>
    <row r="1164" spans="1:3">
      <c r="A1164" s="4" t="s">
        <v>4218</v>
      </c>
      <c r="B1164" s="1">
        <v>45926</v>
      </c>
      <c r="C1164">
        <v>1043</v>
      </c>
    </row>
    <row r="1165" spans="1:3">
      <c r="A1165" s="4" t="s">
        <v>7531</v>
      </c>
      <c r="B1165" s="1">
        <v>46072</v>
      </c>
      <c r="C1165">
        <v>1035</v>
      </c>
    </row>
    <row r="1166" spans="1:3">
      <c r="A1166" s="4" t="s">
        <v>5626</v>
      </c>
      <c r="B1166" s="1">
        <v>45989</v>
      </c>
      <c r="C1166">
        <v>1030</v>
      </c>
    </row>
    <row r="1167" spans="1:3">
      <c r="A1167" s="4" t="s">
        <v>6158</v>
      </c>
      <c r="B1167" s="1">
        <v>46014</v>
      </c>
      <c r="C1167">
        <v>1025</v>
      </c>
    </row>
    <row r="1168" spans="1:3">
      <c r="A1168" s="4" t="s">
        <v>4644</v>
      </c>
      <c r="B1168" s="1">
        <v>45945</v>
      </c>
      <c r="C1168">
        <v>1021</v>
      </c>
    </row>
    <row r="1169" spans="1:3">
      <c r="A1169" s="4" t="s">
        <v>300</v>
      </c>
      <c r="B1169" s="1">
        <v>45757</v>
      </c>
      <c r="C1169">
        <v>1020</v>
      </c>
    </row>
    <row r="1170" spans="1:3">
      <c r="A1170" s="4" t="s">
        <v>6795</v>
      </c>
      <c r="B1170" s="1">
        <v>46042</v>
      </c>
      <c r="C1170">
        <v>1020</v>
      </c>
    </row>
    <row r="1171" spans="1:3">
      <c r="A1171" s="4" t="s">
        <v>5144</v>
      </c>
      <c r="B1171" s="1">
        <v>45968</v>
      </c>
      <c r="C1171">
        <v>1020</v>
      </c>
    </row>
    <row r="1172" spans="1:3">
      <c r="A1172" s="4" t="s">
        <v>2172</v>
      </c>
      <c r="B1172" s="1">
        <v>45838</v>
      </c>
      <c r="C1172">
        <v>1011</v>
      </c>
    </row>
    <row r="1173" spans="1:3">
      <c r="A1173" s="4" t="s">
        <v>4729</v>
      </c>
      <c r="B1173" s="1">
        <v>45948</v>
      </c>
      <c r="C1173">
        <v>1000</v>
      </c>
    </row>
    <row r="1174" spans="1:3">
      <c r="A1174" s="4" t="s">
        <v>6968</v>
      </c>
      <c r="B1174" s="1">
        <v>46050</v>
      </c>
      <c r="C1174">
        <v>985</v>
      </c>
    </row>
    <row r="1175" spans="1:3">
      <c r="A1175" s="4" t="s">
        <v>3163</v>
      </c>
      <c r="B1175" s="1">
        <v>46051</v>
      </c>
      <c r="C1175">
        <v>980</v>
      </c>
    </row>
    <row r="1176" spans="1:3">
      <c r="A1176" s="4" t="s">
        <v>2235</v>
      </c>
      <c r="B1176" s="1">
        <v>45841</v>
      </c>
      <c r="C1176">
        <v>960</v>
      </c>
    </row>
    <row r="1177" spans="1:3">
      <c r="A1177" s="4" t="s">
        <v>4988</v>
      </c>
      <c r="B1177" s="1">
        <v>45961</v>
      </c>
      <c r="C1177">
        <v>960</v>
      </c>
    </row>
    <row r="1178" spans="1:3">
      <c r="A1178" s="4" t="s">
        <v>6940</v>
      </c>
      <c r="B1178" s="1">
        <v>46048</v>
      </c>
      <c r="C1178">
        <v>948</v>
      </c>
    </row>
    <row r="1179" spans="1:3">
      <c r="A1179" s="4" t="s">
        <v>6353</v>
      </c>
      <c r="B1179" s="1">
        <v>46022</v>
      </c>
      <c r="C1179">
        <v>948</v>
      </c>
    </row>
    <row r="1180" spans="1:3">
      <c r="A1180" s="4" t="s">
        <v>4511</v>
      </c>
      <c r="B1180" s="1">
        <v>45939</v>
      </c>
      <c r="C1180">
        <v>940</v>
      </c>
    </row>
    <row r="1181" spans="1:3">
      <c r="A1181" s="4" t="s">
        <v>1548</v>
      </c>
      <c r="B1181" s="1">
        <v>45808</v>
      </c>
      <c r="C1181">
        <v>928</v>
      </c>
    </row>
    <row r="1182" spans="1:3">
      <c r="A1182" s="4" t="s">
        <v>6090</v>
      </c>
      <c r="B1182" s="1">
        <v>46010</v>
      </c>
      <c r="C1182">
        <v>921</v>
      </c>
    </row>
    <row r="1183" spans="1:3">
      <c r="A1183" s="4" t="s">
        <v>6824</v>
      </c>
      <c r="B1183" s="1">
        <v>46043</v>
      </c>
      <c r="C1183">
        <v>920</v>
      </c>
    </row>
    <row r="1184" spans="1:3">
      <c r="A1184" s="4" t="s">
        <v>3635</v>
      </c>
      <c r="B1184" s="1">
        <v>45902</v>
      </c>
      <c r="C1184">
        <v>920</v>
      </c>
    </row>
    <row r="1185" spans="1:3">
      <c r="A1185" s="4" t="s">
        <v>1596</v>
      </c>
      <c r="B1185" s="1">
        <v>45810</v>
      </c>
      <c r="C1185">
        <v>917</v>
      </c>
    </row>
    <row r="1186" spans="1:3">
      <c r="A1186" s="4" t="s">
        <v>1465</v>
      </c>
      <c r="B1186" s="1">
        <v>45803</v>
      </c>
      <c r="C1186">
        <v>916</v>
      </c>
    </row>
    <row r="1187" spans="1:3">
      <c r="A1187" s="4" t="s">
        <v>4097</v>
      </c>
      <c r="B1187" s="1">
        <v>45922</v>
      </c>
      <c r="C1187">
        <v>914</v>
      </c>
    </row>
    <row r="1188" spans="1:3">
      <c r="A1188" s="4" t="s">
        <v>4792</v>
      </c>
      <c r="B1188" s="1">
        <v>45990</v>
      </c>
      <c r="C1188">
        <v>900</v>
      </c>
    </row>
    <row r="1189" spans="1:3">
      <c r="A1189" s="4" t="s">
        <v>4318</v>
      </c>
      <c r="B1189" s="1">
        <v>45930</v>
      </c>
      <c r="C1189">
        <v>888</v>
      </c>
    </row>
    <row r="1190" spans="1:3">
      <c r="A1190" s="4" t="s">
        <v>224</v>
      </c>
      <c r="B1190" s="1">
        <v>45782</v>
      </c>
      <c r="C1190">
        <v>874</v>
      </c>
    </row>
    <row r="1191" spans="1:3">
      <c r="A1191" s="4" t="s">
        <v>698</v>
      </c>
      <c r="B1191" s="1">
        <v>45773</v>
      </c>
      <c r="C1191">
        <v>873</v>
      </c>
    </row>
    <row r="1192" spans="1:3">
      <c r="A1192" s="4" t="s">
        <v>6739</v>
      </c>
      <c r="B1192" s="1">
        <v>46039</v>
      </c>
      <c r="C1192">
        <v>866</v>
      </c>
    </row>
    <row r="1193" spans="1:3">
      <c r="A1193" s="4" t="s">
        <v>4584</v>
      </c>
      <c r="B1193" s="1">
        <v>45941</v>
      </c>
      <c r="C1193">
        <v>863</v>
      </c>
    </row>
    <row r="1194" spans="1:3">
      <c r="A1194" s="4" t="s">
        <v>3679</v>
      </c>
      <c r="B1194" s="1">
        <v>46010</v>
      </c>
      <c r="C1194">
        <v>850</v>
      </c>
    </row>
    <row r="1195" spans="1:3">
      <c r="A1195" s="4" t="s">
        <v>1137</v>
      </c>
      <c r="B1195" s="1">
        <v>45789</v>
      </c>
      <c r="C1195">
        <v>850</v>
      </c>
    </row>
    <row r="1196" spans="1:3">
      <c r="A1196" s="4" t="s">
        <v>2546</v>
      </c>
      <c r="B1196" s="1">
        <v>45989</v>
      </c>
      <c r="C1196">
        <v>839</v>
      </c>
    </row>
    <row r="1197" spans="1:3">
      <c r="A1197" s="4" t="s">
        <v>5492</v>
      </c>
      <c r="B1197" s="1">
        <v>45982</v>
      </c>
      <c r="C1197">
        <v>829</v>
      </c>
    </row>
    <row r="1198" spans="1:3">
      <c r="A1198" s="4" t="s">
        <v>3138</v>
      </c>
      <c r="B1198" s="1">
        <v>45883</v>
      </c>
      <c r="C1198">
        <v>825</v>
      </c>
    </row>
    <row r="1199" spans="1:3">
      <c r="A1199" s="4" t="s">
        <v>4745</v>
      </c>
      <c r="B1199" s="1">
        <v>45948</v>
      </c>
      <c r="C1199">
        <v>802</v>
      </c>
    </row>
    <row r="1200" spans="1:3">
      <c r="A1200" s="4" t="s">
        <v>605</v>
      </c>
      <c r="B1200" s="1">
        <v>45769</v>
      </c>
      <c r="C1200">
        <v>800</v>
      </c>
    </row>
    <row r="1201" spans="1:3">
      <c r="A1201" s="4" t="s">
        <v>3955</v>
      </c>
      <c r="B1201" s="1">
        <v>45980</v>
      </c>
      <c r="C1201">
        <v>786</v>
      </c>
    </row>
    <row r="1202" spans="1:3">
      <c r="A1202" s="4" t="s">
        <v>6877</v>
      </c>
      <c r="B1202" s="1">
        <v>46045</v>
      </c>
      <c r="C1202">
        <v>770</v>
      </c>
    </row>
    <row r="1203" spans="1:3">
      <c r="A1203" s="4" t="s">
        <v>4650</v>
      </c>
      <c r="B1203" s="1">
        <v>45945</v>
      </c>
      <c r="C1203">
        <v>760</v>
      </c>
    </row>
    <row r="1204" spans="1:3">
      <c r="A1204" s="4" t="s">
        <v>2693</v>
      </c>
      <c r="B1204" s="1">
        <v>45899</v>
      </c>
      <c r="C1204">
        <v>760</v>
      </c>
    </row>
    <row r="1205" spans="1:3">
      <c r="A1205" s="4" t="s">
        <v>4809</v>
      </c>
      <c r="B1205" s="1">
        <v>45952</v>
      </c>
      <c r="C1205">
        <v>745</v>
      </c>
    </row>
    <row r="1206" spans="1:3">
      <c r="A1206" s="4" t="s">
        <v>3173</v>
      </c>
      <c r="B1206" s="1">
        <v>45884</v>
      </c>
      <c r="C1206">
        <v>740</v>
      </c>
    </row>
    <row r="1207" spans="1:3">
      <c r="A1207" s="4" t="s">
        <v>1519</v>
      </c>
      <c r="B1207" s="1">
        <v>45806</v>
      </c>
      <c r="C1207">
        <v>740</v>
      </c>
    </row>
    <row r="1208" spans="1:3">
      <c r="A1208" s="4" t="s">
        <v>1576</v>
      </c>
      <c r="B1208" s="1">
        <v>45810</v>
      </c>
      <c r="C1208">
        <v>740</v>
      </c>
    </row>
    <row r="1209" spans="1:3">
      <c r="A1209" s="4" t="s">
        <v>3308</v>
      </c>
      <c r="B1209" s="1">
        <v>45890</v>
      </c>
      <c r="C1209">
        <v>740</v>
      </c>
    </row>
    <row r="1210" spans="1:3">
      <c r="A1210" s="4" t="s">
        <v>1623</v>
      </c>
      <c r="B1210" s="1">
        <v>45811</v>
      </c>
      <c r="C1210">
        <v>740</v>
      </c>
    </row>
    <row r="1211" spans="1:3">
      <c r="A1211" s="4" t="s">
        <v>2922</v>
      </c>
      <c r="B1211" s="1">
        <v>45874</v>
      </c>
      <c r="C1211">
        <v>740</v>
      </c>
    </row>
    <row r="1212" spans="1:3">
      <c r="A1212" s="4" t="s">
        <v>3618</v>
      </c>
      <c r="B1212" s="1">
        <v>45902</v>
      </c>
      <c r="C1212">
        <v>740</v>
      </c>
    </row>
    <row r="1213" spans="1:3">
      <c r="A1213" s="4" t="s">
        <v>2636</v>
      </c>
      <c r="B1213" s="1">
        <v>45861</v>
      </c>
      <c r="C1213">
        <v>740</v>
      </c>
    </row>
    <row r="1214" spans="1:3">
      <c r="A1214" s="4" t="s">
        <v>2122</v>
      </c>
      <c r="B1214" s="1">
        <v>45841</v>
      </c>
      <c r="C1214">
        <v>740</v>
      </c>
    </row>
    <row r="1215" spans="1:3">
      <c r="A1215" s="4" t="s">
        <v>5803</v>
      </c>
      <c r="B1215" s="1">
        <v>45997</v>
      </c>
      <c r="C1215">
        <v>740</v>
      </c>
    </row>
    <row r="1216" spans="1:3">
      <c r="A1216" s="4" t="s">
        <v>3873</v>
      </c>
      <c r="B1216" s="1">
        <v>45912</v>
      </c>
      <c r="C1216">
        <v>740</v>
      </c>
    </row>
    <row r="1217" spans="1:3">
      <c r="A1217" s="4" t="s">
        <v>5324</v>
      </c>
      <c r="B1217" s="1">
        <v>45975</v>
      </c>
      <c r="C1217">
        <v>733</v>
      </c>
    </row>
    <row r="1218" spans="1:3">
      <c r="A1218" s="4" t="s">
        <v>4154</v>
      </c>
      <c r="B1218" s="1">
        <v>45924</v>
      </c>
      <c r="C1218">
        <v>725</v>
      </c>
    </row>
    <row r="1219" spans="1:3">
      <c r="A1219" s="4" t="s">
        <v>921</v>
      </c>
      <c r="B1219" s="1">
        <v>45780</v>
      </c>
      <c r="C1219">
        <v>720</v>
      </c>
    </row>
    <row r="1220" spans="1:3">
      <c r="A1220" s="4" t="s">
        <v>2032</v>
      </c>
      <c r="B1220" s="1">
        <v>45866</v>
      </c>
      <c r="C1220">
        <v>710</v>
      </c>
    </row>
    <row r="1221" spans="1:3">
      <c r="A1221" s="4" t="s">
        <v>4140</v>
      </c>
      <c r="B1221" s="1">
        <v>45923</v>
      </c>
      <c r="C1221">
        <v>700</v>
      </c>
    </row>
    <row r="1222" spans="1:3">
      <c r="A1222" s="4" t="s">
        <v>4082</v>
      </c>
      <c r="B1222" s="1">
        <v>45920</v>
      </c>
      <c r="C1222">
        <v>700</v>
      </c>
    </row>
    <row r="1223" spans="1:3">
      <c r="A1223" s="4" t="s">
        <v>4172</v>
      </c>
      <c r="B1223" s="1">
        <v>45950</v>
      </c>
      <c r="C1223">
        <v>690</v>
      </c>
    </row>
    <row r="1224" spans="1:3">
      <c r="A1224" s="4" t="s">
        <v>7403</v>
      </c>
      <c r="B1224" s="1">
        <v>46066</v>
      </c>
      <c r="C1224">
        <v>686</v>
      </c>
    </row>
    <row r="1225" spans="1:3">
      <c r="A1225" s="4" t="s">
        <v>4844</v>
      </c>
      <c r="B1225" s="1">
        <v>45954</v>
      </c>
      <c r="C1225">
        <v>680</v>
      </c>
    </row>
    <row r="1226" spans="1:3">
      <c r="A1226" s="4" t="s">
        <v>98</v>
      </c>
      <c r="B1226" s="1">
        <v>45750</v>
      </c>
      <c r="C1226">
        <v>680</v>
      </c>
    </row>
    <row r="1227" spans="1:3">
      <c r="A1227" s="4" t="s">
        <v>1326</v>
      </c>
      <c r="B1227" s="1">
        <v>45797</v>
      </c>
      <c r="C1227">
        <v>666</v>
      </c>
    </row>
    <row r="1228" spans="1:3">
      <c r="A1228" s="4" t="s">
        <v>640</v>
      </c>
      <c r="B1228" s="1">
        <v>45771</v>
      </c>
      <c r="C1228">
        <v>644</v>
      </c>
    </row>
    <row r="1229" spans="1:3">
      <c r="A1229" s="4" t="s">
        <v>6605</v>
      </c>
      <c r="B1229" s="1">
        <v>46034</v>
      </c>
      <c r="C1229">
        <v>640</v>
      </c>
    </row>
    <row r="1230" spans="1:3">
      <c r="A1230" s="4" t="s">
        <v>6949</v>
      </c>
      <c r="B1230" s="1">
        <v>46048</v>
      </c>
      <c r="C1230">
        <v>640</v>
      </c>
    </row>
    <row r="1231" spans="1:3">
      <c r="A1231" s="4" t="s">
        <v>7746</v>
      </c>
      <c r="B1231" s="1">
        <v>46079</v>
      </c>
      <c r="C1231">
        <v>640</v>
      </c>
    </row>
    <row r="1232" spans="1:3">
      <c r="A1232" s="4" t="s">
        <v>1887</v>
      </c>
      <c r="B1232" s="1">
        <v>45855</v>
      </c>
      <c r="C1232">
        <v>635</v>
      </c>
    </row>
    <row r="1233" spans="1:3">
      <c r="A1233" s="4" t="s">
        <v>7598</v>
      </c>
      <c r="B1233" s="1">
        <v>46074</v>
      </c>
      <c r="C1233">
        <v>630</v>
      </c>
    </row>
    <row r="1234" spans="1:3">
      <c r="A1234" s="4" t="s">
        <v>6502</v>
      </c>
      <c r="B1234" s="1">
        <v>46030</v>
      </c>
      <c r="C1234">
        <v>620</v>
      </c>
    </row>
    <row r="1235" spans="1:3">
      <c r="A1235" s="4" t="s">
        <v>5998</v>
      </c>
      <c r="B1235" s="1">
        <v>46007</v>
      </c>
      <c r="C1235">
        <v>620</v>
      </c>
    </row>
    <row r="1236" spans="1:3">
      <c r="A1236" s="4" t="s">
        <v>1725</v>
      </c>
      <c r="B1236" s="1">
        <v>45815</v>
      </c>
      <c r="C1236">
        <v>606</v>
      </c>
    </row>
    <row r="1237" spans="1:3">
      <c r="A1237" s="4" t="s">
        <v>1711</v>
      </c>
      <c r="B1237" s="1">
        <v>45814</v>
      </c>
      <c r="C1237">
        <v>601</v>
      </c>
    </row>
    <row r="1238" spans="1:3">
      <c r="A1238" s="4" t="s">
        <v>5761</v>
      </c>
      <c r="B1238" s="1">
        <v>46060</v>
      </c>
      <c r="C1238">
        <v>600</v>
      </c>
    </row>
    <row r="1239" spans="1:3">
      <c r="A1239" s="4" t="s">
        <v>141</v>
      </c>
      <c r="B1239" s="1">
        <v>45751</v>
      </c>
      <c r="C1239">
        <v>600</v>
      </c>
    </row>
    <row r="1240" spans="1:3">
      <c r="A1240" s="4" t="s">
        <v>6083</v>
      </c>
      <c r="B1240" s="1">
        <v>46010</v>
      </c>
      <c r="C1240">
        <v>591</v>
      </c>
    </row>
    <row r="1241" spans="1:3">
      <c r="A1241" s="4" t="s">
        <v>6235</v>
      </c>
      <c r="B1241" s="1">
        <v>46017</v>
      </c>
      <c r="C1241">
        <v>590</v>
      </c>
    </row>
    <row r="1242" spans="1:3">
      <c r="A1242" s="4" t="s">
        <v>2632</v>
      </c>
      <c r="B1242" s="1">
        <v>45861</v>
      </c>
      <c r="C1242">
        <v>590</v>
      </c>
    </row>
    <row r="1243" spans="1:3">
      <c r="A1243" s="4" t="s">
        <v>4823</v>
      </c>
      <c r="B1243" s="1">
        <v>45953</v>
      </c>
      <c r="C1243">
        <v>590</v>
      </c>
    </row>
    <row r="1244" spans="1:3">
      <c r="A1244" s="4" t="s">
        <v>1626</v>
      </c>
      <c r="B1244" s="1">
        <v>45811</v>
      </c>
      <c r="C1244">
        <v>588</v>
      </c>
    </row>
    <row r="1245" spans="1:3">
      <c r="A1245" s="4" t="s">
        <v>5990</v>
      </c>
      <c r="B1245" s="1">
        <v>46036</v>
      </c>
      <c r="C1245">
        <v>586</v>
      </c>
    </row>
    <row r="1246" spans="1:3">
      <c r="A1246" s="4" t="s">
        <v>5148</v>
      </c>
      <c r="B1246" s="1">
        <v>45968</v>
      </c>
      <c r="C1246">
        <v>581</v>
      </c>
    </row>
    <row r="1247" spans="1:3">
      <c r="A1247" s="4" t="s">
        <v>4363</v>
      </c>
      <c r="B1247" s="1">
        <v>45932</v>
      </c>
      <c r="C1247">
        <v>572</v>
      </c>
    </row>
    <row r="1248" spans="1:3">
      <c r="A1248" s="4" t="s">
        <v>7037</v>
      </c>
      <c r="B1248" s="1">
        <v>46067</v>
      </c>
      <c r="C1248">
        <v>565</v>
      </c>
    </row>
    <row r="1249" spans="1:3">
      <c r="A1249" s="4" t="s">
        <v>7713</v>
      </c>
      <c r="B1249" s="1">
        <v>46078</v>
      </c>
      <c r="C1249">
        <v>562</v>
      </c>
    </row>
    <row r="1250" spans="1:3">
      <c r="A1250" s="4" t="s">
        <v>5079</v>
      </c>
      <c r="B1250" s="1">
        <v>45965</v>
      </c>
      <c r="C1250">
        <v>561</v>
      </c>
    </row>
    <row r="1251" spans="1:3">
      <c r="A1251" s="4" t="s">
        <v>984</v>
      </c>
      <c r="B1251" s="1">
        <v>45906</v>
      </c>
      <c r="C1251">
        <v>557</v>
      </c>
    </row>
    <row r="1252" spans="1:3">
      <c r="A1252" s="4" t="s">
        <v>7720</v>
      </c>
      <c r="B1252" s="1">
        <v>46078</v>
      </c>
      <c r="C1252">
        <v>555</v>
      </c>
    </row>
    <row r="1253" spans="1:3">
      <c r="A1253" s="4" t="s">
        <v>771</v>
      </c>
      <c r="B1253" s="1">
        <v>45920</v>
      </c>
      <c r="C1253">
        <v>550</v>
      </c>
    </row>
    <row r="1254" spans="1:3">
      <c r="A1254" s="4" t="s">
        <v>3708</v>
      </c>
      <c r="B1254" s="1">
        <v>45906</v>
      </c>
      <c r="C1254">
        <v>550</v>
      </c>
    </row>
    <row r="1255" spans="1:3">
      <c r="A1255" s="4" t="s">
        <v>4413</v>
      </c>
      <c r="B1255" s="1">
        <v>45986</v>
      </c>
      <c r="C1255">
        <v>520</v>
      </c>
    </row>
    <row r="1256" spans="1:3">
      <c r="A1256" s="4" t="s">
        <v>6928</v>
      </c>
      <c r="B1256" s="1">
        <v>46046</v>
      </c>
      <c r="C1256">
        <v>520</v>
      </c>
    </row>
    <row r="1257" spans="1:3">
      <c r="A1257" s="4" t="s">
        <v>1638</v>
      </c>
      <c r="B1257" s="1">
        <v>45812</v>
      </c>
      <c r="C1257">
        <v>513</v>
      </c>
    </row>
    <row r="1258" spans="1:3">
      <c r="A1258" s="4" t="s">
        <v>7486</v>
      </c>
      <c r="B1258" s="1">
        <v>46070</v>
      </c>
      <c r="C1258">
        <v>506</v>
      </c>
    </row>
    <row r="1259" spans="1:3">
      <c r="A1259" s="4" t="s">
        <v>7683</v>
      </c>
      <c r="B1259" s="1">
        <v>46077</v>
      </c>
      <c r="C1259">
        <v>500</v>
      </c>
    </row>
    <row r="1260" spans="1:3">
      <c r="A1260" s="4" t="s">
        <v>1980</v>
      </c>
      <c r="B1260" s="1">
        <v>45861</v>
      </c>
      <c r="C1260">
        <v>500</v>
      </c>
    </row>
    <row r="1261" spans="1:3">
      <c r="A1261" s="4" t="s">
        <v>5638</v>
      </c>
      <c r="B1261" s="1">
        <v>45989</v>
      </c>
      <c r="C1261">
        <v>500</v>
      </c>
    </row>
    <row r="1262" spans="1:3">
      <c r="A1262" s="4" t="s">
        <v>465</v>
      </c>
      <c r="B1262" s="1">
        <v>45763</v>
      </c>
      <c r="C1262">
        <v>495</v>
      </c>
    </row>
    <row r="1263" spans="1:3">
      <c r="A1263" s="4" t="s">
        <v>6014</v>
      </c>
      <c r="B1263" s="1">
        <v>46053</v>
      </c>
      <c r="C1263">
        <v>484</v>
      </c>
    </row>
    <row r="1264" spans="1:3">
      <c r="A1264" s="4" t="s">
        <v>2478</v>
      </c>
      <c r="B1264" s="1">
        <v>45853</v>
      </c>
      <c r="C1264">
        <v>470</v>
      </c>
    </row>
    <row r="1265" spans="1:3">
      <c r="A1265" s="4" t="s">
        <v>4242</v>
      </c>
      <c r="B1265" s="1">
        <v>45927</v>
      </c>
      <c r="C1265">
        <v>465</v>
      </c>
    </row>
    <row r="1266" spans="1:3">
      <c r="A1266" s="4" t="s">
        <v>7165</v>
      </c>
      <c r="B1266" s="1">
        <v>46058</v>
      </c>
      <c r="C1266">
        <v>460</v>
      </c>
    </row>
    <row r="1267" spans="1:3">
      <c r="A1267" s="4" t="s">
        <v>1006</v>
      </c>
      <c r="B1267" s="1">
        <v>45852</v>
      </c>
      <c r="C1267">
        <v>460</v>
      </c>
    </row>
    <row r="1268" spans="1:3">
      <c r="A1268" s="4" t="s">
        <v>7775</v>
      </c>
      <c r="B1268" s="1">
        <v>46079</v>
      </c>
      <c r="C1268">
        <v>460</v>
      </c>
    </row>
    <row r="1269" spans="1:3">
      <c r="A1269" s="4" t="s">
        <v>808</v>
      </c>
      <c r="B1269" s="1">
        <v>45777</v>
      </c>
      <c r="C1269">
        <v>456</v>
      </c>
    </row>
    <row r="1270" spans="1:3">
      <c r="A1270" s="4" t="s">
        <v>2446</v>
      </c>
      <c r="B1270" s="1">
        <v>45850</v>
      </c>
      <c r="C1270">
        <v>454</v>
      </c>
    </row>
    <row r="1271" spans="1:3">
      <c r="A1271" s="4" t="s">
        <v>2902</v>
      </c>
      <c r="B1271" s="1">
        <v>45873</v>
      </c>
      <c r="C1271">
        <v>450</v>
      </c>
    </row>
    <row r="1272" spans="1:3">
      <c r="A1272" s="4" t="s">
        <v>127</v>
      </c>
      <c r="B1272" s="1">
        <v>45751</v>
      </c>
      <c r="C1272">
        <v>450</v>
      </c>
    </row>
    <row r="1273" spans="1:3">
      <c r="A1273" s="4" t="s">
        <v>1503</v>
      </c>
      <c r="B1273" s="1">
        <v>45925</v>
      </c>
      <c r="C1273">
        <v>440</v>
      </c>
    </row>
    <row r="1274" spans="1:3">
      <c r="A1274" s="4" t="s">
        <v>1340</v>
      </c>
      <c r="B1274" s="1">
        <v>45797</v>
      </c>
      <c r="C1274">
        <v>425</v>
      </c>
    </row>
    <row r="1275" spans="1:3">
      <c r="A1275" s="4" t="s">
        <v>3721</v>
      </c>
      <c r="B1275" s="1">
        <v>45906</v>
      </c>
      <c r="C1275">
        <v>425</v>
      </c>
    </row>
    <row r="1276" spans="1:3">
      <c r="A1276" s="4" t="s">
        <v>1527</v>
      </c>
      <c r="B1276" s="1">
        <v>45806</v>
      </c>
      <c r="C1276">
        <v>420</v>
      </c>
    </row>
    <row r="1277" spans="1:3">
      <c r="A1277" s="4" t="s">
        <v>3040</v>
      </c>
      <c r="B1277" s="1">
        <v>45910</v>
      </c>
      <c r="C1277">
        <v>420</v>
      </c>
    </row>
    <row r="1278" spans="1:3">
      <c r="A1278" s="4" t="s">
        <v>3693</v>
      </c>
      <c r="B1278" s="1">
        <v>45904</v>
      </c>
      <c r="C1278">
        <v>410</v>
      </c>
    </row>
    <row r="1279" spans="1:3">
      <c r="A1279" s="4" t="s">
        <v>1559</v>
      </c>
      <c r="B1279" s="1">
        <v>45808</v>
      </c>
      <c r="C1279">
        <v>405</v>
      </c>
    </row>
    <row r="1280" spans="1:3">
      <c r="A1280" s="4" t="s">
        <v>7289</v>
      </c>
      <c r="B1280" s="1">
        <v>46062</v>
      </c>
      <c r="C1280">
        <v>400</v>
      </c>
    </row>
    <row r="1281" spans="1:3">
      <c r="A1281" s="4" t="s">
        <v>7769</v>
      </c>
      <c r="B1281" s="1">
        <v>46079</v>
      </c>
      <c r="C1281">
        <v>400</v>
      </c>
    </row>
    <row r="1282" spans="1:3">
      <c r="A1282" s="4" t="s">
        <v>3892</v>
      </c>
      <c r="B1282" s="1">
        <v>45913</v>
      </c>
      <c r="C1282">
        <v>400</v>
      </c>
    </row>
    <row r="1283" spans="1:3">
      <c r="A1283" s="4" t="s">
        <v>2085</v>
      </c>
      <c r="B1283" s="1">
        <v>46062</v>
      </c>
      <c r="C1283">
        <v>395</v>
      </c>
    </row>
    <row r="1284" spans="1:3">
      <c r="A1284" s="4" t="s">
        <v>1386</v>
      </c>
      <c r="B1284" s="1">
        <v>45799</v>
      </c>
      <c r="C1284">
        <v>395</v>
      </c>
    </row>
    <row r="1285" spans="1:3">
      <c r="A1285" s="4" t="s">
        <v>1475</v>
      </c>
      <c r="B1285" s="1">
        <v>45804</v>
      </c>
      <c r="C1285">
        <v>390</v>
      </c>
    </row>
    <row r="1286" spans="1:3">
      <c r="A1286" s="4" t="s">
        <v>2448</v>
      </c>
      <c r="B1286" s="1">
        <v>45851</v>
      </c>
      <c r="C1286">
        <v>390</v>
      </c>
    </row>
    <row r="1287" spans="1:3">
      <c r="A1287" s="4" t="s">
        <v>6881</v>
      </c>
      <c r="B1287" s="1">
        <v>46045</v>
      </c>
      <c r="C1287">
        <v>385</v>
      </c>
    </row>
    <row r="1288" spans="1:3">
      <c r="A1288" s="4" t="s">
        <v>3785</v>
      </c>
      <c r="B1288" s="1">
        <v>45909</v>
      </c>
      <c r="C1288">
        <v>383</v>
      </c>
    </row>
    <row r="1289" spans="1:3">
      <c r="A1289" s="4" t="s">
        <v>4302</v>
      </c>
      <c r="B1289" s="1">
        <v>45930</v>
      </c>
      <c r="C1289">
        <v>380</v>
      </c>
    </row>
    <row r="1290" spans="1:3">
      <c r="A1290" s="4" t="s">
        <v>4562</v>
      </c>
      <c r="B1290" s="1">
        <v>45940</v>
      </c>
      <c r="C1290">
        <v>380</v>
      </c>
    </row>
    <row r="1291" spans="1:3">
      <c r="A1291" s="4" t="s">
        <v>5202</v>
      </c>
      <c r="B1291" s="1">
        <v>45971</v>
      </c>
      <c r="C1291">
        <v>377</v>
      </c>
    </row>
    <row r="1292" spans="1:3">
      <c r="A1292" s="4" t="s">
        <v>3130</v>
      </c>
      <c r="B1292" s="1">
        <v>45883</v>
      </c>
      <c r="C1292">
        <v>370</v>
      </c>
    </row>
    <row r="1293" spans="1:3">
      <c r="A1293" s="4" t="s">
        <v>1552</v>
      </c>
      <c r="B1293" s="1">
        <v>45808</v>
      </c>
      <c r="C1293">
        <v>370</v>
      </c>
    </row>
    <row r="1294" spans="1:3">
      <c r="A1294" s="4" t="s">
        <v>3184</v>
      </c>
      <c r="B1294" s="1">
        <v>45884</v>
      </c>
      <c r="C1294">
        <v>370</v>
      </c>
    </row>
    <row r="1295" spans="1:3">
      <c r="A1295" s="4" t="s">
        <v>3933</v>
      </c>
      <c r="B1295" s="1">
        <v>45915</v>
      </c>
      <c r="C1295">
        <v>370</v>
      </c>
    </row>
    <row r="1296" spans="1:3">
      <c r="A1296" s="4" t="s">
        <v>2600</v>
      </c>
      <c r="B1296" s="1">
        <v>45859</v>
      </c>
      <c r="C1296">
        <v>370</v>
      </c>
    </row>
    <row r="1297" spans="1:3">
      <c r="A1297" s="4" t="s">
        <v>2128</v>
      </c>
      <c r="B1297" s="1">
        <v>45835</v>
      </c>
      <c r="C1297">
        <v>370</v>
      </c>
    </row>
    <row r="1298" spans="1:3">
      <c r="A1298" s="4" t="s">
        <v>3591</v>
      </c>
      <c r="B1298" s="1">
        <v>45901</v>
      </c>
      <c r="C1298">
        <v>370</v>
      </c>
    </row>
    <row r="1299" spans="1:3">
      <c r="A1299" s="4" t="s">
        <v>3719</v>
      </c>
      <c r="B1299" s="1">
        <v>45906</v>
      </c>
      <c r="C1299">
        <v>370</v>
      </c>
    </row>
    <row r="1300" spans="1:3">
      <c r="A1300" s="4" t="s">
        <v>3603</v>
      </c>
      <c r="B1300" s="1">
        <v>45901</v>
      </c>
      <c r="C1300">
        <v>370</v>
      </c>
    </row>
    <row r="1301" spans="1:3">
      <c r="A1301" s="4" t="s">
        <v>2029</v>
      </c>
      <c r="B1301" s="1">
        <v>45831</v>
      </c>
      <c r="C1301">
        <v>370</v>
      </c>
    </row>
    <row r="1302" spans="1:3">
      <c r="A1302" s="4" t="s">
        <v>3830</v>
      </c>
      <c r="B1302" s="1">
        <v>45911</v>
      </c>
      <c r="C1302">
        <v>370</v>
      </c>
    </row>
    <row r="1303" spans="1:3">
      <c r="A1303" s="4" t="s">
        <v>2404</v>
      </c>
      <c r="B1303" s="1">
        <v>45849</v>
      </c>
      <c r="C1303">
        <v>370</v>
      </c>
    </row>
    <row r="1304" spans="1:3">
      <c r="A1304" s="4" t="s">
        <v>1063</v>
      </c>
      <c r="B1304" s="1">
        <v>45786</v>
      </c>
      <c r="C1304">
        <v>370</v>
      </c>
    </row>
    <row r="1305" spans="1:3">
      <c r="A1305" s="4" t="s">
        <v>6000</v>
      </c>
      <c r="B1305" s="1">
        <v>46030</v>
      </c>
      <c r="C1305">
        <v>368</v>
      </c>
    </row>
    <row r="1306" spans="1:3">
      <c r="A1306" s="4" t="s">
        <v>4802</v>
      </c>
      <c r="B1306" s="1">
        <v>45952</v>
      </c>
      <c r="C1306">
        <v>360</v>
      </c>
    </row>
    <row r="1307" spans="1:3">
      <c r="A1307" s="4" t="s">
        <v>919</v>
      </c>
      <c r="B1307" s="1">
        <v>45780</v>
      </c>
      <c r="C1307">
        <v>360</v>
      </c>
    </row>
    <row r="1308" spans="1:3">
      <c r="A1308" s="4" t="s">
        <v>3783</v>
      </c>
      <c r="B1308" s="1">
        <v>45909</v>
      </c>
      <c r="C1308">
        <v>352</v>
      </c>
    </row>
    <row r="1309" spans="1:3">
      <c r="A1309" s="4" t="s">
        <v>4272</v>
      </c>
      <c r="B1309" s="1">
        <v>45929</v>
      </c>
      <c r="C1309">
        <v>350</v>
      </c>
    </row>
    <row r="1310" spans="1:3">
      <c r="A1310" s="4" t="s">
        <v>4325</v>
      </c>
      <c r="B1310" s="1">
        <v>45930</v>
      </c>
      <c r="C1310">
        <v>350</v>
      </c>
    </row>
    <row r="1311" spans="1:3">
      <c r="A1311" s="4" t="s">
        <v>488</v>
      </c>
      <c r="B1311" s="1">
        <v>45764</v>
      </c>
      <c r="C1311">
        <v>350</v>
      </c>
    </row>
    <row r="1312" spans="1:3">
      <c r="A1312" s="4" t="s">
        <v>4586</v>
      </c>
      <c r="B1312" s="1">
        <v>45941</v>
      </c>
      <c r="C1312">
        <v>340</v>
      </c>
    </row>
    <row r="1313" spans="1:3">
      <c r="A1313" s="4" t="s">
        <v>5226</v>
      </c>
      <c r="B1313" s="1">
        <v>45972</v>
      </c>
      <c r="C1313">
        <v>340</v>
      </c>
    </row>
    <row r="1314" spans="1:3">
      <c r="A1314" s="4" t="s">
        <v>241</v>
      </c>
      <c r="B1314" s="1">
        <v>45755</v>
      </c>
      <c r="C1314">
        <v>340</v>
      </c>
    </row>
    <row r="1315" spans="1:3">
      <c r="A1315" s="4" t="s">
        <v>5523</v>
      </c>
      <c r="B1315" s="1">
        <v>45983</v>
      </c>
      <c r="C1315">
        <v>340</v>
      </c>
    </row>
    <row r="1316" spans="1:3">
      <c r="A1316" s="4" t="s">
        <v>421</v>
      </c>
      <c r="B1316" s="1">
        <v>45762</v>
      </c>
      <c r="C1316">
        <v>340</v>
      </c>
    </row>
    <row r="1317" spans="1:3">
      <c r="A1317" s="4" t="s">
        <v>4446</v>
      </c>
      <c r="B1317" s="1">
        <v>45936</v>
      </c>
      <c r="C1317">
        <v>340</v>
      </c>
    </row>
    <row r="1318" spans="1:3">
      <c r="A1318" s="4" t="s">
        <v>5596</v>
      </c>
      <c r="B1318" s="1">
        <v>45988</v>
      </c>
      <c r="C1318">
        <v>340</v>
      </c>
    </row>
    <row r="1319" spans="1:3">
      <c r="A1319" s="4" t="s">
        <v>4464</v>
      </c>
      <c r="B1319" s="1">
        <v>45937</v>
      </c>
      <c r="C1319">
        <v>340</v>
      </c>
    </row>
    <row r="1320" spans="1:3">
      <c r="A1320" s="4" t="s">
        <v>5474</v>
      </c>
      <c r="B1320" s="1">
        <v>45981</v>
      </c>
      <c r="C1320">
        <v>340</v>
      </c>
    </row>
    <row r="1321" spans="1:3">
      <c r="A1321" s="4" t="s">
        <v>406</v>
      </c>
      <c r="B1321" s="1">
        <v>45761</v>
      </c>
      <c r="C1321">
        <v>340</v>
      </c>
    </row>
    <row r="1322" spans="1:3">
      <c r="A1322" s="4" t="s">
        <v>4799</v>
      </c>
      <c r="B1322" s="1">
        <v>45952</v>
      </c>
      <c r="C1322">
        <v>340</v>
      </c>
    </row>
    <row r="1323" spans="1:3">
      <c r="A1323" s="4" t="s">
        <v>7301</v>
      </c>
      <c r="B1323" s="1">
        <v>46063</v>
      </c>
      <c r="C1323">
        <v>330</v>
      </c>
    </row>
    <row r="1324" spans="1:3">
      <c r="A1324" s="4" t="s">
        <v>1299</v>
      </c>
      <c r="B1324" s="1">
        <v>45796</v>
      </c>
      <c r="C1324">
        <v>330</v>
      </c>
    </row>
    <row r="1325" spans="1:3">
      <c r="A1325" s="4" t="s">
        <v>5737</v>
      </c>
      <c r="B1325" s="1">
        <v>45994</v>
      </c>
      <c r="C1325">
        <v>330</v>
      </c>
    </row>
    <row r="1326" spans="1:3">
      <c r="A1326" s="4" t="s">
        <v>3213</v>
      </c>
      <c r="B1326" s="1">
        <v>45885</v>
      </c>
      <c r="C1326">
        <v>324</v>
      </c>
    </row>
    <row r="1327" spans="1:3">
      <c r="A1327" s="4" t="s">
        <v>5441</v>
      </c>
      <c r="B1327" s="1">
        <v>45980</v>
      </c>
      <c r="C1327">
        <v>322</v>
      </c>
    </row>
    <row r="1328" spans="1:3">
      <c r="A1328" s="4" t="s">
        <v>7644</v>
      </c>
      <c r="B1328" s="1">
        <v>46076</v>
      </c>
      <c r="C1328">
        <v>320</v>
      </c>
    </row>
    <row r="1329" spans="1:3">
      <c r="A1329" s="4" t="s">
        <v>7437</v>
      </c>
      <c r="B1329" s="1">
        <v>46069</v>
      </c>
      <c r="C1329">
        <v>320</v>
      </c>
    </row>
    <row r="1330" spans="1:3">
      <c r="A1330" s="4" t="s">
        <v>6711</v>
      </c>
      <c r="B1330" s="1">
        <v>46038</v>
      </c>
      <c r="C1330">
        <v>320</v>
      </c>
    </row>
    <row r="1331" spans="1:3">
      <c r="A1331" s="4" t="s">
        <v>7405</v>
      </c>
      <c r="B1331" s="1">
        <v>46066</v>
      </c>
      <c r="C1331">
        <v>320</v>
      </c>
    </row>
    <row r="1332" spans="1:3">
      <c r="A1332" s="4" t="s">
        <v>7809</v>
      </c>
      <c r="B1332" s="1">
        <v>46081</v>
      </c>
      <c r="C1332">
        <v>320</v>
      </c>
    </row>
    <row r="1333" spans="1:3">
      <c r="A1333" s="4" t="s">
        <v>7109</v>
      </c>
      <c r="B1333" s="1">
        <v>46056</v>
      </c>
      <c r="C1333">
        <v>320</v>
      </c>
    </row>
    <row r="1334" spans="1:3">
      <c r="A1334" s="4" t="s">
        <v>7204</v>
      </c>
      <c r="B1334" s="1">
        <v>46059</v>
      </c>
      <c r="C1334">
        <v>320</v>
      </c>
    </row>
    <row r="1335" spans="1:3">
      <c r="A1335" s="4" t="s">
        <v>7430</v>
      </c>
      <c r="B1335" s="1">
        <v>46067</v>
      </c>
      <c r="C1335">
        <v>320</v>
      </c>
    </row>
    <row r="1336" spans="1:3">
      <c r="A1336" s="4" t="s">
        <v>6714</v>
      </c>
      <c r="B1336" s="1">
        <v>46038</v>
      </c>
      <c r="C1336">
        <v>320</v>
      </c>
    </row>
    <row r="1337" spans="1:3">
      <c r="A1337" s="4" t="s">
        <v>7538</v>
      </c>
      <c r="B1337" s="1">
        <v>46072</v>
      </c>
      <c r="C1337">
        <v>320</v>
      </c>
    </row>
    <row r="1338" spans="1:3">
      <c r="A1338" s="4" t="s">
        <v>7600</v>
      </c>
      <c r="B1338" s="1">
        <v>46074</v>
      </c>
      <c r="C1338">
        <v>320</v>
      </c>
    </row>
    <row r="1339" spans="1:3">
      <c r="A1339" s="4" t="s">
        <v>6002</v>
      </c>
      <c r="B1339" s="1">
        <v>46007</v>
      </c>
      <c r="C1339">
        <v>310</v>
      </c>
    </row>
    <row r="1340" spans="1:3">
      <c r="A1340" s="4" t="s">
        <v>7177</v>
      </c>
      <c r="B1340" s="1">
        <v>46058</v>
      </c>
      <c r="C1340">
        <v>310</v>
      </c>
    </row>
    <row r="1341" spans="1:3">
      <c r="A1341" s="4" t="s">
        <v>3582</v>
      </c>
      <c r="B1341" s="1">
        <v>45899</v>
      </c>
      <c r="C1341">
        <v>310</v>
      </c>
    </row>
    <row r="1342" spans="1:3">
      <c r="A1342" s="4" t="s">
        <v>6051</v>
      </c>
      <c r="B1342" s="1">
        <v>46008</v>
      </c>
      <c r="C1342">
        <v>310</v>
      </c>
    </row>
    <row r="1343" spans="1:3">
      <c r="A1343" s="4" t="s">
        <v>6274</v>
      </c>
      <c r="B1343" s="1">
        <v>46020</v>
      </c>
      <c r="C1343">
        <v>310</v>
      </c>
    </row>
    <row r="1344" spans="1:3">
      <c r="A1344" s="4" t="s">
        <v>6011</v>
      </c>
      <c r="B1344" s="1">
        <v>46007</v>
      </c>
      <c r="C1344">
        <v>310</v>
      </c>
    </row>
    <row r="1345" spans="1:3">
      <c r="A1345" s="4" t="s">
        <v>7227</v>
      </c>
      <c r="B1345" s="1">
        <v>46060</v>
      </c>
      <c r="C1345">
        <v>300</v>
      </c>
    </row>
    <row r="1346" spans="1:3">
      <c r="A1346" s="4" t="s">
        <v>5952</v>
      </c>
      <c r="B1346" s="1">
        <v>46004</v>
      </c>
      <c r="C1346">
        <v>300</v>
      </c>
    </row>
    <row r="1347" spans="1:3">
      <c r="A1347" s="4" t="s">
        <v>1335</v>
      </c>
      <c r="B1347" s="1">
        <v>45797</v>
      </c>
      <c r="C1347">
        <v>297</v>
      </c>
    </row>
    <row r="1348" spans="1:3">
      <c r="A1348" s="4" t="s">
        <v>178</v>
      </c>
      <c r="B1348" s="1">
        <v>45754</v>
      </c>
      <c r="C1348">
        <v>290</v>
      </c>
    </row>
    <row r="1349" spans="1:3">
      <c r="A1349" s="4" t="s">
        <v>2730</v>
      </c>
      <c r="B1349" s="1">
        <v>45866</v>
      </c>
      <c r="C1349">
        <v>290</v>
      </c>
    </row>
    <row r="1350" spans="1:3">
      <c r="A1350" s="4" t="s">
        <v>1371</v>
      </c>
      <c r="B1350" s="1">
        <v>45798</v>
      </c>
      <c r="C1350">
        <v>286</v>
      </c>
    </row>
    <row r="1351" spans="1:3">
      <c r="A1351" s="4" t="s">
        <v>7283</v>
      </c>
      <c r="B1351" s="1">
        <v>46062</v>
      </c>
      <c r="C1351">
        <v>280</v>
      </c>
    </row>
    <row r="1352" spans="1:3">
      <c r="A1352" s="4" t="s">
        <v>5053</v>
      </c>
      <c r="B1352" s="1">
        <v>45964</v>
      </c>
      <c r="C1352">
        <v>265</v>
      </c>
    </row>
    <row r="1353" spans="1:3">
      <c r="A1353" s="4" t="s">
        <v>2227</v>
      </c>
      <c r="B1353" s="1">
        <v>45841</v>
      </c>
      <c r="C1353">
        <v>264</v>
      </c>
    </row>
    <row r="1354" spans="1:3">
      <c r="A1354" s="4" t="s">
        <v>7517</v>
      </c>
      <c r="B1354" s="1">
        <v>46071</v>
      </c>
      <c r="C1354">
        <v>260</v>
      </c>
    </row>
    <row r="1355" spans="1:3">
      <c r="A1355" s="4" t="s">
        <v>4209</v>
      </c>
      <c r="B1355" s="1">
        <v>45926</v>
      </c>
      <c r="C1355">
        <v>250</v>
      </c>
    </row>
    <row r="1356" spans="1:3">
      <c r="A1356" s="4" t="s">
        <v>1869</v>
      </c>
      <c r="B1356" s="1">
        <v>45824</v>
      </c>
      <c r="C1356">
        <v>250</v>
      </c>
    </row>
    <row r="1357" spans="1:3">
      <c r="A1357" s="4" t="s">
        <v>4203</v>
      </c>
      <c r="B1357" s="1">
        <v>45926</v>
      </c>
      <c r="C1357">
        <v>250</v>
      </c>
    </row>
    <row r="1358" spans="1:3">
      <c r="A1358" s="4" t="s">
        <v>6223</v>
      </c>
      <c r="B1358" s="1">
        <v>46017</v>
      </c>
      <c r="C1358">
        <v>250</v>
      </c>
    </row>
    <row r="1359" spans="1:3">
      <c r="A1359" s="4" t="s">
        <v>6909</v>
      </c>
      <c r="B1359" s="1">
        <v>46046</v>
      </c>
      <c r="C1359">
        <v>225</v>
      </c>
    </row>
    <row r="1360" spans="1:3">
      <c r="A1360" s="4" t="s">
        <v>170</v>
      </c>
      <c r="B1360" s="1">
        <v>45752</v>
      </c>
      <c r="C1360">
        <v>225</v>
      </c>
    </row>
    <row r="1361" spans="1:3">
      <c r="A1361" s="4" t="s">
        <v>580</v>
      </c>
      <c r="B1361" s="1">
        <v>46060</v>
      </c>
      <c r="C1361">
        <v>221</v>
      </c>
    </row>
    <row r="1362" spans="1:3">
      <c r="A1362" s="4" t="s">
        <v>1480</v>
      </c>
      <c r="B1362" s="1">
        <v>45804</v>
      </c>
      <c r="C1362">
        <v>210</v>
      </c>
    </row>
    <row r="1363" spans="1:3">
      <c r="A1363" s="4" t="s">
        <v>1909</v>
      </c>
      <c r="B1363" s="1">
        <v>45826</v>
      </c>
      <c r="C1363">
        <v>210</v>
      </c>
    </row>
    <row r="1364" spans="1:3">
      <c r="A1364" s="4" t="s">
        <v>5424</v>
      </c>
      <c r="B1364" s="1">
        <v>45979</v>
      </c>
      <c r="C1364">
        <v>205</v>
      </c>
    </row>
    <row r="1365" spans="1:3">
      <c r="A1365" s="4" t="s">
        <v>2716</v>
      </c>
      <c r="B1365" s="1">
        <v>45948</v>
      </c>
      <c r="C1365">
        <v>200</v>
      </c>
    </row>
    <row r="1366" spans="1:3">
      <c r="A1366" s="4" t="s">
        <v>6889</v>
      </c>
      <c r="B1366" s="1">
        <v>46062</v>
      </c>
      <c r="C1366">
        <v>200</v>
      </c>
    </row>
    <row r="1367" spans="1:3">
      <c r="A1367" s="4" t="s">
        <v>4437</v>
      </c>
      <c r="B1367" s="1">
        <v>45936</v>
      </c>
      <c r="C1367">
        <v>200</v>
      </c>
    </row>
    <row r="1368" spans="1:3">
      <c r="A1368" s="4" t="s">
        <v>5679</v>
      </c>
      <c r="B1368" s="1">
        <v>45990</v>
      </c>
      <c r="C1368">
        <v>190</v>
      </c>
    </row>
    <row r="1369" spans="1:3">
      <c r="A1369" s="4" t="s">
        <v>4984</v>
      </c>
      <c r="B1369" s="1">
        <v>45961</v>
      </c>
      <c r="C1369">
        <v>188</v>
      </c>
    </row>
    <row r="1370" spans="1:3">
      <c r="A1370" s="4" t="s">
        <v>4790</v>
      </c>
      <c r="B1370" s="1">
        <v>45952</v>
      </c>
      <c r="C1370">
        <v>185</v>
      </c>
    </row>
    <row r="1371" spans="1:3">
      <c r="A1371" s="4" t="s">
        <v>5704</v>
      </c>
      <c r="B1371" s="1">
        <v>45992</v>
      </c>
      <c r="C1371">
        <v>180</v>
      </c>
    </row>
    <row r="1372" spans="1:3">
      <c r="A1372" s="4" t="s">
        <v>6367</v>
      </c>
      <c r="B1372" s="1">
        <v>46023</v>
      </c>
      <c r="C1372">
        <v>180</v>
      </c>
    </row>
    <row r="1373" spans="1:3">
      <c r="A1373" s="4" t="s">
        <v>7570</v>
      </c>
      <c r="B1373" s="1">
        <v>46073</v>
      </c>
      <c r="C1373">
        <v>165</v>
      </c>
    </row>
    <row r="1374" spans="1:3">
      <c r="A1374" s="4" t="s">
        <v>2698</v>
      </c>
      <c r="B1374" s="1">
        <v>45864</v>
      </c>
      <c r="C1374">
        <v>160</v>
      </c>
    </row>
    <row r="1375" spans="1:3">
      <c r="A1375" s="4" t="s">
        <v>1808</v>
      </c>
      <c r="B1375" s="1">
        <v>45819</v>
      </c>
      <c r="C1375">
        <v>150</v>
      </c>
    </row>
    <row r="1376" spans="1:3">
      <c r="A1376" s="4" t="s">
        <v>6113</v>
      </c>
      <c r="B1376" s="1">
        <v>46011</v>
      </c>
      <c r="C1376">
        <v>150</v>
      </c>
    </row>
    <row r="1377" spans="1:3">
      <c r="A1377" s="4" t="s">
        <v>7492</v>
      </c>
      <c r="B1377" s="1">
        <v>46070</v>
      </c>
      <c r="C1377">
        <v>150</v>
      </c>
    </row>
    <row r="1378" spans="1:3">
      <c r="A1378" s="4" t="s">
        <v>7623</v>
      </c>
      <c r="B1378" s="1">
        <v>46074</v>
      </c>
      <c r="C1378">
        <v>150</v>
      </c>
    </row>
    <row r="1379" spans="1:3">
      <c r="A1379" s="4" t="s">
        <v>6686</v>
      </c>
      <c r="B1379" s="1">
        <v>46037</v>
      </c>
      <c r="C1379">
        <v>140</v>
      </c>
    </row>
    <row r="1380" spans="1:3">
      <c r="A1380" s="4" t="s">
        <v>1426</v>
      </c>
      <c r="B1380" s="1">
        <v>45801</v>
      </c>
      <c r="C1380">
        <v>140</v>
      </c>
    </row>
    <row r="1381" spans="1:3">
      <c r="A1381" s="4" t="s">
        <v>6309</v>
      </c>
      <c r="B1381" s="1">
        <v>46021</v>
      </c>
      <c r="C1381">
        <v>130</v>
      </c>
    </row>
    <row r="1382" spans="1:3">
      <c r="A1382" s="4" t="s">
        <v>961</v>
      </c>
      <c r="B1382" s="1">
        <v>45783</v>
      </c>
      <c r="C1382">
        <v>130</v>
      </c>
    </row>
    <row r="1383" spans="1:3">
      <c r="A1383" s="4" t="s">
        <v>3360</v>
      </c>
      <c r="B1383" s="1">
        <v>45891</v>
      </c>
      <c r="C1383">
        <v>121</v>
      </c>
    </row>
    <row r="1384" spans="1:3">
      <c r="A1384" s="4" t="s">
        <v>3778</v>
      </c>
      <c r="B1384" s="1">
        <v>45909</v>
      </c>
      <c r="C1384">
        <v>120</v>
      </c>
    </row>
    <row r="1385" spans="1:3">
      <c r="A1385" s="4" t="s">
        <v>6818</v>
      </c>
      <c r="B1385" s="1">
        <v>46043</v>
      </c>
      <c r="C1385">
        <v>110</v>
      </c>
    </row>
    <row r="1386" spans="1:3">
      <c r="A1386" s="4" t="s">
        <v>4010</v>
      </c>
      <c r="B1386" s="1">
        <v>45918</v>
      </c>
      <c r="C1386">
        <v>101</v>
      </c>
    </row>
    <row r="1387" spans="1:3">
      <c r="A1387" s="4" t="s">
        <v>793</v>
      </c>
      <c r="B1387" s="1">
        <v>45777</v>
      </c>
      <c r="C1387">
        <v>100</v>
      </c>
    </row>
    <row r="1388" spans="1:3">
      <c r="A1388" s="4" t="s">
        <v>7350</v>
      </c>
      <c r="B1388" s="1">
        <v>46064</v>
      </c>
      <c r="C1388">
        <v>100</v>
      </c>
    </row>
    <row r="1389" spans="1:3">
      <c r="A1389" s="4" t="s">
        <v>6991</v>
      </c>
      <c r="B1389" s="1">
        <v>46062</v>
      </c>
      <c r="C1389">
        <v>100</v>
      </c>
    </row>
    <row r="1390" spans="1:3">
      <c r="A1390" s="4" t="s">
        <v>5394</v>
      </c>
      <c r="B1390" s="1">
        <v>45978</v>
      </c>
      <c r="C1390">
        <v>100</v>
      </c>
    </row>
    <row r="1391" spans="1:3">
      <c r="A1391" s="4" t="s">
        <v>5335</v>
      </c>
      <c r="B1391" s="1">
        <v>45976</v>
      </c>
      <c r="C1391">
        <v>90</v>
      </c>
    </row>
    <row r="1392" spans="1:3">
      <c r="A1392" s="4" t="s">
        <v>578</v>
      </c>
      <c r="B1392" s="1">
        <v>45768</v>
      </c>
      <c r="C1392">
        <v>80</v>
      </c>
    </row>
    <row r="1393" spans="1:3">
      <c r="A1393" s="4" t="s">
        <v>5630</v>
      </c>
      <c r="B1393" s="1">
        <v>45989</v>
      </c>
      <c r="C1393">
        <v>80</v>
      </c>
    </row>
    <row r="1394" spans="1:3">
      <c r="A1394" s="4" t="s">
        <v>1546</v>
      </c>
      <c r="B1394" s="1">
        <v>45808</v>
      </c>
      <c r="C1394">
        <v>75</v>
      </c>
    </row>
    <row r="1395" spans="1:3">
      <c r="A1395" s="4" t="s">
        <v>3579</v>
      </c>
      <c r="B1395" s="1">
        <v>45899</v>
      </c>
      <c r="C1395">
        <v>72</v>
      </c>
    </row>
    <row r="1396" spans="1:3">
      <c r="A1396" s="4" t="s">
        <v>6266</v>
      </c>
      <c r="B1396" s="1">
        <v>46018</v>
      </c>
      <c r="C1396">
        <v>70</v>
      </c>
    </row>
    <row r="1397" spans="1:3">
      <c r="A1397" s="4" t="s">
        <v>7679</v>
      </c>
      <c r="B1397" s="1">
        <v>46077</v>
      </c>
      <c r="C1397">
        <v>65</v>
      </c>
    </row>
    <row r="1398" spans="1:3">
      <c r="A1398" s="4" t="s">
        <v>2927</v>
      </c>
      <c r="B1398" s="1">
        <v>45874</v>
      </c>
      <c r="C1398">
        <v>65</v>
      </c>
    </row>
    <row r="1399" spans="1:3">
      <c r="A1399" s="4" t="s">
        <v>5420</v>
      </c>
      <c r="B1399" s="1">
        <v>45979</v>
      </c>
      <c r="C1399">
        <v>64</v>
      </c>
    </row>
    <row r="1400" spans="1:3">
      <c r="A1400" s="4" t="s">
        <v>5433</v>
      </c>
      <c r="B1400" s="1">
        <v>45980</v>
      </c>
      <c r="C1400">
        <v>60</v>
      </c>
    </row>
    <row r="1401" spans="1:3">
      <c r="A1401" s="4" t="s">
        <v>4917</v>
      </c>
      <c r="B1401" s="1">
        <v>45959</v>
      </c>
      <c r="C1401">
        <v>60</v>
      </c>
    </row>
    <row r="1402" spans="1:3">
      <c r="A1402" s="4" t="s">
        <v>5259</v>
      </c>
      <c r="B1402" s="1">
        <v>45973</v>
      </c>
      <c r="C1402">
        <v>57</v>
      </c>
    </row>
    <row r="1403" spans="1:3">
      <c r="A1403" s="4" t="s">
        <v>4274</v>
      </c>
      <c r="B1403" s="1">
        <v>45929</v>
      </c>
      <c r="C1403">
        <v>55</v>
      </c>
    </row>
    <row r="1404" spans="1:3">
      <c r="A1404" s="4" t="s">
        <v>6567</v>
      </c>
      <c r="B1404" s="1">
        <v>46032</v>
      </c>
      <c r="C1404">
        <v>50</v>
      </c>
    </row>
    <row r="1405" spans="1:3">
      <c r="A1405" s="4" t="s">
        <v>404</v>
      </c>
      <c r="B1405" s="1">
        <v>45761</v>
      </c>
      <c r="C1405">
        <v>50</v>
      </c>
    </row>
    <row r="1406" spans="1:3">
      <c r="A1406" s="4" t="s">
        <v>334</v>
      </c>
      <c r="B1406" s="1">
        <v>45758</v>
      </c>
      <c r="C1406">
        <v>50</v>
      </c>
    </row>
    <row r="1407" spans="1:3">
      <c r="A1407" s="4" t="s">
        <v>485</v>
      </c>
      <c r="B1407" s="1">
        <v>45764</v>
      </c>
      <c r="C1407">
        <v>50</v>
      </c>
    </row>
    <row r="1408" spans="1:3">
      <c r="A1408" s="4" t="s">
        <v>2776</v>
      </c>
      <c r="B1408" s="1">
        <v>45867</v>
      </c>
      <c r="C1408">
        <v>50</v>
      </c>
    </row>
    <row r="1409" spans="1:3">
      <c r="A1409" s="4" t="s">
        <v>5671</v>
      </c>
      <c r="B1409" s="1">
        <v>45990</v>
      </c>
      <c r="C1409">
        <v>50</v>
      </c>
    </row>
    <row r="1410" spans="1:3">
      <c r="A1410" s="4" t="s">
        <v>4166</v>
      </c>
      <c r="B1410" s="1">
        <v>45924</v>
      </c>
      <c r="C1410">
        <v>50</v>
      </c>
    </row>
    <row r="1411" spans="1:3">
      <c r="A1411" s="4" t="s">
        <v>3544</v>
      </c>
      <c r="B1411" s="1">
        <v>45898</v>
      </c>
      <c r="C1411">
        <v>50</v>
      </c>
    </row>
    <row r="1412" spans="1:3">
      <c r="A1412" s="4" t="s">
        <v>1133</v>
      </c>
      <c r="B1412" s="1">
        <v>45789</v>
      </c>
      <c r="C1412">
        <v>50</v>
      </c>
    </row>
    <row r="1413" spans="1:3">
      <c r="A1413" s="4" t="s">
        <v>1698</v>
      </c>
      <c r="B1413" s="1">
        <v>45814</v>
      </c>
      <c r="C1413">
        <v>50</v>
      </c>
    </row>
    <row r="1414" spans="1:3">
      <c r="A1414" s="4" t="s">
        <v>1272</v>
      </c>
      <c r="B1414" s="1">
        <v>45794</v>
      </c>
      <c r="C1414">
        <v>50</v>
      </c>
    </row>
    <row r="1415" spans="1:3">
      <c r="A1415" s="4" t="s">
        <v>3711</v>
      </c>
      <c r="B1415" s="1">
        <v>45906</v>
      </c>
      <c r="C1415">
        <v>50</v>
      </c>
    </row>
    <row r="1416" spans="1:3">
      <c r="A1416" s="4" t="s">
        <v>2810</v>
      </c>
      <c r="B1416" s="1">
        <v>45868</v>
      </c>
      <c r="C1416">
        <v>50</v>
      </c>
    </row>
    <row r="1417" spans="1:3">
      <c r="A1417" s="4" t="s">
        <v>2552</v>
      </c>
      <c r="B1417" s="1">
        <v>45856</v>
      </c>
      <c r="C1417">
        <v>40</v>
      </c>
    </row>
    <row r="1418" spans="1:3">
      <c r="A1418" s="4" t="s">
        <v>2773</v>
      </c>
      <c r="B1418" s="1">
        <v>45867</v>
      </c>
      <c r="C1418">
        <v>39</v>
      </c>
    </row>
    <row r="1419" spans="1:3">
      <c r="A1419" s="4" t="s">
        <v>1730</v>
      </c>
      <c r="B1419" s="1">
        <v>45815</v>
      </c>
      <c r="C1419">
        <v>30</v>
      </c>
    </row>
    <row r="1420" spans="1:3">
      <c r="A1420" s="4" t="s">
        <v>6775</v>
      </c>
      <c r="B1420" s="1">
        <v>46041</v>
      </c>
      <c r="C1420">
        <v>30</v>
      </c>
    </row>
    <row r="1421" spans="1:3">
      <c r="A1421" s="4" t="s">
        <v>2049</v>
      </c>
      <c r="B1421" s="1">
        <v>45832</v>
      </c>
      <c r="C1421">
        <v>30</v>
      </c>
    </row>
    <row r="1422" spans="1:3">
      <c r="A1422" s="4" t="s">
        <v>2067</v>
      </c>
      <c r="B1422" s="1">
        <v>45833</v>
      </c>
      <c r="C1422">
        <v>24</v>
      </c>
    </row>
    <row r="1423" spans="1:3">
      <c r="A1423" s="4" t="s">
        <v>3489</v>
      </c>
      <c r="B1423" s="1">
        <v>45896</v>
      </c>
      <c r="C1423">
        <v>20</v>
      </c>
    </row>
    <row r="1424" spans="1:3">
      <c r="A1424" s="4" t="s">
        <v>2081</v>
      </c>
      <c r="B1424" s="1">
        <v>45833</v>
      </c>
      <c r="C1424">
        <v>20</v>
      </c>
    </row>
    <row r="1425" spans="1:3">
      <c r="A1425" s="4" t="s">
        <v>4415</v>
      </c>
      <c r="B1425" s="1">
        <v>45934</v>
      </c>
      <c r="C1425">
        <v>20</v>
      </c>
    </row>
    <row r="1426" spans="1:3">
      <c r="A1426" s="4" t="s">
        <v>1087</v>
      </c>
      <c r="B1426" s="1">
        <v>45787</v>
      </c>
      <c r="C1426">
        <v>20</v>
      </c>
    </row>
    <row r="1427" spans="1:3">
      <c r="A1427" s="4" t="s">
        <v>2103</v>
      </c>
      <c r="B1427" s="1">
        <v>45834</v>
      </c>
      <c r="C1427">
        <v>12</v>
      </c>
    </row>
    <row r="1428" spans="1:3">
      <c r="A1428" s="4" t="s">
        <v>5604</v>
      </c>
      <c r="B1428" s="1">
        <v>45988</v>
      </c>
      <c r="C1428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3422-3E49-4860-BEBD-7D452D5F46C1}">
  <dimension ref="A3:B1429"/>
  <sheetViews>
    <sheetView workbookViewId="0">
      <selection activeCell="B1423" sqref="B1423"/>
    </sheetView>
  </sheetViews>
  <sheetFormatPr defaultRowHeight="14.45"/>
  <cols>
    <col min="1" max="1" width="52.42578125" bestFit="1" customWidth="1"/>
    <col min="2" max="2" width="18.42578125" style="5" customWidth="1"/>
  </cols>
  <sheetData>
    <row r="3" spans="1:2">
      <c r="A3" s="3" t="s">
        <v>7812</v>
      </c>
      <c r="B3" s="5" t="s">
        <v>7814</v>
      </c>
    </row>
    <row r="4" spans="1:2">
      <c r="A4" s="4" t="s">
        <v>76</v>
      </c>
      <c r="B4" s="5">
        <v>1760156</v>
      </c>
    </row>
    <row r="5" spans="1:2">
      <c r="A5" s="4" t="s">
        <v>1106</v>
      </c>
      <c r="B5" s="5">
        <v>1686991</v>
      </c>
    </row>
    <row r="6" spans="1:2">
      <c r="A6" s="4" t="s">
        <v>265</v>
      </c>
      <c r="B6" s="5">
        <v>1625575</v>
      </c>
    </row>
    <row r="7" spans="1:2">
      <c r="A7" s="4" t="s">
        <v>2987</v>
      </c>
      <c r="B7" s="5">
        <v>1483378</v>
      </c>
    </row>
    <row r="8" spans="1:2">
      <c r="A8" s="4" t="s">
        <v>1104</v>
      </c>
      <c r="B8" s="5">
        <v>1425127.933</v>
      </c>
    </row>
    <row r="9" spans="1:2">
      <c r="A9" s="4" t="s">
        <v>50</v>
      </c>
      <c r="B9" s="5">
        <v>1279923</v>
      </c>
    </row>
    <row r="10" spans="1:2">
      <c r="A10" s="4" t="s">
        <v>35</v>
      </c>
      <c r="B10" s="5">
        <v>1081054</v>
      </c>
    </row>
    <row r="11" spans="1:2">
      <c r="A11" s="4" t="s">
        <v>180</v>
      </c>
      <c r="B11" s="5">
        <v>912480</v>
      </c>
    </row>
    <row r="12" spans="1:2">
      <c r="A12" s="4" t="s">
        <v>43</v>
      </c>
      <c r="B12" s="5">
        <v>815695</v>
      </c>
    </row>
    <row r="13" spans="1:2">
      <c r="A13" s="4" t="s">
        <v>68</v>
      </c>
      <c r="B13" s="5">
        <v>811009</v>
      </c>
    </row>
    <row r="14" spans="1:2">
      <c r="A14" s="4" t="s">
        <v>1628</v>
      </c>
      <c r="B14" s="5">
        <v>721570</v>
      </c>
    </row>
    <row r="15" spans="1:2">
      <c r="A15" s="4" t="s">
        <v>48</v>
      </c>
      <c r="B15" s="5">
        <v>648248</v>
      </c>
    </row>
    <row r="16" spans="1:2">
      <c r="A16" s="4" t="s">
        <v>100</v>
      </c>
      <c r="B16" s="5">
        <v>601571</v>
      </c>
    </row>
    <row r="17" spans="1:2">
      <c r="A17" s="4" t="s">
        <v>557</v>
      </c>
      <c r="B17" s="5">
        <v>562664</v>
      </c>
    </row>
    <row r="18" spans="1:2">
      <c r="A18" s="4" t="s">
        <v>526</v>
      </c>
      <c r="B18" s="5">
        <v>539297</v>
      </c>
    </row>
    <row r="19" spans="1:2">
      <c r="A19" s="4" t="s">
        <v>135</v>
      </c>
      <c r="B19" s="5">
        <v>476063</v>
      </c>
    </row>
    <row r="20" spans="1:2">
      <c r="A20" s="4" t="s">
        <v>932</v>
      </c>
      <c r="B20" s="5">
        <v>468205</v>
      </c>
    </row>
    <row r="21" spans="1:2">
      <c r="A21" s="4" t="s">
        <v>360</v>
      </c>
      <c r="B21" s="5">
        <v>451761</v>
      </c>
    </row>
    <row r="22" spans="1:2">
      <c r="A22" s="4" t="s">
        <v>4144</v>
      </c>
      <c r="B22" s="5">
        <v>441866</v>
      </c>
    </row>
    <row r="23" spans="1:2">
      <c r="A23" s="4" t="s">
        <v>147</v>
      </c>
      <c r="B23" s="5">
        <v>433572</v>
      </c>
    </row>
    <row r="24" spans="1:2">
      <c r="A24" s="4" t="s">
        <v>193</v>
      </c>
      <c r="B24" s="5">
        <v>425797</v>
      </c>
    </row>
    <row r="25" spans="1:2">
      <c r="A25" s="4" t="s">
        <v>1075</v>
      </c>
      <c r="B25" s="5">
        <v>404375</v>
      </c>
    </row>
    <row r="26" spans="1:2">
      <c r="A26" s="4" t="s">
        <v>56</v>
      </c>
      <c r="B26" s="5">
        <v>389539</v>
      </c>
    </row>
    <row r="27" spans="1:2">
      <c r="A27" s="4" t="s">
        <v>1350</v>
      </c>
      <c r="B27" s="5">
        <v>377414</v>
      </c>
    </row>
    <row r="28" spans="1:2">
      <c r="A28" s="4" t="s">
        <v>817</v>
      </c>
      <c r="B28" s="5">
        <v>352968</v>
      </c>
    </row>
    <row r="29" spans="1:2">
      <c r="A29" s="4" t="s">
        <v>1179</v>
      </c>
      <c r="B29" s="5">
        <v>350294</v>
      </c>
    </row>
    <row r="30" spans="1:2">
      <c r="A30" s="4" t="s">
        <v>927</v>
      </c>
      <c r="B30" s="5">
        <v>346083</v>
      </c>
    </row>
    <row r="31" spans="1:2">
      <c r="A31" s="4" t="s">
        <v>2233</v>
      </c>
      <c r="B31" s="5">
        <v>339562</v>
      </c>
    </row>
    <row r="32" spans="1:2">
      <c r="A32" s="4" t="s">
        <v>1049</v>
      </c>
      <c r="B32" s="5">
        <v>338318</v>
      </c>
    </row>
    <row r="33" spans="1:2">
      <c r="A33" s="4" t="s">
        <v>455</v>
      </c>
      <c r="B33" s="5">
        <v>333506</v>
      </c>
    </row>
    <row r="34" spans="1:2">
      <c r="A34" s="4" t="s">
        <v>559</v>
      </c>
      <c r="B34" s="5">
        <v>326992</v>
      </c>
    </row>
    <row r="35" spans="1:2">
      <c r="A35" s="4" t="s">
        <v>2329</v>
      </c>
      <c r="B35" s="5">
        <v>306772</v>
      </c>
    </row>
    <row r="36" spans="1:2">
      <c r="A36" s="4" t="s">
        <v>6753</v>
      </c>
      <c r="B36" s="5">
        <v>305932</v>
      </c>
    </row>
    <row r="37" spans="1:2">
      <c r="A37" s="4" t="s">
        <v>543</v>
      </c>
      <c r="B37" s="5">
        <v>296255</v>
      </c>
    </row>
    <row r="38" spans="1:2">
      <c r="A38" s="4" t="s">
        <v>5840</v>
      </c>
      <c r="B38" s="5">
        <v>296054</v>
      </c>
    </row>
    <row r="39" spans="1:2">
      <c r="A39" s="4" t="s">
        <v>60</v>
      </c>
      <c r="B39" s="5">
        <v>291010</v>
      </c>
    </row>
    <row r="40" spans="1:2">
      <c r="A40" s="4" t="s">
        <v>2634</v>
      </c>
      <c r="B40" s="5">
        <v>285627</v>
      </c>
    </row>
    <row r="41" spans="1:2">
      <c r="A41" s="4" t="s">
        <v>6278</v>
      </c>
      <c r="B41" s="5">
        <v>281844</v>
      </c>
    </row>
    <row r="42" spans="1:2">
      <c r="A42" s="4" t="s">
        <v>443</v>
      </c>
      <c r="B42" s="5">
        <v>264609</v>
      </c>
    </row>
    <row r="43" spans="1:2">
      <c r="A43" s="4" t="s">
        <v>2786</v>
      </c>
      <c r="B43" s="5">
        <v>256712</v>
      </c>
    </row>
    <row r="44" spans="1:2">
      <c r="A44" s="4" t="s">
        <v>6523</v>
      </c>
      <c r="B44" s="5">
        <v>252500</v>
      </c>
    </row>
    <row r="45" spans="1:2">
      <c r="A45" s="4" t="s">
        <v>195</v>
      </c>
      <c r="B45" s="5">
        <v>249930</v>
      </c>
    </row>
    <row r="46" spans="1:2">
      <c r="A46" s="4" t="s">
        <v>2854</v>
      </c>
      <c r="B46" s="5">
        <v>245177</v>
      </c>
    </row>
    <row r="47" spans="1:2">
      <c r="A47" s="4" t="s">
        <v>709</v>
      </c>
      <c r="B47" s="5">
        <v>231365</v>
      </c>
    </row>
    <row r="48" spans="1:2">
      <c r="A48" s="4" t="s">
        <v>856</v>
      </c>
      <c r="B48" s="5">
        <v>227789</v>
      </c>
    </row>
    <row r="49" spans="1:2">
      <c r="A49" s="4" t="s">
        <v>3333</v>
      </c>
      <c r="B49" s="5">
        <v>225907</v>
      </c>
    </row>
    <row r="50" spans="1:2">
      <c r="A50" s="4" t="s">
        <v>5188</v>
      </c>
      <c r="B50" s="5">
        <v>223524</v>
      </c>
    </row>
    <row r="51" spans="1:2">
      <c r="A51" s="4" t="s">
        <v>6603</v>
      </c>
      <c r="B51" s="5">
        <v>222459</v>
      </c>
    </row>
    <row r="52" spans="1:2">
      <c r="A52" s="4" t="s">
        <v>844</v>
      </c>
      <c r="B52" s="5">
        <v>218545</v>
      </c>
    </row>
    <row r="53" spans="1:2">
      <c r="A53" s="4" t="s">
        <v>2958</v>
      </c>
      <c r="B53" s="5">
        <v>217909</v>
      </c>
    </row>
    <row r="54" spans="1:2">
      <c r="A54" s="4" t="s">
        <v>87</v>
      </c>
      <c r="B54" s="5">
        <v>203857</v>
      </c>
    </row>
    <row r="55" spans="1:2">
      <c r="A55" s="4" t="s">
        <v>331</v>
      </c>
      <c r="B55" s="5">
        <v>203264</v>
      </c>
    </row>
    <row r="56" spans="1:2">
      <c r="A56" s="4" t="s">
        <v>1182</v>
      </c>
      <c r="B56" s="5">
        <v>202081</v>
      </c>
    </row>
    <row r="57" spans="1:2">
      <c r="A57" s="4" t="s">
        <v>1258</v>
      </c>
      <c r="B57" s="5">
        <v>198500</v>
      </c>
    </row>
    <row r="58" spans="1:2">
      <c r="A58" s="4" t="s">
        <v>58</v>
      </c>
      <c r="B58" s="5">
        <v>194587</v>
      </c>
    </row>
    <row r="59" spans="1:2">
      <c r="A59" s="4" t="s">
        <v>4833</v>
      </c>
      <c r="B59" s="5">
        <v>193048</v>
      </c>
    </row>
    <row r="60" spans="1:2">
      <c r="A60" s="4" t="s">
        <v>2521</v>
      </c>
      <c r="B60" s="5">
        <v>192293</v>
      </c>
    </row>
    <row r="61" spans="1:2">
      <c r="A61" s="4" t="s">
        <v>2586</v>
      </c>
      <c r="B61" s="5">
        <v>186549</v>
      </c>
    </row>
    <row r="62" spans="1:2">
      <c r="A62" s="4" t="s">
        <v>1516</v>
      </c>
      <c r="B62" s="5">
        <v>182624</v>
      </c>
    </row>
    <row r="63" spans="1:2">
      <c r="A63" s="4" t="s">
        <v>512</v>
      </c>
      <c r="B63" s="5">
        <v>178894</v>
      </c>
    </row>
    <row r="64" spans="1:2">
      <c r="A64" s="4" t="s">
        <v>4089</v>
      </c>
      <c r="B64" s="5">
        <v>178378</v>
      </c>
    </row>
    <row r="65" spans="1:2">
      <c r="A65" s="4" t="s">
        <v>2782</v>
      </c>
      <c r="B65" s="5">
        <v>177607</v>
      </c>
    </row>
    <row r="66" spans="1:2">
      <c r="A66" s="4" t="s">
        <v>287</v>
      </c>
      <c r="B66" s="5">
        <v>175822</v>
      </c>
    </row>
    <row r="67" spans="1:2">
      <c r="A67" s="4" t="s">
        <v>81</v>
      </c>
      <c r="B67" s="5">
        <v>174117</v>
      </c>
    </row>
    <row r="68" spans="1:2">
      <c r="A68" s="4" t="s">
        <v>2498</v>
      </c>
      <c r="B68" s="5">
        <v>172994</v>
      </c>
    </row>
    <row r="69" spans="1:2">
      <c r="A69" s="4" t="s">
        <v>64</v>
      </c>
      <c r="B69" s="5">
        <v>172285</v>
      </c>
    </row>
    <row r="70" spans="1:2">
      <c r="A70" s="4" t="s">
        <v>6293</v>
      </c>
      <c r="B70" s="5">
        <v>169002</v>
      </c>
    </row>
    <row r="71" spans="1:2">
      <c r="A71" s="4" t="s">
        <v>7433</v>
      </c>
      <c r="B71" s="5">
        <v>164871</v>
      </c>
    </row>
    <row r="72" spans="1:2">
      <c r="A72" s="4" t="s">
        <v>222</v>
      </c>
      <c r="B72" s="5">
        <v>164237</v>
      </c>
    </row>
    <row r="73" spans="1:2">
      <c r="A73" s="4" t="s">
        <v>4013</v>
      </c>
      <c r="B73" s="5">
        <v>162143</v>
      </c>
    </row>
    <row r="74" spans="1:2">
      <c r="A74" s="4" t="s">
        <v>802</v>
      </c>
      <c r="B74" s="5">
        <v>161161</v>
      </c>
    </row>
    <row r="75" spans="1:2">
      <c r="A75" s="4" t="s">
        <v>2143</v>
      </c>
      <c r="B75" s="5">
        <v>160539</v>
      </c>
    </row>
    <row r="76" spans="1:2">
      <c r="A76" s="4" t="s">
        <v>6182</v>
      </c>
      <c r="B76" s="5">
        <v>160256</v>
      </c>
    </row>
    <row r="77" spans="1:2">
      <c r="A77" s="4" t="s">
        <v>2202</v>
      </c>
      <c r="B77" s="5">
        <v>159441</v>
      </c>
    </row>
    <row r="78" spans="1:2">
      <c r="A78" s="4" t="s">
        <v>1768</v>
      </c>
      <c r="B78" s="5">
        <v>157380</v>
      </c>
    </row>
    <row r="79" spans="1:2">
      <c r="A79" s="4" t="s">
        <v>4050</v>
      </c>
      <c r="B79" s="5">
        <v>154036</v>
      </c>
    </row>
    <row r="80" spans="1:2">
      <c r="A80" s="4" t="s">
        <v>4571</v>
      </c>
      <c r="B80" s="5">
        <v>151390</v>
      </c>
    </row>
    <row r="81" spans="1:2">
      <c r="A81" s="4" t="s">
        <v>3313</v>
      </c>
      <c r="B81" s="5">
        <v>146057</v>
      </c>
    </row>
    <row r="82" spans="1:2">
      <c r="A82" s="4" t="s">
        <v>566</v>
      </c>
      <c r="B82" s="5">
        <v>145256</v>
      </c>
    </row>
    <row r="83" spans="1:2">
      <c r="A83" s="4" t="s">
        <v>2417</v>
      </c>
      <c r="B83" s="5">
        <v>144232</v>
      </c>
    </row>
    <row r="84" spans="1:2">
      <c r="A84" s="4" t="s">
        <v>1424</v>
      </c>
      <c r="B84" s="5">
        <v>143956</v>
      </c>
    </row>
    <row r="85" spans="1:2">
      <c r="A85" s="4" t="s">
        <v>1685</v>
      </c>
      <c r="B85" s="5">
        <v>143584</v>
      </c>
    </row>
    <row r="86" spans="1:2">
      <c r="A86" s="4" t="s">
        <v>83</v>
      </c>
      <c r="B86" s="5">
        <v>143428</v>
      </c>
    </row>
    <row r="87" spans="1:2">
      <c r="A87" s="4" t="s">
        <v>4669</v>
      </c>
      <c r="B87" s="5">
        <v>141297</v>
      </c>
    </row>
    <row r="88" spans="1:2">
      <c r="A88" s="4" t="s">
        <v>3089</v>
      </c>
      <c r="B88" s="5">
        <v>140539</v>
      </c>
    </row>
    <row r="89" spans="1:2">
      <c r="A89" s="4" t="s">
        <v>586</v>
      </c>
      <c r="B89" s="5">
        <v>140404</v>
      </c>
    </row>
    <row r="90" spans="1:2">
      <c r="A90" s="4" t="s">
        <v>62</v>
      </c>
      <c r="B90" s="5">
        <v>137668</v>
      </c>
    </row>
    <row r="91" spans="1:2">
      <c r="A91" s="4" t="s">
        <v>601</v>
      </c>
      <c r="B91" s="5">
        <v>134431</v>
      </c>
    </row>
    <row r="92" spans="1:2">
      <c r="A92" s="4" t="s">
        <v>875</v>
      </c>
      <c r="B92" s="5">
        <v>133319</v>
      </c>
    </row>
    <row r="93" spans="1:2">
      <c r="A93" s="4" t="s">
        <v>3951</v>
      </c>
      <c r="B93" s="5">
        <v>132291</v>
      </c>
    </row>
    <row r="94" spans="1:2">
      <c r="A94" s="4" t="s">
        <v>2459</v>
      </c>
      <c r="B94" s="5">
        <v>130231</v>
      </c>
    </row>
    <row r="95" spans="1:2">
      <c r="A95" s="4" t="s">
        <v>220</v>
      </c>
      <c r="B95" s="5">
        <v>127237</v>
      </c>
    </row>
    <row r="96" spans="1:2">
      <c r="A96" s="4" t="s">
        <v>2455</v>
      </c>
      <c r="B96" s="5">
        <v>126772</v>
      </c>
    </row>
    <row r="97" spans="1:2">
      <c r="A97" s="4" t="s">
        <v>6255</v>
      </c>
      <c r="B97" s="5">
        <v>126205</v>
      </c>
    </row>
    <row r="98" spans="1:2">
      <c r="A98" s="4" t="s">
        <v>212</v>
      </c>
      <c r="B98" s="5">
        <v>125168</v>
      </c>
    </row>
    <row r="99" spans="1:2">
      <c r="A99" s="4" t="s">
        <v>2452</v>
      </c>
      <c r="B99" s="5">
        <v>123485</v>
      </c>
    </row>
    <row r="100" spans="1:2">
      <c r="A100" s="4" t="s">
        <v>774</v>
      </c>
      <c r="B100" s="5">
        <v>123324</v>
      </c>
    </row>
    <row r="101" spans="1:2">
      <c r="A101" s="4" t="s">
        <v>1377</v>
      </c>
      <c r="B101" s="5">
        <v>122906</v>
      </c>
    </row>
    <row r="102" spans="1:2">
      <c r="A102" s="4" t="s">
        <v>1397</v>
      </c>
      <c r="B102" s="5">
        <v>121917</v>
      </c>
    </row>
    <row r="103" spans="1:2">
      <c r="A103" s="4" t="s">
        <v>1721</v>
      </c>
      <c r="B103" s="5">
        <v>116800</v>
      </c>
    </row>
    <row r="104" spans="1:2">
      <c r="A104" s="4" t="s">
        <v>4322</v>
      </c>
      <c r="B104" s="5">
        <v>116672</v>
      </c>
    </row>
    <row r="105" spans="1:2">
      <c r="A105" s="4" t="s">
        <v>254</v>
      </c>
      <c r="B105" s="5">
        <v>115636</v>
      </c>
    </row>
    <row r="106" spans="1:2">
      <c r="A106" s="4" t="s">
        <v>239</v>
      </c>
      <c r="B106" s="5">
        <v>114394</v>
      </c>
    </row>
    <row r="107" spans="1:2">
      <c r="A107" s="4" t="s">
        <v>96</v>
      </c>
      <c r="B107" s="5">
        <v>113848</v>
      </c>
    </row>
    <row r="108" spans="1:2">
      <c r="A108" s="4" t="s">
        <v>1666</v>
      </c>
      <c r="B108" s="5">
        <v>113130</v>
      </c>
    </row>
    <row r="109" spans="1:2">
      <c r="A109" s="4" t="s">
        <v>1428</v>
      </c>
      <c r="B109" s="5">
        <v>112741</v>
      </c>
    </row>
    <row r="110" spans="1:2">
      <c r="A110" s="4" t="s">
        <v>5069</v>
      </c>
      <c r="B110" s="5">
        <v>111858</v>
      </c>
    </row>
    <row r="111" spans="1:2">
      <c r="A111" s="4" t="s">
        <v>3193</v>
      </c>
      <c r="B111" s="5">
        <v>111576</v>
      </c>
    </row>
    <row r="112" spans="1:2">
      <c r="A112" s="4" t="s">
        <v>5422</v>
      </c>
      <c r="B112" s="5">
        <v>111072</v>
      </c>
    </row>
    <row r="113" spans="1:2">
      <c r="A113" s="4" t="s">
        <v>246</v>
      </c>
      <c r="B113" s="5">
        <v>109694</v>
      </c>
    </row>
    <row r="114" spans="1:2">
      <c r="A114" s="4" t="s">
        <v>2702</v>
      </c>
      <c r="B114" s="5">
        <v>108415</v>
      </c>
    </row>
    <row r="115" spans="1:2">
      <c r="A115" s="4" t="s">
        <v>2406</v>
      </c>
      <c r="B115" s="5">
        <v>106813</v>
      </c>
    </row>
    <row r="116" spans="1:2">
      <c r="A116" s="4" t="s">
        <v>54</v>
      </c>
      <c r="B116" s="5">
        <v>105615</v>
      </c>
    </row>
    <row r="117" spans="1:2">
      <c r="A117" s="4" t="s">
        <v>4695</v>
      </c>
      <c r="B117" s="5">
        <v>103582</v>
      </c>
    </row>
    <row r="118" spans="1:2">
      <c r="A118" s="4" t="s">
        <v>252</v>
      </c>
      <c r="B118" s="5">
        <v>103445</v>
      </c>
    </row>
    <row r="119" spans="1:2">
      <c r="A119" s="4" t="s">
        <v>3008</v>
      </c>
      <c r="B119" s="5">
        <v>103075</v>
      </c>
    </row>
    <row r="120" spans="1:2">
      <c r="A120" s="4" t="s">
        <v>588</v>
      </c>
      <c r="B120" s="5">
        <v>101277</v>
      </c>
    </row>
    <row r="121" spans="1:2">
      <c r="A121" s="4" t="s">
        <v>2256</v>
      </c>
      <c r="B121" s="5">
        <v>101108</v>
      </c>
    </row>
    <row r="122" spans="1:2">
      <c r="A122" s="4" t="s">
        <v>1592</v>
      </c>
      <c r="B122" s="5">
        <v>100776</v>
      </c>
    </row>
    <row r="123" spans="1:2">
      <c r="A123" s="4" t="s">
        <v>763</v>
      </c>
      <c r="B123" s="5">
        <v>100178</v>
      </c>
    </row>
    <row r="124" spans="1:2">
      <c r="A124" s="4" t="s">
        <v>5593</v>
      </c>
      <c r="B124" s="5">
        <v>98989</v>
      </c>
    </row>
    <row r="125" spans="1:2">
      <c r="A125" s="4" t="s">
        <v>955</v>
      </c>
      <c r="B125" s="5">
        <v>98149</v>
      </c>
    </row>
    <row r="126" spans="1:2">
      <c r="A126" s="4" t="s">
        <v>6840</v>
      </c>
      <c r="B126" s="5">
        <v>97963</v>
      </c>
    </row>
    <row r="127" spans="1:2">
      <c r="A127" s="4" t="s">
        <v>2099</v>
      </c>
      <c r="B127" s="5">
        <v>97701</v>
      </c>
    </row>
    <row r="128" spans="1:2">
      <c r="A128" s="4" t="s">
        <v>5788</v>
      </c>
      <c r="B128" s="5">
        <v>97640</v>
      </c>
    </row>
    <row r="129" spans="1:2">
      <c r="A129" s="4" t="s">
        <v>968</v>
      </c>
      <c r="B129" s="5">
        <v>97371</v>
      </c>
    </row>
    <row r="130" spans="1:2">
      <c r="A130" s="4" t="s">
        <v>3066</v>
      </c>
      <c r="B130" s="5">
        <v>96748</v>
      </c>
    </row>
    <row r="131" spans="1:2">
      <c r="A131" s="4" t="s">
        <v>2206</v>
      </c>
      <c r="B131" s="5">
        <v>96587</v>
      </c>
    </row>
    <row r="132" spans="1:2">
      <c r="A132" s="4" t="s">
        <v>687</v>
      </c>
      <c r="B132" s="5">
        <v>95830</v>
      </c>
    </row>
    <row r="133" spans="1:2">
      <c r="A133" s="4" t="s">
        <v>5280</v>
      </c>
      <c r="B133" s="5">
        <v>95483</v>
      </c>
    </row>
    <row r="134" spans="1:2">
      <c r="A134" s="4" t="s">
        <v>33</v>
      </c>
      <c r="B134" s="5">
        <v>95454</v>
      </c>
    </row>
    <row r="135" spans="1:2">
      <c r="A135" s="4" t="s">
        <v>474</v>
      </c>
      <c r="B135" s="5">
        <v>95208</v>
      </c>
    </row>
    <row r="136" spans="1:2">
      <c r="A136" s="4" t="s">
        <v>3701</v>
      </c>
      <c r="B136" s="5">
        <v>95031</v>
      </c>
    </row>
    <row r="137" spans="1:2">
      <c r="A137" s="4" t="s">
        <v>7159</v>
      </c>
      <c r="B137" s="5">
        <v>94602</v>
      </c>
    </row>
    <row r="138" spans="1:2">
      <c r="A138" s="4" t="s">
        <v>2059</v>
      </c>
      <c r="B138" s="5">
        <v>91861</v>
      </c>
    </row>
    <row r="139" spans="1:2">
      <c r="A139" s="4" t="s">
        <v>4994</v>
      </c>
      <c r="B139" s="5">
        <v>90358</v>
      </c>
    </row>
    <row r="140" spans="1:2">
      <c r="A140" s="4" t="s">
        <v>2679</v>
      </c>
      <c r="B140" s="5">
        <v>88005</v>
      </c>
    </row>
    <row r="141" spans="1:2">
      <c r="A141" s="4" t="s">
        <v>4191</v>
      </c>
      <c r="B141" s="5">
        <v>87985</v>
      </c>
    </row>
    <row r="142" spans="1:2">
      <c r="A142" s="4" t="s">
        <v>2651</v>
      </c>
      <c r="B142" s="5">
        <v>86598</v>
      </c>
    </row>
    <row r="143" spans="1:2">
      <c r="A143" s="4" t="s">
        <v>1683</v>
      </c>
      <c r="B143" s="5">
        <v>86547</v>
      </c>
    </row>
    <row r="144" spans="1:2">
      <c r="A144" s="4" t="s">
        <v>321</v>
      </c>
      <c r="B144" s="5">
        <v>86056</v>
      </c>
    </row>
    <row r="145" spans="1:2">
      <c r="A145" s="4" t="s">
        <v>892</v>
      </c>
      <c r="B145" s="5">
        <v>85893</v>
      </c>
    </row>
    <row r="146" spans="1:2">
      <c r="A146" s="4" t="s">
        <v>7125</v>
      </c>
      <c r="B146" s="5">
        <v>85551</v>
      </c>
    </row>
    <row r="147" spans="1:2">
      <c r="A147" s="4" t="s">
        <v>3743</v>
      </c>
      <c r="B147" s="5">
        <v>83591</v>
      </c>
    </row>
    <row r="148" spans="1:2">
      <c r="A148" s="4" t="s">
        <v>7101</v>
      </c>
      <c r="B148" s="5">
        <v>83158</v>
      </c>
    </row>
    <row r="149" spans="1:2">
      <c r="A149" s="4" t="s">
        <v>2187</v>
      </c>
      <c r="B149" s="5">
        <v>83005</v>
      </c>
    </row>
    <row r="150" spans="1:2">
      <c r="A150" s="4" t="s">
        <v>733</v>
      </c>
      <c r="B150" s="5">
        <v>82875</v>
      </c>
    </row>
    <row r="151" spans="1:2">
      <c r="A151" s="4" t="s">
        <v>7309</v>
      </c>
      <c r="B151" s="5">
        <v>82364</v>
      </c>
    </row>
    <row r="152" spans="1:2">
      <c r="A152" s="4" t="s">
        <v>1061</v>
      </c>
      <c r="B152" s="5">
        <v>80484</v>
      </c>
    </row>
    <row r="153" spans="1:2">
      <c r="A153" s="4" t="s">
        <v>6426</v>
      </c>
      <c r="B153" s="5">
        <v>79714</v>
      </c>
    </row>
    <row r="154" spans="1:2">
      <c r="A154" s="4" t="s">
        <v>2486</v>
      </c>
      <c r="B154" s="5">
        <v>79120</v>
      </c>
    </row>
    <row r="155" spans="1:2">
      <c r="A155" s="4" t="s">
        <v>5941</v>
      </c>
      <c r="B155" s="5">
        <v>78704</v>
      </c>
    </row>
    <row r="156" spans="1:2">
      <c r="A156" s="4" t="s">
        <v>2645</v>
      </c>
      <c r="B156" s="5">
        <v>78349</v>
      </c>
    </row>
    <row r="157" spans="1:2">
      <c r="A157" s="4" t="s">
        <v>6613</v>
      </c>
      <c r="B157" s="5">
        <v>78231</v>
      </c>
    </row>
    <row r="158" spans="1:2">
      <c r="A158" s="4" t="s">
        <v>915</v>
      </c>
      <c r="B158" s="5">
        <v>77517</v>
      </c>
    </row>
    <row r="159" spans="1:2">
      <c r="A159" s="4" t="s">
        <v>6429</v>
      </c>
      <c r="B159" s="5">
        <v>76616</v>
      </c>
    </row>
    <row r="160" spans="1:2">
      <c r="A160" s="4" t="s">
        <v>5711</v>
      </c>
      <c r="B160" s="5">
        <v>76285</v>
      </c>
    </row>
    <row r="161" spans="1:2">
      <c r="A161" s="4" t="s">
        <v>378</v>
      </c>
      <c r="B161" s="5">
        <v>76258</v>
      </c>
    </row>
    <row r="162" spans="1:2">
      <c r="A162" s="4" t="s">
        <v>3408</v>
      </c>
      <c r="B162" s="5">
        <v>75872</v>
      </c>
    </row>
    <row r="163" spans="1:2">
      <c r="A163" s="4" t="s">
        <v>756</v>
      </c>
      <c r="B163" s="5">
        <v>74481</v>
      </c>
    </row>
    <row r="164" spans="1:2">
      <c r="A164" s="4" t="s">
        <v>6936</v>
      </c>
      <c r="B164" s="5">
        <v>72987</v>
      </c>
    </row>
    <row r="165" spans="1:2">
      <c r="A165" s="4" t="s">
        <v>345</v>
      </c>
      <c r="B165" s="5">
        <v>72702</v>
      </c>
    </row>
    <row r="166" spans="1:2">
      <c r="A166" s="4" t="s">
        <v>617</v>
      </c>
      <c r="B166" s="5">
        <v>71335</v>
      </c>
    </row>
    <row r="167" spans="1:2">
      <c r="A167" s="4" t="s">
        <v>5036</v>
      </c>
      <c r="B167" s="5">
        <v>71102</v>
      </c>
    </row>
    <row r="168" spans="1:2">
      <c r="A168" s="4" t="s">
        <v>2308</v>
      </c>
      <c r="B168" s="5">
        <v>70183</v>
      </c>
    </row>
    <row r="169" spans="1:2">
      <c r="A169" s="4" t="s">
        <v>907</v>
      </c>
      <c r="B169" s="5">
        <v>69866</v>
      </c>
    </row>
    <row r="170" spans="1:2">
      <c r="A170" s="4" t="s">
        <v>783</v>
      </c>
      <c r="B170" s="5">
        <v>69660</v>
      </c>
    </row>
    <row r="171" spans="1:2">
      <c r="A171" s="4" t="s">
        <v>6538</v>
      </c>
      <c r="B171" s="5">
        <v>69120</v>
      </c>
    </row>
    <row r="172" spans="1:2">
      <c r="A172" s="4" t="s">
        <v>41</v>
      </c>
      <c r="B172" s="5">
        <v>68731</v>
      </c>
    </row>
    <row r="173" spans="1:2">
      <c r="A173" s="4" t="s">
        <v>343</v>
      </c>
      <c r="B173" s="5">
        <v>68000</v>
      </c>
    </row>
    <row r="174" spans="1:2">
      <c r="A174" s="4" t="s">
        <v>3788</v>
      </c>
      <c r="B174" s="5">
        <v>67704</v>
      </c>
    </row>
    <row r="175" spans="1:2">
      <c r="A175" s="4" t="s">
        <v>750</v>
      </c>
      <c r="B175" s="5">
        <v>67417</v>
      </c>
    </row>
    <row r="176" spans="1:2">
      <c r="A176" s="4" t="s">
        <v>5222</v>
      </c>
      <c r="B176" s="5">
        <v>67290</v>
      </c>
    </row>
    <row r="177" spans="1:2">
      <c r="A177" s="4" t="s">
        <v>172</v>
      </c>
      <c r="B177" s="5">
        <v>67243</v>
      </c>
    </row>
    <row r="178" spans="1:2">
      <c r="A178" s="4" t="s">
        <v>2316</v>
      </c>
      <c r="B178" s="5">
        <v>66793</v>
      </c>
    </row>
    <row r="179" spans="1:2">
      <c r="A179" s="4" t="s">
        <v>4977</v>
      </c>
      <c r="B179" s="5">
        <v>66429</v>
      </c>
    </row>
    <row r="180" spans="1:2">
      <c r="A180" s="4" t="s">
        <v>781</v>
      </c>
      <c r="B180" s="5">
        <v>66004</v>
      </c>
    </row>
    <row r="181" spans="1:2">
      <c r="A181" s="4" t="s">
        <v>4733</v>
      </c>
      <c r="B181" s="5">
        <v>65084</v>
      </c>
    </row>
    <row r="182" spans="1:2">
      <c r="A182" s="4" t="s">
        <v>188</v>
      </c>
      <c r="B182" s="5">
        <v>64689</v>
      </c>
    </row>
    <row r="183" spans="1:2">
      <c r="A183" s="4" t="s">
        <v>2999</v>
      </c>
      <c r="B183" s="5">
        <v>64573</v>
      </c>
    </row>
    <row r="184" spans="1:2">
      <c r="A184" s="4" t="s">
        <v>2780</v>
      </c>
      <c r="B184" s="5">
        <v>64276</v>
      </c>
    </row>
    <row r="185" spans="1:2">
      <c r="A185" s="4" t="s">
        <v>52</v>
      </c>
      <c r="B185" s="5">
        <v>63557</v>
      </c>
    </row>
    <row r="186" spans="1:2">
      <c r="A186" s="4" t="s">
        <v>5184</v>
      </c>
      <c r="B186" s="5">
        <v>63554</v>
      </c>
    </row>
    <row r="187" spans="1:2">
      <c r="A187" s="4" t="s">
        <v>1617</v>
      </c>
      <c r="B187" s="5">
        <v>63524</v>
      </c>
    </row>
    <row r="188" spans="1:2">
      <c r="A188" s="4" t="s">
        <v>739</v>
      </c>
      <c r="B188" s="5">
        <v>63257</v>
      </c>
    </row>
    <row r="189" spans="1:2">
      <c r="A189" s="4" t="s">
        <v>1127</v>
      </c>
      <c r="B189" s="5">
        <v>63011</v>
      </c>
    </row>
    <row r="190" spans="1:2">
      <c r="A190" s="4" t="s">
        <v>521</v>
      </c>
      <c r="B190" s="5">
        <v>62732</v>
      </c>
    </row>
    <row r="191" spans="1:2">
      <c r="A191" s="4" t="s">
        <v>7399</v>
      </c>
      <c r="B191" s="5">
        <v>62722</v>
      </c>
    </row>
    <row r="192" spans="1:2">
      <c r="A192" s="4" t="s">
        <v>7787</v>
      </c>
      <c r="B192" s="5">
        <v>62695</v>
      </c>
    </row>
    <row r="193" spans="1:2">
      <c r="A193" s="4" t="s">
        <v>4590</v>
      </c>
      <c r="B193" s="5">
        <v>62646</v>
      </c>
    </row>
    <row r="194" spans="1:2">
      <c r="A194" s="4" t="s">
        <v>4972</v>
      </c>
      <c r="B194" s="5">
        <v>62630</v>
      </c>
    </row>
    <row r="195" spans="1:2">
      <c r="A195" s="4" t="s">
        <v>143</v>
      </c>
      <c r="B195" s="5">
        <v>62045</v>
      </c>
    </row>
    <row r="196" spans="1:2">
      <c r="A196" s="4" t="s">
        <v>1964</v>
      </c>
      <c r="B196" s="5">
        <v>61925</v>
      </c>
    </row>
    <row r="197" spans="1:2">
      <c r="A197" s="4" t="s">
        <v>131</v>
      </c>
      <c r="B197" s="5">
        <v>61880</v>
      </c>
    </row>
    <row r="198" spans="1:2">
      <c r="A198" s="4" t="s">
        <v>1021</v>
      </c>
      <c r="B198" s="5">
        <v>61604</v>
      </c>
    </row>
    <row r="199" spans="1:2">
      <c r="A199" s="4" t="s">
        <v>6054</v>
      </c>
      <c r="B199" s="5">
        <v>61506</v>
      </c>
    </row>
    <row r="200" spans="1:2">
      <c r="A200" s="4" t="s">
        <v>124</v>
      </c>
      <c r="B200" s="5">
        <v>61259</v>
      </c>
    </row>
    <row r="201" spans="1:2">
      <c r="A201" s="4" t="s">
        <v>4491</v>
      </c>
      <c r="B201" s="5">
        <v>61254</v>
      </c>
    </row>
    <row r="202" spans="1:2">
      <c r="A202" s="4" t="s">
        <v>870</v>
      </c>
      <c r="B202" s="5">
        <v>60813</v>
      </c>
    </row>
    <row r="203" spans="1:2">
      <c r="A203" s="4" t="s">
        <v>518</v>
      </c>
      <c r="B203" s="5">
        <v>60484</v>
      </c>
    </row>
    <row r="204" spans="1:2">
      <c r="A204" s="4" t="s">
        <v>2040</v>
      </c>
      <c r="B204" s="5">
        <v>60234</v>
      </c>
    </row>
    <row r="205" spans="1:2">
      <c r="A205" s="4" t="s">
        <v>3074</v>
      </c>
      <c r="B205" s="5">
        <v>60152</v>
      </c>
    </row>
    <row r="206" spans="1:2">
      <c r="A206" s="4" t="s">
        <v>1066</v>
      </c>
      <c r="B206" s="5">
        <v>60005</v>
      </c>
    </row>
    <row r="207" spans="1:2">
      <c r="A207" s="4" t="s">
        <v>7741</v>
      </c>
      <c r="B207" s="5">
        <v>60000</v>
      </c>
    </row>
    <row r="208" spans="1:2">
      <c r="A208" s="4" t="s">
        <v>2022</v>
      </c>
      <c r="B208" s="5">
        <v>59913</v>
      </c>
    </row>
    <row r="209" spans="1:2">
      <c r="A209" s="4" t="s">
        <v>7660</v>
      </c>
      <c r="B209" s="5">
        <v>59870</v>
      </c>
    </row>
    <row r="210" spans="1:2">
      <c r="A210" s="4" t="s">
        <v>3418</v>
      </c>
      <c r="B210" s="5">
        <v>59765</v>
      </c>
    </row>
    <row r="211" spans="1:2">
      <c r="A211" s="4" t="s">
        <v>1275</v>
      </c>
      <c r="B211" s="5">
        <v>59603</v>
      </c>
    </row>
    <row r="212" spans="1:2">
      <c r="A212" s="4" t="s">
        <v>6727</v>
      </c>
      <c r="B212" s="5">
        <v>59595</v>
      </c>
    </row>
    <row r="213" spans="1:2">
      <c r="A213" s="4" t="s">
        <v>1422</v>
      </c>
      <c r="B213" s="5">
        <v>59008</v>
      </c>
    </row>
    <row r="214" spans="1:2">
      <c r="A214" s="4" t="s">
        <v>900</v>
      </c>
      <c r="B214" s="5">
        <v>58984</v>
      </c>
    </row>
    <row r="215" spans="1:2">
      <c r="A215" s="4" t="s">
        <v>94</v>
      </c>
      <c r="B215" s="5">
        <v>58824</v>
      </c>
    </row>
    <row r="216" spans="1:2">
      <c r="A216" s="4" t="s">
        <v>591</v>
      </c>
      <c r="B216" s="5">
        <v>58756</v>
      </c>
    </row>
    <row r="217" spans="1:2">
      <c r="A217" s="4" t="s">
        <v>4921</v>
      </c>
      <c r="B217" s="5">
        <v>58706</v>
      </c>
    </row>
    <row r="218" spans="1:2">
      <c r="A218" s="4" t="s">
        <v>7757</v>
      </c>
      <c r="B218" s="5">
        <v>58182</v>
      </c>
    </row>
    <row r="219" spans="1:2">
      <c r="A219" s="4" t="s">
        <v>327</v>
      </c>
      <c r="B219" s="5">
        <v>58036</v>
      </c>
    </row>
    <row r="220" spans="1:2">
      <c r="A220" s="4" t="s">
        <v>7187</v>
      </c>
      <c r="B220" s="5">
        <v>57530</v>
      </c>
    </row>
    <row r="221" spans="1:2">
      <c r="A221" s="4" t="s">
        <v>5398</v>
      </c>
      <c r="B221" s="5">
        <v>57132</v>
      </c>
    </row>
    <row r="222" spans="1:2">
      <c r="A222" s="4" t="s">
        <v>3690</v>
      </c>
      <c r="B222" s="5">
        <v>57128</v>
      </c>
    </row>
    <row r="223" spans="1:2">
      <c r="A223" s="4" t="s">
        <v>2288</v>
      </c>
      <c r="B223" s="5">
        <v>56069</v>
      </c>
    </row>
    <row r="224" spans="1:2">
      <c r="A224" s="4" t="s">
        <v>3833</v>
      </c>
      <c r="B224" s="5">
        <v>55259</v>
      </c>
    </row>
    <row r="225" spans="1:2">
      <c r="A225" s="4" t="s">
        <v>2314</v>
      </c>
      <c r="B225" s="5">
        <v>55173</v>
      </c>
    </row>
    <row r="226" spans="1:2">
      <c r="A226" s="4" t="s">
        <v>117</v>
      </c>
      <c r="B226" s="5">
        <v>55066</v>
      </c>
    </row>
    <row r="227" spans="1:2">
      <c r="A227" s="4" t="s">
        <v>203</v>
      </c>
      <c r="B227" s="5">
        <v>54131</v>
      </c>
    </row>
    <row r="228" spans="1:2">
      <c r="A228" s="4" t="s">
        <v>1810</v>
      </c>
      <c r="B228" s="5">
        <v>54120</v>
      </c>
    </row>
    <row r="229" spans="1:2">
      <c r="A229" s="4" t="s">
        <v>514</v>
      </c>
      <c r="B229" s="5">
        <v>54036</v>
      </c>
    </row>
    <row r="230" spans="1:2">
      <c r="A230" s="4" t="s">
        <v>2963</v>
      </c>
      <c r="B230" s="5">
        <v>53478</v>
      </c>
    </row>
    <row r="231" spans="1:2">
      <c r="A231" s="4" t="s">
        <v>6196</v>
      </c>
      <c r="B231" s="5">
        <v>53383</v>
      </c>
    </row>
    <row r="232" spans="1:2">
      <c r="A232" s="4" t="s">
        <v>216</v>
      </c>
      <c r="B232" s="5">
        <v>53135</v>
      </c>
    </row>
    <row r="233" spans="1:2">
      <c r="A233" s="4" t="s">
        <v>7726</v>
      </c>
      <c r="B233" s="5">
        <v>52391</v>
      </c>
    </row>
    <row r="234" spans="1:2">
      <c r="A234" s="4" t="s">
        <v>6536</v>
      </c>
      <c r="B234" s="5">
        <v>52074</v>
      </c>
    </row>
    <row r="235" spans="1:2">
      <c r="A235" s="4" t="s">
        <v>3486</v>
      </c>
      <c r="B235" s="5">
        <v>52037</v>
      </c>
    </row>
    <row r="236" spans="1:2">
      <c r="A236" s="4" t="s">
        <v>107</v>
      </c>
      <c r="B236" s="5">
        <v>51747</v>
      </c>
    </row>
    <row r="237" spans="1:2">
      <c r="A237" s="4" t="s">
        <v>854</v>
      </c>
      <c r="B237" s="5">
        <v>51723</v>
      </c>
    </row>
    <row r="238" spans="1:2">
      <c r="A238" s="4" t="s">
        <v>723</v>
      </c>
      <c r="B238" s="5">
        <v>51575</v>
      </c>
    </row>
    <row r="239" spans="1:2">
      <c r="A239" s="4" t="s">
        <v>3505</v>
      </c>
      <c r="B239" s="5">
        <v>51460</v>
      </c>
    </row>
    <row r="240" spans="1:2">
      <c r="A240" s="4" t="s">
        <v>1147</v>
      </c>
      <c r="B240" s="5">
        <v>50190</v>
      </c>
    </row>
    <row r="241" spans="1:2">
      <c r="A241" s="4" t="s">
        <v>1507</v>
      </c>
      <c r="B241" s="5">
        <v>49912</v>
      </c>
    </row>
    <row r="242" spans="1:2">
      <c r="A242" s="4" t="s">
        <v>3050</v>
      </c>
      <c r="B242" s="5">
        <v>49643</v>
      </c>
    </row>
    <row r="243" spans="1:2">
      <c r="A243" s="4" t="s">
        <v>4522</v>
      </c>
      <c r="B243" s="5">
        <v>49309</v>
      </c>
    </row>
    <row r="244" spans="1:2">
      <c r="A244" s="4" t="s">
        <v>4531</v>
      </c>
      <c r="B244" s="5">
        <v>49304</v>
      </c>
    </row>
    <row r="245" spans="1:2">
      <c r="A245" s="4" t="s">
        <v>1578</v>
      </c>
      <c r="B245" s="5">
        <v>48640</v>
      </c>
    </row>
    <row r="246" spans="1:2">
      <c r="A246" s="4" t="s">
        <v>1916</v>
      </c>
      <c r="B246" s="5">
        <v>48332</v>
      </c>
    </row>
    <row r="247" spans="1:2">
      <c r="A247" s="4" t="s">
        <v>1381</v>
      </c>
      <c r="B247" s="5">
        <v>47825</v>
      </c>
    </row>
    <row r="248" spans="1:2">
      <c r="A248" s="4" t="s">
        <v>5579</v>
      </c>
      <c r="B248" s="5">
        <v>46476</v>
      </c>
    </row>
    <row r="249" spans="1:2">
      <c r="A249" s="4" t="s">
        <v>582</v>
      </c>
      <c r="B249" s="5">
        <v>46108</v>
      </c>
    </row>
    <row r="250" spans="1:2">
      <c r="A250" s="4" t="s">
        <v>7711</v>
      </c>
      <c r="B250" s="5">
        <v>45886</v>
      </c>
    </row>
    <row r="251" spans="1:2">
      <c r="A251" s="4" t="s">
        <v>3844</v>
      </c>
      <c r="B251" s="5">
        <v>45549</v>
      </c>
    </row>
    <row r="252" spans="1:2">
      <c r="A252" s="4" t="s">
        <v>7075</v>
      </c>
      <c r="B252" s="5">
        <v>45072</v>
      </c>
    </row>
    <row r="253" spans="1:2">
      <c r="A253" s="4" t="s">
        <v>1892</v>
      </c>
      <c r="B253" s="5">
        <v>44996</v>
      </c>
    </row>
    <row r="254" spans="1:2">
      <c r="A254" s="4" t="s">
        <v>7103</v>
      </c>
      <c r="B254" s="5">
        <v>43796</v>
      </c>
    </row>
    <row r="255" spans="1:2">
      <c r="A255" s="4" t="s">
        <v>1294</v>
      </c>
      <c r="B255" s="5">
        <v>43776</v>
      </c>
    </row>
    <row r="256" spans="1:2">
      <c r="A256" s="4" t="s">
        <v>2762</v>
      </c>
      <c r="B256" s="5">
        <v>43501</v>
      </c>
    </row>
    <row r="257" spans="1:2">
      <c r="A257" s="4" t="s">
        <v>6345</v>
      </c>
      <c r="B257" s="5">
        <v>43307</v>
      </c>
    </row>
    <row r="258" spans="1:2">
      <c r="A258" s="4" t="s">
        <v>5641</v>
      </c>
      <c r="B258" s="5">
        <v>43163</v>
      </c>
    </row>
    <row r="259" spans="1:2">
      <c r="A259" s="4" t="s">
        <v>1498</v>
      </c>
      <c r="B259" s="5">
        <v>42850</v>
      </c>
    </row>
    <row r="260" spans="1:2">
      <c r="A260" s="4" t="s">
        <v>6869</v>
      </c>
      <c r="B260" s="5">
        <v>42791</v>
      </c>
    </row>
    <row r="261" spans="1:2">
      <c r="A261" s="4" t="s">
        <v>6609</v>
      </c>
      <c r="B261" s="5">
        <v>42785</v>
      </c>
    </row>
    <row r="262" spans="1:2">
      <c r="A262" s="4" t="s">
        <v>112</v>
      </c>
      <c r="B262" s="5">
        <v>42561</v>
      </c>
    </row>
    <row r="263" spans="1:2">
      <c r="A263" s="4" t="s">
        <v>563</v>
      </c>
      <c r="B263" s="5">
        <v>42219</v>
      </c>
    </row>
    <row r="264" spans="1:2">
      <c r="A264" s="4" t="s">
        <v>5166</v>
      </c>
      <c r="B264" s="5">
        <v>41848</v>
      </c>
    </row>
    <row r="265" spans="1:2">
      <c r="A265" s="4" t="s">
        <v>358</v>
      </c>
      <c r="B265" s="5">
        <v>41712</v>
      </c>
    </row>
    <row r="266" spans="1:2">
      <c r="A266" s="4" t="s">
        <v>6440</v>
      </c>
      <c r="B266" s="5">
        <v>41603</v>
      </c>
    </row>
    <row r="267" spans="1:2">
      <c r="A267" s="4" t="s">
        <v>6142</v>
      </c>
      <c r="B267" s="5">
        <v>41563</v>
      </c>
    </row>
    <row r="268" spans="1:2">
      <c r="A268" s="4" t="s">
        <v>5192</v>
      </c>
      <c r="B268" s="5">
        <v>41392</v>
      </c>
    </row>
    <row r="269" spans="1:2">
      <c r="A269" s="4" t="s">
        <v>887</v>
      </c>
      <c r="B269" s="5">
        <v>41175</v>
      </c>
    </row>
    <row r="270" spans="1:2">
      <c r="A270" s="4" t="s">
        <v>6302</v>
      </c>
      <c r="B270" s="5">
        <v>41069</v>
      </c>
    </row>
    <row r="271" spans="1:2">
      <c r="A271" s="4" t="s">
        <v>2590</v>
      </c>
      <c r="B271" s="5">
        <v>40925</v>
      </c>
    </row>
    <row r="272" spans="1:2">
      <c r="A272" s="4" t="s">
        <v>1039</v>
      </c>
      <c r="B272" s="5">
        <v>40913</v>
      </c>
    </row>
    <row r="273" spans="1:2">
      <c r="A273" s="4" t="s">
        <v>6251</v>
      </c>
      <c r="B273" s="5">
        <v>40839</v>
      </c>
    </row>
    <row r="274" spans="1:2">
      <c r="A274" s="4" t="s">
        <v>4947</v>
      </c>
      <c r="B274" s="5">
        <v>40554</v>
      </c>
    </row>
    <row r="275" spans="1:2">
      <c r="A275" s="4" t="s">
        <v>1248</v>
      </c>
      <c r="B275" s="5">
        <v>40507</v>
      </c>
    </row>
    <row r="276" spans="1:2">
      <c r="A276" s="4" t="s">
        <v>1934</v>
      </c>
      <c r="B276" s="5">
        <v>40507</v>
      </c>
    </row>
    <row r="277" spans="1:2">
      <c r="A277" s="4" t="s">
        <v>923</v>
      </c>
      <c r="B277" s="5">
        <v>40359</v>
      </c>
    </row>
    <row r="278" spans="1:2">
      <c r="A278" s="4" t="s">
        <v>1741</v>
      </c>
      <c r="B278" s="5">
        <v>40180</v>
      </c>
    </row>
    <row r="279" spans="1:2">
      <c r="A279" s="4" t="s">
        <v>1495</v>
      </c>
      <c r="B279" s="5">
        <v>39948</v>
      </c>
    </row>
    <row r="280" spans="1:2">
      <c r="A280" s="4" t="s">
        <v>1122</v>
      </c>
      <c r="B280" s="5">
        <v>39500</v>
      </c>
    </row>
    <row r="281" spans="1:2">
      <c r="A281" s="4" t="s">
        <v>2603</v>
      </c>
      <c r="B281" s="5">
        <v>39481</v>
      </c>
    </row>
    <row r="282" spans="1:2">
      <c r="A282" s="4" t="s">
        <v>3104</v>
      </c>
      <c r="B282" s="5">
        <v>39183</v>
      </c>
    </row>
    <row r="283" spans="1:2">
      <c r="A283" s="4" t="s">
        <v>457</v>
      </c>
      <c r="B283" s="5">
        <v>38955</v>
      </c>
    </row>
    <row r="284" spans="1:2">
      <c r="A284" s="4" t="s">
        <v>7319</v>
      </c>
      <c r="B284" s="5">
        <v>38641</v>
      </c>
    </row>
    <row r="285" spans="1:2">
      <c r="A285" s="4" t="s">
        <v>3957</v>
      </c>
      <c r="B285" s="5">
        <v>38521</v>
      </c>
    </row>
    <row r="286" spans="1:2">
      <c r="A286" s="4" t="s">
        <v>2667</v>
      </c>
      <c r="B286" s="5">
        <v>38032</v>
      </c>
    </row>
    <row r="287" spans="1:2">
      <c r="A287" s="4" t="s">
        <v>3568</v>
      </c>
      <c r="B287" s="5">
        <v>37518</v>
      </c>
    </row>
    <row r="288" spans="1:2">
      <c r="A288" s="4" t="s">
        <v>4375</v>
      </c>
      <c r="B288" s="5">
        <v>37501</v>
      </c>
    </row>
    <row r="289" spans="1:2">
      <c r="A289" s="4" t="s">
        <v>89</v>
      </c>
      <c r="B289" s="5">
        <v>37353</v>
      </c>
    </row>
    <row r="290" spans="1:2">
      <c r="A290" s="4" t="s">
        <v>4000</v>
      </c>
      <c r="B290" s="5">
        <v>37194</v>
      </c>
    </row>
    <row r="291" spans="1:2">
      <c r="A291" s="4" t="s">
        <v>5264</v>
      </c>
      <c r="B291" s="5">
        <v>36989</v>
      </c>
    </row>
    <row r="292" spans="1:2">
      <c r="A292" s="4" t="s">
        <v>741</v>
      </c>
      <c r="B292" s="5">
        <v>36855</v>
      </c>
    </row>
    <row r="293" spans="1:2">
      <c r="A293" s="4" t="s">
        <v>4928</v>
      </c>
      <c r="B293" s="5">
        <v>36733</v>
      </c>
    </row>
    <row r="294" spans="1:2">
      <c r="A294" s="4" t="s">
        <v>1162</v>
      </c>
      <c r="B294" s="5">
        <v>36484</v>
      </c>
    </row>
    <row r="295" spans="1:2">
      <c r="A295" s="4" t="s">
        <v>6985</v>
      </c>
      <c r="B295" s="5">
        <v>36361</v>
      </c>
    </row>
    <row r="296" spans="1:2">
      <c r="A296" s="4" t="s">
        <v>5376</v>
      </c>
      <c r="B296" s="5">
        <v>36287</v>
      </c>
    </row>
    <row r="297" spans="1:2">
      <c r="A297" s="4" t="s">
        <v>6959</v>
      </c>
      <c r="B297" s="5">
        <v>36130</v>
      </c>
    </row>
    <row r="298" spans="1:2">
      <c r="A298" s="4" t="s">
        <v>706</v>
      </c>
      <c r="B298" s="5">
        <v>36130</v>
      </c>
    </row>
    <row r="299" spans="1:2">
      <c r="A299" s="4" t="s">
        <v>163</v>
      </c>
      <c r="B299" s="5">
        <v>36112</v>
      </c>
    </row>
    <row r="300" spans="1:2">
      <c r="A300" s="4" t="s">
        <v>4906</v>
      </c>
      <c r="B300" s="5">
        <v>35772</v>
      </c>
    </row>
    <row r="301" spans="1:2">
      <c r="A301" s="4" t="s">
        <v>1914</v>
      </c>
      <c r="B301" s="5">
        <v>35608</v>
      </c>
    </row>
    <row r="302" spans="1:2">
      <c r="A302" s="4" t="s">
        <v>6702</v>
      </c>
      <c r="B302" s="5">
        <v>35593</v>
      </c>
    </row>
    <row r="303" spans="1:2">
      <c r="A303" s="4" t="s">
        <v>5791</v>
      </c>
      <c r="B303" s="5">
        <v>35524</v>
      </c>
    </row>
    <row r="304" spans="1:2">
      <c r="A304" s="4" t="s">
        <v>6374</v>
      </c>
      <c r="B304" s="5">
        <v>35499</v>
      </c>
    </row>
    <row r="305" spans="1:2">
      <c r="A305" s="4" t="s">
        <v>309</v>
      </c>
      <c r="B305" s="5">
        <v>35375</v>
      </c>
    </row>
    <row r="306" spans="1:2">
      <c r="A306" s="4" t="s">
        <v>3392</v>
      </c>
      <c r="B306" s="5">
        <v>35340</v>
      </c>
    </row>
    <row r="307" spans="1:2">
      <c r="A307" s="4" t="s">
        <v>1004</v>
      </c>
      <c r="B307" s="5">
        <v>35280</v>
      </c>
    </row>
    <row r="308" spans="1:2">
      <c r="A308" s="4" t="s">
        <v>4962</v>
      </c>
      <c r="B308" s="5">
        <v>35129</v>
      </c>
    </row>
    <row r="309" spans="1:2">
      <c r="A309" s="4" t="s">
        <v>2728</v>
      </c>
      <c r="B309" s="5">
        <v>34921</v>
      </c>
    </row>
    <row r="310" spans="1:2">
      <c r="A310" s="4" t="s">
        <v>1748</v>
      </c>
      <c r="B310" s="5">
        <v>34803</v>
      </c>
    </row>
    <row r="311" spans="1:2">
      <c r="A311" s="4" t="s">
        <v>7613</v>
      </c>
      <c r="B311" s="5">
        <v>34652</v>
      </c>
    </row>
    <row r="312" spans="1:2">
      <c r="A312" s="4" t="s">
        <v>4201</v>
      </c>
      <c r="B312" s="5">
        <v>34545</v>
      </c>
    </row>
    <row r="313" spans="1:2">
      <c r="A313" s="4" t="s">
        <v>5647</v>
      </c>
      <c r="B313" s="5">
        <v>34403</v>
      </c>
    </row>
    <row r="314" spans="1:2">
      <c r="A314" s="4" t="s">
        <v>4852</v>
      </c>
      <c r="B314" s="5">
        <v>33921</v>
      </c>
    </row>
    <row r="315" spans="1:2">
      <c r="A315" s="4" t="s">
        <v>1991</v>
      </c>
      <c r="B315" s="5">
        <v>33874</v>
      </c>
    </row>
    <row r="316" spans="1:2">
      <c r="A316" s="4" t="s">
        <v>3976</v>
      </c>
      <c r="B316" s="5">
        <v>33863</v>
      </c>
    </row>
    <row r="317" spans="1:2">
      <c r="A317" s="4" t="s">
        <v>1975</v>
      </c>
      <c r="B317" s="5">
        <v>33856</v>
      </c>
    </row>
    <row r="318" spans="1:2">
      <c r="A318" s="4" t="s">
        <v>2047</v>
      </c>
      <c r="B318" s="5">
        <v>33673</v>
      </c>
    </row>
    <row r="319" spans="1:2">
      <c r="A319" s="4" t="s">
        <v>307</v>
      </c>
      <c r="B319" s="5">
        <v>33513</v>
      </c>
    </row>
    <row r="320" spans="1:2">
      <c r="A320" s="4" t="s">
        <v>3791</v>
      </c>
      <c r="B320" s="5">
        <v>33435</v>
      </c>
    </row>
    <row r="321" spans="1:2">
      <c r="A321" s="4" t="s">
        <v>1541</v>
      </c>
      <c r="B321" s="5">
        <v>33257</v>
      </c>
    </row>
    <row r="322" spans="1:2">
      <c r="A322" s="4" t="s">
        <v>5878</v>
      </c>
      <c r="B322" s="5">
        <v>33232</v>
      </c>
    </row>
    <row r="323" spans="1:2">
      <c r="A323" s="4" t="s">
        <v>1602</v>
      </c>
      <c r="B323" s="5">
        <v>33003</v>
      </c>
    </row>
    <row r="324" spans="1:2">
      <c r="A324" s="4" t="s">
        <v>1947</v>
      </c>
      <c r="B324" s="5">
        <v>32980</v>
      </c>
    </row>
    <row r="325" spans="1:2">
      <c r="A325" s="4" t="s">
        <v>2616</v>
      </c>
      <c r="B325" s="5">
        <v>32955</v>
      </c>
    </row>
    <row r="326" spans="1:2">
      <c r="A326" s="4" t="s">
        <v>5158</v>
      </c>
      <c r="B326" s="5">
        <v>32900</v>
      </c>
    </row>
    <row r="327" spans="1:2">
      <c r="A327" s="4" t="s">
        <v>3015</v>
      </c>
      <c r="B327" s="5">
        <v>32677</v>
      </c>
    </row>
    <row r="328" spans="1:2">
      <c r="A328" s="4" t="s">
        <v>3573</v>
      </c>
      <c r="B328" s="5">
        <v>32650</v>
      </c>
    </row>
    <row r="329" spans="1:2">
      <c r="A329" s="4" t="s">
        <v>4388</v>
      </c>
      <c r="B329" s="5">
        <v>32568</v>
      </c>
    </row>
    <row r="330" spans="1:2">
      <c r="A330" s="4" t="s">
        <v>176</v>
      </c>
      <c r="B330" s="5">
        <v>32177</v>
      </c>
    </row>
    <row r="331" spans="1:2">
      <c r="A331" s="4" t="s">
        <v>1096</v>
      </c>
      <c r="B331" s="5">
        <v>31867</v>
      </c>
    </row>
    <row r="332" spans="1:2">
      <c r="A332" s="4" t="s">
        <v>3306</v>
      </c>
      <c r="B332" s="5">
        <v>31661</v>
      </c>
    </row>
    <row r="333" spans="1:2">
      <c r="A333" s="4" t="s">
        <v>1159</v>
      </c>
      <c r="B333" s="5">
        <v>31600</v>
      </c>
    </row>
    <row r="334" spans="1:2">
      <c r="A334" s="4" t="s">
        <v>1296</v>
      </c>
      <c r="B334" s="5">
        <v>31164</v>
      </c>
    </row>
    <row r="335" spans="1:2">
      <c r="A335" s="4" t="s">
        <v>2069</v>
      </c>
      <c r="B335" s="5">
        <v>30750</v>
      </c>
    </row>
    <row r="336" spans="1:2">
      <c r="A336" s="4" t="s">
        <v>6288</v>
      </c>
      <c r="B336" s="5">
        <v>30686</v>
      </c>
    </row>
    <row r="337" spans="1:2">
      <c r="A337" s="4" t="s">
        <v>3899</v>
      </c>
      <c r="B337" s="5">
        <v>30453</v>
      </c>
    </row>
    <row r="338" spans="1:2">
      <c r="A338" s="4" t="s">
        <v>5140</v>
      </c>
      <c r="B338" s="5">
        <v>30291</v>
      </c>
    </row>
    <row r="339" spans="1:2">
      <c r="A339" s="4" t="s">
        <v>7702</v>
      </c>
      <c r="B339" s="5">
        <v>30058</v>
      </c>
    </row>
    <row r="340" spans="1:2">
      <c r="A340" s="4" t="s">
        <v>5654</v>
      </c>
      <c r="B340" s="5">
        <v>30000</v>
      </c>
    </row>
    <row r="341" spans="1:2">
      <c r="A341" s="4" t="s">
        <v>197</v>
      </c>
      <c r="B341" s="5">
        <v>29877</v>
      </c>
    </row>
    <row r="342" spans="1:2">
      <c r="A342" s="4" t="s">
        <v>1222</v>
      </c>
      <c r="B342" s="5">
        <v>29781</v>
      </c>
    </row>
    <row r="343" spans="1:2">
      <c r="A343" s="4" t="s">
        <v>754</v>
      </c>
      <c r="B343" s="5">
        <v>29765</v>
      </c>
    </row>
    <row r="344" spans="1:2">
      <c r="A344" s="4" t="s">
        <v>5908</v>
      </c>
      <c r="B344" s="5">
        <v>29750</v>
      </c>
    </row>
    <row r="345" spans="1:2">
      <c r="A345" s="4" t="s">
        <v>747</v>
      </c>
      <c r="B345" s="5">
        <v>29695</v>
      </c>
    </row>
    <row r="346" spans="1:2">
      <c r="A346" s="4" t="s">
        <v>4361</v>
      </c>
      <c r="B346" s="5">
        <v>29694</v>
      </c>
    </row>
    <row r="347" spans="1:2">
      <c r="A347" s="4" t="s">
        <v>6546</v>
      </c>
      <c r="B347" s="5">
        <v>29594</v>
      </c>
    </row>
    <row r="348" spans="1:2">
      <c r="A348" s="4" t="s">
        <v>509</v>
      </c>
      <c r="B348" s="5">
        <v>29498</v>
      </c>
    </row>
    <row r="349" spans="1:2">
      <c r="A349" s="4" t="s">
        <v>4524</v>
      </c>
      <c r="B349" s="5">
        <v>29200</v>
      </c>
    </row>
    <row r="350" spans="1:2">
      <c r="A350" s="4" t="s">
        <v>4932</v>
      </c>
      <c r="B350" s="5">
        <v>29173</v>
      </c>
    </row>
    <row r="351" spans="1:2">
      <c r="A351" s="4" t="s">
        <v>6553</v>
      </c>
      <c r="B351" s="5">
        <v>29134</v>
      </c>
    </row>
    <row r="352" spans="1:2">
      <c r="A352" s="4" t="s">
        <v>1302</v>
      </c>
      <c r="B352" s="5">
        <v>29132</v>
      </c>
    </row>
    <row r="353" spans="1:2">
      <c r="A353" s="4" t="s">
        <v>3926</v>
      </c>
      <c r="B353" s="5">
        <v>28986</v>
      </c>
    </row>
    <row r="354" spans="1:2">
      <c r="A354" s="4" t="s">
        <v>1216</v>
      </c>
      <c r="B354" s="5">
        <v>28975</v>
      </c>
    </row>
    <row r="355" spans="1:2">
      <c r="A355" s="4" t="s">
        <v>2726</v>
      </c>
      <c r="B355" s="5">
        <v>28855</v>
      </c>
    </row>
    <row r="356" spans="1:2">
      <c r="A356" s="4" t="s">
        <v>4347</v>
      </c>
      <c r="B356" s="5">
        <v>28787</v>
      </c>
    </row>
    <row r="357" spans="1:2">
      <c r="A357" s="4" t="s">
        <v>412</v>
      </c>
      <c r="B357" s="5">
        <v>28743</v>
      </c>
    </row>
    <row r="358" spans="1:2">
      <c r="A358" s="4" t="s">
        <v>5882</v>
      </c>
      <c r="B358" s="5">
        <v>28525</v>
      </c>
    </row>
    <row r="359" spans="1:2">
      <c r="A359" s="4" t="s">
        <v>5527</v>
      </c>
      <c r="B359" s="5">
        <v>28500</v>
      </c>
    </row>
    <row r="360" spans="1:2">
      <c r="A360" s="4" t="s">
        <v>6670</v>
      </c>
      <c r="B360" s="5">
        <v>28407</v>
      </c>
    </row>
    <row r="361" spans="1:2">
      <c r="A361" s="4" t="s">
        <v>7120</v>
      </c>
      <c r="B361" s="5">
        <v>28407</v>
      </c>
    </row>
    <row r="362" spans="1:2">
      <c r="A362" s="4" t="s">
        <v>1167</v>
      </c>
      <c r="B362" s="5">
        <v>28057</v>
      </c>
    </row>
    <row r="363" spans="1:2">
      <c r="A363" s="4" t="s">
        <v>156</v>
      </c>
      <c r="B363" s="5">
        <v>28007</v>
      </c>
    </row>
    <row r="364" spans="1:2">
      <c r="A364" s="4" t="s">
        <v>3347</v>
      </c>
      <c r="B364" s="5">
        <v>28000</v>
      </c>
    </row>
    <row r="365" spans="1:2">
      <c r="A365" s="4" t="s">
        <v>1796</v>
      </c>
      <c r="B365" s="5">
        <v>27911</v>
      </c>
    </row>
    <row r="366" spans="1:2">
      <c r="A366" s="4" t="s">
        <v>6167</v>
      </c>
      <c r="B366" s="5">
        <v>27832</v>
      </c>
    </row>
    <row r="367" spans="1:2">
      <c r="A367" s="4" t="s">
        <v>5086</v>
      </c>
      <c r="B367" s="5">
        <v>27804</v>
      </c>
    </row>
    <row r="368" spans="1:2">
      <c r="A368" s="4" t="s">
        <v>2149</v>
      </c>
      <c r="B368" s="5">
        <v>27797</v>
      </c>
    </row>
    <row r="369" spans="1:2">
      <c r="A369" s="4" t="s">
        <v>2482</v>
      </c>
      <c r="B369" s="5">
        <v>27786</v>
      </c>
    </row>
    <row r="370" spans="1:2">
      <c r="A370" s="4" t="s">
        <v>27</v>
      </c>
      <c r="B370" s="5">
        <v>27473</v>
      </c>
    </row>
    <row r="371" spans="1:2">
      <c r="A371" s="4" t="s">
        <v>6588</v>
      </c>
      <c r="B371" s="5">
        <v>27330</v>
      </c>
    </row>
    <row r="372" spans="1:2">
      <c r="A372" s="4" t="s">
        <v>2444</v>
      </c>
      <c r="B372" s="5">
        <v>27330</v>
      </c>
    </row>
    <row r="373" spans="1:2">
      <c r="A373" s="4" t="s">
        <v>4434</v>
      </c>
      <c r="B373" s="5">
        <v>27315</v>
      </c>
    </row>
    <row r="374" spans="1:2">
      <c r="A374" s="4" t="s">
        <v>5842</v>
      </c>
      <c r="B374" s="5">
        <v>27298</v>
      </c>
    </row>
    <row r="375" spans="1:2">
      <c r="A375" s="4" t="s">
        <v>3398</v>
      </c>
      <c r="B375" s="5">
        <v>27191</v>
      </c>
    </row>
    <row r="376" spans="1:2">
      <c r="A376" s="4" t="s">
        <v>4621</v>
      </c>
      <c r="B376" s="5">
        <v>27162</v>
      </c>
    </row>
    <row r="377" spans="1:2">
      <c r="A377" s="4" t="s">
        <v>1089</v>
      </c>
      <c r="B377" s="5">
        <v>27151</v>
      </c>
    </row>
    <row r="378" spans="1:2">
      <c r="A378" s="4" t="s">
        <v>4939</v>
      </c>
      <c r="B378" s="5">
        <v>27130</v>
      </c>
    </row>
    <row r="379" spans="1:2">
      <c r="A379" s="4" t="s">
        <v>3809</v>
      </c>
      <c r="B379" s="5">
        <v>27011</v>
      </c>
    </row>
    <row r="380" spans="1:2">
      <c r="A380" s="4" t="s">
        <v>1585</v>
      </c>
      <c r="B380" s="5">
        <v>27000</v>
      </c>
    </row>
    <row r="381" spans="1:2">
      <c r="A381" s="4" t="s">
        <v>744</v>
      </c>
      <c r="B381" s="5">
        <v>26960</v>
      </c>
    </row>
    <row r="382" spans="1:2">
      <c r="A382" s="4" t="s">
        <v>2609</v>
      </c>
      <c r="B382" s="5">
        <v>26665</v>
      </c>
    </row>
    <row r="383" spans="1:2">
      <c r="A383" s="4" t="s">
        <v>1755</v>
      </c>
      <c r="B383" s="5">
        <v>26420</v>
      </c>
    </row>
    <row r="384" spans="1:2">
      <c r="A384" s="4" t="s">
        <v>483</v>
      </c>
      <c r="B384" s="5">
        <v>26272</v>
      </c>
    </row>
    <row r="385" spans="1:2">
      <c r="A385" s="4" t="s">
        <v>1184</v>
      </c>
      <c r="B385" s="5">
        <v>26156</v>
      </c>
    </row>
    <row r="386" spans="1:2">
      <c r="A386" s="4" t="s">
        <v>4283</v>
      </c>
      <c r="B386" s="5">
        <v>26154</v>
      </c>
    </row>
    <row r="387" spans="1:2">
      <c r="A387" s="4" t="s">
        <v>504</v>
      </c>
      <c r="B387" s="5">
        <v>26050</v>
      </c>
    </row>
    <row r="388" spans="1:2">
      <c r="A388" s="4" t="s">
        <v>1194</v>
      </c>
      <c r="B388" s="5">
        <v>26004</v>
      </c>
    </row>
    <row r="389" spans="1:2">
      <c r="A389" s="4" t="s">
        <v>1051</v>
      </c>
      <c r="B389" s="5">
        <v>25994</v>
      </c>
    </row>
    <row r="390" spans="1:2">
      <c r="A390" s="4" t="s">
        <v>6918</v>
      </c>
      <c r="B390" s="5">
        <v>25940</v>
      </c>
    </row>
    <row r="391" spans="1:2">
      <c r="A391" s="4" t="s">
        <v>536</v>
      </c>
      <c r="B391" s="5">
        <v>25764</v>
      </c>
    </row>
    <row r="392" spans="1:2">
      <c r="A392" s="4" t="s">
        <v>4459</v>
      </c>
      <c r="B392" s="5">
        <v>25626</v>
      </c>
    </row>
    <row r="393" spans="1:2">
      <c r="A393" s="4" t="s">
        <v>430</v>
      </c>
      <c r="B393" s="5">
        <v>25590</v>
      </c>
    </row>
    <row r="394" spans="1:2">
      <c r="A394" s="4" t="s">
        <v>5644</v>
      </c>
      <c r="B394" s="5">
        <v>25434</v>
      </c>
    </row>
    <row r="395" spans="1:2">
      <c r="A395" s="4" t="s">
        <v>2815</v>
      </c>
      <c r="B395" s="5">
        <v>25388</v>
      </c>
    </row>
    <row r="396" spans="1:2">
      <c r="A396" s="4" t="s">
        <v>479</v>
      </c>
      <c r="B396" s="5">
        <v>25357</v>
      </c>
    </row>
    <row r="397" spans="1:2">
      <c r="A397" s="4" t="s">
        <v>5889</v>
      </c>
      <c r="B397" s="5">
        <v>25320</v>
      </c>
    </row>
    <row r="398" spans="1:2">
      <c r="A398" s="4" t="s">
        <v>6458</v>
      </c>
      <c r="B398" s="5">
        <v>25290</v>
      </c>
    </row>
    <row r="399" spans="1:2">
      <c r="A399" s="4" t="s">
        <v>2057</v>
      </c>
      <c r="B399" s="5">
        <v>25275</v>
      </c>
    </row>
    <row r="400" spans="1:2">
      <c r="A400" s="4" t="s">
        <v>2083</v>
      </c>
      <c r="B400" s="5">
        <v>25252</v>
      </c>
    </row>
    <row r="401" spans="1:2">
      <c r="A401" s="4" t="s">
        <v>2563</v>
      </c>
      <c r="B401" s="5">
        <v>25243</v>
      </c>
    </row>
    <row r="402" spans="1:2">
      <c r="A402" s="4" t="s">
        <v>3677</v>
      </c>
      <c r="B402" s="5">
        <v>25160</v>
      </c>
    </row>
    <row r="403" spans="1:2">
      <c r="A403" s="4" t="s">
        <v>182</v>
      </c>
      <c r="B403" s="5">
        <v>25070</v>
      </c>
    </row>
    <row r="404" spans="1:2">
      <c r="A404" s="4" t="s">
        <v>662</v>
      </c>
      <c r="B404" s="5">
        <v>24830</v>
      </c>
    </row>
    <row r="405" spans="1:2">
      <c r="A405" s="4" t="s">
        <v>3077</v>
      </c>
      <c r="B405" s="5">
        <v>24799</v>
      </c>
    </row>
    <row r="406" spans="1:2">
      <c r="A406" s="4" t="s">
        <v>470</v>
      </c>
      <c r="B406" s="5">
        <v>24636</v>
      </c>
    </row>
    <row r="407" spans="1:2">
      <c r="A407" s="4" t="s">
        <v>231</v>
      </c>
      <c r="B407" s="5">
        <v>24547</v>
      </c>
    </row>
    <row r="408" spans="1:2">
      <c r="A408" s="4" t="s">
        <v>1845</v>
      </c>
      <c r="B408" s="5">
        <v>24530</v>
      </c>
    </row>
    <row r="409" spans="1:2">
      <c r="A409" s="4" t="s">
        <v>7572</v>
      </c>
      <c r="B409" s="5">
        <v>24395</v>
      </c>
    </row>
    <row r="410" spans="1:2">
      <c r="A410" s="4" t="s">
        <v>2266</v>
      </c>
      <c r="B410" s="5">
        <v>24297</v>
      </c>
    </row>
    <row r="411" spans="1:2">
      <c r="A411" s="4" t="s">
        <v>2630</v>
      </c>
      <c r="B411" s="5">
        <v>24267</v>
      </c>
    </row>
    <row r="412" spans="1:2">
      <c r="A412" s="4" t="s">
        <v>4178</v>
      </c>
      <c r="B412" s="5">
        <v>24252</v>
      </c>
    </row>
    <row r="413" spans="1:2">
      <c r="A413" s="4" t="s">
        <v>1970</v>
      </c>
      <c r="B413" s="5">
        <v>24134</v>
      </c>
    </row>
    <row r="414" spans="1:2">
      <c r="A414" s="4" t="s">
        <v>6578</v>
      </c>
      <c r="B414" s="5">
        <v>24064</v>
      </c>
    </row>
    <row r="415" spans="1:2">
      <c r="A415" s="4" t="s">
        <v>835</v>
      </c>
      <c r="B415" s="5">
        <v>23945</v>
      </c>
    </row>
    <row r="416" spans="1:2">
      <c r="A416" s="4" t="s">
        <v>244</v>
      </c>
      <c r="B416" s="5">
        <v>23790</v>
      </c>
    </row>
    <row r="417" spans="1:2">
      <c r="A417" s="4" t="s">
        <v>5416</v>
      </c>
      <c r="B417" s="5">
        <v>23673</v>
      </c>
    </row>
    <row r="418" spans="1:2">
      <c r="A418" s="4" t="s">
        <v>45</v>
      </c>
      <c r="B418" s="5">
        <v>23642</v>
      </c>
    </row>
    <row r="419" spans="1:2">
      <c r="A419" s="4" t="s">
        <v>4156</v>
      </c>
      <c r="B419" s="5">
        <v>23593</v>
      </c>
    </row>
    <row r="420" spans="1:2">
      <c r="A420" s="4" t="s">
        <v>721</v>
      </c>
      <c r="B420" s="5">
        <v>23574</v>
      </c>
    </row>
    <row r="421" spans="1:2">
      <c r="A421" s="4" t="s">
        <v>2355</v>
      </c>
      <c r="B421" s="5">
        <v>23304</v>
      </c>
    </row>
    <row r="422" spans="1:2">
      <c r="A422" s="4" t="s">
        <v>1135</v>
      </c>
      <c r="B422" s="5">
        <v>23160</v>
      </c>
    </row>
    <row r="423" spans="1:2">
      <c r="A423" s="4" t="s">
        <v>3536</v>
      </c>
      <c r="B423" s="5">
        <v>23160</v>
      </c>
    </row>
    <row r="424" spans="1:2">
      <c r="A424" s="4" t="s">
        <v>6006</v>
      </c>
      <c r="B424" s="5">
        <v>23144</v>
      </c>
    </row>
    <row r="425" spans="1:2">
      <c r="A425" s="4" t="s">
        <v>1819</v>
      </c>
      <c r="B425" s="5">
        <v>23120</v>
      </c>
    </row>
    <row r="426" spans="1:2">
      <c r="A426" s="4" t="s">
        <v>3101</v>
      </c>
      <c r="B426" s="5">
        <v>23052</v>
      </c>
    </row>
    <row r="427" spans="1:2">
      <c r="A427" s="4" t="s">
        <v>2184</v>
      </c>
      <c r="B427" s="5">
        <v>22924</v>
      </c>
    </row>
    <row r="428" spans="1:2">
      <c r="A428" s="4" t="s">
        <v>6217</v>
      </c>
      <c r="B428" s="5">
        <v>22917</v>
      </c>
    </row>
    <row r="429" spans="1:2">
      <c r="A429" s="4" t="s">
        <v>4124</v>
      </c>
      <c r="B429" s="5">
        <v>22910</v>
      </c>
    </row>
    <row r="430" spans="1:2">
      <c r="A430" s="4" t="s">
        <v>4448</v>
      </c>
      <c r="B430" s="5">
        <v>22843</v>
      </c>
    </row>
    <row r="431" spans="1:2">
      <c r="A431" s="4" t="s">
        <v>4758</v>
      </c>
      <c r="B431" s="5">
        <v>22682</v>
      </c>
    </row>
    <row r="432" spans="1:2">
      <c r="A432" s="4" t="s">
        <v>2754</v>
      </c>
      <c r="B432" s="5">
        <v>22600</v>
      </c>
    </row>
    <row r="433" spans="1:2">
      <c r="A433" s="4" t="s">
        <v>1776</v>
      </c>
      <c r="B433" s="5">
        <v>22250</v>
      </c>
    </row>
    <row r="434" spans="1:2">
      <c r="A434" s="4" t="s">
        <v>1083</v>
      </c>
      <c r="B434" s="5">
        <v>22237</v>
      </c>
    </row>
    <row r="435" spans="1:2">
      <c r="A435" s="4" t="s">
        <v>6760</v>
      </c>
      <c r="B435" s="5">
        <v>22186</v>
      </c>
    </row>
    <row r="436" spans="1:2">
      <c r="A436" s="4" t="s">
        <v>205</v>
      </c>
      <c r="B436" s="5">
        <v>22185</v>
      </c>
    </row>
    <row r="437" spans="1:2">
      <c r="A437" s="4" t="s">
        <v>1569</v>
      </c>
      <c r="B437" s="5">
        <v>22143</v>
      </c>
    </row>
    <row r="438" spans="1:2">
      <c r="A438" s="4" t="s">
        <v>5303</v>
      </c>
      <c r="B438" s="5">
        <v>22046</v>
      </c>
    </row>
    <row r="439" spans="1:2">
      <c r="A439" s="4" t="s">
        <v>4132</v>
      </c>
      <c r="B439" s="5">
        <v>21982</v>
      </c>
    </row>
    <row r="440" spans="1:2">
      <c r="A440" s="4" t="s">
        <v>2020</v>
      </c>
      <c r="B440" s="5">
        <v>21807</v>
      </c>
    </row>
    <row r="441" spans="1:2">
      <c r="A441" s="4" t="s">
        <v>3463</v>
      </c>
      <c r="B441" s="5">
        <v>21450</v>
      </c>
    </row>
    <row r="442" spans="1:2">
      <c r="A442" s="4" t="s">
        <v>2391</v>
      </c>
      <c r="B442" s="5">
        <v>21443</v>
      </c>
    </row>
    <row r="443" spans="1:2">
      <c r="A443" s="4" t="s">
        <v>6735</v>
      </c>
      <c r="B443" s="5">
        <v>21433</v>
      </c>
    </row>
    <row r="444" spans="1:2">
      <c r="A444" s="4" t="s">
        <v>214</v>
      </c>
      <c r="B444" s="5">
        <v>21328</v>
      </c>
    </row>
    <row r="445" spans="1:2">
      <c r="A445" s="4" t="s">
        <v>3703</v>
      </c>
      <c r="B445" s="5">
        <v>21298</v>
      </c>
    </row>
    <row r="446" spans="1:2">
      <c r="A446" s="4" t="s">
        <v>2001</v>
      </c>
      <c r="B446" s="5">
        <v>21291</v>
      </c>
    </row>
    <row r="447" spans="1:2">
      <c r="A447" s="4" t="s">
        <v>3910</v>
      </c>
      <c r="B447" s="5">
        <v>21286</v>
      </c>
    </row>
    <row r="448" spans="1:2">
      <c r="A448" s="4" t="s">
        <v>4884</v>
      </c>
      <c r="B448" s="5">
        <v>21267</v>
      </c>
    </row>
    <row r="449" spans="1:2">
      <c r="A449" s="4" t="s">
        <v>2802</v>
      </c>
      <c r="B449" s="5">
        <v>21266</v>
      </c>
    </row>
    <row r="450" spans="1:2">
      <c r="A450" s="4" t="s">
        <v>3748</v>
      </c>
      <c r="B450" s="5">
        <v>21173</v>
      </c>
    </row>
    <row r="451" spans="1:2">
      <c r="A451" s="4" t="s">
        <v>2429</v>
      </c>
      <c r="B451" s="5">
        <v>21052</v>
      </c>
    </row>
    <row r="452" spans="1:2">
      <c r="A452" s="4" t="s">
        <v>7401</v>
      </c>
      <c r="B452" s="5">
        <v>21015</v>
      </c>
    </row>
    <row r="453" spans="1:2">
      <c r="A453" s="4" t="s">
        <v>2399</v>
      </c>
      <c r="B453" s="5">
        <v>20976</v>
      </c>
    </row>
    <row r="454" spans="1:2">
      <c r="A454" s="4" t="s">
        <v>6914</v>
      </c>
      <c r="B454" s="5">
        <v>20804</v>
      </c>
    </row>
    <row r="455" spans="1:2">
      <c r="A455" s="4" t="s">
        <v>1291</v>
      </c>
      <c r="B455" s="5">
        <v>20785</v>
      </c>
    </row>
    <row r="456" spans="1:2">
      <c r="A456" s="4" t="s">
        <v>1169</v>
      </c>
      <c r="B456" s="5">
        <v>20703</v>
      </c>
    </row>
    <row r="457" spans="1:2">
      <c r="A457" s="4" t="s">
        <v>1445</v>
      </c>
      <c r="B457" s="5">
        <v>20677</v>
      </c>
    </row>
    <row r="458" spans="1:2">
      <c r="A458" s="4" t="s">
        <v>2319</v>
      </c>
      <c r="B458" s="5">
        <v>20617</v>
      </c>
    </row>
    <row r="459" spans="1:2">
      <c r="A459" s="4" t="s">
        <v>290</v>
      </c>
      <c r="B459" s="5">
        <v>20512</v>
      </c>
    </row>
    <row r="460" spans="1:2">
      <c r="A460" s="4" t="s">
        <v>501</v>
      </c>
      <c r="B460" s="5">
        <v>20390</v>
      </c>
    </row>
    <row r="461" spans="1:2">
      <c r="A461" s="4" t="s">
        <v>4639</v>
      </c>
      <c r="B461" s="5">
        <v>20380</v>
      </c>
    </row>
    <row r="462" spans="1:2">
      <c r="A462" s="4" t="s">
        <v>2501</v>
      </c>
      <c r="B462" s="5">
        <v>20373</v>
      </c>
    </row>
    <row r="463" spans="1:2">
      <c r="A463" s="4" t="s">
        <v>7067</v>
      </c>
      <c r="B463" s="5">
        <v>20266</v>
      </c>
    </row>
    <row r="464" spans="1:2">
      <c r="A464" s="4" t="s">
        <v>5002</v>
      </c>
      <c r="B464" s="5">
        <v>20215</v>
      </c>
    </row>
    <row r="465" spans="1:2">
      <c r="A465" s="4" t="s">
        <v>6663</v>
      </c>
      <c r="B465" s="5">
        <v>20164</v>
      </c>
    </row>
    <row r="466" spans="1:2">
      <c r="A466" s="4" t="s">
        <v>2470</v>
      </c>
      <c r="B466" s="5">
        <v>20133</v>
      </c>
    </row>
    <row r="467" spans="1:2">
      <c r="A467" s="4" t="s">
        <v>5986</v>
      </c>
      <c r="B467" s="5">
        <v>20121</v>
      </c>
    </row>
    <row r="468" spans="1:2">
      <c r="A468" s="4" t="s">
        <v>2862</v>
      </c>
      <c r="B468" s="5">
        <v>20037</v>
      </c>
    </row>
    <row r="469" spans="1:2">
      <c r="A469" s="4" t="s">
        <v>3525</v>
      </c>
      <c r="B469" s="5">
        <v>20003</v>
      </c>
    </row>
    <row r="470" spans="1:2">
      <c r="A470" s="4" t="s">
        <v>3801</v>
      </c>
      <c r="B470" s="5">
        <v>19954</v>
      </c>
    </row>
    <row r="471" spans="1:2">
      <c r="A471" s="4" t="s">
        <v>2592</v>
      </c>
      <c r="B471" s="5">
        <v>19949</v>
      </c>
    </row>
    <row r="472" spans="1:2">
      <c r="A472" s="4" t="s">
        <v>2795</v>
      </c>
      <c r="B472" s="5">
        <v>19867</v>
      </c>
    </row>
    <row r="473" spans="1:2">
      <c r="A473" s="4" t="s">
        <v>840</v>
      </c>
      <c r="B473" s="5">
        <v>19800</v>
      </c>
    </row>
    <row r="474" spans="1:2">
      <c r="A474" s="4" t="s">
        <v>5408</v>
      </c>
      <c r="B474" s="5">
        <v>19650</v>
      </c>
    </row>
    <row r="475" spans="1:2">
      <c r="A475" s="4" t="s">
        <v>402</v>
      </c>
      <c r="B475" s="5">
        <v>19391</v>
      </c>
    </row>
    <row r="476" spans="1:2">
      <c r="A476" s="4" t="s">
        <v>7065</v>
      </c>
      <c r="B476" s="5">
        <v>19031</v>
      </c>
    </row>
    <row r="477" spans="1:2">
      <c r="A477" s="4" t="s">
        <v>5062</v>
      </c>
      <c r="B477" s="5">
        <v>18855</v>
      </c>
    </row>
    <row r="478" spans="1:2">
      <c r="A478" s="4" t="s">
        <v>2905</v>
      </c>
      <c r="B478" s="5">
        <v>18843</v>
      </c>
    </row>
    <row r="479" spans="1:2">
      <c r="A479" s="4" t="s">
        <v>1881</v>
      </c>
      <c r="B479" s="5">
        <v>18827</v>
      </c>
    </row>
    <row r="480" spans="1:2">
      <c r="A480" s="4" t="s">
        <v>5091</v>
      </c>
      <c r="B480" s="5">
        <v>18820</v>
      </c>
    </row>
    <row r="481" spans="1:2">
      <c r="A481" s="4" t="s">
        <v>1013</v>
      </c>
      <c r="B481" s="5">
        <v>18750</v>
      </c>
    </row>
    <row r="482" spans="1:2">
      <c r="A482" s="4" t="s">
        <v>4752</v>
      </c>
      <c r="B482" s="5">
        <v>18740</v>
      </c>
    </row>
    <row r="483" spans="1:2">
      <c r="A483" s="4" t="s">
        <v>1250</v>
      </c>
      <c r="B483" s="5">
        <v>18631</v>
      </c>
    </row>
    <row r="484" spans="1:2">
      <c r="A484" s="4" t="s">
        <v>5122</v>
      </c>
      <c r="B484" s="5">
        <v>18622</v>
      </c>
    </row>
    <row r="485" spans="1:2">
      <c r="A485" s="4" t="s">
        <v>4138</v>
      </c>
      <c r="B485" s="5">
        <v>18610</v>
      </c>
    </row>
    <row r="486" spans="1:2">
      <c r="A486" s="4" t="s">
        <v>3295</v>
      </c>
      <c r="B486" s="5">
        <v>18531</v>
      </c>
    </row>
    <row r="487" spans="1:2">
      <c r="A487" s="4" t="s">
        <v>463</v>
      </c>
      <c r="B487" s="5">
        <v>18520</v>
      </c>
    </row>
    <row r="488" spans="1:2">
      <c r="A488" s="4" t="s">
        <v>7313</v>
      </c>
      <c r="B488" s="5">
        <v>18496</v>
      </c>
    </row>
    <row r="489" spans="1:2">
      <c r="A489" s="4" t="s">
        <v>4418</v>
      </c>
      <c r="B489" s="5">
        <v>18486</v>
      </c>
    </row>
    <row r="490" spans="1:2">
      <c r="A490" s="4" t="s">
        <v>2024</v>
      </c>
      <c r="B490" s="5">
        <v>18238</v>
      </c>
    </row>
    <row r="491" spans="1:2">
      <c r="A491" s="4" t="s">
        <v>7638</v>
      </c>
      <c r="B491" s="5">
        <v>18182</v>
      </c>
    </row>
    <row r="492" spans="1:2">
      <c r="A492" s="4" t="s">
        <v>2364</v>
      </c>
      <c r="B492" s="5">
        <v>18085</v>
      </c>
    </row>
    <row r="493" spans="1:2">
      <c r="A493" s="4" t="s">
        <v>2696</v>
      </c>
      <c r="B493" s="5">
        <v>18020</v>
      </c>
    </row>
    <row r="494" spans="1:2">
      <c r="A494" s="4" t="s">
        <v>129</v>
      </c>
      <c r="B494" s="5">
        <v>17951</v>
      </c>
    </row>
    <row r="495" spans="1:2">
      <c r="A495" s="4" t="s">
        <v>4899</v>
      </c>
      <c r="B495" s="5">
        <v>17886</v>
      </c>
    </row>
    <row r="496" spans="1:2">
      <c r="A496" s="4" t="s">
        <v>2434</v>
      </c>
      <c r="B496" s="5">
        <v>17795</v>
      </c>
    </row>
    <row r="497" spans="1:2">
      <c r="A497" s="4" t="s">
        <v>4329</v>
      </c>
      <c r="B497" s="5">
        <v>17755</v>
      </c>
    </row>
    <row r="498" spans="1:2">
      <c r="A498" s="4" t="s">
        <v>1771</v>
      </c>
      <c r="B498" s="5">
        <v>17663</v>
      </c>
    </row>
    <row r="499" spans="1:2">
      <c r="A499" s="4" t="s">
        <v>506</v>
      </c>
      <c r="B499" s="5">
        <v>17638</v>
      </c>
    </row>
    <row r="500" spans="1:2">
      <c r="A500" s="4" t="s">
        <v>1042</v>
      </c>
      <c r="B500" s="5">
        <v>17617</v>
      </c>
    </row>
    <row r="501" spans="1:2">
      <c r="A501" s="4" t="s">
        <v>7041</v>
      </c>
      <c r="B501" s="5">
        <v>17468</v>
      </c>
    </row>
    <row r="502" spans="1:2">
      <c r="A502" s="4" t="s">
        <v>7616</v>
      </c>
      <c r="B502" s="5">
        <v>17440</v>
      </c>
    </row>
    <row r="503" spans="1:2">
      <c r="A503" s="4" t="s">
        <v>3996</v>
      </c>
      <c r="B503" s="5">
        <v>17308</v>
      </c>
    </row>
    <row r="504" spans="1:2">
      <c r="A504" s="4" t="s">
        <v>4230</v>
      </c>
      <c r="B504" s="5">
        <v>17098</v>
      </c>
    </row>
    <row r="505" spans="1:2">
      <c r="A505" s="4" t="s">
        <v>2323</v>
      </c>
      <c r="B505" s="5">
        <v>17054</v>
      </c>
    </row>
    <row r="506" spans="1:2">
      <c r="A506" s="4" t="s">
        <v>674</v>
      </c>
      <c r="B506" s="5">
        <v>17005</v>
      </c>
    </row>
    <row r="507" spans="1:2">
      <c r="A507" s="4" t="s">
        <v>3317</v>
      </c>
      <c r="B507" s="5">
        <v>16982</v>
      </c>
    </row>
    <row r="508" spans="1:2">
      <c r="A508" s="4" t="s">
        <v>1998</v>
      </c>
      <c r="B508" s="5">
        <v>16836</v>
      </c>
    </row>
    <row r="509" spans="1:2">
      <c r="A509" s="4" t="s">
        <v>2386</v>
      </c>
      <c r="B509" s="5">
        <v>16831</v>
      </c>
    </row>
    <row r="510" spans="1:2">
      <c r="A510" s="4" t="s">
        <v>3187</v>
      </c>
      <c r="B510" s="5">
        <v>16777</v>
      </c>
    </row>
    <row r="511" spans="1:2">
      <c r="A511" s="4" t="s">
        <v>786</v>
      </c>
      <c r="B511" s="5">
        <v>16762</v>
      </c>
    </row>
    <row r="512" spans="1:2">
      <c r="A512" s="4" t="s">
        <v>595</v>
      </c>
      <c r="B512" s="5">
        <v>16714</v>
      </c>
    </row>
    <row r="513" spans="1:2">
      <c r="A513" s="4" t="s">
        <v>6661</v>
      </c>
      <c r="B513" s="5">
        <v>16655</v>
      </c>
    </row>
    <row r="514" spans="1:2">
      <c r="A514" s="4" t="s">
        <v>3231</v>
      </c>
      <c r="B514" s="5">
        <v>16498</v>
      </c>
    </row>
    <row r="515" spans="1:2">
      <c r="A515" s="4" t="s">
        <v>7723</v>
      </c>
      <c r="B515" s="5">
        <v>16454</v>
      </c>
    </row>
    <row r="516" spans="1:2">
      <c r="A516" s="4" t="s">
        <v>1188</v>
      </c>
      <c r="B516" s="5">
        <v>16437</v>
      </c>
    </row>
    <row r="517" spans="1:2">
      <c r="A517" s="4" t="s">
        <v>647</v>
      </c>
      <c r="B517" s="5">
        <v>16352</v>
      </c>
    </row>
    <row r="518" spans="1:2">
      <c r="A518" s="4" t="s">
        <v>4107</v>
      </c>
      <c r="B518" s="5">
        <v>16310</v>
      </c>
    </row>
    <row r="519" spans="1:2">
      <c r="A519" s="4" t="s">
        <v>2007</v>
      </c>
      <c r="B519" s="5">
        <v>16215</v>
      </c>
    </row>
    <row r="520" spans="1:2">
      <c r="A520" s="4" t="s">
        <v>496</v>
      </c>
      <c r="B520" s="5">
        <v>16152</v>
      </c>
    </row>
    <row r="521" spans="1:2">
      <c r="A521" s="4" t="s">
        <v>3966</v>
      </c>
      <c r="B521" s="5">
        <v>16110</v>
      </c>
    </row>
    <row r="522" spans="1:2">
      <c r="A522" s="4" t="s">
        <v>2989</v>
      </c>
      <c r="B522" s="5">
        <v>15990</v>
      </c>
    </row>
    <row r="523" spans="1:2">
      <c r="A523" s="4" t="s">
        <v>5529</v>
      </c>
      <c r="B523" s="5">
        <v>15927</v>
      </c>
    </row>
    <row r="524" spans="1:2">
      <c r="A524" s="4" t="s">
        <v>7523</v>
      </c>
      <c r="B524" s="5">
        <v>15915</v>
      </c>
    </row>
    <row r="525" spans="1:2">
      <c r="A525" s="4" t="s">
        <v>6987</v>
      </c>
      <c r="B525" s="5">
        <v>15874</v>
      </c>
    </row>
    <row r="526" spans="1:2">
      <c r="A526" s="4" t="s">
        <v>7155</v>
      </c>
      <c r="B526" s="5">
        <v>15821</v>
      </c>
    </row>
    <row r="527" spans="1:2">
      <c r="A527" s="4" t="s">
        <v>5893</v>
      </c>
      <c r="B527" s="5">
        <v>15806</v>
      </c>
    </row>
    <row r="528" spans="1:2">
      <c r="A528" s="4" t="s">
        <v>7417</v>
      </c>
      <c r="B528" s="5">
        <v>15790</v>
      </c>
    </row>
    <row r="529" spans="1:2">
      <c r="A529" s="4" t="s">
        <v>656</v>
      </c>
      <c r="B529" s="5">
        <v>15726</v>
      </c>
    </row>
    <row r="530" spans="1:2">
      <c r="A530" s="4" t="s">
        <v>3860</v>
      </c>
      <c r="B530" s="5">
        <v>15715</v>
      </c>
    </row>
    <row r="531" spans="1:2">
      <c r="A531" s="4" t="s">
        <v>2510</v>
      </c>
      <c r="B531" s="5">
        <v>15672</v>
      </c>
    </row>
    <row r="532" spans="1:2">
      <c r="A532" s="4" t="s">
        <v>7515</v>
      </c>
      <c r="B532" s="5">
        <v>15652</v>
      </c>
    </row>
    <row r="533" spans="1:2">
      <c r="A533" s="4" t="s">
        <v>1196</v>
      </c>
      <c r="B533" s="5">
        <v>15582</v>
      </c>
    </row>
    <row r="534" spans="1:2">
      <c r="A534" s="4" t="s">
        <v>6414</v>
      </c>
      <c r="B534" s="5">
        <v>15520</v>
      </c>
    </row>
    <row r="535" spans="1:2">
      <c r="A535" s="4" t="s">
        <v>7153</v>
      </c>
      <c r="B535" s="5">
        <v>15500</v>
      </c>
    </row>
    <row r="536" spans="1:2">
      <c r="A536" s="4" t="s">
        <v>260</v>
      </c>
      <c r="B536" s="5">
        <v>15480</v>
      </c>
    </row>
    <row r="537" spans="1:2">
      <c r="A537" s="4" t="s">
        <v>1677</v>
      </c>
      <c r="B537" s="5">
        <v>15458</v>
      </c>
    </row>
    <row r="538" spans="1:2">
      <c r="A538" s="4" t="s">
        <v>1000</v>
      </c>
      <c r="B538" s="5">
        <v>15457</v>
      </c>
    </row>
    <row r="539" spans="1:2">
      <c r="A539" s="4" t="s">
        <v>684</v>
      </c>
      <c r="B539" s="5">
        <v>15415</v>
      </c>
    </row>
    <row r="540" spans="1:2">
      <c r="A540" s="4" t="s">
        <v>3329</v>
      </c>
      <c r="B540" s="5">
        <v>15366</v>
      </c>
    </row>
    <row r="541" spans="1:2">
      <c r="A541" s="4" t="s">
        <v>5661</v>
      </c>
      <c r="B541" s="5">
        <v>15336</v>
      </c>
    </row>
    <row r="542" spans="1:2">
      <c r="A542" s="4" t="s">
        <v>158</v>
      </c>
      <c r="B542" s="5">
        <v>15307</v>
      </c>
    </row>
    <row r="543" spans="1:2">
      <c r="A543" s="4" t="s">
        <v>1313</v>
      </c>
      <c r="B543" s="5">
        <v>15296</v>
      </c>
    </row>
    <row r="544" spans="1:2">
      <c r="A544" s="4" t="s">
        <v>4402</v>
      </c>
      <c r="B544" s="5">
        <v>15274</v>
      </c>
    </row>
    <row r="545" spans="1:2">
      <c r="A545" s="4" t="s">
        <v>5532</v>
      </c>
      <c r="B545" s="5">
        <v>15271</v>
      </c>
    </row>
    <row r="546" spans="1:2">
      <c r="A546" s="4" t="s">
        <v>298</v>
      </c>
      <c r="B546" s="5">
        <v>15253</v>
      </c>
    </row>
    <row r="547" spans="1:2">
      <c r="A547" s="4" t="s">
        <v>1008</v>
      </c>
      <c r="B547" s="5">
        <v>15217</v>
      </c>
    </row>
    <row r="548" spans="1:2">
      <c r="A548" s="4" t="s">
        <v>1753</v>
      </c>
      <c r="B548" s="5">
        <v>14797</v>
      </c>
    </row>
    <row r="549" spans="1:2">
      <c r="A549" s="4" t="s">
        <v>1243</v>
      </c>
      <c r="B549" s="5">
        <v>14670</v>
      </c>
    </row>
    <row r="550" spans="1:2">
      <c r="A550" s="4" t="s">
        <v>653</v>
      </c>
      <c r="B550" s="5">
        <v>14664</v>
      </c>
    </row>
    <row r="551" spans="1:2">
      <c r="A551" s="4" t="s">
        <v>2708</v>
      </c>
      <c r="B551" s="5">
        <v>14650</v>
      </c>
    </row>
    <row r="552" spans="1:2">
      <c r="A552" s="4" t="s">
        <v>7609</v>
      </c>
      <c r="B552" s="5">
        <v>14643</v>
      </c>
    </row>
    <row r="553" spans="1:2">
      <c r="A553" s="4" t="s">
        <v>4656</v>
      </c>
      <c r="B553" s="5">
        <v>14555</v>
      </c>
    </row>
    <row r="554" spans="1:2">
      <c r="A554" s="4" t="s">
        <v>4773</v>
      </c>
      <c r="B554" s="5">
        <v>14528</v>
      </c>
    </row>
    <row r="555" spans="1:2">
      <c r="A555" s="4" t="s">
        <v>2663</v>
      </c>
      <c r="B555" s="5">
        <v>14486</v>
      </c>
    </row>
    <row r="556" spans="1:2">
      <c r="A556" s="4" t="s">
        <v>5283</v>
      </c>
      <c r="B556" s="5">
        <v>14477</v>
      </c>
    </row>
    <row r="557" spans="1:2">
      <c r="A557" s="4" t="s">
        <v>5418</v>
      </c>
      <c r="B557" s="5">
        <v>14460</v>
      </c>
    </row>
    <row r="558" spans="1:2">
      <c r="A558" s="4" t="s">
        <v>2554</v>
      </c>
      <c r="B558" s="5">
        <v>14430</v>
      </c>
    </row>
    <row r="559" spans="1:2">
      <c r="A559" s="4" t="s">
        <v>5587</v>
      </c>
      <c r="B559" s="5">
        <v>14405</v>
      </c>
    </row>
    <row r="560" spans="1:2">
      <c r="A560" s="4" t="s">
        <v>712</v>
      </c>
      <c r="B560" s="5">
        <v>14366</v>
      </c>
    </row>
    <row r="561" spans="1:2">
      <c r="A561" s="4" t="s">
        <v>790</v>
      </c>
      <c r="B561" s="5">
        <v>14356</v>
      </c>
    </row>
    <row r="562" spans="1:2">
      <c r="A562" s="4" t="s">
        <v>6695</v>
      </c>
      <c r="B562" s="5">
        <v>14320</v>
      </c>
    </row>
    <row r="563" spans="1:2">
      <c r="A563" s="4" t="s">
        <v>609</v>
      </c>
      <c r="B563" s="5">
        <v>14320</v>
      </c>
    </row>
    <row r="564" spans="1:2">
      <c r="A564" s="4" t="s">
        <v>3878</v>
      </c>
      <c r="B564" s="5">
        <v>14310</v>
      </c>
    </row>
    <row r="565" spans="1:2">
      <c r="A565" s="4" t="s">
        <v>1524</v>
      </c>
      <c r="B565" s="5">
        <v>14213</v>
      </c>
    </row>
    <row r="566" spans="1:2">
      <c r="A566" s="4" t="s">
        <v>2804</v>
      </c>
      <c r="B566" s="5">
        <v>14193</v>
      </c>
    </row>
    <row r="567" spans="1:2">
      <c r="A567" s="4" t="s">
        <v>1707</v>
      </c>
      <c r="B567" s="5">
        <v>14180</v>
      </c>
    </row>
    <row r="568" spans="1:2">
      <c r="A568" s="4" t="s">
        <v>597</v>
      </c>
      <c r="B568" s="5">
        <v>14129</v>
      </c>
    </row>
    <row r="569" spans="1:2">
      <c r="A569" s="4" t="s">
        <v>5029</v>
      </c>
      <c r="B569" s="5">
        <v>14094</v>
      </c>
    </row>
    <row r="570" spans="1:2">
      <c r="A570" s="4" t="s">
        <v>727</v>
      </c>
      <c r="B570" s="5">
        <v>14000</v>
      </c>
    </row>
    <row r="571" spans="1:2">
      <c r="A571" s="4" t="s">
        <v>1441</v>
      </c>
      <c r="B571" s="5">
        <v>13869</v>
      </c>
    </row>
    <row r="572" spans="1:2">
      <c r="A572" s="4" t="s">
        <v>7781</v>
      </c>
      <c r="B572" s="5">
        <v>13770</v>
      </c>
    </row>
    <row r="573" spans="1:2">
      <c r="A573" s="4" t="s">
        <v>3519</v>
      </c>
      <c r="B573" s="5">
        <v>13697</v>
      </c>
    </row>
    <row r="574" spans="1:2">
      <c r="A574" s="4" t="s">
        <v>1734</v>
      </c>
      <c r="B574" s="5">
        <v>13452</v>
      </c>
    </row>
    <row r="575" spans="1:2">
      <c r="A575" s="4" t="s">
        <v>7764</v>
      </c>
      <c r="B575" s="5">
        <v>13448</v>
      </c>
    </row>
    <row r="576" spans="1:2">
      <c r="A576" s="4" t="s">
        <v>3257</v>
      </c>
      <c r="B576" s="5">
        <v>13430</v>
      </c>
    </row>
    <row r="577" spans="1:2">
      <c r="A577" s="4" t="s">
        <v>7337</v>
      </c>
      <c r="B577" s="5">
        <v>13354</v>
      </c>
    </row>
    <row r="578" spans="1:2">
      <c r="A578" s="4" t="s">
        <v>438</v>
      </c>
      <c r="B578" s="5">
        <v>13285</v>
      </c>
    </row>
    <row r="579" spans="1:2">
      <c r="A579" s="4" t="s">
        <v>1816</v>
      </c>
      <c r="B579" s="5">
        <v>13136</v>
      </c>
    </row>
    <row r="580" spans="1:2">
      <c r="A580" s="4" t="s">
        <v>714</v>
      </c>
      <c r="B580" s="5">
        <v>13090</v>
      </c>
    </row>
    <row r="581" spans="1:2">
      <c r="A581" s="4" t="s">
        <v>3759</v>
      </c>
      <c r="B581" s="5">
        <v>13090</v>
      </c>
    </row>
    <row r="582" spans="1:2">
      <c r="A582" s="4" t="s">
        <v>2154</v>
      </c>
      <c r="B582" s="5">
        <v>13081</v>
      </c>
    </row>
    <row r="583" spans="1:2">
      <c r="A583" s="4" t="s">
        <v>5856</v>
      </c>
      <c r="B583" s="5">
        <v>13075</v>
      </c>
    </row>
    <row r="584" spans="1:2">
      <c r="A584" s="4" t="s">
        <v>5773</v>
      </c>
      <c r="B584" s="5">
        <v>13063</v>
      </c>
    </row>
    <row r="585" spans="1:2">
      <c r="A585" s="4" t="s">
        <v>4251</v>
      </c>
      <c r="B585" s="5">
        <v>13032</v>
      </c>
    </row>
    <row r="586" spans="1:2">
      <c r="A586" s="4" t="s">
        <v>2214</v>
      </c>
      <c r="B586" s="5">
        <v>12890</v>
      </c>
    </row>
    <row r="587" spans="1:2">
      <c r="A587" s="4" t="s">
        <v>5360</v>
      </c>
      <c r="B587" s="5">
        <v>12845</v>
      </c>
    </row>
    <row r="588" spans="1:2">
      <c r="A588" s="4" t="s">
        <v>5664</v>
      </c>
      <c r="B588" s="5">
        <v>12838</v>
      </c>
    </row>
    <row r="589" spans="1:2">
      <c r="A589" s="4" t="s">
        <v>6229</v>
      </c>
      <c r="B589" s="5">
        <v>12814</v>
      </c>
    </row>
    <row r="590" spans="1:2">
      <c r="A590" s="4" t="s">
        <v>2791</v>
      </c>
      <c r="B590" s="5">
        <v>12812</v>
      </c>
    </row>
    <row r="591" spans="1:2">
      <c r="A591" s="4" t="s">
        <v>228</v>
      </c>
      <c r="B591" s="5">
        <v>12790</v>
      </c>
    </row>
    <row r="592" spans="1:2">
      <c r="A592" s="4" t="s">
        <v>1923</v>
      </c>
      <c r="B592" s="5">
        <v>12788</v>
      </c>
    </row>
    <row r="593" spans="1:2">
      <c r="A593" s="4" t="s">
        <v>7003</v>
      </c>
      <c r="B593" s="5">
        <v>12760</v>
      </c>
    </row>
    <row r="594" spans="1:2">
      <c r="A594" s="4" t="s">
        <v>4333</v>
      </c>
      <c r="B594" s="5">
        <v>12594</v>
      </c>
    </row>
    <row r="595" spans="1:2">
      <c r="A595" s="4" t="s">
        <v>4260</v>
      </c>
      <c r="B595" s="5">
        <v>12513</v>
      </c>
    </row>
    <row r="596" spans="1:2">
      <c r="A596" s="4" t="s">
        <v>6833</v>
      </c>
      <c r="B596" s="5">
        <v>12389</v>
      </c>
    </row>
    <row r="597" spans="1:2">
      <c r="A597" s="4" t="s">
        <v>2977</v>
      </c>
      <c r="B597" s="5">
        <v>12326</v>
      </c>
    </row>
    <row r="598" spans="1:2">
      <c r="A598" s="4" t="s">
        <v>2573</v>
      </c>
      <c r="B598" s="5">
        <v>12287</v>
      </c>
    </row>
    <row r="599" spans="1:2">
      <c r="A599" s="4" t="s">
        <v>1278</v>
      </c>
      <c r="B599" s="5">
        <v>12283</v>
      </c>
    </row>
    <row r="600" spans="1:2">
      <c r="A600" s="4" t="s">
        <v>6101</v>
      </c>
      <c r="B600" s="5">
        <v>12261</v>
      </c>
    </row>
    <row r="601" spans="1:2">
      <c r="A601" s="4" t="s">
        <v>1173</v>
      </c>
      <c r="B601" s="5">
        <v>12254</v>
      </c>
    </row>
    <row r="602" spans="1:2">
      <c r="A602" s="4" t="s">
        <v>642</v>
      </c>
      <c r="B602" s="5">
        <v>12244</v>
      </c>
    </row>
    <row r="603" spans="1:2">
      <c r="A603" s="4" t="s">
        <v>2250</v>
      </c>
      <c r="B603" s="5">
        <v>12235</v>
      </c>
    </row>
    <row r="604" spans="1:2">
      <c r="A604" s="4" t="s">
        <v>2916</v>
      </c>
      <c r="B604" s="5">
        <v>12164</v>
      </c>
    </row>
    <row r="605" spans="1:2">
      <c r="A605" s="4" t="s">
        <v>3660</v>
      </c>
      <c r="B605" s="5">
        <v>12118</v>
      </c>
    </row>
    <row r="606" spans="1:2">
      <c r="A606" s="4" t="s">
        <v>681</v>
      </c>
      <c r="B606" s="5">
        <v>12090</v>
      </c>
    </row>
    <row r="607" spans="1:2">
      <c r="A607" s="4" t="s">
        <v>3414</v>
      </c>
      <c r="B607" s="5">
        <v>12089.008</v>
      </c>
    </row>
    <row r="608" spans="1:2">
      <c r="A608" s="4" t="s">
        <v>1202</v>
      </c>
      <c r="B608" s="5">
        <v>12005</v>
      </c>
    </row>
    <row r="609" spans="1:2">
      <c r="A609" s="4" t="s">
        <v>2279</v>
      </c>
      <c r="B609" s="5">
        <v>12000</v>
      </c>
    </row>
    <row r="610" spans="1:2">
      <c r="A610" s="4" t="s">
        <v>282</v>
      </c>
      <c r="B610" s="5">
        <v>11950</v>
      </c>
    </row>
    <row r="611" spans="1:2">
      <c r="A611" s="4" t="s">
        <v>1903</v>
      </c>
      <c r="B611" s="5">
        <v>11922</v>
      </c>
    </row>
    <row r="612" spans="1:2">
      <c r="A612" s="4" t="s">
        <v>2112</v>
      </c>
      <c r="B612" s="5">
        <v>11920</v>
      </c>
    </row>
    <row r="613" spans="1:2">
      <c r="A613" s="4" t="s">
        <v>3616</v>
      </c>
      <c r="B613" s="5">
        <v>11893</v>
      </c>
    </row>
    <row r="614" spans="1:2">
      <c r="A614" s="4" t="s">
        <v>4304</v>
      </c>
      <c r="B614" s="5">
        <v>11864</v>
      </c>
    </row>
    <row r="615" spans="1:2">
      <c r="A615" s="4" t="s">
        <v>4086</v>
      </c>
      <c r="B615" s="5">
        <v>11831</v>
      </c>
    </row>
    <row r="616" spans="1:2">
      <c r="A616" s="4" t="s">
        <v>7224</v>
      </c>
      <c r="B616" s="5">
        <v>11812</v>
      </c>
    </row>
    <row r="617" spans="1:2">
      <c r="A617" s="4" t="s">
        <v>436</v>
      </c>
      <c r="B617" s="5">
        <v>11690</v>
      </c>
    </row>
    <row r="618" spans="1:2">
      <c r="A618" s="4" t="s">
        <v>6455</v>
      </c>
      <c r="B618" s="5">
        <v>11653</v>
      </c>
    </row>
    <row r="619" spans="1:2">
      <c r="A619" s="4" t="s">
        <v>6859</v>
      </c>
      <c r="B619" s="5">
        <v>11636</v>
      </c>
    </row>
    <row r="620" spans="1:2">
      <c r="A620" s="4" t="s">
        <v>5612</v>
      </c>
      <c r="B620" s="5">
        <v>11613</v>
      </c>
    </row>
    <row r="621" spans="1:2">
      <c r="A621" s="4" t="s">
        <v>6615</v>
      </c>
      <c r="B621" s="5">
        <v>11492</v>
      </c>
    </row>
    <row r="622" spans="1:2">
      <c r="A622" s="4" t="s">
        <v>949</v>
      </c>
      <c r="B622" s="5">
        <v>11486</v>
      </c>
    </row>
    <row r="623" spans="1:2">
      <c r="A623" s="4" t="s">
        <v>3151</v>
      </c>
      <c r="B623" s="5">
        <v>11456</v>
      </c>
    </row>
    <row r="624" spans="1:2">
      <c r="A624" s="4" t="s">
        <v>3816</v>
      </c>
      <c r="B624" s="5">
        <v>11396</v>
      </c>
    </row>
    <row r="625" spans="1:2">
      <c r="A625" s="4" t="s">
        <v>1901</v>
      </c>
      <c r="B625" s="5">
        <v>11345</v>
      </c>
    </row>
    <row r="626" spans="1:2">
      <c r="A626" s="4" t="s">
        <v>5676</v>
      </c>
      <c r="B626" s="5">
        <v>11237</v>
      </c>
    </row>
    <row r="627" spans="1:2">
      <c r="A627" s="4" t="s">
        <v>5046</v>
      </c>
      <c r="B627" s="5">
        <v>11220</v>
      </c>
    </row>
    <row r="628" spans="1:2">
      <c r="A628" s="4" t="s">
        <v>1280</v>
      </c>
      <c r="B628" s="5">
        <v>11200</v>
      </c>
    </row>
    <row r="629" spans="1:2">
      <c r="A629" s="4" t="s">
        <v>270</v>
      </c>
      <c r="B629" s="5">
        <v>11182</v>
      </c>
    </row>
    <row r="630" spans="1:2">
      <c r="A630" s="4" t="s">
        <v>1348</v>
      </c>
      <c r="B630" s="5">
        <v>11100</v>
      </c>
    </row>
    <row r="631" spans="1:2">
      <c r="A631" s="4" t="s">
        <v>1307</v>
      </c>
      <c r="B631" s="5">
        <v>11061</v>
      </c>
    </row>
    <row r="632" spans="1:2">
      <c r="A632" s="4" t="s">
        <v>5770</v>
      </c>
      <c r="B632" s="5">
        <v>10966</v>
      </c>
    </row>
    <row r="633" spans="1:2">
      <c r="A633" s="4" t="s">
        <v>370</v>
      </c>
      <c r="B633" s="5">
        <v>10786</v>
      </c>
    </row>
    <row r="634" spans="1:2">
      <c r="A634" s="4" t="s">
        <v>1358</v>
      </c>
      <c r="B634" s="5">
        <v>10760</v>
      </c>
    </row>
    <row r="635" spans="1:2">
      <c r="A635" s="4" t="s">
        <v>5300</v>
      </c>
      <c r="B635" s="5">
        <v>10743</v>
      </c>
    </row>
    <row r="636" spans="1:2">
      <c r="A636" s="4" t="s">
        <v>2505</v>
      </c>
      <c r="B636" s="5">
        <v>10742</v>
      </c>
    </row>
    <row r="637" spans="1:2">
      <c r="A637" s="4" t="s">
        <v>3234</v>
      </c>
      <c r="B637" s="5">
        <v>10742</v>
      </c>
    </row>
    <row r="638" spans="1:2">
      <c r="A638" s="4" t="s">
        <v>703</v>
      </c>
      <c r="B638" s="5">
        <v>10691</v>
      </c>
    </row>
    <row r="639" spans="1:2">
      <c r="A639" s="4" t="s">
        <v>1994</v>
      </c>
      <c r="B639" s="5">
        <v>10667</v>
      </c>
    </row>
    <row r="640" spans="1:2">
      <c r="A640" s="4" t="s">
        <v>1229</v>
      </c>
      <c r="B640" s="5">
        <v>10620</v>
      </c>
    </row>
    <row r="641" spans="1:2">
      <c r="A641" s="4" t="s">
        <v>3683</v>
      </c>
      <c r="B641" s="5">
        <v>10550</v>
      </c>
    </row>
    <row r="642" spans="1:2">
      <c r="A642" s="4" t="s">
        <v>4248</v>
      </c>
      <c r="B642" s="5">
        <v>10500</v>
      </c>
    </row>
    <row r="643" spans="1:2">
      <c r="A643" s="4" t="s">
        <v>4355</v>
      </c>
      <c r="B643" s="5">
        <v>10431</v>
      </c>
    </row>
    <row r="644" spans="1:2">
      <c r="A644" s="4" t="s">
        <v>7035</v>
      </c>
      <c r="B644" s="5">
        <v>10415</v>
      </c>
    </row>
    <row r="645" spans="1:2">
      <c r="A645" s="4" t="s">
        <v>528</v>
      </c>
      <c r="B645" s="5">
        <v>10368</v>
      </c>
    </row>
    <row r="646" spans="1:2">
      <c r="A646" s="4" t="s">
        <v>4159</v>
      </c>
      <c r="B646" s="5">
        <v>10350</v>
      </c>
    </row>
    <row r="647" spans="1:2">
      <c r="A647" s="4" t="s">
        <v>122</v>
      </c>
      <c r="B647" s="5">
        <v>10348</v>
      </c>
    </row>
    <row r="648" spans="1:2">
      <c r="A648" s="4" t="s">
        <v>4056</v>
      </c>
      <c r="B648" s="5">
        <v>10301</v>
      </c>
    </row>
    <row r="649" spans="1:2">
      <c r="A649" s="4" t="s">
        <v>5465</v>
      </c>
      <c r="B649" s="5">
        <v>10156</v>
      </c>
    </row>
    <row r="650" spans="1:2">
      <c r="A650" s="4" t="s">
        <v>1206</v>
      </c>
      <c r="B650" s="5">
        <v>10152</v>
      </c>
    </row>
    <row r="651" spans="1:2">
      <c r="A651" s="4" t="s">
        <v>1688</v>
      </c>
      <c r="B651" s="5">
        <v>10150</v>
      </c>
    </row>
    <row r="652" spans="1:2">
      <c r="A652" s="4" t="s">
        <v>530</v>
      </c>
      <c r="B652" s="5">
        <v>10120</v>
      </c>
    </row>
    <row r="653" spans="1:2">
      <c r="A653" s="4" t="s">
        <v>5912</v>
      </c>
      <c r="B653" s="5">
        <v>10074</v>
      </c>
    </row>
    <row r="654" spans="1:2">
      <c r="A654" s="4" t="s">
        <v>375</v>
      </c>
      <c r="B654" s="5">
        <v>10027</v>
      </c>
    </row>
    <row r="655" spans="1:2">
      <c r="A655" s="4" t="s">
        <v>4519</v>
      </c>
      <c r="B655" s="5">
        <v>10027</v>
      </c>
    </row>
    <row r="656" spans="1:2">
      <c r="A656" s="4" t="s">
        <v>3601</v>
      </c>
      <c r="B656" s="5">
        <v>10010</v>
      </c>
    </row>
    <row r="657" spans="1:2">
      <c r="A657" s="4" t="s">
        <v>5934</v>
      </c>
      <c r="B657" s="5">
        <v>9970</v>
      </c>
    </row>
    <row r="658" spans="1:2">
      <c r="A658" s="4" t="s">
        <v>5015</v>
      </c>
      <c r="B658" s="5">
        <v>9801</v>
      </c>
    </row>
    <row r="659" spans="1:2">
      <c r="A659" s="4" t="s">
        <v>5235</v>
      </c>
      <c r="B659" s="5">
        <v>9689</v>
      </c>
    </row>
    <row r="660" spans="1:2">
      <c r="A660" s="4" t="s">
        <v>778</v>
      </c>
      <c r="B660" s="5">
        <v>9663</v>
      </c>
    </row>
    <row r="661" spans="1:2">
      <c r="A661" s="4" t="s">
        <v>5373</v>
      </c>
      <c r="B661" s="5">
        <v>9659</v>
      </c>
    </row>
    <row r="662" spans="1:2">
      <c r="A662" s="4" t="s">
        <v>7471</v>
      </c>
      <c r="B662" s="5">
        <v>9600</v>
      </c>
    </row>
    <row r="663" spans="1:2">
      <c r="A663" s="4" t="s">
        <v>866</v>
      </c>
      <c r="B663" s="5">
        <v>9597</v>
      </c>
    </row>
    <row r="664" spans="1:2">
      <c r="A664" s="4" t="s">
        <v>628</v>
      </c>
      <c r="B664" s="5">
        <v>9588</v>
      </c>
    </row>
    <row r="665" spans="1:2">
      <c r="A665" s="4" t="s">
        <v>3631</v>
      </c>
      <c r="B665" s="5">
        <v>9585</v>
      </c>
    </row>
    <row r="666" spans="1:2">
      <c r="A666" s="4" t="s">
        <v>154</v>
      </c>
      <c r="B666" s="5">
        <v>9575</v>
      </c>
    </row>
    <row r="667" spans="1:2">
      <c r="A667" s="4" t="s">
        <v>2560</v>
      </c>
      <c r="B667" s="5">
        <v>9560</v>
      </c>
    </row>
    <row r="668" spans="1:2">
      <c r="A668" s="4" t="s">
        <v>4468</v>
      </c>
      <c r="B668" s="5">
        <v>9491</v>
      </c>
    </row>
    <row r="669" spans="1:2">
      <c r="A669" s="4" t="s">
        <v>814</v>
      </c>
      <c r="B669" s="5">
        <v>9482</v>
      </c>
    </row>
    <row r="670" spans="1:2">
      <c r="A670" s="4" t="s">
        <v>2966</v>
      </c>
      <c r="B670" s="5">
        <v>9450</v>
      </c>
    </row>
    <row r="671" spans="1:2">
      <c r="A671" s="4" t="s">
        <v>5504</v>
      </c>
      <c r="B671" s="5">
        <v>9257</v>
      </c>
    </row>
    <row r="672" spans="1:2">
      <c r="A672" s="4" t="s">
        <v>644</v>
      </c>
      <c r="B672" s="5">
        <v>9257</v>
      </c>
    </row>
    <row r="673" spans="1:2">
      <c r="A673" s="4" t="s">
        <v>1940</v>
      </c>
      <c r="B673" s="5">
        <v>9250</v>
      </c>
    </row>
    <row r="674" spans="1:2">
      <c r="A674" s="4" t="s">
        <v>2749</v>
      </c>
      <c r="B674" s="5">
        <v>9230</v>
      </c>
    </row>
    <row r="675" spans="1:2">
      <c r="A675" s="4" t="s">
        <v>6708</v>
      </c>
      <c r="B675" s="5">
        <v>9162</v>
      </c>
    </row>
    <row r="676" spans="1:2">
      <c r="A676" s="4" t="s">
        <v>6206</v>
      </c>
      <c r="B676" s="5">
        <v>9156</v>
      </c>
    </row>
    <row r="677" spans="1:2">
      <c r="A677" s="4" t="s">
        <v>4290</v>
      </c>
      <c r="B677" s="5">
        <v>9135</v>
      </c>
    </row>
    <row r="678" spans="1:2">
      <c r="A678" s="4" t="s">
        <v>3814</v>
      </c>
      <c r="B678" s="5">
        <v>9129</v>
      </c>
    </row>
    <row r="679" spans="1:2">
      <c r="A679" s="4" t="s">
        <v>7744</v>
      </c>
      <c r="B679" s="5">
        <v>9090</v>
      </c>
    </row>
    <row r="680" spans="1:2">
      <c r="A680" s="4" t="s">
        <v>3482</v>
      </c>
      <c r="B680" s="5">
        <v>9074</v>
      </c>
    </row>
    <row r="681" spans="1:2">
      <c r="A681" s="4" t="s">
        <v>1085</v>
      </c>
      <c r="B681" s="5">
        <v>9072</v>
      </c>
    </row>
    <row r="682" spans="1:2">
      <c r="A682" s="4" t="s">
        <v>6848</v>
      </c>
      <c r="B682" s="5">
        <v>9064</v>
      </c>
    </row>
    <row r="683" spans="1:2">
      <c r="A683" s="4" t="s">
        <v>3837</v>
      </c>
      <c r="B683" s="5">
        <v>9042</v>
      </c>
    </row>
    <row r="684" spans="1:2">
      <c r="A684" s="4" t="s">
        <v>5237</v>
      </c>
      <c r="B684" s="5">
        <v>9027</v>
      </c>
    </row>
    <row r="685" spans="1:2">
      <c r="A685" s="4" t="s">
        <v>2580</v>
      </c>
      <c r="B685" s="5">
        <v>8985</v>
      </c>
    </row>
    <row r="686" spans="1:2">
      <c r="A686" s="4" t="s">
        <v>5463</v>
      </c>
      <c r="B686" s="5">
        <v>8977</v>
      </c>
    </row>
    <row r="687" spans="1:2">
      <c r="A687" s="4" t="s">
        <v>31</v>
      </c>
      <c r="B687" s="5">
        <v>8965</v>
      </c>
    </row>
    <row r="688" spans="1:2">
      <c r="A688" s="4" t="s">
        <v>3109</v>
      </c>
      <c r="B688" s="5">
        <v>8880</v>
      </c>
    </row>
    <row r="689" spans="1:2">
      <c r="A689" s="4" t="s">
        <v>5810</v>
      </c>
      <c r="B689" s="5">
        <v>8838</v>
      </c>
    </row>
    <row r="690" spans="1:2">
      <c r="A690" s="4" t="s">
        <v>6780</v>
      </c>
      <c r="B690" s="5">
        <v>8723</v>
      </c>
    </row>
    <row r="691" spans="1:2">
      <c r="A691" s="4" t="s">
        <v>2980</v>
      </c>
      <c r="B691" s="5">
        <v>8720</v>
      </c>
    </row>
    <row r="692" spans="1:2">
      <c r="A692" s="4" t="s">
        <v>7801</v>
      </c>
      <c r="B692" s="5">
        <v>8678</v>
      </c>
    </row>
    <row r="693" spans="1:2">
      <c r="A693" s="4" t="s">
        <v>1026</v>
      </c>
      <c r="B693" s="5">
        <v>8670</v>
      </c>
    </row>
    <row r="694" spans="1:2">
      <c r="A694" s="4" t="s">
        <v>3469</v>
      </c>
      <c r="B694" s="5">
        <v>8667</v>
      </c>
    </row>
    <row r="695" spans="1:2">
      <c r="A695" s="4" t="s">
        <v>5863</v>
      </c>
      <c r="B695" s="5">
        <v>8664</v>
      </c>
    </row>
    <row r="696" spans="1:2">
      <c r="A696" s="4" t="s">
        <v>7798</v>
      </c>
      <c r="B696" s="5">
        <v>8634</v>
      </c>
    </row>
    <row r="697" spans="1:2">
      <c r="A697" s="4" t="s">
        <v>7354</v>
      </c>
      <c r="B697" s="5">
        <v>8630</v>
      </c>
    </row>
    <row r="698" spans="1:2">
      <c r="A698" s="4" t="s">
        <v>4786</v>
      </c>
      <c r="B698" s="5">
        <v>8609</v>
      </c>
    </row>
    <row r="699" spans="1:2">
      <c r="A699" s="4" t="s">
        <v>6257</v>
      </c>
      <c r="B699" s="5">
        <v>8560</v>
      </c>
    </row>
    <row r="700" spans="1:2">
      <c r="A700" s="4" t="s">
        <v>7098</v>
      </c>
      <c r="B700" s="5">
        <v>8436</v>
      </c>
    </row>
    <row r="701" spans="1:2">
      <c r="A701" s="4" t="s">
        <v>7735</v>
      </c>
      <c r="B701" s="5">
        <v>8433</v>
      </c>
    </row>
    <row r="702" spans="1:2">
      <c r="A702" s="4" t="s">
        <v>1644</v>
      </c>
      <c r="B702" s="5">
        <v>8425</v>
      </c>
    </row>
    <row r="703" spans="1:2">
      <c r="A703" s="4" t="s">
        <v>1331</v>
      </c>
      <c r="B703" s="5">
        <v>8400</v>
      </c>
    </row>
    <row r="704" spans="1:2">
      <c r="A704" s="4" t="s">
        <v>4182</v>
      </c>
      <c r="B704" s="5">
        <v>8397</v>
      </c>
    </row>
    <row r="705" spans="1:2">
      <c r="A705" s="4" t="s">
        <v>3087</v>
      </c>
      <c r="B705" s="5">
        <v>8356</v>
      </c>
    </row>
    <row r="706" spans="1:2">
      <c r="A706" s="4" t="s">
        <v>6298</v>
      </c>
      <c r="B706" s="5">
        <v>8318</v>
      </c>
    </row>
    <row r="707" spans="1:2">
      <c r="A707" s="4" t="s">
        <v>5853</v>
      </c>
      <c r="B707" s="5">
        <v>8308</v>
      </c>
    </row>
    <row r="708" spans="1:2">
      <c r="A708" s="4" t="s">
        <v>2410</v>
      </c>
      <c r="B708" s="5">
        <v>8251</v>
      </c>
    </row>
    <row r="709" spans="1:2">
      <c r="A709" s="4" t="s">
        <v>3705</v>
      </c>
      <c r="B709" s="5">
        <v>8250</v>
      </c>
    </row>
    <row r="710" spans="1:2">
      <c r="A710" s="4" t="s">
        <v>3037</v>
      </c>
      <c r="B710" s="5">
        <v>8199</v>
      </c>
    </row>
    <row r="711" spans="1:2">
      <c r="A711" s="4" t="s">
        <v>2380</v>
      </c>
      <c r="B711" s="5">
        <v>8190</v>
      </c>
    </row>
    <row r="712" spans="1:2">
      <c r="A712" s="4" t="s">
        <v>2851</v>
      </c>
      <c r="B712" s="5">
        <v>8170</v>
      </c>
    </row>
    <row r="713" spans="1:2">
      <c r="A713" s="4" t="s">
        <v>1460</v>
      </c>
      <c r="B713" s="5">
        <v>8130</v>
      </c>
    </row>
    <row r="714" spans="1:2">
      <c r="A714" s="4" t="s">
        <v>1186</v>
      </c>
      <c r="B714" s="5">
        <v>8056</v>
      </c>
    </row>
    <row r="715" spans="1:2">
      <c r="A715" s="4" t="s">
        <v>2064</v>
      </c>
      <c r="B715" s="5">
        <v>8052</v>
      </c>
    </row>
    <row r="716" spans="1:2">
      <c r="A716" s="4" t="s">
        <v>493</v>
      </c>
      <c r="B716" s="5">
        <v>8040</v>
      </c>
    </row>
    <row r="717" spans="1:2">
      <c r="A717" s="4" t="s">
        <v>5127</v>
      </c>
      <c r="B717" s="5">
        <v>8015</v>
      </c>
    </row>
    <row r="718" spans="1:2">
      <c r="A718" s="4" t="s">
        <v>3697</v>
      </c>
      <c r="B718" s="5">
        <v>7995</v>
      </c>
    </row>
    <row r="719" spans="1:2">
      <c r="A719" s="4" t="s">
        <v>85</v>
      </c>
      <c r="B719" s="5">
        <v>7930</v>
      </c>
    </row>
    <row r="720" spans="1:2">
      <c r="A720" s="4" t="s">
        <v>4093</v>
      </c>
      <c r="B720" s="5">
        <v>7888</v>
      </c>
    </row>
    <row r="721" spans="1:2">
      <c r="A721" s="4" t="s">
        <v>4476</v>
      </c>
      <c r="B721" s="5">
        <v>7793</v>
      </c>
    </row>
    <row r="722" spans="1:2">
      <c r="A722" s="4" t="s">
        <v>4781</v>
      </c>
      <c r="B722" s="5">
        <v>7753</v>
      </c>
    </row>
    <row r="723" spans="1:2">
      <c r="A723" s="4" t="s">
        <v>467</v>
      </c>
      <c r="B723" s="5">
        <v>7737</v>
      </c>
    </row>
    <row r="724" spans="1:2">
      <c r="A724" s="4" t="s">
        <v>4312</v>
      </c>
      <c r="B724" s="5">
        <v>7700</v>
      </c>
    </row>
    <row r="725" spans="1:2">
      <c r="A725" s="4" t="s">
        <v>1264</v>
      </c>
      <c r="B725" s="5">
        <v>7631</v>
      </c>
    </row>
    <row r="726" spans="1:2">
      <c r="A726" s="4" t="s">
        <v>2515</v>
      </c>
      <c r="B726" s="5">
        <v>7610</v>
      </c>
    </row>
    <row r="727" spans="1:2">
      <c r="A727" s="4" t="s">
        <v>5379</v>
      </c>
      <c r="B727" s="5">
        <v>7608</v>
      </c>
    </row>
    <row r="728" spans="1:2">
      <c r="A728" s="4" t="s">
        <v>1110</v>
      </c>
      <c r="B728" s="5">
        <v>7600</v>
      </c>
    </row>
    <row r="729" spans="1:2">
      <c r="A729" s="4" t="s">
        <v>453</v>
      </c>
      <c r="B729" s="5">
        <v>7573</v>
      </c>
    </row>
    <row r="730" spans="1:2">
      <c r="A730" s="4" t="s">
        <v>6828</v>
      </c>
      <c r="B730" s="5">
        <v>7532</v>
      </c>
    </row>
    <row r="731" spans="1:2">
      <c r="A731" s="4" t="s">
        <v>318</v>
      </c>
      <c r="B731" s="5">
        <v>7513</v>
      </c>
    </row>
    <row r="732" spans="1:2">
      <c r="A732" s="4" t="s">
        <v>1015</v>
      </c>
      <c r="B732" s="5">
        <v>7495</v>
      </c>
    </row>
    <row r="733" spans="1:2">
      <c r="A733" s="4" t="s">
        <v>5701</v>
      </c>
      <c r="B733" s="5">
        <v>7477</v>
      </c>
    </row>
    <row r="734" spans="1:2">
      <c r="A734" s="4" t="s">
        <v>1614</v>
      </c>
      <c r="B734" s="5">
        <v>7465</v>
      </c>
    </row>
    <row r="735" spans="1:2">
      <c r="A735" s="4" t="s">
        <v>2840</v>
      </c>
      <c r="B735" s="5">
        <v>7455</v>
      </c>
    </row>
    <row r="736" spans="1:2">
      <c r="A736" s="4" t="s">
        <v>1254</v>
      </c>
      <c r="B736" s="5">
        <v>7429</v>
      </c>
    </row>
    <row r="737" spans="1:2">
      <c r="A737" s="4" t="s">
        <v>2361</v>
      </c>
      <c r="B737" s="5">
        <v>7400</v>
      </c>
    </row>
    <row r="738" spans="1:2">
      <c r="A738" s="4" t="s">
        <v>1529</v>
      </c>
      <c r="B738" s="5">
        <v>7393</v>
      </c>
    </row>
    <row r="739" spans="1:2">
      <c r="A739" s="4" t="s">
        <v>7127</v>
      </c>
      <c r="B739" s="5">
        <v>7360</v>
      </c>
    </row>
    <row r="740" spans="1:2">
      <c r="A740" s="4" t="s">
        <v>4053</v>
      </c>
      <c r="B740" s="5">
        <v>7354</v>
      </c>
    </row>
    <row r="741" spans="1:2">
      <c r="A741" s="4" t="s">
        <v>2649</v>
      </c>
      <c r="B741" s="5">
        <v>7300</v>
      </c>
    </row>
    <row r="742" spans="1:2">
      <c r="A742" s="4" t="s">
        <v>4959</v>
      </c>
      <c r="B742" s="5">
        <v>7296</v>
      </c>
    </row>
    <row r="743" spans="1:2">
      <c r="A743" s="4" t="s">
        <v>6253</v>
      </c>
      <c r="B743" s="5">
        <v>7165</v>
      </c>
    </row>
    <row r="744" spans="1:2">
      <c r="A744" s="4" t="s">
        <v>72</v>
      </c>
      <c r="B744" s="5">
        <v>7115</v>
      </c>
    </row>
    <row r="745" spans="1:2">
      <c r="A745" s="4" t="s">
        <v>1457</v>
      </c>
      <c r="B745" s="5">
        <v>7112</v>
      </c>
    </row>
    <row r="746" spans="1:2">
      <c r="A746" s="4" t="s">
        <v>6097</v>
      </c>
      <c r="B746" s="5">
        <v>7055</v>
      </c>
    </row>
    <row r="747" spans="1:2">
      <c r="A747" s="4" t="s">
        <v>3447</v>
      </c>
      <c r="B747" s="5">
        <v>7029</v>
      </c>
    </row>
    <row r="748" spans="1:2">
      <c r="A748" s="4" t="s">
        <v>4450</v>
      </c>
      <c r="B748" s="5">
        <v>7001</v>
      </c>
    </row>
    <row r="749" spans="1:2">
      <c r="A749" s="4" t="s">
        <v>3355</v>
      </c>
      <c r="B749" s="5">
        <v>6920</v>
      </c>
    </row>
    <row r="750" spans="1:2">
      <c r="A750" s="4" t="s">
        <v>5389</v>
      </c>
      <c r="B750" s="5">
        <v>6900</v>
      </c>
    </row>
    <row r="751" spans="1:2">
      <c r="A751" s="4" t="s">
        <v>4149</v>
      </c>
      <c r="B751" s="5">
        <v>6878</v>
      </c>
    </row>
    <row r="752" spans="1:2">
      <c r="A752" s="4" t="s">
        <v>5821</v>
      </c>
      <c r="B752" s="5">
        <v>6875</v>
      </c>
    </row>
    <row r="753" spans="1:2">
      <c r="A753" s="4" t="s">
        <v>1511</v>
      </c>
      <c r="B753" s="5">
        <v>6871</v>
      </c>
    </row>
    <row r="754" spans="1:2">
      <c r="A754" s="4" t="s">
        <v>3936</v>
      </c>
      <c r="B754" s="5">
        <v>6830</v>
      </c>
    </row>
    <row r="755" spans="1:2">
      <c r="A755" s="4" t="s">
        <v>5780</v>
      </c>
      <c r="B755" s="5">
        <v>6804</v>
      </c>
    </row>
    <row r="756" spans="1:2">
      <c r="A756" s="4" t="s">
        <v>39</v>
      </c>
      <c r="B756" s="5">
        <v>6800</v>
      </c>
    </row>
    <row r="757" spans="1:2">
      <c r="A757" s="4" t="s">
        <v>2736</v>
      </c>
      <c r="B757" s="5">
        <v>6780</v>
      </c>
    </row>
    <row r="758" spans="1:2">
      <c r="A758" s="4" t="s">
        <v>862</v>
      </c>
      <c r="B758" s="5">
        <v>6720</v>
      </c>
    </row>
    <row r="759" spans="1:2">
      <c r="A759" s="4" t="s">
        <v>910</v>
      </c>
      <c r="B759" s="5">
        <v>6680</v>
      </c>
    </row>
    <row r="760" spans="1:2">
      <c r="A760" s="4" t="s">
        <v>7359</v>
      </c>
      <c r="B760" s="5">
        <v>6637</v>
      </c>
    </row>
    <row r="761" spans="1:2">
      <c r="A761" s="4" t="s">
        <v>1663</v>
      </c>
      <c r="B761" s="5">
        <v>6630</v>
      </c>
    </row>
    <row r="762" spans="1:2">
      <c r="A762" s="4" t="s">
        <v>2759</v>
      </c>
      <c r="B762" s="5">
        <v>6610</v>
      </c>
    </row>
    <row r="763" spans="1:2">
      <c r="A763" s="4" t="s">
        <v>2879</v>
      </c>
      <c r="B763" s="5">
        <v>6535</v>
      </c>
    </row>
    <row r="764" spans="1:2">
      <c r="A764" s="4" t="s">
        <v>2848</v>
      </c>
      <c r="B764" s="5">
        <v>6518</v>
      </c>
    </row>
    <row r="765" spans="1:2">
      <c r="A765" s="4" t="s">
        <v>5697</v>
      </c>
      <c r="B765" s="5">
        <v>6502</v>
      </c>
    </row>
    <row r="766" spans="1:2">
      <c r="A766" s="4" t="s">
        <v>5621</v>
      </c>
      <c r="B766" s="5">
        <v>6500</v>
      </c>
    </row>
    <row r="767" spans="1:2">
      <c r="A767" s="4" t="s">
        <v>1761</v>
      </c>
      <c r="B767" s="5">
        <v>6500</v>
      </c>
    </row>
    <row r="768" spans="1:2">
      <c r="A768" s="4" t="s">
        <v>2558</v>
      </c>
      <c r="B768" s="5">
        <v>6470</v>
      </c>
    </row>
    <row r="769" spans="1:2">
      <c r="A769" s="4" t="s">
        <v>1360</v>
      </c>
      <c r="B769" s="5">
        <v>6456</v>
      </c>
    </row>
    <row r="770" spans="1:2">
      <c r="A770" s="4" t="s">
        <v>1557</v>
      </c>
      <c r="B770" s="5">
        <v>6430</v>
      </c>
    </row>
    <row r="771" spans="1:2">
      <c r="A771" s="4" t="s">
        <v>5305</v>
      </c>
      <c r="B771" s="5">
        <v>6403</v>
      </c>
    </row>
    <row r="772" spans="1:2">
      <c r="A772" s="4" t="s">
        <v>7594</v>
      </c>
      <c r="B772" s="5">
        <v>6400</v>
      </c>
    </row>
    <row r="773" spans="1:2">
      <c r="A773" s="4" t="s">
        <v>145</v>
      </c>
      <c r="B773" s="5">
        <v>6365</v>
      </c>
    </row>
    <row r="774" spans="1:2">
      <c r="A774" s="4" t="s">
        <v>6756</v>
      </c>
      <c r="B774" s="5">
        <v>6360</v>
      </c>
    </row>
    <row r="775" spans="1:2">
      <c r="A775" s="4" t="s">
        <v>1270</v>
      </c>
      <c r="B775" s="5">
        <v>6337</v>
      </c>
    </row>
    <row r="776" spans="1:2">
      <c r="A776" s="4" t="s">
        <v>481</v>
      </c>
      <c r="B776" s="5">
        <v>6320</v>
      </c>
    </row>
    <row r="777" spans="1:2">
      <c r="A777" s="4" t="s">
        <v>1705</v>
      </c>
      <c r="B777" s="5">
        <v>6283</v>
      </c>
    </row>
    <row r="778" spans="1:2">
      <c r="A778" s="4" t="s">
        <v>7089</v>
      </c>
      <c r="B778" s="5">
        <v>6277</v>
      </c>
    </row>
    <row r="779" spans="1:2">
      <c r="A779" s="4" t="s">
        <v>4876</v>
      </c>
      <c r="B779" s="5">
        <v>6264</v>
      </c>
    </row>
    <row r="780" spans="1:2">
      <c r="A780" s="4" t="s">
        <v>3439</v>
      </c>
      <c r="B780" s="5">
        <v>6258</v>
      </c>
    </row>
    <row r="781" spans="1:2">
      <c r="A781" s="4" t="s">
        <v>812</v>
      </c>
      <c r="B781" s="5">
        <v>6256</v>
      </c>
    </row>
    <row r="782" spans="1:2">
      <c r="A782" s="4" t="s">
        <v>1631</v>
      </c>
      <c r="B782" s="5">
        <v>6250</v>
      </c>
    </row>
    <row r="783" spans="1:2">
      <c r="A783" s="4" t="s">
        <v>7663</v>
      </c>
      <c r="B783" s="5">
        <v>6222</v>
      </c>
    </row>
    <row r="784" spans="1:2">
      <c r="A784" s="4" t="s">
        <v>2114</v>
      </c>
      <c r="B784" s="5">
        <v>6208</v>
      </c>
    </row>
    <row r="785" spans="1:2">
      <c r="A785" s="4" t="s">
        <v>7052</v>
      </c>
      <c r="B785" s="5">
        <v>6202</v>
      </c>
    </row>
    <row r="786" spans="1:2">
      <c r="A786" s="4" t="s">
        <v>1563</v>
      </c>
      <c r="B786" s="5">
        <v>6151</v>
      </c>
    </row>
    <row r="787" spans="1:2">
      <c r="A787" s="4" t="s">
        <v>4430</v>
      </c>
      <c r="B787" s="5">
        <v>6117</v>
      </c>
    </row>
    <row r="788" spans="1:2">
      <c r="A788" s="4" t="s">
        <v>5899</v>
      </c>
      <c r="B788" s="5">
        <v>6110</v>
      </c>
    </row>
    <row r="789" spans="1:2">
      <c r="A789" s="4" t="s">
        <v>3121</v>
      </c>
      <c r="B789" s="5">
        <v>6080</v>
      </c>
    </row>
    <row r="790" spans="1:2">
      <c r="A790" s="4" t="s">
        <v>2369</v>
      </c>
      <c r="B790" s="5">
        <v>6062</v>
      </c>
    </row>
    <row r="791" spans="1:2">
      <c r="A791" s="4" t="s">
        <v>7391</v>
      </c>
      <c r="B791" s="5">
        <v>6061</v>
      </c>
    </row>
    <row r="792" spans="1:2">
      <c r="A792" s="4" t="s">
        <v>1362</v>
      </c>
      <c r="B792" s="5">
        <v>6054</v>
      </c>
    </row>
    <row r="793" spans="1:2">
      <c r="A793" s="4" t="s">
        <v>6174</v>
      </c>
      <c r="B793" s="5">
        <v>6046</v>
      </c>
    </row>
    <row r="794" spans="1:2">
      <c r="A794" s="4" t="s">
        <v>5513</v>
      </c>
      <c r="B794" s="5">
        <v>6035</v>
      </c>
    </row>
    <row r="795" spans="1:2">
      <c r="A795" s="4" t="s">
        <v>6531</v>
      </c>
      <c r="B795" s="5">
        <v>6031</v>
      </c>
    </row>
    <row r="796" spans="1:2">
      <c r="A796" s="4" t="s">
        <v>6627</v>
      </c>
      <c r="B796" s="5">
        <v>5960</v>
      </c>
    </row>
    <row r="797" spans="1:2">
      <c r="A797" s="4" t="s">
        <v>1131</v>
      </c>
      <c r="B797" s="5">
        <v>5939</v>
      </c>
    </row>
    <row r="798" spans="1:2">
      <c r="A798" s="4" t="s">
        <v>4715</v>
      </c>
      <c r="B798" s="5">
        <v>5905</v>
      </c>
    </row>
    <row r="799" spans="1:2">
      <c r="A799" s="4" t="s">
        <v>6348</v>
      </c>
      <c r="B799" s="5">
        <v>5902</v>
      </c>
    </row>
    <row r="800" spans="1:2">
      <c r="A800" s="4" t="s">
        <v>7268</v>
      </c>
      <c r="B800" s="5">
        <v>5896</v>
      </c>
    </row>
    <row r="801" spans="1:2">
      <c r="A801" s="4" t="s">
        <v>2274</v>
      </c>
      <c r="B801" s="5">
        <v>5894</v>
      </c>
    </row>
    <row r="802" spans="1:2">
      <c r="A802" s="4" t="s">
        <v>3006</v>
      </c>
      <c r="B802" s="5">
        <v>5853</v>
      </c>
    </row>
    <row r="803" spans="1:2">
      <c r="A803" s="4" t="s">
        <v>1828</v>
      </c>
      <c r="B803" s="5">
        <v>5803</v>
      </c>
    </row>
    <row r="804" spans="1:2">
      <c r="A804" s="4" t="s">
        <v>6163</v>
      </c>
      <c r="B804" s="5">
        <v>5772</v>
      </c>
    </row>
    <row r="805" spans="1:2">
      <c r="A805" s="4" t="s">
        <v>3903</v>
      </c>
      <c r="B805" s="5">
        <v>5760</v>
      </c>
    </row>
    <row r="806" spans="1:2">
      <c r="A806" s="4" t="s">
        <v>6313</v>
      </c>
      <c r="B806" s="5">
        <v>5745</v>
      </c>
    </row>
    <row r="807" spans="1:2">
      <c r="A807" s="4" t="s">
        <v>1366</v>
      </c>
      <c r="B807" s="5">
        <v>5717</v>
      </c>
    </row>
    <row r="808" spans="1:2">
      <c r="A808" s="4" t="s">
        <v>736</v>
      </c>
      <c r="B808" s="5">
        <v>5700</v>
      </c>
    </row>
    <row r="809" spans="1:2">
      <c r="A809" s="4" t="s">
        <v>7294</v>
      </c>
      <c r="B809" s="5">
        <v>5682</v>
      </c>
    </row>
    <row r="810" spans="1:2">
      <c r="A810" s="4" t="s">
        <v>1814</v>
      </c>
      <c r="B810" s="5">
        <v>5664</v>
      </c>
    </row>
    <row r="811" spans="1:2">
      <c r="A811" s="4" t="s">
        <v>5860</v>
      </c>
      <c r="B811" s="5">
        <v>5639</v>
      </c>
    </row>
    <row r="812" spans="1:2">
      <c r="A812" s="4" t="s">
        <v>184</v>
      </c>
      <c r="B812" s="5">
        <v>5613</v>
      </c>
    </row>
    <row r="813" spans="1:2">
      <c r="A813" s="4" t="s">
        <v>5345</v>
      </c>
      <c r="B813" s="5">
        <v>5575</v>
      </c>
    </row>
    <row r="814" spans="1:2">
      <c r="A814" s="4" t="s">
        <v>5725</v>
      </c>
      <c r="B814" s="5">
        <v>5574</v>
      </c>
    </row>
    <row r="815" spans="1:2">
      <c r="A815" s="4" t="s">
        <v>3425</v>
      </c>
      <c r="B815" s="5">
        <v>5567</v>
      </c>
    </row>
    <row r="816" spans="1:2">
      <c r="A816" s="4" t="s">
        <v>4114</v>
      </c>
      <c r="B816" s="5">
        <v>5516</v>
      </c>
    </row>
    <row r="817" spans="1:2">
      <c r="A817" s="4" t="s">
        <v>1407</v>
      </c>
      <c r="B817" s="5">
        <v>5507</v>
      </c>
    </row>
    <row r="818" spans="1:2">
      <c r="A818" s="4" t="s">
        <v>6844</v>
      </c>
      <c r="B818" s="5">
        <v>5503</v>
      </c>
    </row>
    <row r="819" spans="1:2">
      <c r="A819" s="4" t="s">
        <v>546</v>
      </c>
      <c r="B819" s="5">
        <v>5500</v>
      </c>
    </row>
    <row r="820" spans="1:2">
      <c r="A820" s="4" t="s">
        <v>1352</v>
      </c>
      <c r="B820" s="5">
        <v>5373</v>
      </c>
    </row>
    <row r="821" spans="1:2">
      <c r="A821" s="4" t="s">
        <v>6432</v>
      </c>
      <c r="B821" s="5">
        <v>5345</v>
      </c>
    </row>
    <row r="822" spans="1:2">
      <c r="A822" s="4" t="s">
        <v>2682</v>
      </c>
      <c r="B822" s="5">
        <v>5340</v>
      </c>
    </row>
    <row r="823" spans="1:2">
      <c r="A823" s="4" t="s">
        <v>5469</v>
      </c>
      <c r="B823" s="5">
        <v>5317</v>
      </c>
    </row>
    <row r="824" spans="1:2">
      <c r="A824" s="4" t="s">
        <v>6271</v>
      </c>
      <c r="B824" s="5">
        <v>5290</v>
      </c>
    </row>
    <row r="825" spans="1:2">
      <c r="A825" s="4" t="s">
        <v>4777</v>
      </c>
      <c r="B825" s="5">
        <v>5290</v>
      </c>
    </row>
    <row r="826" spans="1:2">
      <c r="A826" s="4" t="s">
        <v>168</v>
      </c>
      <c r="B826" s="5">
        <v>5284</v>
      </c>
    </row>
    <row r="827" spans="1:2">
      <c r="A827" s="4" t="s">
        <v>1899</v>
      </c>
      <c r="B827" s="5">
        <v>5284</v>
      </c>
    </row>
    <row r="828" spans="1:2">
      <c r="A828" s="4" t="s">
        <v>1414</v>
      </c>
      <c r="B828" s="5">
        <v>5277</v>
      </c>
    </row>
    <row r="829" spans="1:2">
      <c r="A829" s="4" t="s">
        <v>5213</v>
      </c>
      <c r="B829" s="5">
        <v>5263</v>
      </c>
    </row>
    <row r="830" spans="1:2">
      <c r="A830" s="4" t="s">
        <v>7548</v>
      </c>
      <c r="B830" s="5">
        <v>5201</v>
      </c>
    </row>
    <row r="831" spans="1:2">
      <c r="A831" s="4" t="s">
        <v>1671</v>
      </c>
      <c r="B831" s="5">
        <v>5191</v>
      </c>
    </row>
    <row r="832" spans="1:2">
      <c r="A832" s="4" t="s">
        <v>1727</v>
      </c>
      <c r="B832" s="5">
        <v>5154</v>
      </c>
    </row>
    <row r="833" spans="1:2">
      <c r="A833" s="4" t="s">
        <v>3856</v>
      </c>
      <c r="B833" s="5">
        <v>5140</v>
      </c>
    </row>
    <row r="834" spans="1:2">
      <c r="A834" s="4" t="s">
        <v>1157</v>
      </c>
      <c r="B834" s="5">
        <v>5140</v>
      </c>
    </row>
    <row r="835" spans="1:2">
      <c r="A835" s="4" t="s">
        <v>5039</v>
      </c>
      <c r="B835" s="5">
        <v>5136</v>
      </c>
    </row>
    <row r="836" spans="1:2">
      <c r="A836" s="4" t="s">
        <v>5775</v>
      </c>
      <c r="B836" s="5">
        <v>5093</v>
      </c>
    </row>
    <row r="837" spans="1:2">
      <c r="A837" s="4" t="s">
        <v>1505</v>
      </c>
      <c r="B837" s="5">
        <v>4967</v>
      </c>
    </row>
    <row r="838" spans="1:2">
      <c r="A838" s="4" t="s">
        <v>385</v>
      </c>
      <c r="B838" s="5">
        <v>4959</v>
      </c>
    </row>
    <row r="839" spans="1:2">
      <c r="A839" s="4" t="s">
        <v>115</v>
      </c>
      <c r="B839" s="5">
        <v>4937</v>
      </c>
    </row>
    <row r="840" spans="1:2">
      <c r="A840" s="4" t="s">
        <v>3670</v>
      </c>
      <c r="B840" s="5">
        <v>4933</v>
      </c>
    </row>
    <row r="841" spans="1:2">
      <c r="A841" s="4" t="s">
        <v>4941</v>
      </c>
      <c r="B841" s="5">
        <v>4920</v>
      </c>
    </row>
    <row r="842" spans="1:2">
      <c r="A842" s="4" t="s">
        <v>5977</v>
      </c>
      <c r="B842" s="5">
        <v>4892</v>
      </c>
    </row>
    <row r="843" spans="1:2">
      <c r="A843" s="4" t="s">
        <v>570</v>
      </c>
      <c r="B843" s="5">
        <v>4891</v>
      </c>
    </row>
    <row r="844" spans="1:2">
      <c r="A844" s="4" t="s">
        <v>3375</v>
      </c>
      <c r="B844" s="5">
        <v>4880</v>
      </c>
    </row>
    <row r="845" spans="1:2">
      <c r="A845" s="4" t="s">
        <v>37</v>
      </c>
      <c r="B845" s="5">
        <v>4830</v>
      </c>
    </row>
    <row r="846" spans="1:2">
      <c r="A846" s="4" t="s">
        <v>6491</v>
      </c>
      <c r="B846" s="5">
        <v>4824</v>
      </c>
    </row>
    <row r="847" spans="1:2">
      <c r="A847" s="4" t="s">
        <v>3750</v>
      </c>
      <c r="B847" s="5">
        <v>4811</v>
      </c>
    </row>
    <row r="848" spans="1:2">
      <c r="A848" s="4" t="s">
        <v>2474</v>
      </c>
      <c r="B848" s="5">
        <v>4810</v>
      </c>
    </row>
    <row r="849" spans="1:2">
      <c r="A849" s="4" t="s">
        <v>3576</v>
      </c>
      <c r="B849" s="5">
        <v>4810</v>
      </c>
    </row>
    <row r="850" spans="1:2">
      <c r="A850" s="4" t="s">
        <v>7217</v>
      </c>
      <c r="B850" s="5">
        <v>4800</v>
      </c>
    </row>
    <row r="851" spans="1:2">
      <c r="A851" s="4" t="s">
        <v>6213</v>
      </c>
      <c r="B851" s="5">
        <v>4700</v>
      </c>
    </row>
    <row r="852" spans="1:2">
      <c r="A852" s="4" t="s">
        <v>440</v>
      </c>
      <c r="B852" s="5">
        <v>4696</v>
      </c>
    </row>
    <row r="853" spans="1:2">
      <c r="A853" s="4" t="s">
        <v>79</v>
      </c>
      <c r="B853" s="5">
        <v>4694</v>
      </c>
    </row>
    <row r="854" spans="1:2">
      <c r="A854" s="4" t="s">
        <v>137</v>
      </c>
      <c r="B854" s="5">
        <v>4677</v>
      </c>
    </row>
    <row r="855" spans="1:2">
      <c r="A855" s="4" t="s">
        <v>3159</v>
      </c>
      <c r="B855" s="5">
        <v>4650</v>
      </c>
    </row>
    <row r="856" spans="1:2">
      <c r="A856" s="4" t="s">
        <v>1477</v>
      </c>
      <c r="B856" s="5">
        <v>4640</v>
      </c>
    </row>
    <row r="857" spans="1:2">
      <c r="A857" s="4" t="s">
        <v>603</v>
      </c>
      <c r="B857" s="5">
        <v>4602</v>
      </c>
    </row>
    <row r="858" spans="1:2">
      <c r="A858" s="4" t="s">
        <v>5607</v>
      </c>
      <c r="B858" s="5">
        <v>4595</v>
      </c>
    </row>
    <row r="859" spans="1:2">
      <c r="A859" s="4" t="s">
        <v>1937</v>
      </c>
      <c r="B859" s="5">
        <v>4591</v>
      </c>
    </row>
    <row r="860" spans="1:2">
      <c r="A860" s="4" t="s">
        <v>5558</v>
      </c>
      <c r="B860" s="5">
        <v>4552</v>
      </c>
    </row>
    <row r="861" spans="1:2">
      <c r="A861" s="4" t="s">
        <v>1555</v>
      </c>
      <c r="B861" s="5">
        <v>4552</v>
      </c>
    </row>
    <row r="862" spans="1:2">
      <c r="A862" s="4" t="s">
        <v>1045</v>
      </c>
      <c r="B862" s="5">
        <v>4514</v>
      </c>
    </row>
    <row r="863" spans="1:2">
      <c r="A863" s="4" t="s">
        <v>6684</v>
      </c>
      <c r="B863" s="5">
        <v>4512</v>
      </c>
    </row>
    <row r="864" spans="1:2">
      <c r="A864" s="4" t="s">
        <v>5521</v>
      </c>
      <c r="B864" s="5">
        <v>4490</v>
      </c>
    </row>
    <row r="865" spans="1:2">
      <c r="A865" s="4" t="s">
        <v>6599</v>
      </c>
      <c r="B865" s="5">
        <v>4487</v>
      </c>
    </row>
    <row r="866" spans="1:2">
      <c r="A866" s="4" t="s">
        <v>410</v>
      </c>
      <c r="B866" s="5">
        <v>4450</v>
      </c>
    </row>
    <row r="867" spans="1:2">
      <c r="A867" s="4" t="s">
        <v>1117</v>
      </c>
      <c r="B867" s="5">
        <v>4450</v>
      </c>
    </row>
    <row r="868" spans="1:2">
      <c r="A868" s="4" t="s">
        <v>395</v>
      </c>
      <c r="B868" s="5">
        <v>4443</v>
      </c>
    </row>
    <row r="869" spans="1:2">
      <c r="A869" s="4" t="s">
        <v>761</v>
      </c>
      <c r="B869" s="5">
        <v>4440</v>
      </c>
    </row>
    <row r="870" spans="1:2">
      <c r="A870" s="4" t="s">
        <v>3728</v>
      </c>
      <c r="B870" s="5">
        <v>4440</v>
      </c>
    </row>
    <row r="871" spans="1:2">
      <c r="A871" s="4" t="s">
        <v>1454</v>
      </c>
      <c r="B871" s="5">
        <v>4432</v>
      </c>
    </row>
    <row r="872" spans="1:2">
      <c r="A872" s="4" t="s">
        <v>6961</v>
      </c>
      <c r="B872" s="5">
        <v>4424</v>
      </c>
    </row>
    <row r="873" spans="1:2">
      <c r="A873" s="4" t="s">
        <v>626</v>
      </c>
      <c r="B873" s="5">
        <v>4422</v>
      </c>
    </row>
    <row r="874" spans="1:2">
      <c r="A874" s="4" t="s">
        <v>7427</v>
      </c>
      <c r="B874" s="5">
        <v>4418</v>
      </c>
    </row>
    <row r="875" spans="1:2">
      <c r="A875" s="4" t="s">
        <v>2078</v>
      </c>
      <c r="B875" s="5">
        <v>4358</v>
      </c>
    </row>
    <row r="876" spans="1:2">
      <c r="A876" s="4" t="s">
        <v>2303</v>
      </c>
      <c r="B876" s="5">
        <v>4355</v>
      </c>
    </row>
    <row r="877" spans="1:2">
      <c r="A877" s="4" t="s">
        <v>6022</v>
      </c>
      <c r="B877" s="5">
        <v>4352</v>
      </c>
    </row>
    <row r="878" spans="1:2">
      <c r="A878" s="4" t="s">
        <v>2829</v>
      </c>
      <c r="B878" s="5">
        <v>4303</v>
      </c>
    </row>
    <row r="879" spans="1:2">
      <c r="A879" s="4" t="s">
        <v>5215</v>
      </c>
      <c r="B879" s="5">
        <v>4299</v>
      </c>
    </row>
    <row r="880" spans="1:2">
      <c r="A880" s="4" t="s">
        <v>1650</v>
      </c>
      <c r="B880" s="5">
        <v>4250</v>
      </c>
    </row>
    <row r="881" spans="1:2">
      <c r="A881" s="4" t="s">
        <v>5635</v>
      </c>
      <c r="B881" s="5">
        <v>4245</v>
      </c>
    </row>
    <row r="882" spans="1:2">
      <c r="A882" s="4" t="s">
        <v>541</v>
      </c>
      <c r="B882" s="5">
        <v>4240</v>
      </c>
    </row>
    <row r="883" spans="1:2">
      <c r="A883" s="4" t="s">
        <v>4239</v>
      </c>
      <c r="B883" s="5">
        <v>4240</v>
      </c>
    </row>
    <row r="884" spans="1:2">
      <c r="A884" s="4" t="s">
        <v>5351</v>
      </c>
      <c r="B884" s="5">
        <v>4190</v>
      </c>
    </row>
    <row r="885" spans="1:2">
      <c r="A885" s="4" t="s">
        <v>2053</v>
      </c>
      <c r="B885" s="5">
        <v>4190</v>
      </c>
    </row>
    <row r="886" spans="1:2">
      <c r="A886" s="4" t="s">
        <v>7194</v>
      </c>
      <c r="B886" s="5">
        <v>4160</v>
      </c>
    </row>
    <row r="887" spans="1:2">
      <c r="A887" s="4" t="s">
        <v>1847</v>
      </c>
      <c r="B887" s="5">
        <v>4150</v>
      </c>
    </row>
    <row r="888" spans="1:2">
      <c r="A888" s="4" t="s">
        <v>6485</v>
      </c>
      <c r="B888" s="5">
        <v>4143</v>
      </c>
    </row>
    <row r="889" spans="1:2">
      <c r="A889" s="4" t="s">
        <v>7689</v>
      </c>
      <c r="B889" s="5">
        <v>4100</v>
      </c>
    </row>
    <row r="890" spans="1:2">
      <c r="A890" s="4" t="s">
        <v>5012</v>
      </c>
      <c r="B890" s="5">
        <v>4096</v>
      </c>
    </row>
    <row r="891" spans="1:2">
      <c r="A891" s="4" t="s">
        <v>7149</v>
      </c>
      <c r="B891" s="5">
        <v>4090</v>
      </c>
    </row>
    <row r="892" spans="1:2">
      <c r="A892" s="4" t="s">
        <v>799</v>
      </c>
      <c r="B892" s="5">
        <v>4084</v>
      </c>
    </row>
    <row r="893" spans="1:2">
      <c r="A893" s="4" t="s">
        <v>29</v>
      </c>
      <c r="B893" s="5">
        <v>4080</v>
      </c>
    </row>
    <row r="894" spans="1:2">
      <c r="A894" s="4" t="s">
        <v>3959</v>
      </c>
      <c r="B894" s="5">
        <v>4065</v>
      </c>
    </row>
    <row r="895" spans="1:2">
      <c r="A895" s="4" t="s">
        <v>1679</v>
      </c>
      <c r="B895" s="5">
        <v>4052</v>
      </c>
    </row>
    <row r="896" spans="1:2">
      <c r="A896" s="4" t="s">
        <v>3371</v>
      </c>
      <c r="B896" s="5">
        <v>4032</v>
      </c>
    </row>
    <row r="897" spans="1:2">
      <c r="A897" s="4" t="s">
        <v>102</v>
      </c>
      <c r="B897" s="5">
        <v>4014</v>
      </c>
    </row>
    <row r="898" spans="1:2">
      <c r="A898" s="4" t="s">
        <v>66</v>
      </c>
      <c r="B898" s="5">
        <v>3987</v>
      </c>
    </row>
    <row r="899" spans="1:2">
      <c r="A899" s="4" t="s">
        <v>2004</v>
      </c>
      <c r="B899" s="5">
        <v>3968</v>
      </c>
    </row>
    <row r="900" spans="1:2">
      <c r="A900" s="4" t="s">
        <v>7091</v>
      </c>
      <c r="B900" s="5">
        <v>3945</v>
      </c>
    </row>
    <row r="901" spans="1:2">
      <c r="A901" s="4" t="s">
        <v>981</v>
      </c>
      <c r="B901" s="5">
        <v>3935</v>
      </c>
    </row>
    <row r="902" spans="1:2">
      <c r="A902" s="4" t="s">
        <v>7484</v>
      </c>
      <c r="B902" s="5">
        <v>3933</v>
      </c>
    </row>
    <row r="903" spans="1:2">
      <c r="A903" s="4" t="s">
        <v>2397</v>
      </c>
      <c r="B903" s="5">
        <v>3930</v>
      </c>
    </row>
    <row r="904" spans="1:2">
      <c r="A904" s="4" t="s">
        <v>5156</v>
      </c>
      <c r="B904" s="5">
        <v>3883</v>
      </c>
    </row>
    <row r="905" spans="1:2">
      <c r="A905" s="4" t="s">
        <v>2401</v>
      </c>
      <c r="B905" s="5">
        <v>3882</v>
      </c>
    </row>
    <row r="906" spans="1:2">
      <c r="A906" s="4" t="s">
        <v>7453</v>
      </c>
      <c r="B906" s="5">
        <v>3881</v>
      </c>
    </row>
    <row r="907" spans="1:2">
      <c r="A907" s="4" t="s">
        <v>1030</v>
      </c>
      <c r="B907" s="5">
        <v>3860</v>
      </c>
    </row>
    <row r="908" spans="1:2">
      <c r="A908" s="4" t="s">
        <v>2961</v>
      </c>
      <c r="B908" s="5">
        <v>3847</v>
      </c>
    </row>
    <row r="909" spans="1:2">
      <c r="A909" s="4" t="s">
        <v>5633</v>
      </c>
      <c r="B909" s="5">
        <v>3843</v>
      </c>
    </row>
    <row r="910" spans="1:2">
      <c r="A910" s="4" t="s">
        <v>5895</v>
      </c>
      <c r="B910" s="5">
        <v>3802</v>
      </c>
    </row>
    <row r="911" spans="1:2">
      <c r="A911" s="4" t="s">
        <v>1416</v>
      </c>
      <c r="B911" s="5">
        <v>3790</v>
      </c>
    </row>
    <row r="912" spans="1:2">
      <c r="A912" s="4" t="s">
        <v>1743</v>
      </c>
      <c r="B912" s="5">
        <v>3700</v>
      </c>
    </row>
    <row r="913" spans="1:2">
      <c r="A913" s="4" t="s">
        <v>92</v>
      </c>
      <c r="B913" s="5">
        <v>3690</v>
      </c>
    </row>
    <row r="914" spans="1:2">
      <c r="A914" s="4" t="s">
        <v>3135</v>
      </c>
      <c r="B914" s="5">
        <v>3645</v>
      </c>
    </row>
    <row r="915" spans="1:2">
      <c r="A915" s="4" t="s">
        <v>6208</v>
      </c>
      <c r="B915" s="5">
        <v>3627</v>
      </c>
    </row>
    <row r="916" spans="1:2">
      <c r="A916" s="4" t="s">
        <v>825</v>
      </c>
      <c r="B916" s="5">
        <v>3600</v>
      </c>
    </row>
    <row r="917" spans="1:2">
      <c r="A917" s="4" t="s">
        <v>2764</v>
      </c>
      <c r="B917" s="5">
        <v>3580</v>
      </c>
    </row>
    <row r="918" spans="1:2">
      <c r="A918" s="4" t="s">
        <v>460</v>
      </c>
      <c r="B918" s="5">
        <v>3580</v>
      </c>
    </row>
    <row r="919" spans="1:2">
      <c r="A919" s="4" t="s">
        <v>151</v>
      </c>
      <c r="B919" s="5">
        <v>3577</v>
      </c>
    </row>
    <row r="920" spans="1:2">
      <c r="A920" s="4" t="s">
        <v>5457</v>
      </c>
      <c r="B920" s="5">
        <v>3543</v>
      </c>
    </row>
    <row r="921" spans="1:2">
      <c r="A921" s="4" t="s">
        <v>417</v>
      </c>
      <c r="B921" s="5">
        <v>3537</v>
      </c>
    </row>
    <row r="922" spans="1:2">
      <c r="A922" s="4" t="s">
        <v>1337</v>
      </c>
      <c r="B922" s="5">
        <v>3530</v>
      </c>
    </row>
    <row r="923" spans="1:2">
      <c r="A923" s="4" t="s">
        <v>4352</v>
      </c>
      <c r="B923" s="5">
        <v>3500</v>
      </c>
    </row>
    <row r="924" spans="1:2">
      <c r="A924" s="4" t="s">
        <v>4032</v>
      </c>
      <c r="B924" s="5">
        <v>3500</v>
      </c>
    </row>
    <row r="925" spans="1:2">
      <c r="A925" s="4" t="s">
        <v>5590</v>
      </c>
      <c r="B925" s="5">
        <v>3500</v>
      </c>
    </row>
    <row r="926" spans="1:2">
      <c r="A926" s="4" t="s">
        <v>200</v>
      </c>
      <c r="B926" s="5">
        <v>3480</v>
      </c>
    </row>
    <row r="927" spans="1:2">
      <c r="A927" s="4" t="s">
        <v>7330</v>
      </c>
      <c r="B927" s="5">
        <v>3460</v>
      </c>
    </row>
    <row r="928" spans="1:2">
      <c r="A928" s="4" t="s">
        <v>2956</v>
      </c>
      <c r="B928" s="5">
        <v>3456</v>
      </c>
    </row>
    <row r="929" spans="1:2">
      <c r="A929" s="4" t="s">
        <v>4500</v>
      </c>
      <c r="B929" s="5">
        <v>3450</v>
      </c>
    </row>
    <row r="930" spans="1:2">
      <c r="A930" s="4" t="s">
        <v>3585</v>
      </c>
      <c r="B930" s="5">
        <v>3448</v>
      </c>
    </row>
    <row r="931" spans="1:2">
      <c r="A931" s="4" t="s">
        <v>942</v>
      </c>
      <c r="B931" s="5">
        <v>3445</v>
      </c>
    </row>
    <row r="932" spans="1:2">
      <c r="A932" s="4" t="s">
        <v>1567</v>
      </c>
      <c r="B932" s="5">
        <v>3431</v>
      </c>
    </row>
    <row r="933" spans="1:2">
      <c r="A933" s="4" t="s">
        <v>419</v>
      </c>
      <c r="B933" s="5">
        <v>3400</v>
      </c>
    </row>
    <row r="934" spans="1:2">
      <c r="A934" s="4" t="s">
        <v>4545</v>
      </c>
      <c r="B934" s="5">
        <v>3400</v>
      </c>
    </row>
    <row r="935" spans="1:2">
      <c r="A935" s="4" t="s">
        <v>5367</v>
      </c>
      <c r="B935" s="5">
        <v>3400</v>
      </c>
    </row>
    <row r="936" spans="1:2">
      <c r="A936" s="4" t="s">
        <v>6034</v>
      </c>
      <c r="B936" s="5">
        <v>3351</v>
      </c>
    </row>
    <row r="937" spans="1:2">
      <c r="A937" s="4" t="s">
        <v>316</v>
      </c>
      <c r="B937" s="5">
        <v>3342</v>
      </c>
    </row>
    <row r="938" spans="1:2">
      <c r="A938" s="4" t="s">
        <v>1311</v>
      </c>
      <c r="B938" s="5">
        <v>3321</v>
      </c>
    </row>
    <row r="939" spans="1:2">
      <c r="A939" s="4" t="s">
        <v>3919</v>
      </c>
      <c r="B939" s="5">
        <v>3306</v>
      </c>
    </row>
    <row r="940" spans="1:2">
      <c r="A940" s="4" t="s">
        <v>191</v>
      </c>
      <c r="B940" s="5">
        <v>3296</v>
      </c>
    </row>
    <row r="941" spans="1:2">
      <c r="A941" s="4" t="s">
        <v>619</v>
      </c>
      <c r="B941" s="5">
        <v>3277</v>
      </c>
    </row>
    <row r="942" spans="1:2">
      <c r="A942" s="4" t="s">
        <v>4997</v>
      </c>
      <c r="B942" s="5">
        <v>3274</v>
      </c>
    </row>
    <row r="943" spans="1:2">
      <c r="A943" s="4" t="s">
        <v>5867</v>
      </c>
      <c r="B943" s="5">
        <v>3262</v>
      </c>
    </row>
    <row r="944" spans="1:2">
      <c r="A944" s="4" t="s">
        <v>5056</v>
      </c>
      <c r="B944" s="5">
        <v>3258</v>
      </c>
    </row>
    <row r="945" spans="1:2">
      <c r="A945" s="4" t="s">
        <v>6032</v>
      </c>
      <c r="B945" s="5">
        <v>3237</v>
      </c>
    </row>
    <row r="946" spans="1:2">
      <c r="A946" s="4" t="s">
        <v>7529</v>
      </c>
      <c r="B946" s="5">
        <v>3234</v>
      </c>
    </row>
    <row r="947" spans="1:2">
      <c r="A947" s="4" t="s">
        <v>1394</v>
      </c>
      <c r="B947" s="5">
        <v>3230</v>
      </c>
    </row>
    <row r="948" spans="1:2">
      <c r="A948" s="4" t="s">
        <v>6622</v>
      </c>
      <c r="B948" s="5">
        <v>3200</v>
      </c>
    </row>
    <row r="949" spans="1:2">
      <c r="A949" s="4" t="s">
        <v>1220</v>
      </c>
      <c r="B949" s="5">
        <v>3192</v>
      </c>
    </row>
    <row r="950" spans="1:2">
      <c r="A950" s="4" t="s">
        <v>1369</v>
      </c>
      <c r="B950" s="5">
        <v>3177</v>
      </c>
    </row>
    <row r="951" spans="1:2">
      <c r="A951" s="4" t="s">
        <v>3479</v>
      </c>
      <c r="B951" s="5">
        <v>3162</v>
      </c>
    </row>
    <row r="952" spans="1:2">
      <c r="A952" s="4" t="s">
        <v>4004</v>
      </c>
      <c r="B952" s="5">
        <v>3150</v>
      </c>
    </row>
    <row r="953" spans="1:2">
      <c r="A953" s="4" t="s">
        <v>1323</v>
      </c>
      <c r="B953" s="5">
        <v>3124</v>
      </c>
    </row>
    <row r="954" spans="1:2">
      <c r="A954" s="4" t="s">
        <v>4161</v>
      </c>
      <c r="B954" s="5">
        <v>3123</v>
      </c>
    </row>
    <row r="955" spans="1:2">
      <c r="A955" s="4" t="s">
        <v>6998</v>
      </c>
      <c r="B955" s="5">
        <v>3106</v>
      </c>
    </row>
    <row r="956" spans="1:2">
      <c r="A956" s="4" t="s">
        <v>6512</v>
      </c>
      <c r="B956" s="5">
        <v>3100</v>
      </c>
    </row>
    <row r="957" spans="1:2">
      <c r="A957" s="4" t="s">
        <v>7082</v>
      </c>
      <c r="B957" s="5">
        <v>3100</v>
      </c>
    </row>
    <row r="958" spans="1:2">
      <c r="A958" s="4" t="s">
        <v>2898</v>
      </c>
      <c r="B958" s="5">
        <v>3082</v>
      </c>
    </row>
    <row r="959" spans="1:2">
      <c r="A959" s="4" t="s">
        <v>4382</v>
      </c>
      <c r="B959" s="5">
        <v>3080</v>
      </c>
    </row>
    <row r="960" spans="1:2">
      <c r="A960" s="4" t="s">
        <v>7448</v>
      </c>
      <c r="B960" s="5">
        <v>3060</v>
      </c>
    </row>
    <row r="961" spans="1:2">
      <c r="A961" s="4" t="s">
        <v>1897</v>
      </c>
      <c r="B961" s="5">
        <v>3048</v>
      </c>
    </row>
    <row r="962" spans="1:2">
      <c r="A962" s="4" t="s">
        <v>1286</v>
      </c>
      <c r="B962" s="5">
        <v>3044</v>
      </c>
    </row>
    <row r="963" spans="1:2">
      <c r="A963" s="4" t="s">
        <v>4653</v>
      </c>
      <c r="B963" s="5">
        <v>3041</v>
      </c>
    </row>
    <row r="964" spans="1:2">
      <c r="A964" s="4" t="s">
        <v>7381</v>
      </c>
      <c r="B964" s="5">
        <v>3019</v>
      </c>
    </row>
    <row r="965" spans="1:2">
      <c r="A965" s="4" t="s">
        <v>2204</v>
      </c>
      <c r="B965" s="5">
        <v>3018</v>
      </c>
    </row>
    <row r="966" spans="1:2">
      <c r="A966" s="4" t="s">
        <v>6768</v>
      </c>
      <c r="B966" s="5">
        <v>3016</v>
      </c>
    </row>
    <row r="967" spans="1:2">
      <c r="A967" s="4" t="s">
        <v>285</v>
      </c>
      <c r="B967" s="5">
        <v>2982</v>
      </c>
    </row>
    <row r="968" spans="1:2">
      <c r="A968" s="4" t="s">
        <v>6581</v>
      </c>
      <c r="B968" s="5">
        <v>2981</v>
      </c>
    </row>
    <row r="969" spans="1:2">
      <c r="A969" s="4" t="s">
        <v>6846</v>
      </c>
      <c r="B969" s="5">
        <v>2980</v>
      </c>
    </row>
    <row r="970" spans="1:2">
      <c r="A970" s="4" t="s">
        <v>1155</v>
      </c>
      <c r="B970" s="5">
        <v>2960</v>
      </c>
    </row>
    <row r="971" spans="1:2">
      <c r="A971" s="4" t="s">
        <v>3166</v>
      </c>
      <c r="B971" s="5">
        <v>2960</v>
      </c>
    </row>
    <row r="972" spans="1:2">
      <c r="A972" s="4" t="s">
        <v>6443</v>
      </c>
      <c r="B972" s="5">
        <v>2931</v>
      </c>
    </row>
    <row r="973" spans="1:2">
      <c r="A973" s="4" t="s">
        <v>3714</v>
      </c>
      <c r="B973" s="5">
        <v>2906</v>
      </c>
    </row>
    <row r="974" spans="1:2">
      <c r="A974" s="4" t="s">
        <v>5195</v>
      </c>
      <c r="B974" s="5">
        <v>2870</v>
      </c>
    </row>
    <row r="975" spans="1:2">
      <c r="A975" s="4" t="s">
        <v>3555</v>
      </c>
      <c r="B975" s="5">
        <v>2847</v>
      </c>
    </row>
    <row r="976" spans="1:2">
      <c r="A976" s="4" t="s">
        <v>1607</v>
      </c>
      <c r="B976" s="5">
        <v>2823</v>
      </c>
    </row>
    <row r="977" spans="1:2">
      <c r="A977" s="4" t="s">
        <v>1996</v>
      </c>
      <c r="B977" s="5">
        <v>2800</v>
      </c>
    </row>
    <row r="978" spans="1:2">
      <c r="A978" s="4" t="s">
        <v>293</v>
      </c>
      <c r="B978" s="5">
        <v>2792</v>
      </c>
    </row>
    <row r="979" spans="1:2">
      <c r="A979" s="4" t="s">
        <v>7607</v>
      </c>
      <c r="B979" s="5">
        <v>2790</v>
      </c>
    </row>
    <row r="980" spans="1:2">
      <c r="A980" s="4" t="s">
        <v>1984</v>
      </c>
      <c r="B980" s="5">
        <v>2772</v>
      </c>
    </row>
    <row r="981" spans="1:2">
      <c r="A981" s="4" t="s">
        <v>3804</v>
      </c>
      <c r="B981" s="5">
        <v>2772</v>
      </c>
    </row>
    <row r="982" spans="1:2">
      <c r="A982" s="4" t="s">
        <v>848</v>
      </c>
      <c r="B982" s="5">
        <v>2760</v>
      </c>
    </row>
    <row r="983" spans="1:2">
      <c r="A983" s="4" t="s">
        <v>6211</v>
      </c>
      <c r="B983" s="5">
        <v>2740</v>
      </c>
    </row>
    <row r="984" spans="1:2">
      <c r="A984" s="4" t="s">
        <v>1246</v>
      </c>
      <c r="B984" s="5">
        <v>2740</v>
      </c>
    </row>
    <row r="985" spans="1:2">
      <c r="A985" s="4" t="s">
        <v>5813</v>
      </c>
      <c r="B985" s="5">
        <v>2740</v>
      </c>
    </row>
    <row r="986" spans="1:2">
      <c r="A986" s="4" t="s">
        <v>658</v>
      </c>
      <c r="B986" s="5">
        <v>2717</v>
      </c>
    </row>
    <row r="987" spans="1:2">
      <c r="A987" s="4" t="s">
        <v>1099</v>
      </c>
      <c r="B987" s="5">
        <v>2697</v>
      </c>
    </row>
    <row r="988" spans="1:2">
      <c r="A988" s="4" t="s">
        <v>5209</v>
      </c>
      <c r="B988" s="5">
        <v>2680</v>
      </c>
    </row>
    <row r="989" spans="1:2">
      <c r="A989" s="4" t="s">
        <v>4980</v>
      </c>
      <c r="B989" s="5">
        <v>2660</v>
      </c>
    </row>
    <row r="990" spans="1:2">
      <c r="A990" s="4" t="s">
        <v>2534</v>
      </c>
      <c r="B990" s="5">
        <v>2631</v>
      </c>
    </row>
    <row r="991" spans="1:2">
      <c r="A991" s="4" t="s">
        <v>5253</v>
      </c>
      <c r="B991" s="5">
        <v>2621</v>
      </c>
    </row>
    <row r="992" spans="1:2">
      <c r="A992" s="4" t="s">
        <v>3842</v>
      </c>
      <c r="B992" s="5">
        <v>2618</v>
      </c>
    </row>
    <row r="993" spans="1:2">
      <c r="A993" s="4" t="s">
        <v>6221</v>
      </c>
      <c r="B993" s="5">
        <v>2617</v>
      </c>
    </row>
    <row r="994" spans="1:2">
      <c r="A994" s="4" t="s">
        <v>6184</v>
      </c>
      <c r="B994" s="5">
        <v>2608</v>
      </c>
    </row>
    <row r="995" spans="1:2">
      <c r="A995" s="4" t="s">
        <v>1758</v>
      </c>
      <c r="B995" s="5">
        <v>2580</v>
      </c>
    </row>
    <row r="996" spans="1:2">
      <c r="A996" s="4" t="s">
        <v>1256</v>
      </c>
      <c r="B996" s="5">
        <v>2576</v>
      </c>
    </row>
    <row r="997" spans="1:2">
      <c r="A997" s="4" t="s">
        <v>4472</v>
      </c>
      <c r="B997" s="5">
        <v>2553</v>
      </c>
    </row>
    <row r="998" spans="1:2">
      <c r="A998" s="4" t="s">
        <v>1410</v>
      </c>
      <c r="B998" s="5">
        <v>2543</v>
      </c>
    </row>
    <row r="999" spans="1:2">
      <c r="A999" s="4" t="s">
        <v>6408</v>
      </c>
      <c r="B999" s="5">
        <v>2530</v>
      </c>
    </row>
    <row r="1000" spans="1:2">
      <c r="A1000" s="4" t="s">
        <v>2140</v>
      </c>
      <c r="B1000" s="5">
        <v>2505</v>
      </c>
    </row>
    <row r="1001" spans="1:2">
      <c r="A1001" s="4" t="s">
        <v>3500</v>
      </c>
      <c r="B1001" s="5">
        <v>2490</v>
      </c>
    </row>
    <row r="1002" spans="1:2">
      <c r="A1002" s="4" t="s">
        <v>2427</v>
      </c>
      <c r="B1002" s="5">
        <v>2463</v>
      </c>
    </row>
    <row r="1003" spans="1:2">
      <c r="A1003" s="4" t="s">
        <v>5154</v>
      </c>
      <c r="B1003" s="5">
        <v>2446</v>
      </c>
    </row>
    <row r="1004" spans="1:2">
      <c r="A1004" s="4" t="s">
        <v>272</v>
      </c>
      <c r="B1004" s="5">
        <v>2435</v>
      </c>
    </row>
    <row r="1005" spans="1:2">
      <c r="A1005" s="4" t="s">
        <v>3674</v>
      </c>
      <c r="B1005" s="5">
        <v>2435</v>
      </c>
    </row>
    <row r="1006" spans="1:2">
      <c r="A1006" s="4" t="s">
        <v>5944</v>
      </c>
      <c r="B1006" s="5">
        <v>2420</v>
      </c>
    </row>
    <row r="1007" spans="1:2">
      <c r="A1007" s="4" t="s">
        <v>6381</v>
      </c>
      <c r="B1007" s="5">
        <v>2387</v>
      </c>
    </row>
    <row r="1008" spans="1:2">
      <c r="A1008" s="4" t="s">
        <v>2260</v>
      </c>
      <c r="B1008" s="5">
        <v>2354</v>
      </c>
    </row>
    <row r="1009" spans="1:2">
      <c r="A1009" s="4" t="s">
        <v>6989</v>
      </c>
      <c r="B1009" s="5">
        <v>2350</v>
      </c>
    </row>
    <row r="1010" spans="1:2">
      <c r="A1010" s="4" t="s">
        <v>3880</v>
      </c>
      <c r="B1010" s="5">
        <v>2340</v>
      </c>
    </row>
    <row r="1011" spans="1:2">
      <c r="A1011" s="4" t="s">
        <v>1058</v>
      </c>
      <c r="B1011" s="5">
        <v>2333</v>
      </c>
    </row>
    <row r="1012" spans="1:2">
      <c r="A1012" s="4" t="s">
        <v>1802</v>
      </c>
      <c r="B1012" s="5">
        <v>2327</v>
      </c>
    </row>
    <row r="1013" spans="1:2">
      <c r="A1013" s="4" t="s">
        <v>4263</v>
      </c>
      <c r="B1013" s="5">
        <v>2320</v>
      </c>
    </row>
    <row r="1014" spans="1:2">
      <c r="A1014" s="4" t="s">
        <v>6938</v>
      </c>
      <c r="B1014" s="5">
        <v>2280</v>
      </c>
    </row>
    <row r="1015" spans="1:2">
      <c r="A1015" s="4" t="s">
        <v>5971</v>
      </c>
      <c r="B1015" s="5">
        <v>2234</v>
      </c>
    </row>
    <row r="1016" spans="1:2">
      <c r="A1016" s="4" t="s">
        <v>4258</v>
      </c>
      <c r="B1016" s="5">
        <v>2228</v>
      </c>
    </row>
    <row r="1017" spans="1:2">
      <c r="A1017" s="4" t="s">
        <v>3593</v>
      </c>
      <c r="B1017" s="5">
        <v>2220</v>
      </c>
    </row>
    <row r="1018" spans="1:2">
      <c r="A1018" s="4" t="s">
        <v>7464</v>
      </c>
      <c r="B1018" s="5">
        <v>2205</v>
      </c>
    </row>
    <row r="1019" spans="1:2">
      <c r="A1019" s="4" t="s">
        <v>6058</v>
      </c>
      <c r="B1019" s="5">
        <v>2200</v>
      </c>
    </row>
    <row r="1020" spans="1:2">
      <c r="A1020" s="4" t="s">
        <v>970</v>
      </c>
      <c r="B1020" s="5">
        <v>2200</v>
      </c>
    </row>
    <row r="1021" spans="1:2">
      <c r="A1021" s="4" t="s">
        <v>4594</v>
      </c>
      <c r="B1021" s="5">
        <v>2190</v>
      </c>
    </row>
    <row r="1022" spans="1:2">
      <c r="A1022" s="4" t="s">
        <v>939</v>
      </c>
      <c r="B1022" s="5">
        <v>2174</v>
      </c>
    </row>
    <row r="1023" spans="1:2">
      <c r="A1023" s="4" t="s">
        <v>1175</v>
      </c>
      <c r="B1023" s="5">
        <v>2160</v>
      </c>
    </row>
    <row r="1024" spans="1:2">
      <c r="A1024" s="4" t="s">
        <v>1344</v>
      </c>
      <c r="B1024" s="5">
        <v>2160</v>
      </c>
    </row>
    <row r="1025" spans="1:2">
      <c r="A1025" s="4" t="s">
        <v>3775</v>
      </c>
      <c r="B1025" s="5">
        <v>2158</v>
      </c>
    </row>
    <row r="1026" spans="1:2">
      <c r="A1026" s="4" t="s">
        <v>5609</v>
      </c>
      <c r="B1026" s="5">
        <v>2137</v>
      </c>
    </row>
    <row r="1027" spans="1:2">
      <c r="A1027" s="4" t="s">
        <v>2931</v>
      </c>
      <c r="B1027" s="5">
        <v>2125</v>
      </c>
    </row>
    <row r="1028" spans="1:2">
      <c r="A1028" s="4" t="s">
        <v>1960</v>
      </c>
      <c r="B1028" s="5">
        <v>2120</v>
      </c>
    </row>
    <row r="1029" spans="1:2">
      <c r="A1029" s="4" t="s">
        <v>3299</v>
      </c>
      <c r="B1029" s="5">
        <v>2100</v>
      </c>
    </row>
    <row r="1030" spans="1:2">
      <c r="A1030" s="4" t="s">
        <v>2536</v>
      </c>
      <c r="B1030" s="5">
        <v>2085</v>
      </c>
    </row>
    <row r="1031" spans="1:2">
      <c r="A1031" s="4" t="s">
        <v>5160</v>
      </c>
      <c r="B1031" s="5">
        <v>2080</v>
      </c>
    </row>
    <row r="1032" spans="1:2">
      <c r="A1032" s="4" t="s">
        <v>2567</v>
      </c>
      <c r="B1032" s="5">
        <v>2065</v>
      </c>
    </row>
    <row r="1033" spans="1:2">
      <c r="A1033" s="4" t="s">
        <v>4813</v>
      </c>
      <c r="B1033" s="5">
        <v>2060</v>
      </c>
    </row>
    <row r="1034" spans="1:2">
      <c r="A1034" s="4" t="s">
        <v>6233</v>
      </c>
      <c r="B1034" s="5">
        <v>2055</v>
      </c>
    </row>
    <row r="1035" spans="1:2">
      <c r="A1035" s="4" t="s">
        <v>398</v>
      </c>
      <c r="B1035" s="5">
        <v>2025</v>
      </c>
    </row>
    <row r="1036" spans="1:2">
      <c r="A1036" s="4" t="s">
        <v>5105</v>
      </c>
      <c r="B1036" s="5">
        <v>2020</v>
      </c>
    </row>
    <row r="1037" spans="1:2">
      <c r="A1037" s="4" t="s">
        <v>7315</v>
      </c>
      <c r="B1037" s="5">
        <v>2000</v>
      </c>
    </row>
    <row r="1038" spans="1:2">
      <c r="A1038" s="4" t="s">
        <v>7347</v>
      </c>
      <c r="B1038" s="5">
        <v>1997</v>
      </c>
    </row>
    <row r="1039" spans="1:2">
      <c r="A1039" s="4" t="s">
        <v>4597</v>
      </c>
      <c r="B1039" s="5">
        <v>1980</v>
      </c>
    </row>
    <row r="1040" spans="1:2">
      <c r="A1040" s="4" t="s">
        <v>2992</v>
      </c>
      <c r="B1040" s="5">
        <v>1966</v>
      </c>
    </row>
    <row r="1041" spans="1:2">
      <c r="A1041" s="4" t="s">
        <v>2350</v>
      </c>
      <c r="B1041" s="5">
        <v>1957</v>
      </c>
    </row>
    <row r="1042" spans="1:2">
      <c r="A1042" s="4" t="s">
        <v>120</v>
      </c>
      <c r="B1042" s="5">
        <v>1947</v>
      </c>
    </row>
    <row r="1043" spans="1:2">
      <c r="A1043" s="4" t="s">
        <v>977</v>
      </c>
      <c r="B1043" s="5">
        <v>1920</v>
      </c>
    </row>
    <row r="1044" spans="1:2">
      <c r="A1044" s="4" t="s">
        <v>6830</v>
      </c>
      <c r="B1044" s="5">
        <v>1920</v>
      </c>
    </row>
    <row r="1045" spans="1:2">
      <c r="A1045" s="4" t="s">
        <v>6668</v>
      </c>
      <c r="B1045" s="5">
        <v>1900</v>
      </c>
    </row>
    <row r="1046" spans="1:2">
      <c r="A1046" s="4" t="s">
        <v>6133</v>
      </c>
      <c r="B1046" s="5">
        <v>1896</v>
      </c>
    </row>
    <row r="1047" spans="1:2">
      <c r="A1047" s="4" t="s">
        <v>4555</v>
      </c>
      <c r="B1047" s="5">
        <v>1883</v>
      </c>
    </row>
    <row r="1048" spans="1:2">
      <c r="A1048" s="4" t="s">
        <v>3054</v>
      </c>
      <c r="B1048" s="5">
        <v>1862</v>
      </c>
    </row>
    <row r="1049" spans="1:2">
      <c r="A1049" s="4" t="s">
        <v>5794</v>
      </c>
      <c r="B1049" s="5">
        <v>1860</v>
      </c>
    </row>
    <row r="1050" spans="1:2">
      <c r="A1050" s="4" t="s">
        <v>1093</v>
      </c>
      <c r="B1050" s="5">
        <v>1850</v>
      </c>
    </row>
    <row r="1051" spans="1:2">
      <c r="A1051" s="4" t="s">
        <v>3685</v>
      </c>
      <c r="B1051" s="5">
        <v>1850</v>
      </c>
    </row>
    <row r="1052" spans="1:2">
      <c r="A1052" s="4" t="s">
        <v>624</v>
      </c>
      <c r="B1052" s="5">
        <v>1842</v>
      </c>
    </row>
    <row r="1053" spans="1:2">
      <c r="A1053" s="4" t="s">
        <v>3061</v>
      </c>
      <c r="B1053" s="5">
        <v>1840</v>
      </c>
    </row>
    <row r="1054" spans="1:2">
      <c r="A1054" s="4" t="s">
        <v>7456</v>
      </c>
      <c r="B1054" s="5">
        <v>1836</v>
      </c>
    </row>
    <row r="1055" spans="1:2">
      <c r="A1055" s="4" t="s">
        <v>6748</v>
      </c>
      <c r="B1055" s="5">
        <v>1833</v>
      </c>
    </row>
    <row r="1056" spans="1:2">
      <c r="A1056" s="4" t="s">
        <v>2212</v>
      </c>
      <c r="B1056" s="5">
        <v>1800</v>
      </c>
    </row>
    <row r="1057" spans="1:2">
      <c r="A1057" s="4" t="s">
        <v>873</v>
      </c>
      <c r="B1057" s="5">
        <v>1800</v>
      </c>
    </row>
    <row r="1058" spans="1:2">
      <c r="A1058" s="4" t="s">
        <v>7739</v>
      </c>
      <c r="B1058" s="5">
        <v>1788</v>
      </c>
    </row>
    <row r="1059" spans="1:2">
      <c r="A1059" s="4" t="s">
        <v>670</v>
      </c>
      <c r="B1059" s="5">
        <v>1782</v>
      </c>
    </row>
    <row r="1060" spans="1:2">
      <c r="A1060" s="4" t="s">
        <v>7189</v>
      </c>
      <c r="B1060" s="5">
        <v>1771</v>
      </c>
    </row>
    <row r="1061" spans="1:2">
      <c r="A1061" s="4" t="s">
        <v>4344</v>
      </c>
      <c r="B1061" s="5">
        <v>1750</v>
      </c>
    </row>
    <row r="1062" spans="1:2">
      <c r="A1062" s="4" t="s">
        <v>4535</v>
      </c>
      <c r="B1062" s="5">
        <v>1746</v>
      </c>
    </row>
    <row r="1063" spans="1:2">
      <c r="A1063" s="4" t="s">
        <v>1375</v>
      </c>
      <c r="B1063" s="5">
        <v>1737</v>
      </c>
    </row>
    <row r="1064" spans="1:2">
      <c r="A1064" s="4" t="s">
        <v>4338</v>
      </c>
      <c r="B1064" s="5">
        <v>1720</v>
      </c>
    </row>
    <row r="1065" spans="1:2">
      <c r="A1065" s="4" t="s">
        <v>4225</v>
      </c>
      <c r="B1065" s="5">
        <v>1712</v>
      </c>
    </row>
    <row r="1066" spans="1:2">
      <c r="A1066" s="4" t="s">
        <v>3401</v>
      </c>
      <c r="B1066" s="5">
        <v>1702</v>
      </c>
    </row>
    <row r="1067" spans="1:2">
      <c r="A1067" s="4" t="s">
        <v>365</v>
      </c>
      <c r="B1067" s="5">
        <v>1700</v>
      </c>
    </row>
    <row r="1068" spans="1:2">
      <c r="A1068" s="4" t="s">
        <v>5657</v>
      </c>
      <c r="B1068" s="5">
        <v>1700</v>
      </c>
    </row>
    <row r="1069" spans="1:2">
      <c r="A1069" s="4" t="s">
        <v>868</v>
      </c>
      <c r="B1069" s="5">
        <v>1699</v>
      </c>
    </row>
    <row r="1070" spans="1:2">
      <c r="A1070" s="4" t="s">
        <v>2164</v>
      </c>
      <c r="B1070" s="5">
        <v>1677</v>
      </c>
    </row>
    <row r="1071" spans="1:2">
      <c r="A1071" s="4" t="s">
        <v>3725</v>
      </c>
      <c r="B1071" s="5">
        <v>1607</v>
      </c>
    </row>
    <row r="1072" spans="1:2">
      <c r="A1072" s="4" t="s">
        <v>7333</v>
      </c>
      <c r="B1072" s="5">
        <v>1600</v>
      </c>
    </row>
    <row r="1073" spans="1:2">
      <c r="A1073" s="4" t="s">
        <v>1342</v>
      </c>
      <c r="B1073" s="5">
        <v>1600</v>
      </c>
    </row>
    <row r="1074" spans="1:2">
      <c r="A1074" s="4" t="s">
        <v>7273</v>
      </c>
      <c r="B1074" s="5">
        <v>1600</v>
      </c>
    </row>
    <row r="1075" spans="1:2">
      <c r="A1075" s="4" t="s">
        <v>7280</v>
      </c>
      <c r="B1075" s="5">
        <v>1600</v>
      </c>
    </row>
    <row r="1076" spans="1:2">
      <c r="A1076" s="4" t="s">
        <v>3443</v>
      </c>
      <c r="B1076" s="5">
        <v>1593</v>
      </c>
    </row>
    <row r="1077" spans="1:2">
      <c r="A1077" s="4" t="s">
        <v>3266</v>
      </c>
      <c r="B1077" s="5">
        <v>1590</v>
      </c>
    </row>
    <row r="1078" spans="1:2">
      <c r="A1078" s="4" t="s">
        <v>1383</v>
      </c>
      <c r="B1078" s="5">
        <v>1580</v>
      </c>
    </row>
    <row r="1079" spans="1:2">
      <c r="A1079" s="4" t="s">
        <v>1237</v>
      </c>
      <c r="B1079" s="5">
        <v>1578</v>
      </c>
    </row>
    <row r="1080" spans="1:2">
      <c r="A1080" s="4" t="s">
        <v>5072</v>
      </c>
      <c r="B1080" s="5">
        <v>1578</v>
      </c>
    </row>
    <row r="1081" spans="1:2">
      <c r="A1081" s="4" t="s">
        <v>3823</v>
      </c>
      <c r="B1081" s="5">
        <v>1575</v>
      </c>
    </row>
    <row r="1082" spans="1:2">
      <c r="A1082" s="4" t="s">
        <v>2907</v>
      </c>
      <c r="B1082" s="5">
        <v>1573</v>
      </c>
    </row>
    <row r="1083" spans="1:2">
      <c r="A1083" s="4" t="s">
        <v>5849</v>
      </c>
      <c r="B1083" s="5">
        <v>1568</v>
      </c>
    </row>
    <row r="1084" spans="1:2">
      <c r="A1084" s="4" t="s">
        <v>5100</v>
      </c>
      <c r="B1084" s="5">
        <v>1560</v>
      </c>
    </row>
    <row r="1085" spans="1:2">
      <c r="A1085" s="4" t="s">
        <v>6189</v>
      </c>
      <c r="B1085" s="5">
        <v>1550</v>
      </c>
    </row>
    <row r="1086" spans="1:2">
      <c r="A1086" s="4" t="s">
        <v>859</v>
      </c>
      <c r="B1086" s="5">
        <v>1547</v>
      </c>
    </row>
    <row r="1087" spans="1:2">
      <c r="A1087" s="4" t="s">
        <v>666</v>
      </c>
      <c r="B1087" s="5">
        <v>1540</v>
      </c>
    </row>
    <row r="1088" spans="1:2">
      <c r="A1088" s="4" t="s">
        <v>74</v>
      </c>
      <c r="B1088" s="5">
        <v>1540</v>
      </c>
    </row>
    <row r="1089" spans="1:2">
      <c r="A1089" s="4" t="s">
        <v>4135</v>
      </c>
      <c r="B1089" s="5">
        <v>1538</v>
      </c>
    </row>
    <row r="1090" spans="1:2">
      <c r="A1090" s="4" t="s">
        <v>2734</v>
      </c>
      <c r="B1090" s="5">
        <v>1536</v>
      </c>
    </row>
    <row r="1091" spans="1:2">
      <c r="A1091" s="4" t="s">
        <v>3270</v>
      </c>
      <c r="B1091" s="5">
        <v>1535</v>
      </c>
    </row>
    <row r="1092" spans="1:2">
      <c r="A1092" s="4" t="s">
        <v>7656</v>
      </c>
      <c r="B1092" s="5">
        <v>1521</v>
      </c>
    </row>
    <row r="1093" spans="1:2">
      <c r="A1093" s="4" t="s">
        <v>1550</v>
      </c>
      <c r="B1093" s="5">
        <v>1516</v>
      </c>
    </row>
    <row r="1094" spans="1:2">
      <c r="A1094" s="4" t="s">
        <v>6397</v>
      </c>
      <c r="B1094" s="5">
        <v>1495</v>
      </c>
    </row>
    <row r="1095" spans="1:2">
      <c r="A1095" s="4" t="s">
        <v>2704</v>
      </c>
      <c r="B1095" s="5">
        <v>1486</v>
      </c>
    </row>
    <row r="1096" spans="1:2">
      <c r="A1096" s="4" t="s">
        <v>6922</v>
      </c>
      <c r="B1096" s="5">
        <v>1486</v>
      </c>
    </row>
    <row r="1097" spans="1:2">
      <c r="A1097" s="4" t="s">
        <v>2331</v>
      </c>
      <c r="B1097" s="5">
        <v>1480</v>
      </c>
    </row>
    <row r="1098" spans="1:2">
      <c r="A1098" s="4" t="s">
        <v>1824</v>
      </c>
      <c r="B1098" s="5">
        <v>1480</v>
      </c>
    </row>
    <row r="1099" spans="1:2">
      <c r="A1099" s="4" t="s">
        <v>2093</v>
      </c>
      <c r="B1099" s="5">
        <v>1480</v>
      </c>
    </row>
    <row r="1100" spans="1:2">
      <c r="A1100" s="4" t="s">
        <v>2223</v>
      </c>
      <c r="B1100" s="5">
        <v>1478</v>
      </c>
    </row>
    <row r="1101" spans="1:2">
      <c r="A1101" s="4" t="s">
        <v>351</v>
      </c>
      <c r="B1101" s="5">
        <v>1476</v>
      </c>
    </row>
    <row r="1102" spans="1:2">
      <c r="A1102" s="4" t="s">
        <v>4743</v>
      </c>
      <c r="B1102" s="5">
        <v>1465</v>
      </c>
    </row>
    <row r="1103" spans="1:2">
      <c r="A1103" s="4" t="s">
        <v>6335</v>
      </c>
      <c r="B1103" s="5">
        <v>1452</v>
      </c>
    </row>
    <row r="1104" spans="1:2">
      <c r="A1104" s="4" t="s">
        <v>6066</v>
      </c>
      <c r="B1104" s="5">
        <v>1451</v>
      </c>
    </row>
    <row r="1105" spans="1:2">
      <c r="A1105" s="4" t="s">
        <v>6176</v>
      </c>
      <c r="B1105" s="5">
        <v>1450</v>
      </c>
    </row>
    <row r="1106" spans="1:2">
      <c r="A1106" s="4" t="s">
        <v>1717</v>
      </c>
      <c r="B1106" s="5">
        <v>1440</v>
      </c>
    </row>
    <row r="1107" spans="1:2">
      <c r="A1107" s="4" t="s">
        <v>2484</v>
      </c>
      <c r="B1107" s="5">
        <v>1438</v>
      </c>
    </row>
    <row r="1108" spans="1:2">
      <c r="A1108" s="4" t="s">
        <v>5224</v>
      </c>
      <c r="B1108" s="5">
        <v>1436</v>
      </c>
    </row>
    <row r="1109" spans="1:2">
      <c r="A1109" s="4" t="s">
        <v>3278</v>
      </c>
      <c r="B1109" s="5">
        <v>1420</v>
      </c>
    </row>
    <row r="1110" spans="1:2">
      <c r="A1110" s="4" t="s">
        <v>6982</v>
      </c>
      <c r="B1110" s="5">
        <v>1411</v>
      </c>
    </row>
    <row r="1111" spans="1:2">
      <c r="A1111" s="4" t="s">
        <v>2119</v>
      </c>
      <c r="B1111" s="5">
        <v>1402</v>
      </c>
    </row>
    <row r="1112" spans="1:2">
      <c r="A1112" s="4" t="s">
        <v>4371</v>
      </c>
      <c r="B1112" s="5">
        <v>1400</v>
      </c>
    </row>
    <row r="1113" spans="1:2">
      <c r="A1113" s="4" t="s">
        <v>426</v>
      </c>
      <c r="B1113" s="5">
        <v>1400</v>
      </c>
    </row>
    <row r="1114" spans="1:2">
      <c r="A1114" s="4" t="s">
        <v>4951</v>
      </c>
      <c r="B1114" s="5">
        <v>1396</v>
      </c>
    </row>
    <row r="1115" spans="1:2">
      <c r="A1115" s="4" t="s">
        <v>5500</v>
      </c>
      <c r="B1115" s="5">
        <v>1390</v>
      </c>
    </row>
    <row r="1116" spans="1:2">
      <c r="A1116" s="4" t="s">
        <v>4428</v>
      </c>
      <c r="B1116" s="5">
        <v>1360</v>
      </c>
    </row>
    <row r="1117" spans="1:2">
      <c r="A1117" s="4" t="s">
        <v>1532</v>
      </c>
      <c r="B1117" s="5">
        <v>1357</v>
      </c>
    </row>
    <row r="1118" spans="1:2">
      <c r="A1118" s="4" t="s">
        <v>1400</v>
      </c>
      <c r="B1118" s="5">
        <v>1350</v>
      </c>
    </row>
    <row r="1119" spans="1:2">
      <c r="A1119" s="4" t="s">
        <v>6092</v>
      </c>
      <c r="B1119" s="5">
        <v>1334</v>
      </c>
    </row>
    <row r="1120" spans="1:2">
      <c r="A1120" s="4" t="s">
        <v>3998</v>
      </c>
      <c r="B1120" s="5">
        <v>1327</v>
      </c>
    </row>
    <row r="1121" spans="1:2">
      <c r="A1121" s="4" t="s">
        <v>3688</v>
      </c>
      <c r="B1121" s="5">
        <v>1326</v>
      </c>
    </row>
    <row r="1122" spans="1:2">
      <c r="A1122" s="4" t="s">
        <v>3532</v>
      </c>
      <c r="B1122" s="5">
        <v>1305</v>
      </c>
    </row>
    <row r="1123" spans="1:2">
      <c r="A1123" s="4" t="s">
        <v>1926</v>
      </c>
      <c r="B1123" s="5">
        <v>1300</v>
      </c>
    </row>
    <row r="1124" spans="1:2">
      <c r="A1124" s="4" t="s">
        <v>4936</v>
      </c>
      <c r="B1124" s="5">
        <v>1295</v>
      </c>
    </row>
    <row r="1125" spans="1:2">
      <c r="A1125" s="4" t="s">
        <v>445</v>
      </c>
      <c r="B1125" s="5">
        <v>1293</v>
      </c>
    </row>
    <row r="1126" spans="1:2">
      <c r="A1126" s="4" t="s">
        <v>575</v>
      </c>
      <c r="B1126" s="5">
        <v>1283</v>
      </c>
    </row>
    <row r="1127" spans="1:2">
      <c r="A1127" s="4" t="s">
        <v>7654</v>
      </c>
      <c r="B1127" s="5">
        <v>1280</v>
      </c>
    </row>
    <row r="1128" spans="1:2">
      <c r="A1128" s="4" t="s">
        <v>2229</v>
      </c>
      <c r="B1128" s="5">
        <v>1264</v>
      </c>
    </row>
    <row r="1129" spans="1:2">
      <c r="A1129" s="4" t="s">
        <v>4687</v>
      </c>
      <c r="B1129" s="5">
        <v>1254</v>
      </c>
    </row>
    <row r="1130" spans="1:2">
      <c r="A1130" s="4" t="s">
        <v>110</v>
      </c>
      <c r="B1130" s="5">
        <v>1250</v>
      </c>
    </row>
    <row r="1131" spans="1:2">
      <c r="A1131" s="4" t="s">
        <v>5836</v>
      </c>
      <c r="B1131" s="5">
        <v>1240</v>
      </c>
    </row>
    <row r="1132" spans="1:2">
      <c r="A1132" s="4" t="s">
        <v>296</v>
      </c>
      <c r="B1132" s="5">
        <v>1240</v>
      </c>
    </row>
    <row r="1133" spans="1:2">
      <c r="A1133" s="4" t="s">
        <v>3516</v>
      </c>
      <c r="B1133" s="5">
        <v>1227</v>
      </c>
    </row>
    <row r="1134" spans="1:2">
      <c r="A1134" s="4" t="s">
        <v>1073</v>
      </c>
      <c r="B1134" s="5">
        <v>1224</v>
      </c>
    </row>
    <row r="1135" spans="1:2">
      <c r="A1135" s="4" t="s">
        <v>1836</v>
      </c>
      <c r="B1135" s="5">
        <v>1211</v>
      </c>
    </row>
    <row r="1136" spans="1:2">
      <c r="A1136" s="4" t="s">
        <v>4599</v>
      </c>
      <c r="B1136" s="5">
        <v>1200</v>
      </c>
    </row>
    <row r="1137" spans="1:2">
      <c r="A1137" s="4" t="s">
        <v>6813</v>
      </c>
      <c r="B1137" s="5">
        <v>1200</v>
      </c>
    </row>
    <row r="1138" spans="1:2">
      <c r="A1138" s="4" t="s">
        <v>3064</v>
      </c>
      <c r="B1138" s="5">
        <v>1194</v>
      </c>
    </row>
    <row r="1139" spans="1:2">
      <c r="A1139" s="4" t="s">
        <v>7246</v>
      </c>
      <c r="B1139" s="5">
        <v>1184</v>
      </c>
    </row>
    <row r="1140" spans="1:2">
      <c r="A1140" s="4" t="s">
        <v>4888</v>
      </c>
      <c r="B1140" s="5">
        <v>1162</v>
      </c>
    </row>
    <row r="1141" spans="1:2">
      <c r="A1141" s="4" t="s">
        <v>5683</v>
      </c>
      <c r="B1141" s="5">
        <v>1161</v>
      </c>
    </row>
    <row r="1142" spans="1:2">
      <c r="A1142" s="4" t="s">
        <v>3541</v>
      </c>
      <c r="B1142" s="5">
        <v>1157</v>
      </c>
    </row>
    <row r="1143" spans="1:2">
      <c r="A1143" s="4" t="s">
        <v>6330</v>
      </c>
      <c r="B1143" s="5">
        <v>1155</v>
      </c>
    </row>
    <row r="1144" spans="1:2">
      <c r="A1144" s="4" t="s">
        <v>4064</v>
      </c>
      <c r="B1144" s="5">
        <v>1150</v>
      </c>
    </row>
    <row r="1145" spans="1:2">
      <c r="A1145" s="4" t="s">
        <v>236</v>
      </c>
      <c r="B1145" s="5">
        <v>1146</v>
      </c>
    </row>
    <row r="1146" spans="1:2">
      <c r="A1146" s="4" t="s">
        <v>6300</v>
      </c>
      <c r="B1146" s="5">
        <v>1141</v>
      </c>
    </row>
    <row r="1147" spans="1:2">
      <c r="A1147" s="4" t="s">
        <v>4187</v>
      </c>
      <c r="B1147" s="5">
        <v>1139</v>
      </c>
    </row>
    <row r="1148" spans="1:2">
      <c r="A1148" s="4" t="s">
        <v>5973</v>
      </c>
      <c r="B1148" s="5">
        <v>1137</v>
      </c>
    </row>
    <row r="1149" spans="1:2">
      <c r="A1149" s="4" t="s">
        <v>4924</v>
      </c>
      <c r="B1149" s="5">
        <v>1130</v>
      </c>
    </row>
    <row r="1150" spans="1:2">
      <c r="A1150" s="4" t="s">
        <v>952</v>
      </c>
      <c r="B1150" s="5">
        <v>1123</v>
      </c>
    </row>
    <row r="1151" spans="1:2">
      <c r="A1151" s="4" t="s">
        <v>174</v>
      </c>
      <c r="B1151" s="5">
        <v>1120</v>
      </c>
    </row>
    <row r="1152" spans="1:2">
      <c r="A1152" s="4" t="s">
        <v>3094</v>
      </c>
      <c r="B1152" s="5">
        <v>1110</v>
      </c>
    </row>
    <row r="1153" spans="1:2">
      <c r="A1153" s="4" t="s">
        <v>3914</v>
      </c>
      <c r="B1153" s="5">
        <v>1110</v>
      </c>
    </row>
    <row r="1154" spans="1:2">
      <c r="A1154" s="4" t="s">
        <v>1373</v>
      </c>
      <c r="B1154" s="5">
        <v>1110</v>
      </c>
    </row>
    <row r="1155" spans="1:2">
      <c r="A1155" s="4" t="s">
        <v>7503</v>
      </c>
      <c r="B1155" s="5">
        <v>1090</v>
      </c>
    </row>
    <row r="1156" spans="1:2">
      <c r="A1156" s="4" t="s">
        <v>607</v>
      </c>
      <c r="B1156" s="5">
        <v>1080</v>
      </c>
    </row>
    <row r="1157" spans="1:2">
      <c r="A1157" s="4" t="s">
        <v>336</v>
      </c>
      <c r="B1157" s="5">
        <v>1070</v>
      </c>
    </row>
    <row r="1158" spans="1:2">
      <c r="A1158" s="4" t="s">
        <v>1587</v>
      </c>
      <c r="B1158" s="5">
        <v>1065</v>
      </c>
    </row>
    <row r="1159" spans="1:2">
      <c r="A1159" s="4" t="s">
        <v>2412</v>
      </c>
      <c r="B1159" s="5">
        <v>1060</v>
      </c>
    </row>
    <row r="1160" spans="1:2">
      <c r="A1160" s="4" t="s">
        <v>4516</v>
      </c>
      <c r="B1160" s="5">
        <v>1056</v>
      </c>
    </row>
    <row r="1161" spans="1:2">
      <c r="A1161" s="4" t="s">
        <v>4151</v>
      </c>
      <c r="B1161" s="5">
        <v>1050</v>
      </c>
    </row>
    <row r="1162" spans="1:2">
      <c r="A1162" s="4" t="s">
        <v>1315</v>
      </c>
      <c r="B1162" s="5">
        <v>1050</v>
      </c>
    </row>
    <row r="1163" spans="1:2">
      <c r="A1163" s="4" t="s">
        <v>7695</v>
      </c>
      <c r="B1163" s="5">
        <v>1046</v>
      </c>
    </row>
    <row r="1164" spans="1:2">
      <c r="A1164" s="4" t="s">
        <v>4218</v>
      </c>
      <c r="B1164" s="5">
        <v>1043</v>
      </c>
    </row>
    <row r="1165" spans="1:2">
      <c r="A1165" s="4" t="s">
        <v>7531</v>
      </c>
      <c r="B1165" s="5">
        <v>1035</v>
      </c>
    </row>
    <row r="1166" spans="1:2">
      <c r="A1166" s="4" t="s">
        <v>5626</v>
      </c>
      <c r="B1166" s="5">
        <v>1030</v>
      </c>
    </row>
    <row r="1167" spans="1:2">
      <c r="A1167" s="4" t="s">
        <v>6158</v>
      </c>
      <c r="B1167" s="5">
        <v>1025</v>
      </c>
    </row>
    <row r="1168" spans="1:2">
      <c r="A1168" s="4" t="s">
        <v>4644</v>
      </c>
      <c r="B1168" s="5">
        <v>1021</v>
      </c>
    </row>
    <row r="1169" spans="1:2">
      <c r="A1169" s="4" t="s">
        <v>300</v>
      </c>
      <c r="B1169" s="5">
        <v>1020</v>
      </c>
    </row>
    <row r="1170" spans="1:2">
      <c r="A1170" s="4" t="s">
        <v>6795</v>
      </c>
      <c r="B1170" s="5">
        <v>1020</v>
      </c>
    </row>
    <row r="1171" spans="1:2">
      <c r="A1171" s="4" t="s">
        <v>5144</v>
      </c>
      <c r="B1171" s="5">
        <v>1020</v>
      </c>
    </row>
    <row r="1172" spans="1:2">
      <c r="A1172" s="4" t="s">
        <v>2172</v>
      </c>
      <c r="B1172" s="5">
        <v>1011</v>
      </c>
    </row>
    <row r="1173" spans="1:2">
      <c r="A1173" s="4" t="s">
        <v>4729</v>
      </c>
      <c r="B1173" s="5">
        <v>1000</v>
      </c>
    </row>
    <row r="1174" spans="1:2">
      <c r="A1174" s="4" t="s">
        <v>6968</v>
      </c>
      <c r="B1174" s="5">
        <v>985</v>
      </c>
    </row>
    <row r="1175" spans="1:2">
      <c r="A1175" s="4" t="s">
        <v>3163</v>
      </c>
      <c r="B1175" s="5">
        <v>980</v>
      </c>
    </row>
    <row r="1176" spans="1:2">
      <c r="A1176" s="4" t="s">
        <v>2235</v>
      </c>
      <c r="B1176" s="5">
        <v>960</v>
      </c>
    </row>
    <row r="1177" spans="1:2">
      <c r="A1177" s="4" t="s">
        <v>4988</v>
      </c>
      <c r="B1177" s="5">
        <v>960</v>
      </c>
    </row>
    <row r="1178" spans="1:2">
      <c r="A1178" s="4" t="s">
        <v>6940</v>
      </c>
      <c r="B1178" s="5">
        <v>948</v>
      </c>
    </row>
    <row r="1179" spans="1:2">
      <c r="A1179" s="4" t="s">
        <v>6353</v>
      </c>
      <c r="B1179" s="5">
        <v>948</v>
      </c>
    </row>
    <row r="1180" spans="1:2">
      <c r="A1180" s="4" t="s">
        <v>4511</v>
      </c>
      <c r="B1180" s="5">
        <v>940</v>
      </c>
    </row>
    <row r="1181" spans="1:2">
      <c r="A1181" s="4" t="s">
        <v>1548</v>
      </c>
      <c r="B1181" s="5">
        <v>928</v>
      </c>
    </row>
    <row r="1182" spans="1:2">
      <c r="A1182" s="4" t="s">
        <v>6090</v>
      </c>
      <c r="B1182" s="5">
        <v>921</v>
      </c>
    </row>
    <row r="1183" spans="1:2">
      <c r="A1183" s="4" t="s">
        <v>6824</v>
      </c>
      <c r="B1183" s="5">
        <v>920</v>
      </c>
    </row>
    <row r="1184" spans="1:2">
      <c r="A1184" s="4" t="s">
        <v>3635</v>
      </c>
      <c r="B1184" s="5">
        <v>920</v>
      </c>
    </row>
    <row r="1185" spans="1:2">
      <c r="A1185" s="4" t="s">
        <v>1596</v>
      </c>
      <c r="B1185" s="5">
        <v>917</v>
      </c>
    </row>
    <row r="1186" spans="1:2">
      <c r="A1186" s="4" t="s">
        <v>1465</v>
      </c>
      <c r="B1186" s="5">
        <v>916</v>
      </c>
    </row>
    <row r="1187" spans="1:2">
      <c r="A1187" s="4" t="s">
        <v>4097</v>
      </c>
      <c r="B1187" s="5">
        <v>914</v>
      </c>
    </row>
    <row r="1188" spans="1:2">
      <c r="A1188" s="4" t="s">
        <v>4792</v>
      </c>
      <c r="B1188" s="5">
        <v>900</v>
      </c>
    </row>
    <row r="1189" spans="1:2">
      <c r="A1189" s="4" t="s">
        <v>4318</v>
      </c>
      <c r="B1189" s="5">
        <v>888</v>
      </c>
    </row>
    <row r="1190" spans="1:2">
      <c r="A1190" s="4" t="s">
        <v>224</v>
      </c>
      <c r="B1190" s="5">
        <v>874</v>
      </c>
    </row>
    <row r="1191" spans="1:2">
      <c r="A1191" s="4" t="s">
        <v>698</v>
      </c>
      <c r="B1191" s="5">
        <v>873</v>
      </c>
    </row>
    <row r="1192" spans="1:2">
      <c r="A1192" s="4" t="s">
        <v>6739</v>
      </c>
      <c r="B1192" s="5">
        <v>866</v>
      </c>
    </row>
    <row r="1193" spans="1:2">
      <c r="A1193" s="4" t="s">
        <v>4584</v>
      </c>
      <c r="B1193" s="5">
        <v>863</v>
      </c>
    </row>
    <row r="1194" spans="1:2">
      <c r="A1194" s="4" t="s">
        <v>3679</v>
      </c>
      <c r="B1194" s="5">
        <v>850</v>
      </c>
    </row>
    <row r="1195" spans="1:2">
      <c r="A1195" s="4" t="s">
        <v>1137</v>
      </c>
      <c r="B1195" s="5">
        <v>850</v>
      </c>
    </row>
    <row r="1196" spans="1:2">
      <c r="A1196" s="4" t="s">
        <v>2546</v>
      </c>
      <c r="B1196" s="5">
        <v>839</v>
      </c>
    </row>
    <row r="1197" spans="1:2">
      <c r="A1197" s="4" t="s">
        <v>5492</v>
      </c>
      <c r="B1197" s="5">
        <v>829</v>
      </c>
    </row>
    <row r="1198" spans="1:2">
      <c r="A1198" s="4" t="s">
        <v>3138</v>
      </c>
      <c r="B1198" s="5">
        <v>825</v>
      </c>
    </row>
    <row r="1199" spans="1:2">
      <c r="A1199" s="4" t="s">
        <v>4745</v>
      </c>
      <c r="B1199" s="5">
        <v>802</v>
      </c>
    </row>
    <row r="1200" spans="1:2">
      <c r="A1200" s="4" t="s">
        <v>605</v>
      </c>
      <c r="B1200" s="5">
        <v>800</v>
      </c>
    </row>
    <row r="1201" spans="1:2">
      <c r="A1201" s="4" t="s">
        <v>3955</v>
      </c>
      <c r="B1201" s="5">
        <v>786</v>
      </c>
    </row>
    <row r="1202" spans="1:2">
      <c r="A1202" s="4" t="s">
        <v>6877</v>
      </c>
      <c r="B1202" s="5">
        <v>770</v>
      </c>
    </row>
    <row r="1203" spans="1:2">
      <c r="A1203" s="4" t="s">
        <v>4650</v>
      </c>
      <c r="B1203" s="5">
        <v>760</v>
      </c>
    </row>
    <row r="1204" spans="1:2">
      <c r="A1204" s="4" t="s">
        <v>2693</v>
      </c>
      <c r="B1204" s="5">
        <v>760</v>
      </c>
    </row>
    <row r="1205" spans="1:2">
      <c r="A1205" s="4" t="s">
        <v>4809</v>
      </c>
      <c r="B1205" s="5">
        <v>745</v>
      </c>
    </row>
    <row r="1206" spans="1:2">
      <c r="A1206" s="4" t="s">
        <v>3173</v>
      </c>
      <c r="B1206" s="5">
        <v>740</v>
      </c>
    </row>
    <row r="1207" spans="1:2">
      <c r="A1207" s="4" t="s">
        <v>1519</v>
      </c>
      <c r="B1207" s="5">
        <v>740</v>
      </c>
    </row>
    <row r="1208" spans="1:2">
      <c r="A1208" s="4" t="s">
        <v>1576</v>
      </c>
      <c r="B1208" s="5">
        <v>740</v>
      </c>
    </row>
    <row r="1209" spans="1:2">
      <c r="A1209" s="4" t="s">
        <v>3308</v>
      </c>
      <c r="B1209" s="5">
        <v>740</v>
      </c>
    </row>
    <row r="1210" spans="1:2">
      <c r="A1210" s="4" t="s">
        <v>1623</v>
      </c>
      <c r="B1210" s="5">
        <v>740</v>
      </c>
    </row>
    <row r="1211" spans="1:2">
      <c r="A1211" s="4" t="s">
        <v>2922</v>
      </c>
      <c r="B1211" s="5">
        <v>740</v>
      </c>
    </row>
    <row r="1212" spans="1:2">
      <c r="A1212" s="4" t="s">
        <v>3618</v>
      </c>
      <c r="B1212" s="5">
        <v>740</v>
      </c>
    </row>
    <row r="1213" spans="1:2">
      <c r="A1213" s="4" t="s">
        <v>2636</v>
      </c>
      <c r="B1213" s="5">
        <v>740</v>
      </c>
    </row>
    <row r="1214" spans="1:2">
      <c r="A1214" s="4" t="s">
        <v>2122</v>
      </c>
      <c r="B1214" s="5">
        <v>740</v>
      </c>
    </row>
    <row r="1215" spans="1:2">
      <c r="A1215" s="4" t="s">
        <v>5803</v>
      </c>
      <c r="B1215" s="5">
        <v>740</v>
      </c>
    </row>
    <row r="1216" spans="1:2">
      <c r="A1216" s="4" t="s">
        <v>3873</v>
      </c>
      <c r="B1216" s="5">
        <v>740</v>
      </c>
    </row>
    <row r="1217" spans="1:2">
      <c r="A1217" s="4" t="s">
        <v>5324</v>
      </c>
      <c r="B1217" s="5">
        <v>733</v>
      </c>
    </row>
    <row r="1218" spans="1:2">
      <c r="A1218" s="4" t="s">
        <v>4154</v>
      </c>
      <c r="B1218" s="5">
        <v>725</v>
      </c>
    </row>
    <row r="1219" spans="1:2">
      <c r="A1219" s="4" t="s">
        <v>921</v>
      </c>
      <c r="B1219" s="5">
        <v>720</v>
      </c>
    </row>
    <row r="1220" spans="1:2">
      <c r="A1220" s="4" t="s">
        <v>2032</v>
      </c>
      <c r="B1220" s="5">
        <v>710</v>
      </c>
    </row>
    <row r="1221" spans="1:2">
      <c r="A1221" s="4" t="s">
        <v>4140</v>
      </c>
      <c r="B1221" s="5">
        <v>700</v>
      </c>
    </row>
    <row r="1222" spans="1:2">
      <c r="A1222" s="4" t="s">
        <v>4082</v>
      </c>
      <c r="B1222" s="5">
        <v>700</v>
      </c>
    </row>
    <row r="1223" spans="1:2">
      <c r="A1223" s="4" t="s">
        <v>4172</v>
      </c>
      <c r="B1223" s="5">
        <v>690</v>
      </c>
    </row>
    <row r="1224" spans="1:2">
      <c r="A1224" s="4" t="s">
        <v>7403</v>
      </c>
      <c r="B1224" s="5">
        <v>686</v>
      </c>
    </row>
    <row r="1225" spans="1:2">
      <c r="A1225" s="4" t="s">
        <v>4844</v>
      </c>
      <c r="B1225" s="5">
        <v>680</v>
      </c>
    </row>
    <row r="1226" spans="1:2">
      <c r="A1226" s="4" t="s">
        <v>98</v>
      </c>
      <c r="B1226" s="5">
        <v>680</v>
      </c>
    </row>
    <row r="1227" spans="1:2">
      <c r="A1227" s="4" t="s">
        <v>1326</v>
      </c>
      <c r="B1227" s="5">
        <v>666</v>
      </c>
    </row>
    <row r="1228" spans="1:2">
      <c r="A1228" s="4" t="s">
        <v>640</v>
      </c>
      <c r="B1228" s="5">
        <v>644</v>
      </c>
    </row>
    <row r="1229" spans="1:2">
      <c r="A1229" s="4" t="s">
        <v>6605</v>
      </c>
      <c r="B1229" s="5">
        <v>640</v>
      </c>
    </row>
    <row r="1230" spans="1:2">
      <c r="A1230" s="4" t="s">
        <v>6949</v>
      </c>
      <c r="B1230" s="5">
        <v>640</v>
      </c>
    </row>
    <row r="1231" spans="1:2">
      <c r="A1231" s="4" t="s">
        <v>7746</v>
      </c>
      <c r="B1231" s="5">
        <v>640</v>
      </c>
    </row>
    <row r="1232" spans="1:2">
      <c r="A1232" s="4" t="s">
        <v>1887</v>
      </c>
      <c r="B1232" s="5">
        <v>635</v>
      </c>
    </row>
    <row r="1233" spans="1:2">
      <c r="A1233" s="4" t="s">
        <v>7598</v>
      </c>
      <c r="B1233" s="5">
        <v>630</v>
      </c>
    </row>
    <row r="1234" spans="1:2">
      <c r="A1234" s="4" t="s">
        <v>6502</v>
      </c>
      <c r="B1234" s="5">
        <v>620</v>
      </c>
    </row>
    <row r="1235" spans="1:2">
      <c r="A1235" s="4" t="s">
        <v>5998</v>
      </c>
      <c r="B1235" s="5">
        <v>620</v>
      </c>
    </row>
    <row r="1236" spans="1:2">
      <c r="A1236" s="4" t="s">
        <v>1725</v>
      </c>
      <c r="B1236" s="5">
        <v>606</v>
      </c>
    </row>
    <row r="1237" spans="1:2">
      <c r="A1237" s="4" t="s">
        <v>1711</v>
      </c>
      <c r="B1237" s="5">
        <v>601</v>
      </c>
    </row>
    <row r="1238" spans="1:2">
      <c r="A1238" s="4" t="s">
        <v>5761</v>
      </c>
      <c r="B1238" s="5">
        <v>600</v>
      </c>
    </row>
    <row r="1239" spans="1:2">
      <c r="A1239" s="4" t="s">
        <v>141</v>
      </c>
      <c r="B1239" s="5">
        <v>600</v>
      </c>
    </row>
    <row r="1240" spans="1:2">
      <c r="A1240" s="4" t="s">
        <v>6083</v>
      </c>
      <c r="B1240" s="5">
        <v>591</v>
      </c>
    </row>
    <row r="1241" spans="1:2">
      <c r="A1241" s="4" t="s">
        <v>6235</v>
      </c>
      <c r="B1241" s="5">
        <v>590</v>
      </c>
    </row>
    <row r="1242" spans="1:2">
      <c r="A1242" s="4" t="s">
        <v>2632</v>
      </c>
      <c r="B1242" s="5">
        <v>590</v>
      </c>
    </row>
    <row r="1243" spans="1:2">
      <c r="A1243" s="4" t="s">
        <v>4823</v>
      </c>
      <c r="B1243" s="5">
        <v>590</v>
      </c>
    </row>
    <row r="1244" spans="1:2">
      <c r="A1244" s="4" t="s">
        <v>1626</v>
      </c>
      <c r="B1244" s="5">
        <v>588</v>
      </c>
    </row>
    <row r="1245" spans="1:2">
      <c r="A1245" s="4" t="s">
        <v>5990</v>
      </c>
      <c r="B1245" s="5">
        <v>586</v>
      </c>
    </row>
    <row r="1246" spans="1:2">
      <c r="A1246" s="4" t="s">
        <v>5148</v>
      </c>
      <c r="B1246" s="5">
        <v>581</v>
      </c>
    </row>
    <row r="1247" spans="1:2">
      <c r="A1247" s="4" t="s">
        <v>4363</v>
      </c>
      <c r="B1247" s="5">
        <v>572</v>
      </c>
    </row>
    <row r="1248" spans="1:2">
      <c r="A1248" s="4" t="s">
        <v>7037</v>
      </c>
      <c r="B1248" s="5">
        <v>565</v>
      </c>
    </row>
    <row r="1249" spans="1:2">
      <c r="A1249" s="4" t="s">
        <v>7713</v>
      </c>
      <c r="B1249" s="5">
        <v>562</v>
      </c>
    </row>
    <row r="1250" spans="1:2">
      <c r="A1250" s="4" t="s">
        <v>5079</v>
      </c>
      <c r="B1250" s="5">
        <v>561</v>
      </c>
    </row>
    <row r="1251" spans="1:2">
      <c r="A1251" s="4" t="s">
        <v>984</v>
      </c>
      <c r="B1251" s="5">
        <v>557</v>
      </c>
    </row>
    <row r="1252" spans="1:2">
      <c r="A1252" s="4" t="s">
        <v>7720</v>
      </c>
      <c r="B1252" s="5">
        <v>555</v>
      </c>
    </row>
    <row r="1253" spans="1:2">
      <c r="A1253" s="4" t="s">
        <v>771</v>
      </c>
      <c r="B1253" s="5">
        <v>550</v>
      </c>
    </row>
    <row r="1254" spans="1:2">
      <c r="A1254" s="4" t="s">
        <v>3708</v>
      </c>
      <c r="B1254" s="5">
        <v>550</v>
      </c>
    </row>
    <row r="1255" spans="1:2">
      <c r="A1255" s="4" t="s">
        <v>4413</v>
      </c>
      <c r="B1255" s="5">
        <v>520</v>
      </c>
    </row>
    <row r="1256" spans="1:2">
      <c r="A1256" s="4" t="s">
        <v>6928</v>
      </c>
      <c r="B1256" s="5">
        <v>520</v>
      </c>
    </row>
    <row r="1257" spans="1:2">
      <c r="A1257" s="4" t="s">
        <v>1638</v>
      </c>
      <c r="B1257" s="5">
        <v>513</v>
      </c>
    </row>
    <row r="1258" spans="1:2">
      <c r="A1258" s="4" t="s">
        <v>7486</v>
      </c>
      <c r="B1258" s="5">
        <v>506</v>
      </c>
    </row>
    <row r="1259" spans="1:2">
      <c r="A1259" s="4" t="s">
        <v>7683</v>
      </c>
      <c r="B1259" s="5">
        <v>500</v>
      </c>
    </row>
    <row r="1260" spans="1:2">
      <c r="A1260" s="4" t="s">
        <v>1980</v>
      </c>
      <c r="B1260" s="5">
        <v>500</v>
      </c>
    </row>
    <row r="1261" spans="1:2">
      <c r="A1261" s="4" t="s">
        <v>5638</v>
      </c>
      <c r="B1261" s="5">
        <v>500</v>
      </c>
    </row>
    <row r="1262" spans="1:2">
      <c r="A1262" s="4" t="s">
        <v>465</v>
      </c>
      <c r="B1262" s="5">
        <v>495</v>
      </c>
    </row>
    <row r="1263" spans="1:2">
      <c r="A1263" s="4" t="s">
        <v>6014</v>
      </c>
      <c r="B1263" s="5">
        <v>484</v>
      </c>
    </row>
    <row r="1264" spans="1:2">
      <c r="A1264" s="4" t="s">
        <v>2478</v>
      </c>
      <c r="B1264" s="5">
        <v>470</v>
      </c>
    </row>
    <row r="1265" spans="1:2">
      <c r="A1265" s="4" t="s">
        <v>4242</v>
      </c>
      <c r="B1265" s="5">
        <v>465</v>
      </c>
    </row>
    <row r="1266" spans="1:2">
      <c r="A1266" s="4" t="s">
        <v>7165</v>
      </c>
      <c r="B1266" s="5">
        <v>460</v>
      </c>
    </row>
    <row r="1267" spans="1:2">
      <c r="A1267" s="4" t="s">
        <v>1006</v>
      </c>
      <c r="B1267" s="5">
        <v>460</v>
      </c>
    </row>
    <row r="1268" spans="1:2">
      <c r="A1268" s="4" t="s">
        <v>7775</v>
      </c>
      <c r="B1268" s="5">
        <v>460</v>
      </c>
    </row>
    <row r="1269" spans="1:2">
      <c r="A1269" s="4" t="s">
        <v>808</v>
      </c>
      <c r="B1269" s="5">
        <v>456</v>
      </c>
    </row>
    <row r="1270" spans="1:2">
      <c r="A1270" s="4" t="s">
        <v>2446</v>
      </c>
      <c r="B1270" s="5">
        <v>454</v>
      </c>
    </row>
    <row r="1271" spans="1:2">
      <c r="A1271" s="4" t="s">
        <v>2902</v>
      </c>
      <c r="B1271" s="5">
        <v>450</v>
      </c>
    </row>
    <row r="1272" spans="1:2">
      <c r="A1272" s="4" t="s">
        <v>127</v>
      </c>
      <c r="B1272" s="5">
        <v>450</v>
      </c>
    </row>
    <row r="1273" spans="1:2">
      <c r="A1273" s="4" t="s">
        <v>1503</v>
      </c>
      <c r="B1273" s="5">
        <v>440</v>
      </c>
    </row>
    <row r="1274" spans="1:2">
      <c r="A1274" s="4" t="s">
        <v>1340</v>
      </c>
      <c r="B1274" s="5">
        <v>425</v>
      </c>
    </row>
    <row r="1275" spans="1:2">
      <c r="A1275" s="4" t="s">
        <v>3721</v>
      </c>
      <c r="B1275" s="5">
        <v>425</v>
      </c>
    </row>
    <row r="1276" spans="1:2">
      <c r="A1276" s="4" t="s">
        <v>1527</v>
      </c>
      <c r="B1276" s="5">
        <v>420</v>
      </c>
    </row>
    <row r="1277" spans="1:2">
      <c r="A1277" s="4" t="s">
        <v>3040</v>
      </c>
      <c r="B1277" s="5">
        <v>420</v>
      </c>
    </row>
    <row r="1278" spans="1:2">
      <c r="A1278" s="4" t="s">
        <v>3693</v>
      </c>
      <c r="B1278" s="5">
        <v>410</v>
      </c>
    </row>
    <row r="1279" spans="1:2">
      <c r="A1279" s="4" t="s">
        <v>1559</v>
      </c>
      <c r="B1279" s="5">
        <v>405</v>
      </c>
    </row>
    <row r="1280" spans="1:2">
      <c r="A1280" s="4" t="s">
        <v>7289</v>
      </c>
      <c r="B1280" s="5">
        <v>400</v>
      </c>
    </row>
    <row r="1281" spans="1:2">
      <c r="A1281" s="4" t="s">
        <v>7769</v>
      </c>
      <c r="B1281" s="5">
        <v>400</v>
      </c>
    </row>
    <row r="1282" spans="1:2">
      <c r="A1282" s="4" t="s">
        <v>3892</v>
      </c>
      <c r="B1282" s="5">
        <v>400</v>
      </c>
    </row>
    <row r="1283" spans="1:2">
      <c r="A1283" s="4" t="s">
        <v>2085</v>
      </c>
      <c r="B1283" s="5">
        <v>395</v>
      </c>
    </row>
    <row r="1284" spans="1:2">
      <c r="A1284" s="4" t="s">
        <v>1386</v>
      </c>
      <c r="B1284" s="5">
        <v>395</v>
      </c>
    </row>
    <row r="1285" spans="1:2">
      <c r="A1285" s="4" t="s">
        <v>1475</v>
      </c>
      <c r="B1285" s="5">
        <v>390</v>
      </c>
    </row>
    <row r="1286" spans="1:2">
      <c r="A1286" s="4" t="s">
        <v>2448</v>
      </c>
      <c r="B1286" s="5">
        <v>390</v>
      </c>
    </row>
    <row r="1287" spans="1:2">
      <c r="A1287" s="4" t="s">
        <v>6881</v>
      </c>
      <c r="B1287" s="5">
        <v>385</v>
      </c>
    </row>
    <row r="1288" spans="1:2">
      <c r="A1288" s="4" t="s">
        <v>3785</v>
      </c>
      <c r="B1288" s="5">
        <v>383</v>
      </c>
    </row>
    <row r="1289" spans="1:2">
      <c r="A1289" s="4" t="s">
        <v>4302</v>
      </c>
      <c r="B1289" s="5">
        <v>380</v>
      </c>
    </row>
    <row r="1290" spans="1:2">
      <c r="A1290" s="4" t="s">
        <v>4562</v>
      </c>
      <c r="B1290" s="5">
        <v>380</v>
      </c>
    </row>
    <row r="1291" spans="1:2">
      <c r="A1291" s="4" t="s">
        <v>5202</v>
      </c>
      <c r="B1291" s="5">
        <v>377</v>
      </c>
    </row>
    <row r="1292" spans="1:2">
      <c r="A1292" s="4" t="s">
        <v>3130</v>
      </c>
      <c r="B1292" s="5">
        <v>370</v>
      </c>
    </row>
    <row r="1293" spans="1:2">
      <c r="A1293" s="4" t="s">
        <v>1552</v>
      </c>
      <c r="B1293" s="5">
        <v>370</v>
      </c>
    </row>
    <row r="1294" spans="1:2">
      <c r="A1294" s="4" t="s">
        <v>3184</v>
      </c>
      <c r="B1294" s="5">
        <v>370</v>
      </c>
    </row>
    <row r="1295" spans="1:2">
      <c r="A1295" s="4" t="s">
        <v>3933</v>
      </c>
      <c r="B1295" s="5">
        <v>370</v>
      </c>
    </row>
    <row r="1296" spans="1:2">
      <c r="A1296" s="4" t="s">
        <v>2600</v>
      </c>
      <c r="B1296" s="5">
        <v>370</v>
      </c>
    </row>
    <row r="1297" spans="1:2">
      <c r="A1297" s="4" t="s">
        <v>2128</v>
      </c>
      <c r="B1297" s="5">
        <v>370</v>
      </c>
    </row>
    <row r="1298" spans="1:2">
      <c r="A1298" s="4" t="s">
        <v>3591</v>
      </c>
      <c r="B1298" s="5">
        <v>370</v>
      </c>
    </row>
    <row r="1299" spans="1:2">
      <c r="A1299" s="4" t="s">
        <v>3719</v>
      </c>
      <c r="B1299" s="5">
        <v>370</v>
      </c>
    </row>
    <row r="1300" spans="1:2">
      <c r="A1300" s="4" t="s">
        <v>3603</v>
      </c>
      <c r="B1300" s="5">
        <v>370</v>
      </c>
    </row>
    <row r="1301" spans="1:2">
      <c r="A1301" s="4" t="s">
        <v>2029</v>
      </c>
      <c r="B1301" s="5">
        <v>370</v>
      </c>
    </row>
    <row r="1302" spans="1:2">
      <c r="A1302" s="4" t="s">
        <v>3830</v>
      </c>
      <c r="B1302" s="5">
        <v>370</v>
      </c>
    </row>
    <row r="1303" spans="1:2">
      <c r="A1303" s="4" t="s">
        <v>2404</v>
      </c>
      <c r="B1303" s="5">
        <v>370</v>
      </c>
    </row>
    <row r="1304" spans="1:2">
      <c r="A1304" s="4" t="s">
        <v>1063</v>
      </c>
      <c r="B1304" s="5">
        <v>370</v>
      </c>
    </row>
    <row r="1305" spans="1:2">
      <c r="A1305" s="4" t="s">
        <v>6000</v>
      </c>
      <c r="B1305" s="5">
        <v>368</v>
      </c>
    </row>
    <row r="1306" spans="1:2">
      <c r="A1306" s="4" t="s">
        <v>4802</v>
      </c>
      <c r="B1306" s="5">
        <v>360</v>
      </c>
    </row>
    <row r="1307" spans="1:2">
      <c r="A1307" s="4" t="s">
        <v>919</v>
      </c>
      <c r="B1307" s="5">
        <v>360</v>
      </c>
    </row>
    <row r="1308" spans="1:2">
      <c r="A1308" s="4" t="s">
        <v>3783</v>
      </c>
      <c r="B1308" s="5">
        <v>352</v>
      </c>
    </row>
    <row r="1309" spans="1:2">
      <c r="A1309" s="4" t="s">
        <v>4272</v>
      </c>
      <c r="B1309" s="5">
        <v>350</v>
      </c>
    </row>
    <row r="1310" spans="1:2">
      <c r="A1310" s="4" t="s">
        <v>4325</v>
      </c>
      <c r="B1310" s="5">
        <v>350</v>
      </c>
    </row>
    <row r="1311" spans="1:2">
      <c r="A1311" s="4" t="s">
        <v>488</v>
      </c>
      <c r="B1311" s="5">
        <v>350</v>
      </c>
    </row>
    <row r="1312" spans="1:2">
      <c r="A1312" s="4" t="s">
        <v>4586</v>
      </c>
      <c r="B1312" s="5">
        <v>340</v>
      </c>
    </row>
    <row r="1313" spans="1:2">
      <c r="A1313" s="4" t="s">
        <v>5226</v>
      </c>
      <c r="B1313" s="5">
        <v>340</v>
      </c>
    </row>
    <row r="1314" spans="1:2">
      <c r="A1314" s="4" t="s">
        <v>241</v>
      </c>
      <c r="B1314" s="5">
        <v>340</v>
      </c>
    </row>
    <row r="1315" spans="1:2">
      <c r="A1315" s="4" t="s">
        <v>5523</v>
      </c>
      <c r="B1315" s="5">
        <v>340</v>
      </c>
    </row>
    <row r="1316" spans="1:2">
      <c r="A1316" s="4" t="s">
        <v>421</v>
      </c>
      <c r="B1316" s="5">
        <v>340</v>
      </c>
    </row>
    <row r="1317" spans="1:2">
      <c r="A1317" s="4" t="s">
        <v>4446</v>
      </c>
      <c r="B1317" s="5">
        <v>340</v>
      </c>
    </row>
    <row r="1318" spans="1:2">
      <c r="A1318" s="4" t="s">
        <v>5596</v>
      </c>
      <c r="B1318" s="5">
        <v>340</v>
      </c>
    </row>
    <row r="1319" spans="1:2">
      <c r="A1319" s="4" t="s">
        <v>4464</v>
      </c>
      <c r="B1319" s="5">
        <v>340</v>
      </c>
    </row>
    <row r="1320" spans="1:2">
      <c r="A1320" s="4" t="s">
        <v>5474</v>
      </c>
      <c r="B1320" s="5">
        <v>340</v>
      </c>
    </row>
    <row r="1321" spans="1:2">
      <c r="A1321" s="4" t="s">
        <v>406</v>
      </c>
      <c r="B1321" s="5">
        <v>340</v>
      </c>
    </row>
    <row r="1322" spans="1:2">
      <c r="A1322" s="4" t="s">
        <v>4799</v>
      </c>
      <c r="B1322" s="5">
        <v>340</v>
      </c>
    </row>
    <row r="1323" spans="1:2">
      <c r="A1323" s="4" t="s">
        <v>7301</v>
      </c>
      <c r="B1323" s="5">
        <v>330</v>
      </c>
    </row>
    <row r="1324" spans="1:2">
      <c r="A1324" s="4" t="s">
        <v>1299</v>
      </c>
      <c r="B1324" s="5">
        <v>330</v>
      </c>
    </row>
    <row r="1325" spans="1:2">
      <c r="A1325" s="4" t="s">
        <v>5737</v>
      </c>
      <c r="B1325" s="5">
        <v>330</v>
      </c>
    </row>
    <row r="1326" spans="1:2">
      <c r="A1326" s="4" t="s">
        <v>3213</v>
      </c>
      <c r="B1326" s="5">
        <v>324</v>
      </c>
    </row>
    <row r="1327" spans="1:2">
      <c r="A1327" s="4" t="s">
        <v>5441</v>
      </c>
      <c r="B1327" s="5">
        <v>322</v>
      </c>
    </row>
    <row r="1328" spans="1:2">
      <c r="A1328" s="4" t="s">
        <v>7644</v>
      </c>
      <c r="B1328" s="5">
        <v>320</v>
      </c>
    </row>
    <row r="1329" spans="1:2">
      <c r="A1329" s="4" t="s">
        <v>7437</v>
      </c>
      <c r="B1329" s="5">
        <v>320</v>
      </c>
    </row>
    <row r="1330" spans="1:2">
      <c r="A1330" s="4" t="s">
        <v>6711</v>
      </c>
      <c r="B1330" s="5">
        <v>320</v>
      </c>
    </row>
    <row r="1331" spans="1:2">
      <c r="A1331" s="4" t="s">
        <v>7405</v>
      </c>
      <c r="B1331" s="5">
        <v>320</v>
      </c>
    </row>
    <row r="1332" spans="1:2">
      <c r="A1332" s="4" t="s">
        <v>7809</v>
      </c>
      <c r="B1332" s="5">
        <v>320</v>
      </c>
    </row>
    <row r="1333" spans="1:2">
      <c r="A1333" s="4" t="s">
        <v>7109</v>
      </c>
      <c r="B1333" s="5">
        <v>320</v>
      </c>
    </row>
    <row r="1334" spans="1:2">
      <c r="A1334" s="4" t="s">
        <v>7204</v>
      </c>
      <c r="B1334" s="5">
        <v>320</v>
      </c>
    </row>
    <row r="1335" spans="1:2">
      <c r="A1335" s="4" t="s">
        <v>7430</v>
      </c>
      <c r="B1335" s="5">
        <v>320</v>
      </c>
    </row>
    <row r="1336" spans="1:2">
      <c r="A1336" s="4" t="s">
        <v>6714</v>
      </c>
      <c r="B1336" s="5">
        <v>320</v>
      </c>
    </row>
    <row r="1337" spans="1:2">
      <c r="A1337" s="4" t="s">
        <v>7538</v>
      </c>
      <c r="B1337" s="5">
        <v>320</v>
      </c>
    </row>
    <row r="1338" spans="1:2">
      <c r="A1338" s="4" t="s">
        <v>7600</v>
      </c>
      <c r="B1338" s="5">
        <v>320</v>
      </c>
    </row>
    <row r="1339" spans="1:2">
      <c r="A1339" s="4" t="s">
        <v>6002</v>
      </c>
      <c r="B1339" s="5">
        <v>310</v>
      </c>
    </row>
    <row r="1340" spans="1:2">
      <c r="A1340" s="4" t="s">
        <v>7177</v>
      </c>
      <c r="B1340" s="5">
        <v>310</v>
      </c>
    </row>
    <row r="1341" spans="1:2">
      <c r="A1341" s="4" t="s">
        <v>3582</v>
      </c>
      <c r="B1341" s="5">
        <v>310</v>
      </c>
    </row>
    <row r="1342" spans="1:2">
      <c r="A1342" s="4" t="s">
        <v>6051</v>
      </c>
      <c r="B1342" s="5">
        <v>310</v>
      </c>
    </row>
    <row r="1343" spans="1:2">
      <c r="A1343" s="4" t="s">
        <v>6274</v>
      </c>
      <c r="B1343" s="5">
        <v>310</v>
      </c>
    </row>
    <row r="1344" spans="1:2">
      <c r="A1344" s="4" t="s">
        <v>6011</v>
      </c>
      <c r="B1344" s="5">
        <v>310</v>
      </c>
    </row>
    <row r="1345" spans="1:2">
      <c r="A1345" s="4" t="s">
        <v>7227</v>
      </c>
      <c r="B1345" s="5">
        <v>300</v>
      </c>
    </row>
    <row r="1346" spans="1:2">
      <c r="A1346" s="4" t="s">
        <v>5952</v>
      </c>
      <c r="B1346" s="5">
        <v>300</v>
      </c>
    </row>
    <row r="1347" spans="1:2">
      <c r="A1347" s="4" t="s">
        <v>1335</v>
      </c>
      <c r="B1347" s="5">
        <v>297</v>
      </c>
    </row>
    <row r="1348" spans="1:2">
      <c r="A1348" s="4" t="s">
        <v>178</v>
      </c>
      <c r="B1348" s="5">
        <v>290</v>
      </c>
    </row>
    <row r="1349" spans="1:2">
      <c r="A1349" s="4" t="s">
        <v>2730</v>
      </c>
      <c r="B1349" s="5">
        <v>290</v>
      </c>
    </row>
    <row r="1350" spans="1:2">
      <c r="A1350" s="4" t="s">
        <v>1371</v>
      </c>
      <c r="B1350" s="5">
        <v>286</v>
      </c>
    </row>
    <row r="1351" spans="1:2">
      <c r="A1351" s="4" t="s">
        <v>7283</v>
      </c>
      <c r="B1351" s="5">
        <v>280</v>
      </c>
    </row>
    <row r="1352" spans="1:2">
      <c r="A1352" s="4" t="s">
        <v>5053</v>
      </c>
      <c r="B1352" s="5">
        <v>265</v>
      </c>
    </row>
    <row r="1353" spans="1:2">
      <c r="A1353" s="4" t="s">
        <v>2227</v>
      </c>
      <c r="B1353" s="5">
        <v>264</v>
      </c>
    </row>
    <row r="1354" spans="1:2">
      <c r="A1354" s="4" t="s">
        <v>7517</v>
      </c>
      <c r="B1354" s="5">
        <v>260</v>
      </c>
    </row>
    <row r="1355" spans="1:2">
      <c r="A1355" s="4" t="s">
        <v>4209</v>
      </c>
      <c r="B1355" s="5">
        <v>250</v>
      </c>
    </row>
    <row r="1356" spans="1:2">
      <c r="A1356" s="4" t="s">
        <v>1869</v>
      </c>
      <c r="B1356" s="5">
        <v>250</v>
      </c>
    </row>
    <row r="1357" spans="1:2">
      <c r="A1357" s="4" t="s">
        <v>4203</v>
      </c>
      <c r="B1357" s="5">
        <v>250</v>
      </c>
    </row>
    <row r="1358" spans="1:2">
      <c r="A1358" s="4" t="s">
        <v>6223</v>
      </c>
      <c r="B1358" s="5">
        <v>250</v>
      </c>
    </row>
    <row r="1359" spans="1:2">
      <c r="A1359" s="4" t="s">
        <v>6909</v>
      </c>
      <c r="B1359" s="5">
        <v>225</v>
      </c>
    </row>
    <row r="1360" spans="1:2">
      <c r="A1360" s="4" t="s">
        <v>170</v>
      </c>
      <c r="B1360" s="5">
        <v>225</v>
      </c>
    </row>
    <row r="1361" spans="1:2">
      <c r="A1361" s="4" t="s">
        <v>580</v>
      </c>
      <c r="B1361" s="5">
        <v>221</v>
      </c>
    </row>
    <row r="1362" spans="1:2">
      <c r="A1362" s="4" t="s">
        <v>1480</v>
      </c>
      <c r="B1362" s="5">
        <v>210</v>
      </c>
    </row>
    <row r="1363" spans="1:2">
      <c r="A1363" s="4" t="s">
        <v>1909</v>
      </c>
      <c r="B1363" s="5">
        <v>210</v>
      </c>
    </row>
    <row r="1364" spans="1:2">
      <c r="A1364" s="4" t="s">
        <v>5424</v>
      </c>
      <c r="B1364" s="5">
        <v>205</v>
      </c>
    </row>
    <row r="1365" spans="1:2">
      <c r="A1365" s="4" t="s">
        <v>2716</v>
      </c>
      <c r="B1365" s="5">
        <v>200</v>
      </c>
    </row>
    <row r="1366" spans="1:2">
      <c r="A1366" s="4" t="s">
        <v>6889</v>
      </c>
      <c r="B1366" s="5">
        <v>200</v>
      </c>
    </row>
    <row r="1367" spans="1:2">
      <c r="A1367" s="4" t="s">
        <v>4437</v>
      </c>
      <c r="B1367" s="5">
        <v>200</v>
      </c>
    </row>
    <row r="1368" spans="1:2">
      <c r="A1368" s="4" t="s">
        <v>5679</v>
      </c>
      <c r="B1368" s="5">
        <v>190</v>
      </c>
    </row>
    <row r="1369" spans="1:2">
      <c r="A1369" s="4" t="s">
        <v>4984</v>
      </c>
      <c r="B1369" s="5">
        <v>188</v>
      </c>
    </row>
    <row r="1370" spans="1:2">
      <c r="A1370" s="4" t="s">
        <v>4790</v>
      </c>
      <c r="B1370" s="5">
        <v>185</v>
      </c>
    </row>
    <row r="1371" spans="1:2">
      <c r="A1371" s="4" t="s">
        <v>5704</v>
      </c>
      <c r="B1371" s="5">
        <v>180</v>
      </c>
    </row>
    <row r="1372" spans="1:2">
      <c r="A1372" s="4" t="s">
        <v>6367</v>
      </c>
      <c r="B1372" s="5">
        <v>180</v>
      </c>
    </row>
    <row r="1373" spans="1:2">
      <c r="A1373" s="4" t="s">
        <v>7570</v>
      </c>
      <c r="B1373" s="5">
        <v>165</v>
      </c>
    </row>
    <row r="1374" spans="1:2">
      <c r="A1374" s="4" t="s">
        <v>2698</v>
      </c>
      <c r="B1374" s="5">
        <v>160</v>
      </c>
    </row>
    <row r="1375" spans="1:2">
      <c r="A1375" s="4" t="s">
        <v>1808</v>
      </c>
      <c r="B1375" s="5">
        <v>150</v>
      </c>
    </row>
    <row r="1376" spans="1:2">
      <c r="A1376" s="4" t="s">
        <v>6113</v>
      </c>
      <c r="B1376" s="5">
        <v>150</v>
      </c>
    </row>
    <row r="1377" spans="1:2">
      <c r="A1377" s="4" t="s">
        <v>7492</v>
      </c>
      <c r="B1377" s="5">
        <v>150</v>
      </c>
    </row>
    <row r="1378" spans="1:2">
      <c r="A1378" s="4" t="s">
        <v>7623</v>
      </c>
      <c r="B1378" s="5">
        <v>150</v>
      </c>
    </row>
    <row r="1379" spans="1:2">
      <c r="A1379" s="4" t="s">
        <v>6686</v>
      </c>
      <c r="B1379" s="5">
        <v>140</v>
      </c>
    </row>
    <row r="1380" spans="1:2">
      <c r="A1380" s="4" t="s">
        <v>1426</v>
      </c>
      <c r="B1380" s="5">
        <v>140</v>
      </c>
    </row>
    <row r="1381" spans="1:2">
      <c r="A1381" s="4" t="s">
        <v>6309</v>
      </c>
      <c r="B1381" s="5">
        <v>130</v>
      </c>
    </row>
    <row r="1382" spans="1:2">
      <c r="A1382" s="4" t="s">
        <v>961</v>
      </c>
      <c r="B1382" s="5">
        <v>130</v>
      </c>
    </row>
    <row r="1383" spans="1:2">
      <c r="A1383" s="4" t="s">
        <v>3360</v>
      </c>
      <c r="B1383" s="5">
        <v>121</v>
      </c>
    </row>
    <row r="1384" spans="1:2">
      <c r="A1384" s="4" t="s">
        <v>3778</v>
      </c>
      <c r="B1384" s="5">
        <v>120</v>
      </c>
    </row>
    <row r="1385" spans="1:2">
      <c r="A1385" s="4" t="s">
        <v>6818</v>
      </c>
      <c r="B1385" s="5">
        <v>110</v>
      </c>
    </row>
    <row r="1386" spans="1:2">
      <c r="A1386" s="4" t="s">
        <v>4010</v>
      </c>
      <c r="B1386" s="5">
        <v>101</v>
      </c>
    </row>
    <row r="1387" spans="1:2">
      <c r="A1387" s="4" t="s">
        <v>793</v>
      </c>
      <c r="B1387" s="5">
        <v>100</v>
      </c>
    </row>
    <row r="1388" spans="1:2">
      <c r="A1388" s="4" t="s">
        <v>7350</v>
      </c>
      <c r="B1388" s="5">
        <v>100</v>
      </c>
    </row>
    <row r="1389" spans="1:2">
      <c r="A1389" s="4" t="s">
        <v>6991</v>
      </c>
      <c r="B1389" s="5">
        <v>100</v>
      </c>
    </row>
    <row r="1390" spans="1:2">
      <c r="A1390" s="4" t="s">
        <v>5394</v>
      </c>
      <c r="B1390" s="5">
        <v>100</v>
      </c>
    </row>
    <row r="1391" spans="1:2">
      <c r="A1391" s="4" t="s">
        <v>5335</v>
      </c>
      <c r="B1391" s="5">
        <v>90</v>
      </c>
    </row>
    <row r="1392" spans="1:2">
      <c r="A1392" s="4" t="s">
        <v>578</v>
      </c>
      <c r="B1392" s="5">
        <v>80</v>
      </c>
    </row>
    <row r="1393" spans="1:2">
      <c r="A1393" s="4" t="s">
        <v>5630</v>
      </c>
      <c r="B1393" s="5">
        <v>80</v>
      </c>
    </row>
    <row r="1394" spans="1:2">
      <c r="A1394" s="4" t="s">
        <v>1546</v>
      </c>
      <c r="B1394" s="5">
        <v>75</v>
      </c>
    </row>
    <row r="1395" spans="1:2">
      <c r="A1395" s="4" t="s">
        <v>3579</v>
      </c>
      <c r="B1395" s="5">
        <v>72</v>
      </c>
    </row>
    <row r="1396" spans="1:2">
      <c r="A1396" s="4" t="s">
        <v>6266</v>
      </c>
      <c r="B1396" s="5">
        <v>70</v>
      </c>
    </row>
    <row r="1397" spans="1:2">
      <c r="A1397" s="4" t="s">
        <v>7679</v>
      </c>
      <c r="B1397" s="5">
        <v>65</v>
      </c>
    </row>
    <row r="1398" spans="1:2">
      <c r="A1398" s="4" t="s">
        <v>2927</v>
      </c>
      <c r="B1398" s="5">
        <v>65</v>
      </c>
    </row>
    <row r="1399" spans="1:2">
      <c r="A1399" s="4" t="s">
        <v>5420</v>
      </c>
      <c r="B1399" s="5">
        <v>64</v>
      </c>
    </row>
    <row r="1400" spans="1:2">
      <c r="A1400" s="4" t="s">
        <v>5433</v>
      </c>
      <c r="B1400" s="5">
        <v>60</v>
      </c>
    </row>
    <row r="1401" spans="1:2">
      <c r="A1401" s="4" t="s">
        <v>4917</v>
      </c>
      <c r="B1401" s="5">
        <v>60</v>
      </c>
    </row>
    <row r="1402" spans="1:2">
      <c r="A1402" s="4" t="s">
        <v>5259</v>
      </c>
      <c r="B1402" s="5">
        <v>57</v>
      </c>
    </row>
    <row r="1403" spans="1:2">
      <c r="A1403" s="4" t="s">
        <v>4274</v>
      </c>
      <c r="B1403" s="5">
        <v>55</v>
      </c>
    </row>
    <row r="1404" spans="1:2">
      <c r="A1404" s="4" t="s">
        <v>6567</v>
      </c>
      <c r="B1404" s="5">
        <v>50</v>
      </c>
    </row>
    <row r="1405" spans="1:2">
      <c r="A1405" s="4" t="s">
        <v>404</v>
      </c>
      <c r="B1405" s="5">
        <v>50</v>
      </c>
    </row>
    <row r="1406" spans="1:2">
      <c r="A1406" s="4" t="s">
        <v>334</v>
      </c>
      <c r="B1406" s="5">
        <v>50</v>
      </c>
    </row>
    <row r="1407" spans="1:2">
      <c r="A1407" s="4" t="s">
        <v>485</v>
      </c>
      <c r="B1407" s="5">
        <v>50</v>
      </c>
    </row>
    <row r="1408" spans="1:2">
      <c r="A1408" s="4" t="s">
        <v>2776</v>
      </c>
      <c r="B1408" s="5">
        <v>50</v>
      </c>
    </row>
    <row r="1409" spans="1:2">
      <c r="A1409" s="4" t="s">
        <v>5671</v>
      </c>
      <c r="B1409" s="5">
        <v>50</v>
      </c>
    </row>
    <row r="1410" spans="1:2">
      <c r="A1410" s="4" t="s">
        <v>4166</v>
      </c>
      <c r="B1410" s="5">
        <v>50</v>
      </c>
    </row>
    <row r="1411" spans="1:2">
      <c r="A1411" s="4" t="s">
        <v>3544</v>
      </c>
      <c r="B1411" s="5">
        <v>50</v>
      </c>
    </row>
    <row r="1412" spans="1:2">
      <c r="A1412" s="4" t="s">
        <v>1133</v>
      </c>
      <c r="B1412" s="5">
        <v>50</v>
      </c>
    </row>
    <row r="1413" spans="1:2">
      <c r="A1413" s="4" t="s">
        <v>1698</v>
      </c>
      <c r="B1413" s="5">
        <v>50</v>
      </c>
    </row>
    <row r="1414" spans="1:2">
      <c r="A1414" s="4" t="s">
        <v>1272</v>
      </c>
      <c r="B1414" s="5">
        <v>50</v>
      </c>
    </row>
    <row r="1415" spans="1:2">
      <c r="A1415" s="4" t="s">
        <v>3711</v>
      </c>
      <c r="B1415" s="5">
        <v>50</v>
      </c>
    </row>
    <row r="1416" spans="1:2">
      <c r="A1416" s="4" t="s">
        <v>2810</v>
      </c>
      <c r="B1416" s="5">
        <v>50</v>
      </c>
    </row>
    <row r="1417" spans="1:2">
      <c r="A1417" s="4" t="s">
        <v>2552</v>
      </c>
      <c r="B1417" s="5">
        <v>40</v>
      </c>
    </row>
    <row r="1418" spans="1:2">
      <c r="A1418" s="4" t="s">
        <v>2773</v>
      </c>
      <c r="B1418" s="5">
        <v>39</v>
      </c>
    </row>
    <row r="1419" spans="1:2">
      <c r="A1419" s="4" t="s">
        <v>1730</v>
      </c>
      <c r="B1419" s="5">
        <v>30</v>
      </c>
    </row>
    <row r="1420" spans="1:2">
      <c r="A1420" s="4" t="s">
        <v>6775</v>
      </c>
      <c r="B1420" s="5">
        <v>30</v>
      </c>
    </row>
    <row r="1421" spans="1:2">
      <c r="A1421" s="4" t="s">
        <v>2049</v>
      </c>
      <c r="B1421" s="5">
        <v>30</v>
      </c>
    </row>
    <row r="1422" spans="1:2">
      <c r="A1422" s="4" t="s">
        <v>2067</v>
      </c>
      <c r="B1422" s="5">
        <v>24</v>
      </c>
    </row>
    <row r="1423" spans="1:2">
      <c r="A1423" s="4" t="s">
        <v>3489</v>
      </c>
      <c r="B1423" s="5">
        <v>20</v>
      </c>
    </row>
    <row r="1424" spans="1:2">
      <c r="A1424" s="4" t="s">
        <v>2081</v>
      </c>
      <c r="B1424" s="5">
        <v>20</v>
      </c>
    </row>
    <row r="1425" spans="1:2">
      <c r="A1425" s="4" t="s">
        <v>4415</v>
      </c>
      <c r="B1425" s="5">
        <v>20</v>
      </c>
    </row>
    <row r="1426" spans="1:2">
      <c r="A1426" s="4" t="s">
        <v>1087</v>
      </c>
      <c r="B1426" s="5">
        <v>20</v>
      </c>
    </row>
    <row r="1427" spans="1:2">
      <c r="A1427" s="4" t="s">
        <v>2103</v>
      </c>
      <c r="B1427" s="5">
        <v>12</v>
      </c>
    </row>
    <row r="1428" spans="1:2">
      <c r="A1428" s="4" t="s">
        <v>5604</v>
      </c>
      <c r="B1428" s="5">
        <v>10</v>
      </c>
    </row>
    <row r="1429" spans="1:2">
      <c r="B14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C897-5B15-49F8-BADF-F10614B33A06}">
  <dimension ref="A3:B8"/>
  <sheetViews>
    <sheetView workbookViewId="0">
      <selection activeCell="AD6" sqref="AD6"/>
    </sheetView>
  </sheetViews>
  <sheetFormatPr defaultRowHeight="15"/>
  <cols>
    <col min="1" max="1" width="11.42578125" bestFit="1" customWidth="1"/>
    <col min="2" max="2" width="17.7109375" style="5" bestFit="1" customWidth="1"/>
    <col min="3" max="19" width="3" bestFit="1" customWidth="1"/>
    <col min="20" max="139" width="4.140625" bestFit="1" customWidth="1"/>
    <col min="140" max="612" width="5.140625" bestFit="1" customWidth="1"/>
    <col min="613" max="659" width="6.28515625" bestFit="1" customWidth="1"/>
    <col min="660" max="660" width="10.140625" bestFit="1" customWidth="1"/>
    <col min="661" max="1136" width="6.28515625" bestFit="1" customWidth="1"/>
    <col min="1137" max="1249" width="7.42578125" bestFit="1" customWidth="1"/>
    <col min="1250" max="1251" width="8.42578125" bestFit="1" customWidth="1"/>
    <col min="1252" max="1252" width="12.28515625" bestFit="1" customWidth="1"/>
    <col min="1253" max="1256" width="8.42578125" bestFit="1" customWidth="1"/>
    <col min="1258" max="1258" width="11.42578125" bestFit="1" customWidth="1"/>
  </cols>
  <sheetData>
    <row r="3" spans="1:2">
      <c r="A3" s="3" t="s">
        <v>7815</v>
      </c>
      <c r="B3" s="5" t="s">
        <v>7816</v>
      </c>
    </row>
    <row r="4" spans="1:2">
      <c r="A4" t="s">
        <v>7817</v>
      </c>
      <c r="B4" s="5">
        <v>5612534</v>
      </c>
    </row>
    <row r="5" spans="1:2">
      <c r="A5" t="s">
        <v>7818</v>
      </c>
      <c r="B5" s="5">
        <v>10342204.933</v>
      </c>
    </row>
    <row r="6" spans="1:2">
      <c r="A6" t="s">
        <v>7819</v>
      </c>
      <c r="B6" s="5">
        <v>20159226.008000001</v>
      </c>
    </row>
    <row r="7" spans="1:2">
      <c r="A7" t="s">
        <v>7820</v>
      </c>
      <c r="B7" s="5">
        <v>21143003</v>
      </c>
    </row>
    <row r="8" spans="1:2">
      <c r="A8" t="s">
        <v>21</v>
      </c>
      <c r="B8" s="5">
        <v>57256967.941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6404-A928-4BDD-8368-8346CD5E5EC3}">
  <dimension ref="A3:B7"/>
  <sheetViews>
    <sheetView workbookViewId="0">
      <selection activeCell="R18" sqref="R18"/>
    </sheetView>
  </sheetViews>
  <sheetFormatPr defaultRowHeight="15"/>
  <cols>
    <col min="1" max="1" width="11.42578125" bestFit="1" customWidth="1"/>
    <col min="2" max="2" width="15.85546875" bestFit="1" customWidth="1"/>
  </cols>
  <sheetData>
    <row r="3" spans="1:2">
      <c r="A3" s="3" t="s">
        <v>7815</v>
      </c>
      <c r="B3" t="s">
        <v>7821</v>
      </c>
    </row>
    <row r="4" spans="1:2">
      <c r="A4" t="s">
        <v>7817</v>
      </c>
      <c r="B4" s="13">
        <v>8</v>
      </c>
    </row>
    <row r="5" spans="1:2">
      <c r="A5" t="s">
        <v>7818</v>
      </c>
      <c r="B5" s="13">
        <v>58</v>
      </c>
    </row>
    <row r="6" spans="1:2">
      <c r="A6" t="s">
        <v>7820</v>
      </c>
      <c r="B6" s="13">
        <v>105</v>
      </c>
    </row>
    <row r="7" spans="1:2">
      <c r="A7" t="s">
        <v>21</v>
      </c>
      <c r="B7" s="13">
        <v>171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66C6-9E70-484D-85E3-5988731B531D}">
  <dimension ref="A1:Q1477"/>
  <sheetViews>
    <sheetView workbookViewId="0">
      <selection activeCell="D16" sqref="D16"/>
    </sheetView>
  </sheetViews>
  <sheetFormatPr defaultRowHeight="14.45"/>
  <cols>
    <col min="1" max="1" width="28.5703125" customWidth="1"/>
    <col min="2" max="2" width="11.7109375" style="5" customWidth="1"/>
    <col min="4" max="4" width="17.42578125" customWidth="1"/>
    <col min="5" max="5" width="16.140625" style="6" customWidth="1"/>
    <col min="6" max="6" width="26.140625" style="5" customWidth="1"/>
    <col min="7" max="7" width="16.140625" customWidth="1"/>
    <col min="8" max="8" width="35.28515625" bestFit="1" customWidth="1"/>
  </cols>
  <sheetData>
    <row r="1" spans="1:17">
      <c r="A1" t="s">
        <v>7822</v>
      </c>
      <c r="B1" s="5" t="s">
        <v>7823</v>
      </c>
      <c r="C1" t="s">
        <v>7815</v>
      </c>
      <c r="D1" t="s">
        <v>7824</v>
      </c>
      <c r="E1" s="6" t="s">
        <v>7825</v>
      </c>
      <c r="F1" s="5" t="s">
        <v>7826</v>
      </c>
      <c r="G1" t="s">
        <v>7827</v>
      </c>
      <c r="H1" t="s">
        <v>7828</v>
      </c>
      <c r="Q1">
        <f>GETPIVOTDATA("Sales Amount",'Top Customers'!$A$3,"Customer_name",'Top Customers'!A4)</f>
        <v>1760156</v>
      </c>
    </row>
    <row r="2" spans="1:17">
      <c r="A2" t="str">
        <f>'Top Customers'!A4</f>
        <v>JAYAPRAKASH</v>
      </c>
      <c r="B2" s="5">
        <f>IF(A2="","",IFERROR(GETPIVOTDATA("Sales Amount",'Top Customers'!$A$3,"Customer_name",'Top Customers'!A4),""))</f>
        <v>1760156</v>
      </c>
      <c r="C2" t="str">
        <f t="shared" ref="C2:C65" si="0">IF(B2&gt;=1000000,"Platinum",
 IF(B2&gt;=500000,"Gold",
 IF(B2&gt;=100000,"Silver","Regular")))</f>
        <v>Platinum</v>
      </c>
      <c r="D2">
        <f t="shared" ref="D2:D65" si="1">IF(C2="Platinum",0,
 IF(C2="Gold",1000000-B2,
 IF(C2="Silver",500000-B2,
 IF(C2="Regular",100000-B2,0))))</f>
        <v>0</v>
      </c>
      <c r="E2" s="6">
        <f t="shared" ref="E2:E65" si="2">B2/SUM(B:B)</f>
        <v>3.0741341417410351E-2</v>
      </c>
      <c r="F2" s="5">
        <f ca="1">TODAY()-GETPIVOTDATA("LastPurchaseDate",MaxDate!$A$3,"Customer_name",MaxDate!A4)</f>
        <v>6</v>
      </c>
      <c r="G2" t="str">
        <f t="shared" ref="G2:G65" ca="1" si="3">IF(F2="","",
 IF(F2&lt;=60,"Active",
 IF(F2&lt;=120,"At Risk","Inactive")))</f>
        <v>Active</v>
      </c>
      <c r="H2" s="13">
        <f>RANK(B2,Customer_Tiers[Total_Sales])</f>
        <v>1</v>
      </c>
    </row>
    <row r="3" spans="1:17">
      <c r="A3" t="str">
        <f>'Top Customers'!A5</f>
        <v>FLAVOURNEST PRIVATE LIMITED</v>
      </c>
      <c r="B3" s="5">
        <f>IF(A3="","",IFERROR(GETPIVOTDATA("Sales Amount",'Top Customers'!$A$3,"Customer_name",'Top Customers'!A5),""))</f>
        <v>1686991</v>
      </c>
      <c r="C3" t="str">
        <f t="shared" si="0"/>
        <v>Platinum</v>
      </c>
      <c r="D3">
        <f t="shared" si="1"/>
        <v>0</v>
      </c>
      <c r="E3" s="6">
        <f t="shared" si="2"/>
        <v>2.9463505677393656E-2</v>
      </c>
      <c r="F3" s="5">
        <f ca="1">TODAY()-GETPIVOTDATA("LastPurchaseDate",MaxDate!$A$3,"Customer_name",MaxDate!A5)</f>
        <v>20</v>
      </c>
      <c r="G3" t="str">
        <f t="shared" ca="1" si="3"/>
        <v>Active</v>
      </c>
      <c r="H3" s="13">
        <f>RANK(B3,Customer_Tiers[Total_Sales])</f>
        <v>2</v>
      </c>
    </row>
    <row r="4" spans="1:17">
      <c r="A4" t="str">
        <f>'Top Customers'!A6</f>
        <v>ST.ANTONY'S FORANE CHURCH</v>
      </c>
      <c r="B4" s="5">
        <f>IF(A4="","",IFERROR(GETPIVOTDATA("Sales Amount",'Top Customers'!$A$3,"Customer_name",'Top Customers'!A6),""))</f>
        <v>1625575</v>
      </c>
      <c r="C4" t="str">
        <f t="shared" si="0"/>
        <v>Platinum</v>
      </c>
      <c r="D4">
        <f t="shared" si="1"/>
        <v>0</v>
      </c>
      <c r="E4" s="6">
        <f t="shared" si="2"/>
        <v>2.8390867670028585E-2</v>
      </c>
      <c r="F4" s="5">
        <f ca="1">TODAY()-GETPIVOTDATA("LastPurchaseDate",MaxDate!$A$3,"Customer_name",MaxDate!A6)</f>
        <v>80</v>
      </c>
      <c r="G4" t="str">
        <f t="shared" ca="1" si="3"/>
        <v>At Risk</v>
      </c>
      <c r="H4" s="13">
        <f>RANK(B4,Customer_Tiers[Total_Sales])</f>
        <v>3</v>
      </c>
    </row>
    <row r="5" spans="1:17">
      <c r="A5" t="str">
        <f>'Top Customers'!A7</f>
        <v>DREEM DECOR COCHIN</v>
      </c>
      <c r="B5" s="5">
        <f>IF(A5="","",IFERROR(GETPIVOTDATA("Sales Amount",'Top Customers'!$A$3,"Customer_name",'Top Customers'!A7),""))</f>
        <v>1483378</v>
      </c>
      <c r="C5" t="str">
        <f t="shared" si="0"/>
        <v>Platinum</v>
      </c>
      <c r="D5">
        <f t="shared" si="1"/>
        <v>0</v>
      </c>
      <c r="E5" s="6">
        <f t="shared" si="2"/>
        <v>2.5907379544242291E-2</v>
      </c>
      <c r="F5" s="5">
        <f ca="1">TODAY()-GETPIVOTDATA("LastPurchaseDate",MaxDate!$A$3,"Customer_name",MaxDate!A7)</f>
        <v>5</v>
      </c>
      <c r="G5" t="str">
        <f t="shared" ca="1" si="3"/>
        <v>Active</v>
      </c>
      <c r="H5" s="13">
        <f>RANK(B5,Customer_Tiers[Total_Sales])</f>
        <v>4</v>
      </c>
    </row>
    <row r="6" spans="1:17">
      <c r="A6" t="str">
        <f>'Top Customers'!A8</f>
        <v>ABDUL SAMAD</v>
      </c>
      <c r="B6" s="5">
        <f>IF(A6="","",IFERROR(GETPIVOTDATA("Sales Amount",'Top Customers'!$A$3,"Customer_name",'Top Customers'!A8),""))</f>
        <v>1425127.933</v>
      </c>
      <c r="C6" t="str">
        <f t="shared" si="0"/>
        <v>Platinum</v>
      </c>
      <c r="D6">
        <f t="shared" si="1"/>
        <v>0</v>
      </c>
      <c r="E6" s="6">
        <f t="shared" si="2"/>
        <v>2.4890034946812273E-2</v>
      </c>
      <c r="F6" s="5">
        <f ca="1">TODAY()-GETPIVOTDATA("LastPurchaseDate",MaxDate!$A$3,"Customer_name",MaxDate!A8)</f>
        <v>8</v>
      </c>
      <c r="G6" t="str">
        <f t="shared" ca="1" si="3"/>
        <v>Active</v>
      </c>
      <c r="H6" s="13">
        <f>RANK(B6,Customer_Tiers[Total_Sales])</f>
        <v>5</v>
      </c>
    </row>
    <row r="7" spans="1:17">
      <c r="A7" t="str">
        <f>'Top Customers'!A9</f>
        <v>Cash</v>
      </c>
      <c r="B7" s="5">
        <f>IF(A7="","",IFERROR(GETPIVOTDATA("Sales Amount",'Top Customers'!$A$3,"Customer_name",'Top Customers'!A9),""))</f>
        <v>1279923</v>
      </c>
      <c r="C7" t="str">
        <f t="shared" si="0"/>
        <v>Platinum</v>
      </c>
      <c r="D7">
        <f t="shared" si="1"/>
        <v>0</v>
      </c>
      <c r="E7" s="6">
        <f t="shared" si="2"/>
        <v>2.2354012900558877E-2</v>
      </c>
      <c r="F7" s="5">
        <f ca="1">TODAY()-GETPIVOTDATA("LastPurchaseDate",MaxDate!$A$3,"Customer_name",MaxDate!A9)</f>
        <v>2</v>
      </c>
      <c r="G7" t="str">
        <f t="shared" ca="1" si="3"/>
        <v>Active</v>
      </c>
      <c r="H7" s="13">
        <f>RANK(B7,Customer_Tiers[Total_Sales])</f>
        <v>6</v>
      </c>
    </row>
    <row r="8" spans="1:17">
      <c r="A8" t="str">
        <f>'Top Customers'!A10</f>
        <v>VASU SRISHITY</v>
      </c>
      <c r="B8" s="5">
        <f>IF(A8="","",IFERROR(GETPIVOTDATA("Sales Amount",'Top Customers'!$A$3,"Customer_name",'Top Customers'!A10),""))</f>
        <v>1081054</v>
      </c>
      <c r="C8" t="str">
        <f t="shared" si="0"/>
        <v>Platinum</v>
      </c>
      <c r="D8">
        <f t="shared" si="1"/>
        <v>0</v>
      </c>
      <c r="E8" s="6">
        <f t="shared" si="2"/>
        <v>1.8880741311938901E-2</v>
      </c>
      <c r="F8" s="5">
        <f ca="1">TODAY()-GETPIVOTDATA("LastPurchaseDate",MaxDate!$A$3,"Customer_name",MaxDate!A10)</f>
        <v>5</v>
      </c>
      <c r="G8" t="str">
        <f t="shared" ca="1" si="3"/>
        <v>Active</v>
      </c>
      <c r="H8" s="13">
        <f>RANK(B8,Customer_Tiers[Total_Sales])</f>
        <v>7</v>
      </c>
    </row>
    <row r="9" spans="1:17">
      <c r="A9" t="str">
        <f>'Top Customers'!A11</f>
        <v>PARACKAL METAL CRUSHERS LLP</v>
      </c>
      <c r="B9" s="5">
        <f>IF(A9="","",IFERROR(GETPIVOTDATA("Sales Amount",'Top Customers'!$A$3,"Customer_name",'Top Customers'!A11),""))</f>
        <v>912480</v>
      </c>
      <c r="C9" t="str">
        <f t="shared" si="0"/>
        <v>Gold</v>
      </c>
      <c r="D9">
        <f t="shared" si="1"/>
        <v>87520</v>
      </c>
      <c r="E9" s="6">
        <f t="shared" si="2"/>
        <v>1.5936575631113718E-2</v>
      </c>
      <c r="F9" s="5">
        <f ca="1">TODAY()-GETPIVOTDATA("LastPurchaseDate",MaxDate!$A$3,"Customer_name",MaxDate!A11)</f>
        <v>1</v>
      </c>
      <c r="G9" t="str">
        <f t="shared" ca="1" si="3"/>
        <v>Active</v>
      </c>
      <c r="H9" s="13">
        <f>RANK(B9,Customer_Tiers[Total_Sales])</f>
        <v>8</v>
      </c>
    </row>
    <row r="10" spans="1:17">
      <c r="A10" t="str">
        <f>'Top Customers'!A12</f>
        <v>BINU KOLETH TRUSS</v>
      </c>
      <c r="B10" s="5">
        <f>IF(A10="","",IFERROR(GETPIVOTDATA("Sales Amount",'Top Customers'!$A$3,"Customer_name",'Top Customers'!A12),""))</f>
        <v>815695</v>
      </c>
      <c r="C10" t="str">
        <f t="shared" si="0"/>
        <v>Gold</v>
      </c>
      <c r="D10">
        <f t="shared" si="1"/>
        <v>184305</v>
      </c>
      <c r="E10" s="6">
        <f t="shared" si="2"/>
        <v>1.4246213680761555E-2</v>
      </c>
      <c r="F10" s="5">
        <f ca="1">TODAY()-GETPIVOTDATA("LastPurchaseDate",MaxDate!$A$3,"Customer_name",MaxDate!A12)</f>
        <v>3</v>
      </c>
      <c r="G10" t="str">
        <f t="shared" ca="1" si="3"/>
        <v>Active</v>
      </c>
      <c r="H10" s="13">
        <f>RANK(B10,Customer_Tiers[Total_Sales])</f>
        <v>9</v>
      </c>
    </row>
    <row r="11" spans="1:17">
      <c r="A11" t="str">
        <f>'Top Customers'!A13</f>
        <v>RASHEED TRUSS ,  CHENGARA</v>
      </c>
      <c r="B11" s="5">
        <f>IF(A11="","",IFERROR(GETPIVOTDATA("Sales Amount",'Top Customers'!$A$3,"Customer_name",'Top Customers'!A13),""))</f>
        <v>811009</v>
      </c>
      <c r="C11" t="str">
        <f t="shared" si="0"/>
        <v>Gold</v>
      </c>
      <c r="D11">
        <f t="shared" si="1"/>
        <v>188991</v>
      </c>
      <c r="E11" s="6">
        <f t="shared" si="2"/>
        <v>1.4164372113376627E-2</v>
      </c>
      <c r="F11" s="5">
        <f ca="1">TODAY()-GETPIVOTDATA("LastPurchaseDate",MaxDate!$A$3,"Customer_name",MaxDate!A13)</f>
        <v>2</v>
      </c>
      <c r="G11" t="str">
        <f t="shared" ca="1" si="3"/>
        <v>Active</v>
      </c>
      <c r="H11" s="13">
        <f>RANK(B11,Customer_Tiers[Total_Sales])</f>
        <v>10</v>
      </c>
    </row>
    <row r="12" spans="1:17">
      <c r="A12" t="str">
        <f>'Top Customers'!A14</f>
        <v>SIVASAKTHI CABLE TV NET WORK</v>
      </c>
      <c r="B12" s="5">
        <f>IF(A12="","",IFERROR(GETPIVOTDATA("Sales Amount",'Top Customers'!$A$3,"Customer_name",'Top Customers'!A14),""))</f>
        <v>721570</v>
      </c>
      <c r="C12" t="str">
        <f t="shared" si="0"/>
        <v>Gold</v>
      </c>
      <c r="D12">
        <f t="shared" si="1"/>
        <v>278430</v>
      </c>
      <c r="E12" s="6">
        <f t="shared" si="2"/>
        <v>1.2602308958160974E-2</v>
      </c>
      <c r="F12" s="5">
        <f ca="1">TODAY()-GETPIVOTDATA("LastPurchaseDate",MaxDate!$A$3,"Customer_name",MaxDate!A14)</f>
        <v>26</v>
      </c>
      <c r="G12" t="str">
        <f t="shared" ca="1" si="3"/>
        <v>Active</v>
      </c>
      <c r="H12" s="13">
        <f>RANK(B12,Customer_Tiers[Total_Sales])</f>
        <v>11</v>
      </c>
    </row>
    <row r="13" spans="1:17">
      <c r="A13" t="str">
        <f>'Top Customers'!A15</f>
        <v>NIJU TRUSS , PATTIMATTAM</v>
      </c>
      <c r="B13" s="5">
        <f>IF(A13="","",IFERROR(GETPIVOTDATA("Sales Amount",'Top Customers'!$A$3,"Customer_name",'Top Customers'!A15),""))</f>
        <v>648248</v>
      </c>
      <c r="C13" t="str">
        <f t="shared" si="0"/>
        <v>Gold</v>
      </c>
      <c r="D13">
        <f t="shared" si="1"/>
        <v>351752</v>
      </c>
      <c r="E13" s="6">
        <f t="shared" si="2"/>
        <v>1.1321731193799542E-2</v>
      </c>
      <c r="F13" s="5">
        <f ca="1">TODAY()-GETPIVOTDATA("LastPurchaseDate",MaxDate!$A$3,"Customer_name",MaxDate!A15)</f>
        <v>41</v>
      </c>
      <c r="G13" t="str">
        <f t="shared" ca="1" si="3"/>
        <v>Active</v>
      </c>
      <c r="H13" s="13">
        <f>RANK(B13,Customer_Tiers[Total_Sales])</f>
        <v>12</v>
      </c>
    </row>
    <row r="14" spans="1:17">
      <c r="A14" t="str">
        <f>'Top Customers'!A16</f>
        <v>PAUL ISSAC</v>
      </c>
      <c r="B14" s="5">
        <f>IF(A14="","",IFERROR(GETPIVOTDATA("Sales Amount",'Top Customers'!$A$3,"Customer_name",'Top Customers'!A16),""))</f>
        <v>601571</v>
      </c>
      <c r="C14" t="str">
        <f t="shared" si="0"/>
        <v>Gold</v>
      </c>
      <c r="D14">
        <f t="shared" si="1"/>
        <v>398429</v>
      </c>
      <c r="E14" s="6">
        <f t="shared" si="2"/>
        <v>1.0506511637498587E-2</v>
      </c>
      <c r="F14" s="5">
        <f ca="1">TODAY()-GETPIVOTDATA("LastPurchaseDate",MaxDate!$A$3,"Customer_name",MaxDate!A16)</f>
        <v>9</v>
      </c>
      <c r="G14" t="str">
        <f t="shared" ca="1" si="3"/>
        <v>Active</v>
      </c>
      <c r="H14" s="13">
        <f>RANK(B14,Customer_Tiers[Total_Sales])</f>
        <v>13</v>
      </c>
    </row>
    <row r="15" spans="1:17">
      <c r="A15" t="str">
        <f>'Top Customers'!A17</f>
        <v>ELDHO CHILLIRIKKAL</v>
      </c>
      <c r="B15" s="5">
        <f>IF(A15="","",IFERROR(GETPIVOTDATA("Sales Amount",'Top Customers'!$A$3,"Customer_name",'Top Customers'!A17),""))</f>
        <v>562664</v>
      </c>
      <c r="C15" t="str">
        <f t="shared" si="0"/>
        <v>Gold</v>
      </c>
      <c r="D15">
        <f t="shared" si="1"/>
        <v>437336</v>
      </c>
      <c r="E15" s="6">
        <f t="shared" si="2"/>
        <v>9.8269960885772507E-3</v>
      </c>
      <c r="F15" s="5">
        <f ca="1">TODAY()-GETPIVOTDATA("LastPurchaseDate",MaxDate!$A$3,"Customer_name",MaxDate!A17)</f>
        <v>8</v>
      </c>
      <c r="G15" t="str">
        <f t="shared" ca="1" si="3"/>
        <v>Active</v>
      </c>
      <c r="H15" s="13">
        <f>RANK(B15,Customer_Tiers[Total_Sales])</f>
        <v>14</v>
      </c>
    </row>
    <row r="16" spans="1:17">
      <c r="A16" t="str">
        <f>'Top Customers'!A18</f>
        <v>PRASANTH NAIR</v>
      </c>
      <c r="B16" s="5">
        <f>IF(A16="","",IFERROR(GETPIVOTDATA("Sales Amount",'Top Customers'!$A$3,"Customer_name",'Top Customers'!A18),""))</f>
        <v>539297</v>
      </c>
      <c r="C16" t="str">
        <f t="shared" si="0"/>
        <v>Gold</v>
      </c>
      <c r="D16">
        <f t="shared" si="1"/>
        <v>460703</v>
      </c>
      <c r="E16" s="6">
        <f t="shared" si="2"/>
        <v>9.4188885544151495E-3</v>
      </c>
      <c r="F16" s="5">
        <f ca="1">TODAY()-GETPIVOTDATA("LastPurchaseDate",MaxDate!$A$3,"Customer_name",MaxDate!A18)</f>
        <v>13</v>
      </c>
      <c r="G16" t="str">
        <f t="shared" ca="1" si="3"/>
        <v>Active</v>
      </c>
      <c r="H16" s="13">
        <f>RANK(B16,Customer_Tiers[Total_Sales])</f>
        <v>15</v>
      </c>
    </row>
    <row r="17" spans="1:8">
      <c r="A17" t="str">
        <f>'Top Customers'!A19</f>
        <v>PRASANNAN TRUSS</v>
      </c>
      <c r="B17" s="5">
        <f>IF(A17="","",IFERROR(GETPIVOTDATA("Sales Amount",'Top Customers'!$A$3,"Customer_name",'Top Customers'!A19),""))</f>
        <v>476063</v>
      </c>
      <c r="C17" t="str">
        <f t="shared" si="0"/>
        <v>Silver</v>
      </c>
      <c r="D17">
        <f t="shared" si="1"/>
        <v>23937</v>
      </c>
      <c r="E17" s="6">
        <f t="shared" si="2"/>
        <v>8.3144989530454256E-3</v>
      </c>
      <c r="F17" s="5">
        <f ca="1">TODAY()-GETPIVOTDATA("LastPurchaseDate",MaxDate!$A$3,"Customer_name",MaxDate!A19)</f>
        <v>6</v>
      </c>
      <c r="G17" t="str">
        <f t="shared" ca="1" si="3"/>
        <v>Active</v>
      </c>
      <c r="H17" s="13">
        <f>RANK(B17,Customer_Tiers[Total_Sales])</f>
        <v>16</v>
      </c>
    </row>
    <row r="18" spans="1:8">
      <c r="A18" t="str">
        <f>'Top Customers'!A20</f>
        <v>CHANDRASEKHAR M S</v>
      </c>
      <c r="B18" s="5">
        <f>IF(A18="","",IFERROR(GETPIVOTDATA("Sales Amount",'Top Customers'!$A$3,"Customer_name",'Top Customers'!A20),""))</f>
        <v>468205</v>
      </c>
      <c r="C18" t="str">
        <f t="shared" si="0"/>
        <v>Silver</v>
      </c>
      <c r="D18">
        <f t="shared" si="1"/>
        <v>31795</v>
      </c>
      <c r="E18" s="6">
        <f t="shared" si="2"/>
        <v>8.1772580148228979E-3</v>
      </c>
      <c r="F18" s="5">
        <f ca="1">TODAY()-GETPIVOTDATA("LastPurchaseDate",MaxDate!$A$3,"Customer_name",MaxDate!A20)</f>
        <v>12</v>
      </c>
      <c r="G18" t="str">
        <f t="shared" ca="1" si="3"/>
        <v>Active</v>
      </c>
      <c r="H18" s="13">
        <f>RANK(B18,Customer_Tiers[Total_Sales])</f>
        <v>17</v>
      </c>
    </row>
    <row r="19" spans="1:8">
      <c r="A19" t="str">
        <f>'Top Customers'!A21</f>
        <v>SUNIL KANDOTH</v>
      </c>
      <c r="B19" s="5">
        <f>IF(A19="","",IFERROR(GETPIVOTDATA("Sales Amount",'Top Customers'!$A$3,"Customer_name",'Top Customers'!A21),""))</f>
        <v>451761</v>
      </c>
      <c r="C19" t="str">
        <f t="shared" si="0"/>
        <v>Silver</v>
      </c>
      <c r="D19">
        <f t="shared" si="1"/>
        <v>48239</v>
      </c>
      <c r="E19" s="6">
        <f t="shared" si="2"/>
        <v>7.8900615286774112E-3</v>
      </c>
      <c r="F19" s="5">
        <f ca="1">TODAY()-GETPIVOTDATA("LastPurchaseDate",MaxDate!$A$3,"Customer_name",MaxDate!A21)</f>
        <v>6</v>
      </c>
      <c r="G19" t="str">
        <f t="shared" ca="1" si="3"/>
        <v>Active</v>
      </c>
      <c r="H19" s="13">
        <f>RANK(B19,Customer_Tiers[Total_Sales])</f>
        <v>18</v>
      </c>
    </row>
    <row r="20" spans="1:8">
      <c r="A20" t="str">
        <f>'Top Customers'!A22</f>
        <v>NARAYANAN GOPI.V</v>
      </c>
      <c r="B20" s="5">
        <f>IF(A20="","",IFERROR(GETPIVOTDATA("Sales Amount",'Top Customers'!$A$3,"Customer_name",'Top Customers'!A22),""))</f>
        <v>441866</v>
      </c>
      <c r="C20" t="str">
        <f t="shared" si="0"/>
        <v>Silver</v>
      </c>
      <c r="D20">
        <f t="shared" si="1"/>
        <v>58134</v>
      </c>
      <c r="E20" s="6">
        <f t="shared" si="2"/>
        <v>7.7172441344661741E-3</v>
      </c>
      <c r="F20" s="5">
        <f ca="1">TODAY()-GETPIVOTDATA("LastPurchaseDate",MaxDate!$A$3,"Customer_name",MaxDate!A22)</f>
        <v>24</v>
      </c>
      <c r="G20" t="str">
        <f t="shared" ca="1" si="3"/>
        <v>Active</v>
      </c>
      <c r="H20" s="13">
        <f>RANK(B20,Customer_Tiers[Total_Sales])</f>
        <v>19</v>
      </c>
    </row>
    <row r="21" spans="1:8">
      <c r="A21" t="str">
        <f>'Top Customers'!A23</f>
        <v>VOLGA ENGINEERS AND CONTRACTORS</v>
      </c>
      <c r="B21" s="5">
        <f>IF(A21="","",IFERROR(GETPIVOTDATA("Sales Amount",'Top Customers'!$A$3,"Customer_name",'Top Customers'!A23),""))</f>
        <v>433572</v>
      </c>
      <c r="C21" t="str">
        <f t="shared" si="0"/>
        <v>Silver</v>
      </c>
      <c r="D21">
        <f t="shared" si="1"/>
        <v>66428</v>
      </c>
      <c r="E21" s="6">
        <f t="shared" si="2"/>
        <v>7.5723884025219587E-3</v>
      </c>
      <c r="F21" s="5">
        <f ca="1">TODAY()-GETPIVOTDATA("LastPurchaseDate",MaxDate!$A$3,"Customer_name",MaxDate!A23)</f>
        <v>2</v>
      </c>
      <c r="G21" t="str">
        <f t="shared" ca="1" si="3"/>
        <v>Active</v>
      </c>
      <c r="H21" s="13">
        <f>RANK(B21,Customer_Tiers[Total_Sales])</f>
        <v>20</v>
      </c>
    </row>
    <row r="22" spans="1:8">
      <c r="A22" t="str">
        <f>'Top Customers'!A24</f>
        <v>ANOOP SOPANAM</v>
      </c>
      <c r="B22" s="5">
        <f>IF(A22="","",IFERROR(GETPIVOTDATA("Sales Amount",'Top Customers'!$A$3,"Customer_name",'Top Customers'!A24),""))</f>
        <v>425797</v>
      </c>
      <c r="C22" t="str">
        <f t="shared" si="0"/>
        <v>Silver</v>
      </c>
      <c r="D22">
        <f t="shared" si="1"/>
        <v>74203</v>
      </c>
      <c r="E22" s="6">
        <f t="shared" si="2"/>
        <v>7.4365970695262663E-3</v>
      </c>
      <c r="F22" s="5">
        <f ca="1">TODAY()-GETPIVOTDATA("LastPurchaseDate",MaxDate!$A$3,"Customer_name",MaxDate!A24)</f>
        <v>5</v>
      </c>
      <c r="G22" t="str">
        <f t="shared" ca="1" si="3"/>
        <v>Active</v>
      </c>
      <c r="H22" s="13">
        <f>RANK(B22,Customer_Tiers[Total_Sales])</f>
        <v>21</v>
      </c>
    </row>
    <row r="23" spans="1:8">
      <c r="A23" t="str">
        <f>'Top Customers'!A25</f>
        <v>PRADEEP HARIDAS</v>
      </c>
      <c r="B23" s="5">
        <f>IF(A23="","",IFERROR(GETPIVOTDATA("Sales Amount",'Top Customers'!$A$3,"Customer_name",'Top Customers'!A25),""))</f>
        <v>404375</v>
      </c>
      <c r="C23" t="str">
        <f t="shared" si="0"/>
        <v>Silver</v>
      </c>
      <c r="D23">
        <f t="shared" si="1"/>
        <v>95625</v>
      </c>
      <c r="E23" s="6">
        <f t="shared" si="2"/>
        <v>7.0624592000171071E-3</v>
      </c>
      <c r="F23" s="5">
        <f ca="1">TODAY()-GETPIVOTDATA("LastPurchaseDate",MaxDate!$A$3,"Customer_name",MaxDate!A25)</f>
        <v>3</v>
      </c>
      <c r="G23" t="str">
        <f t="shared" ca="1" si="3"/>
        <v>Active</v>
      </c>
      <c r="H23" s="13">
        <f>RANK(B23,Customer_Tiers[Total_Sales])</f>
        <v>22</v>
      </c>
    </row>
    <row r="24" spans="1:8">
      <c r="A24" t="str">
        <f>'Top Customers'!A26</f>
        <v>FLAVOURFAVE (P) LTD</v>
      </c>
      <c r="B24" s="5">
        <f>IF(A24="","",IFERROR(GETPIVOTDATA("Sales Amount",'Top Customers'!$A$3,"Customer_name",'Top Customers'!A26),""))</f>
        <v>389539</v>
      </c>
      <c r="C24" t="str">
        <f t="shared" si="0"/>
        <v>Silver</v>
      </c>
      <c r="D24">
        <f t="shared" si="1"/>
        <v>110461</v>
      </c>
      <c r="E24" s="6">
        <f t="shared" si="2"/>
        <v>6.8033466320011468E-3</v>
      </c>
      <c r="F24" s="5">
        <f ca="1">TODAY()-GETPIVOTDATA("LastPurchaseDate",MaxDate!$A$3,"Customer_name",MaxDate!A26)</f>
        <v>6</v>
      </c>
      <c r="G24" t="str">
        <f t="shared" ca="1" si="3"/>
        <v>Active</v>
      </c>
      <c r="H24" s="13">
        <f>RANK(B24,Customer_Tiers[Total_Sales])</f>
        <v>23</v>
      </c>
    </row>
    <row r="25" spans="1:8">
      <c r="A25" t="str">
        <f>'Top Customers'!A27</f>
        <v>RAJENDRAN.P.K</v>
      </c>
      <c r="B25" s="5">
        <f>IF(A25="","",IFERROR(GETPIVOTDATA("Sales Amount",'Top Customers'!$A$3,"Customer_name",'Top Customers'!A27),""))</f>
        <v>377414</v>
      </c>
      <c r="C25" t="str">
        <f t="shared" si="0"/>
        <v>Silver</v>
      </c>
      <c r="D25">
        <f t="shared" si="1"/>
        <v>122586</v>
      </c>
      <c r="E25" s="6">
        <f t="shared" si="2"/>
        <v>6.5915820130207272E-3</v>
      </c>
      <c r="F25" s="5">
        <f ca="1">TODAY()-GETPIVOTDATA("LastPurchaseDate",MaxDate!$A$3,"Customer_name",MaxDate!A27)</f>
        <v>9</v>
      </c>
      <c r="G25" t="str">
        <f t="shared" ca="1" si="3"/>
        <v>Active</v>
      </c>
      <c r="H25" s="13">
        <f>RANK(B25,Customer_Tiers[Total_Sales])</f>
        <v>24</v>
      </c>
    </row>
    <row r="26" spans="1:8">
      <c r="A26" t="str">
        <f>'Top Customers'!A28</f>
        <v>JITHIN V J</v>
      </c>
      <c r="B26" s="5">
        <f>IF(A26="","",IFERROR(GETPIVOTDATA("Sales Amount",'Top Customers'!$A$3,"Customer_name",'Top Customers'!A28),""))</f>
        <v>352968</v>
      </c>
      <c r="C26" t="str">
        <f t="shared" si="0"/>
        <v>Silver</v>
      </c>
      <c r="D26">
        <f t="shared" si="1"/>
        <v>147032</v>
      </c>
      <c r="E26" s="6">
        <f t="shared" si="2"/>
        <v>6.1646296109097703E-3</v>
      </c>
      <c r="F26" s="5">
        <f ca="1">TODAY()-GETPIVOTDATA("LastPurchaseDate",MaxDate!$A$3,"Customer_name",MaxDate!A28)</f>
        <v>2</v>
      </c>
      <c r="G26" t="str">
        <f t="shared" ca="1" si="3"/>
        <v>Active</v>
      </c>
      <c r="H26" s="13">
        <f>RANK(B26,Customer_Tiers[Total_Sales])</f>
        <v>25</v>
      </c>
    </row>
    <row r="27" spans="1:8">
      <c r="A27" t="str">
        <f>'Top Customers'!A29</f>
        <v>ADV: ALIAS MAMBAKKADAN</v>
      </c>
      <c r="B27" s="5">
        <f>IF(A27="","",IFERROR(GETPIVOTDATA("Sales Amount",'Top Customers'!$A$3,"Customer_name",'Top Customers'!A29),""))</f>
        <v>350294</v>
      </c>
      <c r="C27" t="str">
        <f t="shared" si="0"/>
        <v>Silver</v>
      </c>
      <c r="D27">
        <f t="shared" si="1"/>
        <v>149706</v>
      </c>
      <c r="E27" s="6">
        <f t="shared" si="2"/>
        <v>6.1179278714331804E-3</v>
      </c>
      <c r="F27" s="5">
        <f ca="1">TODAY()-GETPIVOTDATA("LastPurchaseDate",MaxDate!$A$3,"Customer_name",MaxDate!A29)</f>
        <v>50</v>
      </c>
      <c r="G27" t="str">
        <f t="shared" ca="1" si="3"/>
        <v>Active</v>
      </c>
      <c r="H27" s="13">
        <f>RANK(B27,Customer_Tiers[Total_Sales])</f>
        <v>26</v>
      </c>
    </row>
    <row r="28" spans="1:8">
      <c r="A28" t="str">
        <f>'Top Customers'!A30</f>
        <v>KURIAN VARGHESE</v>
      </c>
      <c r="B28" s="5">
        <f>IF(A28="","",IFERROR(GETPIVOTDATA("Sales Amount",'Top Customers'!$A$3,"Customer_name",'Top Customers'!A30),""))</f>
        <v>346083</v>
      </c>
      <c r="C28" t="str">
        <f t="shared" si="0"/>
        <v>Silver</v>
      </c>
      <c r="D28">
        <f t="shared" si="1"/>
        <v>153917</v>
      </c>
      <c r="E28" s="6">
        <f t="shared" si="2"/>
        <v>6.0443822375753214E-3</v>
      </c>
      <c r="F28" s="5">
        <f ca="1">TODAY()-GETPIVOTDATA("LastPurchaseDate",MaxDate!$A$3,"Customer_name",MaxDate!A30)</f>
        <v>29</v>
      </c>
      <c r="G28" t="str">
        <f t="shared" ca="1" si="3"/>
        <v>Active</v>
      </c>
      <c r="H28" s="13">
        <f>RANK(B28,Customer_Tiers[Total_Sales])</f>
        <v>27</v>
      </c>
    </row>
    <row r="29" spans="1:8">
      <c r="A29" t="str">
        <f>'Top Customers'!A31</f>
        <v>SURESH KANINAD</v>
      </c>
      <c r="B29" s="5">
        <f>IF(A29="","",IFERROR(GETPIVOTDATA("Sales Amount",'Top Customers'!$A$3,"Customer_name",'Top Customers'!A31),""))</f>
        <v>339562</v>
      </c>
      <c r="C29" t="str">
        <f t="shared" si="0"/>
        <v>Silver</v>
      </c>
      <c r="D29">
        <f t="shared" si="1"/>
        <v>160438</v>
      </c>
      <c r="E29" s="6">
        <f t="shared" si="2"/>
        <v>5.9304921690910882E-3</v>
      </c>
      <c r="F29" s="5">
        <f ca="1">TODAY()-GETPIVOTDATA("LastPurchaseDate",MaxDate!$A$3,"Customer_name",MaxDate!A31)</f>
        <v>4</v>
      </c>
      <c r="G29" t="str">
        <f t="shared" ca="1" si="3"/>
        <v>Active</v>
      </c>
      <c r="H29" s="13">
        <f>RANK(B29,Customer_Tiers[Total_Sales])</f>
        <v>28</v>
      </c>
    </row>
    <row r="30" spans="1:8">
      <c r="A30" t="str">
        <f>'Top Customers'!A32</f>
        <v>DE FRAMES</v>
      </c>
      <c r="B30" s="5">
        <f>IF(A30="","",IFERROR(GETPIVOTDATA("Sales Amount",'Top Customers'!$A$3,"Customer_name",'Top Customers'!A32),""))</f>
        <v>338318</v>
      </c>
      <c r="C30" t="str">
        <f t="shared" si="0"/>
        <v>Silver</v>
      </c>
      <c r="D30">
        <f t="shared" si="1"/>
        <v>161682</v>
      </c>
      <c r="E30" s="6">
        <f t="shared" si="2"/>
        <v>5.9087655558117775E-3</v>
      </c>
      <c r="F30" s="5">
        <f ca="1">TODAY()-GETPIVOTDATA("LastPurchaseDate",MaxDate!$A$3,"Customer_name",MaxDate!A32)</f>
        <v>93</v>
      </c>
      <c r="G30" t="str">
        <f t="shared" ca="1" si="3"/>
        <v>At Risk</v>
      </c>
      <c r="H30" s="13">
        <f>RANK(B30,Customer_Tiers[Total_Sales])</f>
        <v>29</v>
      </c>
    </row>
    <row r="31" spans="1:8">
      <c r="A31" t="str">
        <f>'Top Customers'!A33</f>
        <v>SAJI , TRUSS KILIKULAM</v>
      </c>
      <c r="B31" s="5">
        <f>IF(A31="","",IFERROR(GETPIVOTDATA("Sales Amount",'Top Customers'!$A$3,"Customer_name",'Top Customers'!A33),""))</f>
        <v>333506</v>
      </c>
      <c r="C31" t="str">
        <f t="shared" si="0"/>
        <v>Silver</v>
      </c>
      <c r="D31">
        <f t="shared" si="1"/>
        <v>166494</v>
      </c>
      <c r="E31" s="6">
        <f t="shared" si="2"/>
        <v>5.8247233829017749E-3</v>
      </c>
      <c r="F31" s="5">
        <f ca="1">TODAY()-GETPIVOTDATA("LastPurchaseDate",MaxDate!$A$3,"Customer_name",MaxDate!A33)</f>
        <v>8</v>
      </c>
      <c r="G31" t="str">
        <f t="shared" ca="1" si="3"/>
        <v>Active</v>
      </c>
      <c r="H31" s="13">
        <f>RANK(B31,Customer_Tiers[Total_Sales])</f>
        <v>30</v>
      </c>
    </row>
    <row r="32" spans="1:8">
      <c r="A32" t="str">
        <f>'Top Customers'!A34</f>
        <v>SIJU KURIAN</v>
      </c>
      <c r="B32" s="5">
        <f>IF(A32="","",IFERROR(GETPIVOTDATA("Sales Amount",'Top Customers'!$A$3,"Customer_name",'Top Customers'!A34),""))</f>
        <v>326992</v>
      </c>
      <c r="C32" t="str">
        <f t="shared" si="0"/>
        <v>Silver</v>
      </c>
      <c r="D32">
        <f t="shared" si="1"/>
        <v>173008</v>
      </c>
      <c r="E32" s="6">
        <f t="shared" si="2"/>
        <v>5.7109555702800465E-3</v>
      </c>
      <c r="F32" s="5">
        <f ca="1">TODAY()-GETPIVOTDATA("LastPurchaseDate",MaxDate!$A$3,"Customer_name",MaxDate!A34)</f>
        <v>288</v>
      </c>
      <c r="G32" t="str">
        <f t="shared" ca="1" si="3"/>
        <v>Inactive</v>
      </c>
      <c r="H32" s="13">
        <f>RANK(B32,Customer_Tiers[Total_Sales])</f>
        <v>31</v>
      </c>
    </row>
    <row r="33" spans="1:8">
      <c r="A33" t="str">
        <f>'Top Customers'!A35</f>
        <v>MATHEW KURUMOLATH VARKEY</v>
      </c>
      <c r="B33" s="5">
        <f>IF(A33="","",IFERROR(GETPIVOTDATA("Sales Amount",'Top Customers'!$A$3,"Customer_name",'Top Customers'!A35),""))</f>
        <v>306772</v>
      </c>
      <c r="C33" t="str">
        <f t="shared" si="0"/>
        <v>Silver</v>
      </c>
      <c r="D33">
        <f t="shared" si="1"/>
        <v>193228</v>
      </c>
      <c r="E33" s="6">
        <f t="shared" si="2"/>
        <v>5.3578107788751729E-3</v>
      </c>
      <c r="F33" s="5">
        <f ca="1">TODAY()-GETPIVOTDATA("LastPurchaseDate",MaxDate!$A$3,"Customer_name",MaxDate!A35)</f>
        <v>6</v>
      </c>
      <c r="G33" t="str">
        <f t="shared" ca="1" si="3"/>
        <v>Active</v>
      </c>
      <c r="H33" s="13">
        <f>RANK(B33,Customer_Tiers[Total_Sales])</f>
        <v>32</v>
      </c>
    </row>
    <row r="34" spans="1:8">
      <c r="A34" t="str">
        <f>'Top Customers'!A36</f>
        <v>NAVAS K M</v>
      </c>
      <c r="B34" s="5">
        <f>IF(A34="","",IFERROR(GETPIVOTDATA("Sales Amount",'Top Customers'!$A$3,"Customer_name",'Top Customers'!A36),""))</f>
        <v>305932</v>
      </c>
      <c r="C34" t="str">
        <f t="shared" si="0"/>
        <v>Silver</v>
      </c>
      <c r="D34">
        <f t="shared" si="1"/>
        <v>194068</v>
      </c>
      <c r="E34" s="6">
        <f t="shared" si="2"/>
        <v>5.3431400753746732E-3</v>
      </c>
      <c r="F34" s="5">
        <f ca="1">TODAY()-GETPIVOTDATA("LastPurchaseDate",MaxDate!$A$3,"Customer_name",MaxDate!A36)</f>
        <v>3</v>
      </c>
      <c r="G34" t="str">
        <f t="shared" ca="1" si="3"/>
        <v>Active</v>
      </c>
      <c r="H34" s="13">
        <f>RANK(B34,Customer_Tiers[Total_Sales])</f>
        <v>33</v>
      </c>
    </row>
    <row r="35" spans="1:8">
      <c r="A35" t="str">
        <f>'Top Customers'!A37</f>
        <v>ECO RUBBER PRODUCTS</v>
      </c>
      <c r="B35" s="5">
        <f>IF(A35="","",IFERROR(GETPIVOTDATA("Sales Amount",'Top Customers'!$A$3,"Customer_name",'Top Customers'!A37),""))</f>
        <v>296255</v>
      </c>
      <c r="C35" t="str">
        <f t="shared" si="0"/>
        <v>Silver</v>
      </c>
      <c r="D35">
        <f t="shared" si="1"/>
        <v>203745</v>
      </c>
      <c r="E35" s="6">
        <f t="shared" si="2"/>
        <v>5.1741300780242796E-3</v>
      </c>
      <c r="F35" s="5">
        <f ca="1">TODAY()-GETPIVOTDATA("LastPurchaseDate",MaxDate!$A$3,"Customer_name",MaxDate!A37)</f>
        <v>179</v>
      </c>
      <c r="G35" t="str">
        <f t="shared" ca="1" si="3"/>
        <v>Inactive</v>
      </c>
      <c r="H35" s="13">
        <f>RANK(B35,Customer_Tiers[Total_Sales])</f>
        <v>34</v>
      </c>
    </row>
    <row r="36" spans="1:8">
      <c r="A36" t="str">
        <f>'Top Customers'!A38</f>
        <v>ST THOMAS EVANGALICAL CHURCH</v>
      </c>
      <c r="B36" s="5">
        <f>IF(A36="","",IFERROR(GETPIVOTDATA("Sales Amount",'Top Customers'!$A$3,"Customer_name",'Top Customers'!A38),""))</f>
        <v>296054</v>
      </c>
      <c r="C36" t="str">
        <f t="shared" si="0"/>
        <v>Silver</v>
      </c>
      <c r="D36">
        <f t="shared" si="1"/>
        <v>203946</v>
      </c>
      <c r="E36" s="6">
        <f t="shared" si="2"/>
        <v>5.1706195882580885E-3</v>
      </c>
      <c r="F36" s="5">
        <f ca="1">TODAY()-GETPIVOTDATA("LastPurchaseDate",MaxDate!$A$3,"Customer_name",MaxDate!A38)</f>
        <v>4</v>
      </c>
      <c r="G36" t="str">
        <f t="shared" ca="1" si="3"/>
        <v>Active</v>
      </c>
      <c r="H36" s="13">
        <f>RANK(B36,Customer_Tiers[Total_Sales])</f>
        <v>35</v>
      </c>
    </row>
    <row r="37" spans="1:8">
      <c r="A37" t="str">
        <f>'Top Customers'!A39</f>
        <v>KOTTARAM BUILDERS AND DEVELOPERS</v>
      </c>
      <c r="B37" s="5">
        <f>IF(A37="","",IFERROR(GETPIVOTDATA("Sales Amount",'Top Customers'!$A$3,"Customer_name",'Top Customers'!A39),""))</f>
        <v>291010</v>
      </c>
      <c r="C37" t="str">
        <f t="shared" si="0"/>
        <v>Silver</v>
      </c>
      <c r="D37">
        <f t="shared" si="1"/>
        <v>208990</v>
      </c>
      <c r="E37" s="6">
        <f t="shared" si="2"/>
        <v>5.0825255067622338E-3</v>
      </c>
      <c r="F37" s="5">
        <f ca="1">TODAY()-GETPIVOTDATA("LastPurchaseDate",MaxDate!$A$3,"Customer_name",MaxDate!A39)</f>
        <v>12</v>
      </c>
      <c r="G37" t="str">
        <f t="shared" ca="1" si="3"/>
        <v>Active</v>
      </c>
      <c r="H37" s="13">
        <f>RANK(B37,Customer_Tiers[Total_Sales])</f>
        <v>36</v>
      </c>
    </row>
    <row r="38" spans="1:8">
      <c r="A38" t="str">
        <f>'Top Customers'!A40</f>
        <v>RAHUL JOSEPH</v>
      </c>
      <c r="B38" s="5">
        <f>IF(A38="","",IFERROR(GETPIVOTDATA("Sales Amount",'Top Customers'!$A$3,"Customer_name",'Top Customers'!A40),""))</f>
        <v>285627</v>
      </c>
      <c r="C38" t="str">
        <f t="shared" si="0"/>
        <v>Silver</v>
      </c>
      <c r="D38">
        <f t="shared" si="1"/>
        <v>214373</v>
      </c>
      <c r="E38" s="6">
        <f t="shared" si="2"/>
        <v>4.9885107484965345E-3</v>
      </c>
      <c r="F38" s="5">
        <f ca="1">TODAY()-GETPIVOTDATA("LastPurchaseDate",MaxDate!$A$3,"Customer_name",MaxDate!A40)</f>
        <v>10</v>
      </c>
      <c r="G38" t="str">
        <f t="shared" ca="1" si="3"/>
        <v>Active</v>
      </c>
      <c r="H38" s="13">
        <f>RANK(B38,Customer_Tiers[Total_Sales])</f>
        <v>37</v>
      </c>
    </row>
    <row r="39" spans="1:8">
      <c r="A39" t="str">
        <f>'Top Customers'!A41</f>
        <v>ELDHO GEORGE</v>
      </c>
      <c r="B39" s="5">
        <f>IF(A39="","",IFERROR(GETPIVOTDATA("Sales Amount",'Top Customers'!$A$3,"Customer_name",'Top Customers'!A41),""))</f>
        <v>281844</v>
      </c>
      <c r="C39" t="str">
        <f t="shared" si="0"/>
        <v>Silver</v>
      </c>
      <c r="D39">
        <f t="shared" si="1"/>
        <v>218156</v>
      </c>
      <c r="E39" s="6">
        <f t="shared" si="2"/>
        <v>4.9224401873746437E-3</v>
      </c>
      <c r="F39" s="5">
        <f ca="1">TODAY()-GETPIVOTDATA("LastPurchaseDate",MaxDate!$A$3,"Customer_name",MaxDate!A41)</f>
        <v>23</v>
      </c>
      <c r="G39" t="str">
        <f t="shared" ca="1" si="3"/>
        <v>Active</v>
      </c>
      <c r="H39" s="13">
        <f>RANK(B39,Customer_Tiers[Total_Sales])</f>
        <v>38</v>
      </c>
    </row>
    <row r="40" spans="1:8">
      <c r="A40" t="str">
        <f>'Top Customers'!A42</f>
        <v>ESS BEE PLYWOOD INDUSTRIES</v>
      </c>
      <c r="B40" s="5">
        <f>IF(A40="","",IFERROR(GETPIVOTDATA("Sales Amount",'Top Customers'!$A$3,"Customer_name",'Top Customers'!A42),""))</f>
        <v>264609</v>
      </c>
      <c r="C40" t="str">
        <f t="shared" si="0"/>
        <v>Silver</v>
      </c>
      <c r="D40">
        <f t="shared" si="1"/>
        <v>235391</v>
      </c>
      <c r="E40" s="6">
        <f t="shared" si="2"/>
        <v>4.6214287887661864E-3</v>
      </c>
      <c r="F40" s="5">
        <f ca="1">TODAY()-GETPIVOTDATA("LastPurchaseDate",MaxDate!$A$3,"Customer_name",MaxDate!A42)</f>
        <v>9</v>
      </c>
      <c r="G40" t="str">
        <f t="shared" ca="1" si="3"/>
        <v>Active</v>
      </c>
      <c r="H40" s="13">
        <f>RANK(B40,Customer_Tiers[Total_Sales])</f>
        <v>39</v>
      </c>
    </row>
    <row r="41" spans="1:8">
      <c r="A41" t="str">
        <f>'Top Customers'!A43</f>
        <v>VINCENT VILLA</v>
      </c>
      <c r="B41" s="5">
        <f>IF(A41="","",IFERROR(GETPIVOTDATA("Sales Amount",'Top Customers'!$A$3,"Customer_name",'Top Customers'!A43),""))</f>
        <v>256712</v>
      </c>
      <c r="C41" t="str">
        <f t="shared" si="0"/>
        <v>Silver</v>
      </c>
      <c r="D41">
        <f t="shared" si="1"/>
        <v>243288</v>
      </c>
      <c r="E41" s="6">
        <f t="shared" si="2"/>
        <v>4.4835067107382789E-3</v>
      </c>
      <c r="F41" s="5">
        <f ca="1">TODAY()-GETPIVOTDATA("LastPurchaseDate",MaxDate!$A$3,"Customer_name",MaxDate!A43)</f>
        <v>144</v>
      </c>
      <c r="G41" t="str">
        <f t="shared" ca="1" si="3"/>
        <v>Inactive</v>
      </c>
      <c r="H41" s="13">
        <f>RANK(B41,Customer_Tiers[Total_Sales])</f>
        <v>40</v>
      </c>
    </row>
    <row r="42" spans="1:8">
      <c r="A42" t="str">
        <f>'Top Customers'!A44</f>
        <v>NAUFAL ARAKKAPADY</v>
      </c>
      <c r="B42" s="5">
        <f>IF(A42="","",IFERROR(GETPIVOTDATA("Sales Amount",'Top Customers'!$A$3,"Customer_name",'Top Customers'!A44),""))</f>
        <v>252500</v>
      </c>
      <c r="C42" t="str">
        <f t="shared" si="0"/>
        <v>Silver</v>
      </c>
      <c r="D42">
        <f t="shared" si="1"/>
        <v>247500</v>
      </c>
      <c r="E42" s="6">
        <f t="shared" si="2"/>
        <v>4.4099436117572043E-3</v>
      </c>
      <c r="F42" s="5">
        <f ca="1">TODAY()-GETPIVOTDATA("LastPurchaseDate",MaxDate!$A$3,"Customer_name",MaxDate!A44)</f>
        <v>46</v>
      </c>
      <c r="G42" t="str">
        <f t="shared" ca="1" si="3"/>
        <v>Active</v>
      </c>
      <c r="H42" s="13">
        <f>RANK(B42,Customer_Tiers[Total_Sales])</f>
        <v>41</v>
      </c>
    </row>
    <row r="43" spans="1:8">
      <c r="A43" t="str">
        <f>'Top Customers'!A45</f>
        <v>ST.THOMAS MAR THOMA CHURCH</v>
      </c>
      <c r="B43" s="5">
        <f>IF(A43="","",IFERROR(GETPIVOTDATA("Sales Amount",'Top Customers'!$A$3,"Customer_name",'Top Customers'!A45),""))</f>
        <v>249930</v>
      </c>
      <c r="C43" t="str">
        <f t="shared" si="0"/>
        <v>Silver</v>
      </c>
      <c r="D43">
        <f t="shared" si="1"/>
        <v>250070</v>
      </c>
      <c r="E43" s="6">
        <f t="shared" si="2"/>
        <v>4.3650582450949623E-3</v>
      </c>
      <c r="F43" s="5">
        <f ca="1">TODAY()-GETPIVOTDATA("LastPurchaseDate",MaxDate!$A$3,"Customer_name",MaxDate!A45)</f>
        <v>207</v>
      </c>
      <c r="G43" t="str">
        <f t="shared" ca="1" si="3"/>
        <v>Inactive</v>
      </c>
      <c r="H43" s="13">
        <f>RANK(B43,Customer_Tiers[Total_Sales])</f>
        <v>42</v>
      </c>
    </row>
    <row r="44" spans="1:8">
      <c r="A44" t="str">
        <f>'Top Customers'!A46</f>
        <v>MUJEEB .O.M.</v>
      </c>
      <c r="B44" s="5">
        <f>IF(A44="","",IFERROR(GETPIVOTDATA("Sales Amount",'Top Customers'!$A$3,"Customer_name",'Top Customers'!A46),""))</f>
        <v>245177</v>
      </c>
      <c r="C44" t="str">
        <f t="shared" si="0"/>
        <v>Silver</v>
      </c>
      <c r="D44">
        <f t="shared" si="1"/>
        <v>254823</v>
      </c>
      <c r="E44" s="6">
        <f t="shared" si="2"/>
        <v>4.282046514454638E-3</v>
      </c>
      <c r="F44" s="5">
        <f ca="1">TODAY()-GETPIVOTDATA("LastPurchaseDate",MaxDate!$A$3,"Customer_name",MaxDate!A46)</f>
        <v>74</v>
      </c>
      <c r="G44" t="str">
        <f t="shared" ca="1" si="3"/>
        <v>At Risk</v>
      </c>
      <c r="H44" s="13">
        <f>RANK(B44,Customer_Tiers[Total_Sales])</f>
        <v>43</v>
      </c>
    </row>
    <row r="45" spans="1:8">
      <c r="A45" t="str">
        <f>'Top Customers'!A47</f>
        <v>ST.GEORGE JACOBITE CHURCH, CHOORAKODU</v>
      </c>
      <c r="B45" s="5">
        <f>IF(A45="","",IFERROR(GETPIVOTDATA("Sales Amount",'Top Customers'!$A$3,"Customer_name",'Top Customers'!A47),""))</f>
        <v>231365</v>
      </c>
      <c r="C45" t="str">
        <f t="shared" si="0"/>
        <v>Silver</v>
      </c>
      <c r="D45">
        <f t="shared" si="1"/>
        <v>268635</v>
      </c>
      <c r="E45" s="6">
        <f t="shared" si="2"/>
        <v>4.0408182326107153E-3</v>
      </c>
      <c r="F45" s="5">
        <f ca="1">TODAY()-GETPIVOTDATA("LastPurchaseDate",MaxDate!$A$3,"Customer_name",MaxDate!A47)</f>
        <v>5</v>
      </c>
      <c r="G45" t="str">
        <f t="shared" ca="1" si="3"/>
        <v>Active</v>
      </c>
      <c r="H45" s="13">
        <f>RANK(B45,Customer_Tiers[Total_Sales])</f>
        <v>44</v>
      </c>
    </row>
    <row r="46" spans="1:8">
      <c r="A46" t="str">
        <f>'Top Customers'!A48</f>
        <v>AJI TRUSS</v>
      </c>
      <c r="B46" s="5">
        <f>IF(A46="","",IFERROR(GETPIVOTDATA("Sales Amount",'Top Customers'!$A$3,"Customer_name",'Top Customers'!A48),""))</f>
        <v>227789</v>
      </c>
      <c r="C46" t="str">
        <f t="shared" si="0"/>
        <v>Silver</v>
      </c>
      <c r="D46">
        <f t="shared" si="1"/>
        <v>272211</v>
      </c>
      <c r="E46" s="6">
        <f t="shared" si="2"/>
        <v>3.9783629519943046E-3</v>
      </c>
      <c r="F46" s="5">
        <f ca="1">TODAY()-GETPIVOTDATA("LastPurchaseDate",MaxDate!$A$3,"Customer_name",MaxDate!A48)</f>
        <v>11</v>
      </c>
      <c r="G46" t="str">
        <f t="shared" ca="1" si="3"/>
        <v>Active</v>
      </c>
      <c r="H46" s="13">
        <f>RANK(B46,Customer_Tiers[Total_Sales])</f>
        <v>45</v>
      </c>
    </row>
    <row r="47" spans="1:8">
      <c r="A47" t="str">
        <f>'Top Customers'!A49</f>
        <v>LEELA PATHROSE</v>
      </c>
      <c r="B47" s="5">
        <f>IF(A47="","",IFERROR(GETPIVOTDATA("Sales Amount",'Top Customers'!$A$3,"Customer_name",'Top Customers'!A49),""))</f>
        <v>225907</v>
      </c>
      <c r="C47" t="str">
        <f t="shared" si="0"/>
        <v>Silver</v>
      </c>
      <c r="D47">
        <f t="shared" si="1"/>
        <v>274093</v>
      </c>
      <c r="E47" s="6">
        <f t="shared" si="2"/>
        <v>3.9454935901039002E-3</v>
      </c>
      <c r="F47" s="5">
        <f ca="1">TODAY()-GETPIVOTDATA("LastPurchaseDate",MaxDate!$A$3,"Customer_name",MaxDate!A49)</f>
        <v>69</v>
      </c>
      <c r="G47" t="str">
        <f t="shared" ca="1" si="3"/>
        <v>At Risk</v>
      </c>
      <c r="H47" s="13">
        <f>RANK(B47,Customer_Tiers[Total_Sales])</f>
        <v>46</v>
      </c>
    </row>
    <row r="48" spans="1:8">
      <c r="A48" t="str">
        <f>'Top Customers'!A50</f>
        <v>VINCY TOMY</v>
      </c>
      <c r="B48" s="5">
        <f>IF(A48="","",IFERROR(GETPIVOTDATA("Sales Amount",'Top Customers'!$A$3,"Customer_name",'Top Customers'!A50),""))</f>
        <v>223524</v>
      </c>
      <c r="C48" t="str">
        <f t="shared" si="0"/>
        <v>Silver</v>
      </c>
      <c r="D48">
        <f t="shared" si="1"/>
        <v>276476</v>
      </c>
      <c r="E48" s="6">
        <f t="shared" si="2"/>
        <v>3.9038742014828411E-3</v>
      </c>
      <c r="F48" s="5">
        <f ca="1">TODAY()-GETPIVOTDATA("LastPurchaseDate",MaxDate!$A$3,"Customer_name",MaxDate!A50)</f>
        <v>44</v>
      </c>
      <c r="G48" t="str">
        <f t="shared" ca="1" si="3"/>
        <v>Active</v>
      </c>
      <c r="H48" s="13">
        <f>RANK(B48,Customer_Tiers[Total_Sales])</f>
        <v>47</v>
      </c>
    </row>
    <row r="49" spans="1:8">
      <c r="A49" t="str">
        <f>'Top Customers'!A51</f>
        <v>VISWAN CHENGRA</v>
      </c>
      <c r="B49" s="5">
        <f>IF(A49="","",IFERROR(GETPIVOTDATA("Sales Amount",'Top Customers'!$A$3,"Customer_name",'Top Customers'!A51),""))</f>
        <v>222459</v>
      </c>
      <c r="C49" t="str">
        <f t="shared" si="0"/>
        <v>Silver</v>
      </c>
      <c r="D49">
        <f t="shared" si="1"/>
        <v>277541</v>
      </c>
      <c r="E49" s="6">
        <f t="shared" si="2"/>
        <v>3.8852738452589937E-3</v>
      </c>
      <c r="F49" s="5">
        <f ca="1">TODAY()-GETPIVOTDATA("LastPurchaseDate",MaxDate!$A$3,"Customer_name",MaxDate!A51)</f>
        <v>16</v>
      </c>
      <c r="G49" t="str">
        <f t="shared" ca="1" si="3"/>
        <v>Active</v>
      </c>
      <c r="H49" s="13">
        <f>RANK(B49,Customer_Tiers[Total_Sales])</f>
        <v>48</v>
      </c>
    </row>
    <row r="50" spans="1:8">
      <c r="A50" t="str">
        <f>'Top Customers'!A52</f>
        <v>CHANDRAN DOUBLE PALAM</v>
      </c>
      <c r="B50" s="5">
        <f>IF(A50="","",IFERROR(GETPIVOTDATA("Sales Amount",'Top Customers'!$A$3,"Customer_name",'Top Customers'!A52),""))</f>
        <v>218545</v>
      </c>
      <c r="C50" t="str">
        <f t="shared" si="0"/>
        <v>Silver</v>
      </c>
      <c r="D50">
        <f t="shared" si="1"/>
        <v>281455</v>
      </c>
      <c r="E50" s="6">
        <f t="shared" si="2"/>
        <v>3.8169153529959534E-3</v>
      </c>
      <c r="F50" s="5">
        <f ca="1">TODAY()-GETPIVOTDATA("LastPurchaseDate",MaxDate!$A$3,"Customer_name",MaxDate!A52)</f>
        <v>6</v>
      </c>
      <c r="G50" t="str">
        <f t="shared" ca="1" si="3"/>
        <v>Active</v>
      </c>
      <c r="H50" s="13">
        <f>RANK(B50,Customer_Tiers[Total_Sales])</f>
        <v>49</v>
      </c>
    </row>
    <row r="51" spans="1:8">
      <c r="A51" t="str">
        <f>'Top Customers'!A53</f>
        <v>SREELAL PALLIKKARA</v>
      </c>
      <c r="B51" s="5">
        <f>IF(A51="","",IFERROR(GETPIVOTDATA("Sales Amount",'Top Customers'!$A$3,"Customer_name",'Top Customers'!A53),""))</f>
        <v>217909</v>
      </c>
      <c r="C51" t="str">
        <f t="shared" si="0"/>
        <v>Silver</v>
      </c>
      <c r="D51">
        <f t="shared" si="1"/>
        <v>282091</v>
      </c>
      <c r="E51" s="6">
        <f t="shared" si="2"/>
        <v>3.8058075346312898E-3</v>
      </c>
      <c r="F51" s="5">
        <f ca="1">TODAY()-GETPIVOTDATA("LastPurchaseDate",MaxDate!$A$3,"Customer_name",MaxDate!A53)</f>
        <v>120</v>
      </c>
      <c r="G51" t="str">
        <f t="shared" ca="1" si="3"/>
        <v>At Risk</v>
      </c>
      <c r="H51" s="13">
        <f>RANK(B51,Customer_Tiers[Total_Sales])</f>
        <v>50</v>
      </c>
    </row>
    <row r="52" spans="1:8">
      <c r="A52" t="str">
        <f>'Top Customers'!A54</f>
        <v>SHAMBO MAHADEVA</v>
      </c>
      <c r="B52" s="5">
        <f>IF(A52="","",IFERROR(GETPIVOTDATA("Sales Amount",'Top Customers'!$A$3,"Customer_name",'Top Customers'!A54),""))</f>
        <v>203857</v>
      </c>
      <c r="C52" t="str">
        <f t="shared" si="0"/>
        <v>Silver</v>
      </c>
      <c r="D52">
        <f t="shared" si="1"/>
        <v>296143</v>
      </c>
      <c r="E52" s="6">
        <f t="shared" si="2"/>
        <v>3.5603876232157957E-3</v>
      </c>
      <c r="F52" s="5">
        <f ca="1">TODAY()-GETPIVOTDATA("LastPurchaseDate",MaxDate!$A$3,"Customer_name",MaxDate!A54)</f>
        <v>12</v>
      </c>
      <c r="G52" t="str">
        <f t="shared" ca="1" si="3"/>
        <v>Active</v>
      </c>
      <c r="H52" s="13">
        <f>RANK(B52,Customer_Tiers[Total_Sales])</f>
        <v>51</v>
      </c>
    </row>
    <row r="53" spans="1:8">
      <c r="A53" t="str">
        <f>'Top Customers'!A55</f>
        <v>JOHNY KANDANALIL</v>
      </c>
      <c r="B53" s="5">
        <f>IF(A53="","",IFERROR(GETPIVOTDATA("Sales Amount",'Top Customers'!$A$3,"Customer_name",'Top Customers'!A55),""))</f>
        <v>203264</v>
      </c>
      <c r="C53" t="str">
        <f t="shared" si="0"/>
        <v>Silver</v>
      </c>
      <c r="D53">
        <f t="shared" si="1"/>
        <v>296736</v>
      </c>
      <c r="E53" s="6">
        <f t="shared" si="2"/>
        <v>3.5500308051493717E-3</v>
      </c>
      <c r="F53" s="5">
        <f ca="1">TODAY()-GETPIVOTDATA("LastPurchaseDate",MaxDate!$A$3,"Customer_name",MaxDate!A55)</f>
        <v>22</v>
      </c>
      <c r="G53" t="str">
        <f t="shared" ca="1" si="3"/>
        <v>Active</v>
      </c>
      <c r="H53" s="13">
        <f>RANK(B53,Customer_Tiers[Total_Sales])</f>
        <v>52</v>
      </c>
    </row>
    <row r="54" spans="1:8">
      <c r="A54" t="str">
        <f>'Top Customers'!A56</f>
        <v>AKHIL EZHIPPURAM</v>
      </c>
      <c r="B54" s="5">
        <f>IF(A54="","",IFERROR(GETPIVOTDATA("Sales Amount",'Top Customers'!$A$3,"Customer_name",'Top Customers'!A56),""))</f>
        <v>202081</v>
      </c>
      <c r="C54" t="str">
        <f t="shared" si="0"/>
        <v>Silver</v>
      </c>
      <c r="D54">
        <f t="shared" si="1"/>
        <v>297919</v>
      </c>
      <c r="E54" s="6">
        <f t="shared" si="2"/>
        <v>3.529369564386169E-3</v>
      </c>
      <c r="F54" s="5">
        <f ca="1">TODAY()-GETPIVOTDATA("LastPurchaseDate",MaxDate!$A$3,"Customer_name",MaxDate!A56)</f>
        <v>36</v>
      </c>
      <c r="G54" t="str">
        <f t="shared" ca="1" si="3"/>
        <v>Active</v>
      </c>
      <c r="H54" s="13">
        <f>RANK(B54,Customer_Tiers[Total_Sales])</f>
        <v>53</v>
      </c>
    </row>
    <row r="55" spans="1:8">
      <c r="A55" t="str">
        <f>'Top Customers'!A57</f>
        <v>JANATHA TRADERS</v>
      </c>
      <c r="B55" s="5">
        <f>IF(A55="","",IFERROR(GETPIVOTDATA("Sales Amount",'Top Customers'!$A$3,"Customer_name",'Top Customers'!A57),""))</f>
        <v>198500</v>
      </c>
      <c r="C55" t="str">
        <f t="shared" si="0"/>
        <v>Silver</v>
      </c>
      <c r="D55">
        <f t="shared" si="1"/>
        <v>301500</v>
      </c>
      <c r="E55" s="6">
        <f t="shared" si="2"/>
        <v>3.4668269581536832E-3</v>
      </c>
      <c r="F55" s="5">
        <f ca="1">TODAY()-GETPIVOTDATA("LastPurchaseDate",MaxDate!$A$3,"Customer_name",MaxDate!A57)</f>
        <v>288</v>
      </c>
      <c r="G55" t="str">
        <f t="shared" ca="1" si="3"/>
        <v>Inactive</v>
      </c>
      <c r="H55" s="13">
        <f>RANK(B55,Customer_Tiers[Total_Sales])</f>
        <v>54</v>
      </c>
    </row>
    <row r="56" spans="1:8">
      <c r="A56" t="str">
        <f>'Top Customers'!A58</f>
        <v>AUGUR COMPUTERS PVT LTD</v>
      </c>
      <c r="B56" s="5">
        <f>IF(A56="","",IFERROR(GETPIVOTDATA("Sales Amount",'Top Customers'!$A$3,"Customer_name",'Top Customers'!A58),""))</f>
        <v>194587</v>
      </c>
      <c r="C56" t="str">
        <f t="shared" si="0"/>
        <v>Silver</v>
      </c>
      <c r="D56">
        <f t="shared" si="1"/>
        <v>305413</v>
      </c>
      <c r="E56" s="6">
        <f t="shared" si="2"/>
        <v>3.3984859310138577E-3</v>
      </c>
      <c r="F56" s="5">
        <f ca="1">TODAY()-GETPIVOTDATA("LastPurchaseDate",MaxDate!$A$3,"Customer_name",MaxDate!A58)</f>
        <v>2</v>
      </c>
      <c r="G56" t="str">
        <f t="shared" ca="1" si="3"/>
        <v>Active</v>
      </c>
      <c r="H56" s="13">
        <f>RANK(B56,Customer_Tiers[Total_Sales])</f>
        <v>55</v>
      </c>
    </row>
    <row r="57" spans="1:8">
      <c r="A57" t="str">
        <f>'Top Customers'!A59</f>
        <v>JOBY JOHNY</v>
      </c>
      <c r="B57" s="5">
        <f>IF(A57="","",IFERROR(GETPIVOTDATA("Sales Amount",'Top Customers'!$A$3,"Customer_name",'Top Customers'!A59),""))</f>
        <v>193048</v>
      </c>
      <c r="C57" t="str">
        <f t="shared" si="0"/>
        <v>Silver</v>
      </c>
      <c r="D57">
        <f t="shared" si="1"/>
        <v>306952</v>
      </c>
      <c r="E57" s="6">
        <f t="shared" si="2"/>
        <v>3.3716071063861577E-3</v>
      </c>
      <c r="F57" s="5">
        <f ca="1">TODAY()-GETPIVOTDATA("LastPurchaseDate",MaxDate!$A$3,"Customer_name",MaxDate!A59)</f>
        <v>50</v>
      </c>
      <c r="G57" t="str">
        <f t="shared" ca="1" si="3"/>
        <v>Active</v>
      </c>
      <c r="H57" s="13">
        <f>RANK(B57,Customer_Tiers[Total_Sales])</f>
        <v>56</v>
      </c>
    </row>
    <row r="58" spans="1:8">
      <c r="A58" t="str">
        <f>'Top Customers'!A60</f>
        <v>VALLUVASSERY BUILDERS PVT. LTD</v>
      </c>
      <c r="B58" s="5">
        <f>IF(A58="","",IFERROR(GETPIVOTDATA("Sales Amount",'Top Customers'!$A$3,"Customer_name",'Top Customers'!A60),""))</f>
        <v>192293</v>
      </c>
      <c r="C58" t="str">
        <f t="shared" si="0"/>
        <v>Silver</v>
      </c>
      <c r="D58">
        <f t="shared" si="1"/>
        <v>307707</v>
      </c>
      <c r="E58" s="6">
        <f t="shared" si="2"/>
        <v>3.3584209383589231E-3</v>
      </c>
      <c r="F58" s="5">
        <f ca="1">TODAY()-GETPIVOTDATA("LastPurchaseDate",MaxDate!$A$3,"Customer_name",MaxDate!A60)</f>
        <v>227</v>
      </c>
      <c r="G58" t="str">
        <f t="shared" ca="1" si="3"/>
        <v>Inactive</v>
      </c>
      <c r="H58" s="13">
        <f>RANK(B58,Customer_Tiers[Total_Sales])</f>
        <v>57</v>
      </c>
    </row>
    <row r="59" spans="1:8">
      <c r="A59" t="str">
        <f>'Top Customers'!A61</f>
        <v>VIJEESH (RASHEED TRUSS)</v>
      </c>
      <c r="B59" s="5">
        <f>IF(A59="","",IFERROR(GETPIVOTDATA("Sales Amount",'Top Customers'!$A$3,"Customer_name",'Top Customers'!A61),""))</f>
        <v>186549</v>
      </c>
      <c r="C59" t="str">
        <f t="shared" si="0"/>
        <v>Silver</v>
      </c>
      <c r="D59">
        <f t="shared" si="1"/>
        <v>313451</v>
      </c>
      <c r="E59" s="6">
        <f t="shared" si="2"/>
        <v>3.2581012706126523E-3</v>
      </c>
      <c r="F59" s="5">
        <f ca="1">TODAY()-GETPIVOTDATA("LastPurchaseDate",MaxDate!$A$3,"Customer_name",MaxDate!A61)</f>
        <v>145</v>
      </c>
      <c r="G59" t="str">
        <f t="shared" ca="1" si="3"/>
        <v>Inactive</v>
      </c>
      <c r="H59" s="13">
        <f>RANK(B59,Customer_Tiers[Total_Sales])</f>
        <v>58</v>
      </c>
    </row>
    <row r="60" spans="1:8">
      <c r="A60" t="str">
        <f>'Top Customers'!A62</f>
        <v>KERAWA EVENTS</v>
      </c>
      <c r="B60" s="5">
        <f>IF(A60="","",IFERROR(GETPIVOTDATA("Sales Amount",'Top Customers'!$A$3,"Customer_name",'Top Customers'!A62),""))</f>
        <v>182624</v>
      </c>
      <c r="C60" t="str">
        <f t="shared" si="0"/>
        <v>Silver</v>
      </c>
      <c r="D60">
        <f t="shared" si="1"/>
        <v>317376</v>
      </c>
      <c r="E60" s="6">
        <f t="shared" si="2"/>
        <v>3.1895506619942482E-3</v>
      </c>
      <c r="F60" s="5">
        <f ca="1">TODAY()-GETPIVOTDATA("LastPurchaseDate",MaxDate!$A$3,"Customer_name",MaxDate!A62)</f>
        <v>68</v>
      </c>
      <c r="G60" t="str">
        <f t="shared" ca="1" si="3"/>
        <v>At Risk</v>
      </c>
      <c r="H60" s="13">
        <f>RANK(B60,Customer_Tiers[Total_Sales])</f>
        <v>59</v>
      </c>
    </row>
    <row r="61" spans="1:8">
      <c r="A61" t="str">
        <f>'Top Customers'!A63</f>
        <v>JAMAL MANNAMKUZHY</v>
      </c>
      <c r="B61" s="5">
        <f>IF(A61="","",IFERROR(GETPIVOTDATA("Sales Amount",'Top Customers'!$A$3,"Customer_name",'Top Customers'!A63),""))</f>
        <v>178894</v>
      </c>
      <c r="C61" t="str">
        <f t="shared" si="0"/>
        <v>Silver</v>
      </c>
      <c r="D61">
        <f t="shared" si="1"/>
        <v>321106</v>
      </c>
      <c r="E61" s="6">
        <f t="shared" si="2"/>
        <v>3.1244057524027458E-3</v>
      </c>
      <c r="F61" s="5">
        <f ca="1">TODAY()-GETPIVOTDATA("LastPurchaseDate",MaxDate!$A$3,"Customer_name",MaxDate!A63)</f>
        <v>19</v>
      </c>
      <c r="G61" t="str">
        <f t="shared" ca="1" si="3"/>
        <v>Active</v>
      </c>
      <c r="H61" s="13">
        <f>RANK(B61,Customer_Tiers[Total_Sales])</f>
        <v>60</v>
      </c>
    </row>
    <row r="62" spans="1:8">
      <c r="A62" t="str">
        <f>'Top Customers'!A64</f>
        <v>RENJITH KILIKULAM</v>
      </c>
      <c r="B62" s="5">
        <f>IF(A62="","",IFERROR(GETPIVOTDATA("Sales Amount",'Top Customers'!$A$3,"Customer_name",'Top Customers'!A64),""))</f>
        <v>178378</v>
      </c>
      <c r="C62" t="str">
        <f t="shared" si="0"/>
        <v>Silver</v>
      </c>
      <c r="D62">
        <f t="shared" si="1"/>
        <v>321622</v>
      </c>
      <c r="E62" s="6">
        <f t="shared" si="2"/>
        <v>3.1153937488238677E-3</v>
      </c>
      <c r="F62" s="5">
        <f ca="1">TODAY()-GETPIVOTDATA("LastPurchaseDate",MaxDate!$A$3,"Customer_name",MaxDate!A64)</f>
        <v>18</v>
      </c>
      <c r="G62" t="str">
        <f t="shared" ca="1" si="3"/>
        <v>Active</v>
      </c>
      <c r="H62" s="13">
        <f>RANK(B62,Customer_Tiers[Total_Sales])</f>
        <v>61</v>
      </c>
    </row>
    <row r="63" spans="1:8">
      <c r="A63" t="str">
        <f>'Top Customers'!A65</f>
        <v>THE LEGENDRY MOTORS</v>
      </c>
      <c r="B63" s="5">
        <f>IF(A63="","",IFERROR(GETPIVOTDATA("Sales Amount",'Top Customers'!$A$3,"Customer_name",'Top Customers'!A65),""))</f>
        <v>177607</v>
      </c>
      <c r="C63" t="str">
        <f t="shared" si="0"/>
        <v>Silver</v>
      </c>
      <c r="D63">
        <f t="shared" si="1"/>
        <v>322393</v>
      </c>
      <c r="E63" s="6">
        <f t="shared" si="2"/>
        <v>3.1019281388251952E-3</v>
      </c>
      <c r="F63" s="5">
        <f ca="1">TODAY()-GETPIVOTDATA("LastPurchaseDate",MaxDate!$A$3,"Customer_name",MaxDate!A65)</f>
        <v>213</v>
      </c>
      <c r="G63" t="str">
        <f t="shared" ca="1" si="3"/>
        <v>Inactive</v>
      </c>
      <c r="H63" s="13">
        <f>RANK(B63,Customer_Tiers[Total_Sales])</f>
        <v>62</v>
      </c>
    </row>
    <row r="64" spans="1:8">
      <c r="A64" t="str">
        <f>'Top Customers'!A66</f>
        <v>AYYAPPAN CNTR</v>
      </c>
      <c r="B64" s="5">
        <f>IF(A64="","",IFERROR(GETPIVOTDATA("Sales Amount",'Top Customers'!$A$3,"Customer_name",'Top Customers'!A66),""))</f>
        <v>175822</v>
      </c>
      <c r="C64" t="str">
        <f t="shared" si="0"/>
        <v>Silver</v>
      </c>
      <c r="D64">
        <f t="shared" si="1"/>
        <v>324178</v>
      </c>
      <c r="E64" s="6">
        <f t="shared" si="2"/>
        <v>3.0707528938866344E-3</v>
      </c>
      <c r="F64" s="5">
        <f ca="1">TODAY()-GETPIVOTDATA("LastPurchaseDate",MaxDate!$A$3,"Customer_name",MaxDate!A66)</f>
        <v>18</v>
      </c>
      <c r="G64" t="str">
        <f t="shared" ca="1" si="3"/>
        <v>Active</v>
      </c>
      <c r="H64" s="13">
        <f>RANK(B64,Customer_Tiers[Total_Sales])</f>
        <v>63</v>
      </c>
    </row>
    <row r="65" spans="1:8">
      <c r="A65" t="str">
        <f>'Top Customers'!A67</f>
        <v>JIJO TRUSS</v>
      </c>
      <c r="B65" s="5">
        <f>IF(A65="","",IFERROR(GETPIVOTDATA("Sales Amount",'Top Customers'!$A$3,"Customer_name",'Top Customers'!A67),""))</f>
        <v>174117</v>
      </c>
      <c r="C65" t="str">
        <f t="shared" si="0"/>
        <v>Silver</v>
      </c>
      <c r="D65">
        <f t="shared" si="1"/>
        <v>325883</v>
      </c>
      <c r="E65" s="6">
        <f t="shared" si="2"/>
        <v>3.040974858805264E-3</v>
      </c>
      <c r="F65" s="5">
        <f ca="1">TODAY()-GETPIVOTDATA("LastPurchaseDate",MaxDate!$A$3,"Customer_name",MaxDate!A67)</f>
        <v>52</v>
      </c>
      <c r="G65" t="str">
        <f t="shared" ca="1" si="3"/>
        <v>Active</v>
      </c>
      <c r="H65" s="13">
        <f>RANK(B65,Customer_Tiers[Total_Sales])</f>
        <v>64</v>
      </c>
    </row>
    <row r="66" spans="1:8">
      <c r="A66" t="str">
        <f>'Top Customers'!A68</f>
        <v>MUHAMMED AJFER</v>
      </c>
      <c r="B66" s="5">
        <f>IF(A66="","",IFERROR(GETPIVOTDATA("Sales Amount",'Top Customers'!$A$3,"Customer_name",'Top Customers'!A68),""))</f>
        <v>172994</v>
      </c>
      <c r="C66" t="str">
        <f t="shared" ref="C66:C129" si="4">IF(B66&gt;=1000000,"Platinum",
 IF(B66&gt;=500000,"Gold",
 IF(B66&gt;=100000,"Silver","Regular")))</f>
        <v>Silver</v>
      </c>
      <c r="D66">
        <f t="shared" ref="D66:D129" si="5">IF(C66="Platinum",0,
 IF(C66="Gold",1000000-B66,
 IF(C66="Silver",500000-B66,
 IF(C66="Regular",100000-B66,0))))</f>
        <v>327006</v>
      </c>
      <c r="E66" s="6">
        <f t="shared" ref="E66:E129" si="6">B66/SUM(B:B)</f>
        <v>3.0213615254349535E-3</v>
      </c>
      <c r="F66" s="5">
        <f ca="1">TODAY()-GETPIVOTDATA("LastPurchaseDate",MaxDate!$A$3,"Customer_name",MaxDate!A68)</f>
        <v>20</v>
      </c>
      <c r="G66" t="str">
        <f t="shared" ref="G66:G129" ca="1" si="7">IF(F66="","",
 IF(F66&lt;=60,"Active",
 IF(F66&lt;=120,"At Risk","Inactive")))</f>
        <v>Active</v>
      </c>
      <c r="H66" s="13">
        <f>RANK(B66,Customer_Tiers[Total_Sales])</f>
        <v>65</v>
      </c>
    </row>
    <row r="67" spans="1:8">
      <c r="A67" t="str">
        <f>'Top Customers'!A69</f>
        <v>ANOOP PATTIMATTOM</v>
      </c>
      <c r="B67" s="5">
        <f>IF(A67="","",IFERROR(GETPIVOTDATA("Sales Amount",'Top Customers'!$A$3,"Customer_name",'Top Customers'!A69),""))</f>
        <v>172285</v>
      </c>
      <c r="C67" t="str">
        <f t="shared" si="4"/>
        <v>Silver</v>
      </c>
      <c r="D67">
        <f t="shared" si="5"/>
        <v>327715</v>
      </c>
      <c r="E67" s="6">
        <f t="shared" si="6"/>
        <v>3.0089787530756039E-3</v>
      </c>
      <c r="F67" s="5">
        <f ca="1">TODAY()-GETPIVOTDATA("LastPurchaseDate",MaxDate!$A$3,"Customer_name",MaxDate!A69)</f>
        <v>311</v>
      </c>
      <c r="G67" t="str">
        <f t="shared" ca="1" si="7"/>
        <v>Inactive</v>
      </c>
      <c r="H67" s="13">
        <f>RANK(B67,Customer_Tiers[Total_Sales])</f>
        <v>66</v>
      </c>
    </row>
    <row r="68" spans="1:8">
      <c r="A68" t="str">
        <f>'Top Customers'!A70</f>
        <v>BALACHANDRAN ANISSERIMARIYIL</v>
      </c>
      <c r="B68" s="5">
        <f>IF(A68="","",IFERROR(GETPIVOTDATA("Sales Amount",'Top Customers'!$A$3,"Customer_name",'Top Customers'!A70),""))</f>
        <v>169002</v>
      </c>
      <c r="C68" t="str">
        <f t="shared" si="4"/>
        <v>Silver</v>
      </c>
      <c r="D68">
        <f t="shared" si="5"/>
        <v>330998</v>
      </c>
      <c r="E68" s="6">
        <f t="shared" si="6"/>
        <v>2.9516407535611529E-3</v>
      </c>
      <c r="F68" s="5">
        <f ca="1">TODAY()-GETPIVOTDATA("LastPurchaseDate",MaxDate!$A$3,"Customer_name",MaxDate!A70)</f>
        <v>62</v>
      </c>
      <c r="G68" t="str">
        <f t="shared" ca="1" si="7"/>
        <v>At Risk</v>
      </c>
      <c r="H68" s="13">
        <f>RANK(B68,Customer_Tiers[Total_Sales])</f>
        <v>67</v>
      </c>
    </row>
    <row r="69" spans="1:8">
      <c r="A69" t="str">
        <f>'Top Customers'!A71</f>
        <v>ST.MARYS ENGINEERING WORKS</v>
      </c>
      <c r="B69" s="5">
        <f>IF(A69="","",IFERROR(GETPIVOTDATA("Sales Amount",'Top Customers'!$A$3,"Customer_name",'Top Customers'!A71),""))</f>
        <v>164871</v>
      </c>
      <c r="C69" t="str">
        <f t="shared" si="4"/>
        <v>Silver</v>
      </c>
      <c r="D69">
        <f t="shared" si="5"/>
        <v>335129</v>
      </c>
      <c r="E69" s="6">
        <f t="shared" si="6"/>
        <v>2.8794923295604835E-3</v>
      </c>
      <c r="F69" s="5">
        <f ca="1">TODAY()-GETPIVOTDATA("LastPurchaseDate",MaxDate!$A$3,"Customer_name",MaxDate!A71)</f>
        <v>9</v>
      </c>
      <c r="G69" t="str">
        <f t="shared" ca="1" si="7"/>
        <v>Active</v>
      </c>
      <c r="H69" s="13">
        <f>RANK(B69,Customer_Tiers[Total_Sales])</f>
        <v>68</v>
      </c>
    </row>
    <row r="70" spans="1:8">
      <c r="A70" t="str">
        <f>'Top Customers'!A72</f>
        <v>NAUSHAD , NJATTUMKALAYIL APE</v>
      </c>
      <c r="B70" s="5">
        <f>IF(A70="","",IFERROR(GETPIVOTDATA("Sales Amount",'Top Customers'!$A$3,"Customer_name",'Top Customers'!A72),""))</f>
        <v>164237</v>
      </c>
      <c r="C70" t="str">
        <f t="shared" si="4"/>
        <v>Silver</v>
      </c>
      <c r="D70">
        <f t="shared" si="5"/>
        <v>335763</v>
      </c>
      <c r="E70" s="6">
        <f t="shared" si="6"/>
        <v>2.8684194414422496E-3</v>
      </c>
      <c r="F70" s="5">
        <f ca="1">TODAY()-GETPIVOTDATA("LastPurchaseDate",MaxDate!$A$3,"Customer_name",MaxDate!A72)</f>
        <v>8</v>
      </c>
      <c r="G70" t="str">
        <f t="shared" ca="1" si="7"/>
        <v>Active</v>
      </c>
      <c r="H70" s="13">
        <f>RANK(B70,Customer_Tiers[Total_Sales])</f>
        <v>69</v>
      </c>
    </row>
    <row r="71" spans="1:8">
      <c r="A71" t="str">
        <f>'Top Customers'!A73</f>
        <v>BINDU MANI</v>
      </c>
      <c r="B71" s="5">
        <f>IF(A71="","",IFERROR(GETPIVOTDATA("Sales Amount",'Top Customers'!$A$3,"Customer_name",'Top Customers'!A73),""))</f>
        <v>162143</v>
      </c>
      <c r="C71" t="str">
        <f t="shared" si="4"/>
        <v>Silver</v>
      </c>
      <c r="D71">
        <f t="shared" si="5"/>
        <v>337857</v>
      </c>
      <c r="E71" s="6">
        <f t="shared" si="6"/>
        <v>2.8318474734302908E-3</v>
      </c>
      <c r="F71" s="5">
        <f ca="1">TODAY()-GETPIVOTDATA("LastPurchaseDate",MaxDate!$A$3,"Customer_name",MaxDate!A73)</f>
        <v>74</v>
      </c>
      <c r="G71" t="str">
        <f t="shared" ca="1" si="7"/>
        <v>At Risk</v>
      </c>
      <c r="H71" s="13">
        <f>RANK(B71,Customer_Tiers[Total_Sales])</f>
        <v>70</v>
      </c>
    </row>
    <row r="72" spans="1:8">
      <c r="A72" t="str">
        <f>'Top Customers'!A74</f>
        <v>SANDEEP KRISHNAN</v>
      </c>
      <c r="B72" s="5">
        <f>IF(A72="","",IFERROR(GETPIVOTDATA("Sales Amount",'Top Customers'!$A$3,"Customer_name",'Top Customers'!A74),""))</f>
        <v>161161</v>
      </c>
      <c r="C72" t="str">
        <f t="shared" si="4"/>
        <v>Silver</v>
      </c>
      <c r="D72">
        <f t="shared" si="5"/>
        <v>338839</v>
      </c>
      <c r="E72" s="6">
        <f t="shared" si="6"/>
        <v>2.8146967224332783E-3</v>
      </c>
      <c r="F72" s="5">
        <f ca="1">TODAY()-GETPIVOTDATA("LastPurchaseDate",MaxDate!$A$3,"Customer_name",MaxDate!A74)</f>
        <v>46</v>
      </c>
      <c r="G72" t="str">
        <f t="shared" ca="1" si="7"/>
        <v>Active</v>
      </c>
      <c r="H72" s="13">
        <f>RANK(B72,Customer_Tiers[Total_Sales])</f>
        <v>71</v>
      </c>
    </row>
    <row r="73" spans="1:8">
      <c r="A73" t="str">
        <f>'Top Customers'!A75</f>
        <v>SABU S I</v>
      </c>
      <c r="B73" s="5">
        <f>IF(A73="","",IFERROR(GETPIVOTDATA("Sales Amount",'Top Customers'!$A$3,"Customer_name",'Top Customers'!A75),""))</f>
        <v>160539</v>
      </c>
      <c r="C73" t="str">
        <f t="shared" si="4"/>
        <v>Silver</v>
      </c>
      <c r="D73">
        <f t="shared" si="5"/>
        <v>339461</v>
      </c>
      <c r="E73" s="6">
        <f t="shared" si="6"/>
        <v>2.803833415793623E-3</v>
      </c>
      <c r="F73" s="5">
        <f ca="1">TODAY()-GETPIVOTDATA("LastPurchaseDate",MaxDate!$A$3,"Customer_name",MaxDate!A75)</f>
        <v>12</v>
      </c>
      <c r="G73" t="str">
        <f t="shared" ca="1" si="7"/>
        <v>Active</v>
      </c>
      <c r="H73" s="13">
        <f>RANK(B73,Customer_Tiers[Total_Sales])</f>
        <v>72</v>
      </c>
    </row>
    <row r="74" spans="1:8">
      <c r="A74" t="str">
        <f>'Top Customers'!A76</f>
        <v>N &amp; S CONSTRUCTIONS</v>
      </c>
      <c r="B74" s="5">
        <f>IF(A74="","",IFERROR(GETPIVOTDATA("Sales Amount",'Top Customers'!$A$3,"Customer_name",'Top Customers'!A76),""))</f>
        <v>160256</v>
      </c>
      <c r="C74" t="str">
        <f t="shared" si="4"/>
        <v>Silver</v>
      </c>
      <c r="D74">
        <f t="shared" si="5"/>
        <v>339744</v>
      </c>
      <c r="E74" s="6">
        <f t="shared" si="6"/>
        <v>2.7988907859238122E-3</v>
      </c>
      <c r="F74" s="5">
        <f ca="1">TODAY()-GETPIVOTDATA("LastPurchaseDate",MaxDate!$A$3,"Customer_name",MaxDate!A76)</f>
        <v>4</v>
      </c>
      <c r="G74" t="str">
        <f t="shared" ca="1" si="7"/>
        <v>Active</v>
      </c>
      <c r="H74" s="13">
        <f>RANK(B74,Customer_Tiers[Total_Sales])</f>
        <v>73</v>
      </c>
    </row>
    <row r="75" spans="1:8">
      <c r="A75" t="str">
        <f>'Top Customers'!A77</f>
        <v>SAJAD, KAMMATTOM</v>
      </c>
      <c r="B75" s="5">
        <f>IF(A75="","",IFERROR(GETPIVOTDATA("Sales Amount",'Top Customers'!$A$3,"Customer_name",'Top Customers'!A77),""))</f>
        <v>159441</v>
      </c>
      <c r="C75" t="str">
        <f t="shared" si="4"/>
        <v>Silver</v>
      </c>
      <c r="D75">
        <f t="shared" si="5"/>
        <v>340559</v>
      </c>
      <c r="E75" s="6">
        <f t="shared" si="6"/>
        <v>2.7846567105036849E-3</v>
      </c>
      <c r="F75" s="5">
        <f ca="1">TODAY()-GETPIVOTDATA("LastPurchaseDate",MaxDate!$A$3,"Customer_name",MaxDate!A77)</f>
        <v>102</v>
      </c>
      <c r="G75" t="str">
        <f t="shared" ca="1" si="7"/>
        <v>At Risk</v>
      </c>
      <c r="H75" s="13">
        <f>RANK(B75,Customer_Tiers[Total_Sales])</f>
        <v>74</v>
      </c>
    </row>
    <row r="76" spans="1:8">
      <c r="A76" t="str">
        <f>'Top Customers'!A78</f>
        <v>M J JOY &amp; COMPANY</v>
      </c>
      <c r="B76" s="5">
        <f>IF(A76="","",IFERROR(GETPIVOTDATA("Sales Amount",'Top Customers'!$A$3,"Customer_name",'Top Customers'!A78),""))</f>
        <v>157380</v>
      </c>
      <c r="C76" t="str">
        <f t="shared" si="4"/>
        <v>Silver</v>
      </c>
      <c r="D76">
        <f t="shared" si="5"/>
        <v>342620</v>
      </c>
      <c r="E76" s="6">
        <f t="shared" si="6"/>
        <v>2.7486610915578172E-3</v>
      </c>
      <c r="F76" s="5">
        <f ca="1">TODAY()-GETPIVOTDATA("LastPurchaseDate",MaxDate!$A$3,"Customer_name",MaxDate!A78)</f>
        <v>244</v>
      </c>
      <c r="G76" t="str">
        <f t="shared" ca="1" si="7"/>
        <v>Inactive</v>
      </c>
      <c r="H76" s="13">
        <f>RANK(B76,Customer_Tiers[Total_Sales])</f>
        <v>75</v>
      </c>
    </row>
    <row r="77" spans="1:8">
      <c r="A77" t="str">
        <f>'Top Customers'!A79</f>
        <v>ALIAS C.I</v>
      </c>
      <c r="B77" s="5">
        <f>IF(A77="","",IFERROR(GETPIVOTDATA("Sales Amount",'Top Customers'!$A$3,"Customer_name",'Top Customers'!A79),""))</f>
        <v>154036</v>
      </c>
      <c r="C77" t="str">
        <f t="shared" si="4"/>
        <v>Silver</v>
      </c>
      <c r="D77">
        <f t="shared" si="5"/>
        <v>345964</v>
      </c>
      <c r="E77" s="6">
        <f t="shared" si="6"/>
        <v>2.6902577195272582E-3</v>
      </c>
      <c r="F77" s="5">
        <f ca="1">TODAY()-GETPIVOTDATA("LastPurchaseDate",MaxDate!$A$3,"Customer_name",MaxDate!A79)</f>
        <v>41</v>
      </c>
      <c r="G77" t="str">
        <f t="shared" ca="1" si="7"/>
        <v>Active</v>
      </c>
      <c r="H77" s="13">
        <f>RANK(B77,Customer_Tiers[Total_Sales])</f>
        <v>76</v>
      </c>
    </row>
    <row r="78" spans="1:8">
      <c r="A78" t="str">
        <f>'Top Customers'!A80</f>
        <v>V &amp; V ENTERPRISES</v>
      </c>
      <c r="B78" s="5">
        <f>IF(A78="","",IFERROR(GETPIVOTDATA("Sales Amount",'Top Customers'!$A$3,"Customer_name",'Top Customers'!A80),""))</f>
        <v>151390</v>
      </c>
      <c r="C78" t="str">
        <f t="shared" si="4"/>
        <v>Silver</v>
      </c>
      <c r="D78">
        <f t="shared" si="5"/>
        <v>348610</v>
      </c>
      <c r="E78" s="6">
        <f t="shared" si="6"/>
        <v>2.6440450035006857E-3</v>
      </c>
      <c r="F78" s="5">
        <f ca="1">TODAY()-GETPIVOTDATA("LastPurchaseDate",MaxDate!$A$3,"Customer_name",MaxDate!A80)</f>
        <v>92</v>
      </c>
      <c r="G78" t="str">
        <f t="shared" ca="1" si="7"/>
        <v>At Risk</v>
      </c>
      <c r="H78" s="13">
        <f>RANK(B78,Customer_Tiers[Total_Sales])</f>
        <v>77</v>
      </c>
    </row>
    <row r="79" spans="1:8">
      <c r="A79" t="str">
        <f>'Top Customers'!A81</f>
        <v>VINSON KURIAN</v>
      </c>
      <c r="B79" s="5">
        <f>IF(A79="","",IFERROR(GETPIVOTDATA("Sales Amount",'Top Customers'!$A$3,"Customer_name",'Top Customers'!A81),""))</f>
        <v>146057</v>
      </c>
      <c r="C79" t="str">
        <f t="shared" si="4"/>
        <v>Silver</v>
      </c>
      <c r="D79">
        <f t="shared" si="5"/>
        <v>353943</v>
      </c>
      <c r="E79" s="6">
        <f t="shared" si="6"/>
        <v>2.5509035013957307E-3</v>
      </c>
      <c r="F79" s="5">
        <f ca="1">TODAY()-GETPIVOTDATA("LastPurchaseDate",MaxDate!$A$3,"Customer_name",MaxDate!A81)</f>
        <v>192</v>
      </c>
      <c r="G79" t="str">
        <f t="shared" ca="1" si="7"/>
        <v>Inactive</v>
      </c>
      <c r="H79" s="13">
        <f>RANK(B79,Customer_Tiers[Total_Sales])</f>
        <v>78</v>
      </c>
    </row>
    <row r="80" spans="1:8">
      <c r="A80" t="str">
        <f>'Top Customers'!A82</f>
        <v>JOHNY WORKSHOP</v>
      </c>
      <c r="B80" s="5">
        <f>IF(A80="","",IFERROR(GETPIVOTDATA("Sales Amount",'Top Customers'!$A$3,"Customer_name",'Top Customers'!A82),""))</f>
        <v>145256</v>
      </c>
      <c r="C80" t="str">
        <f t="shared" si="4"/>
        <v>Silver</v>
      </c>
      <c r="D80">
        <f t="shared" si="5"/>
        <v>354744</v>
      </c>
      <c r="E80" s="6">
        <f t="shared" si="6"/>
        <v>2.5369139377006116E-3</v>
      </c>
      <c r="F80" s="5">
        <f ca="1">TODAY()-GETPIVOTDATA("LastPurchaseDate",MaxDate!$A$3,"Customer_name",MaxDate!A82)</f>
        <v>3</v>
      </c>
      <c r="G80" t="str">
        <f t="shared" ca="1" si="7"/>
        <v>Active</v>
      </c>
      <c r="H80" s="13">
        <f>RANK(B80,Customer_Tiers[Total_Sales])</f>
        <v>79</v>
      </c>
    </row>
    <row r="81" spans="1:8">
      <c r="A81" t="str">
        <f>'Top Customers'!A83</f>
        <v>J K ENGINEERING WORKS</v>
      </c>
      <c r="B81" s="5">
        <f>IF(A81="","",IFERROR(GETPIVOTDATA("Sales Amount",'Top Customers'!$A$3,"Customer_name",'Top Customers'!A83),""))</f>
        <v>144232</v>
      </c>
      <c r="C81" t="str">
        <f t="shared" si="4"/>
        <v>Silver</v>
      </c>
      <c r="D81">
        <f t="shared" si="5"/>
        <v>355768</v>
      </c>
      <c r="E81" s="6">
        <f t="shared" si="6"/>
        <v>2.5190296515285745E-3</v>
      </c>
      <c r="F81" s="5">
        <f ca="1">TODAY()-GETPIVOTDATA("LastPurchaseDate",MaxDate!$A$3,"Customer_name",MaxDate!A83)</f>
        <v>208</v>
      </c>
      <c r="G81" t="str">
        <f t="shared" ca="1" si="7"/>
        <v>Inactive</v>
      </c>
      <c r="H81" s="13">
        <f>RANK(B81,Customer_Tiers[Total_Sales])</f>
        <v>80</v>
      </c>
    </row>
    <row r="82" spans="1:8">
      <c r="A82" t="str">
        <f>'Top Customers'!A84</f>
        <v>DOYD INTERIORS AND CONTRACTORS</v>
      </c>
      <c r="B82" s="5">
        <f>IF(A82="","",IFERROR(GETPIVOTDATA("Sales Amount",'Top Customers'!$A$3,"Customer_name",'Top Customers'!A84),""))</f>
        <v>143956</v>
      </c>
      <c r="C82" t="str">
        <f t="shared" si="4"/>
        <v>Silver</v>
      </c>
      <c r="D82">
        <f t="shared" si="5"/>
        <v>356044</v>
      </c>
      <c r="E82" s="6">
        <f t="shared" si="6"/>
        <v>2.5142092775212676E-3</v>
      </c>
      <c r="F82" s="5">
        <f ca="1">TODAY()-GETPIVOTDATA("LastPurchaseDate",MaxDate!$A$3,"Customer_name",MaxDate!A84)</f>
        <v>128</v>
      </c>
      <c r="G82" t="str">
        <f t="shared" ca="1" si="7"/>
        <v>Inactive</v>
      </c>
      <c r="H82" s="13">
        <f>RANK(B82,Customer_Tiers[Total_Sales])</f>
        <v>81</v>
      </c>
    </row>
    <row r="83" spans="1:8">
      <c r="A83" t="str">
        <f>'Top Customers'!A85</f>
        <v>APPU PULIKAYATH</v>
      </c>
      <c r="B83" s="5">
        <f>IF(A83="","",IFERROR(GETPIVOTDATA("Sales Amount",'Top Customers'!$A$3,"Customer_name",'Top Customers'!A85),""))</f>
        <v>143584</v>
      </c>
      <c r="C83" t="str">
        <f t="shared" si="4"/>
        <v>Silver</v>
      </c>
      <c r="D83">
        <f t="shared" si="5"/>
        <v>356416</v>
      </c>
      <c r="E83" s="6">
        <f t="shared" si="6"/>
        <v>2.5077122516853323E-3</v>
      </c>
      <c r="F83" s="5">
        <f ca="1">TODAY()-GETPIVOTDATA("LastPurchaseDate",MaxDate!$A$3,"Customer_name",MaxDate!A85)</f>
        <v>218</v>
      </c>
      <c r="G83" t="str">
        <f t="shared" ca="1" si="7"/>
        <v>Inactive</v>
      </c>
      <c r="H83" s="13">
        <f>RANK(B83,Customer_Tiers[Total_Sales])</f>
        <v>82</v>
      </c>
    </row>
    <row r="84" spans="1:8">
      <c r="A84" t="str">
        <f>'Top Customers'!A86</f>
        <v>SURESH KUMAR P C</v>
      </c>
      <c r="B84" s="5">
        <f>IF(A84="","",IFERROR(GETPIVOTDATA("Sales Amount",'Top Customers'!$A$3,"Customer_name",'Top Customers'!A86),""))</f>
        <v>143428</v>
      </c>
      <c r="C84" t="str">
        <f t="shared" si="4"/>
        <v>Silver</v>
      </c>
      <c r="D84">
        <f t="shared" si="5"/>
        <v>356572</v>
      </c>
      <c r="E84" s="6">
        <f t="shared" si="6"/>
        <v>2.5049876924638113E-3</v>
      </c>
      <c r="F84" s="5">
        <f ca="1">TODAY()-GETPIVOTDATA("LastPurchaseDate",MaxDate!$A$3,"Customer_name",MaxDate!A86)</f>
        <v>204</v>
      </c>
      <c r="G84" t="str">
        <f t="shared" ca="1" si="7"/>
        <v>Inactive</v>
      </c>
      <c r="H84" s="13">
        <f>RANK(B84,Customer_Tiers[Total_Sales])</f>
        <v>83</v>
      </c>
    </row>
    <row r="85" spans="1:8">
      <c r="A85" t="str">
        <f>'Top Customers'!A87</f>
        <v>GLAZE INTERIO</v>
      </c>
      <c r="B85" s="5">
        <f>IF(A85="","",IFERROR(GETPIVOTDATA("Sales Amount",'Top Customers'!$A$3,"Customer_name",'Top Customers'!A87),""))</f>
        <v>141297</v>
      </c>
      <c r="C85" t="str">
        <f t="shared" si="4"/>
        <v>Silver</v>
      </c>
      <c r="D85">
        <f t="shared" si="5"/>
        <v>358703</v>
      </c>
      <c r="E85" s="6">
        <f t="shared" si="6"/>
        <v>2.4677695148929016E-3</v>
      </c>
      <c r="F85" s="5">
        <f ca="1">TODAY()-GETPIVOTDATA("LastPurchaseDate",MaxDate!$A$3,"Customer_name",MaxDate!A87)</f>
        <v>2</v>
      </c>
      <c r="G85" t="str">
        <f t="shared" ca="1" si="7"/>
        <v>Active</v>
      </c>
      <c r="H85" s="13">
        <f>RANK(B85,Customer_Tiers[Total_Sales])</f>
        <v>84</v>
      </c>
    </row>
    <row r="86" spans="1:8">
      <c r="A86" t="str">
        <f>'Top Customers'!A88</f>
        <v>THULASIDAS</v>
      </c>
      <c r="B86" s="5">
        <f>IF(A86="","",IFERROR(GETPIVOTDATA("Sales Amount",'Top Customers'!$A$3,"Customer_name",'Top Customers'!A88),""))</f>
        <v>140539</v>
      </c>
      <c r="C86" t="str">
        <f t="shared" si="4"/>
        <v>Silver</v>
      </c>
      <c r="D86">
        <f t="shared" si="5"/>
        <v>359461</v>
      </c>
      <c r="E86" s="6">
        <f t="shared" si="6"/>
        <v>2.4545309514960229E-3</v>
      </c>
      <c r="F86" s="5">
        <f ca="1">TODAY()-GETPIVOTDATA("LastPurchaseDate",MaxDate!$A$3,"Customer_name",MaxDate!A88)</f>
        <v>15</v>
      </c>
      <c r="G86" t="str">
        <f t="shared" ca="1" si="7"/>
        <v>Active</v>
      </c>
      <c r="H86" s="13">
        <f>RANK(B86,Customer_Tiers[Total_Sales])</f>
        <v>85</v>
      </c>
    </row>
    <row r="87" spans="1:8">
      <c r="A87" t="str">
        <f>'Top Customers'!A89</f>
        <v>NISHAD IBRAHIM</v>
      </c>
      <c r="B87" s="5">
        <f>IF(A87="","",IFERROR(GETPIVOTDATA("Sales Amount",'Top Customers'!$A$3,"Customer_name",'Top Customers'!A89),""))</f>
        <v>140404</v>
      </c>
      <c r="C87" t="str">
        <f t="shared" si="4"/>
        <v>Silver</v>
      </c>
      <c r="D87">
        <f t="shared" si="5"/>
        <v>359596</v>
      </c>
      <c r="E87" s="6">
        <f t="shared" si="6"/>
        <v>2.452173159862014E-3</v>
      </c>
      <c r="F87" s="5">
        <f ca="1">TODAY()-GETPIVOTDATA("LastPurchaseDate",MaxDate!$A$3,"Customer_name",MaxDate!A89)</f>
        <v>26</v>
      </c>
      <c r="G87" t="str">
        <f t="shared" ca="1" si="7"/>
        <v>Active</v>
      </c>
      <c r="H87" s="13">
        <f>RANK(B87,Customer_Tiers[Total_Sales])</f>
        <v>86</v>
      </c>
    </row>
    <row r="88" spans="1:8">
      <c r="A88" t="str">
        <f>'Top Customers'!A90</f>
        <v>SUDHEER KAREKKATTIL</v>
      </c>
      <c r="B88" s="5">
        <f>IF(A88="","",IFERROR(GETPIVOTDATA("Sales Amount",'Top Customers'!$A$3,"Customer_name",'Top Customers'!A90),""))</f>
        <v>137668</v>
      </c>
      <c r="C88" t="str">
        <f t="shared" si="4"/>
        <v>Silver</v>
      </c>
      <c r="D88">
        <f t="shared" si="5"/>
        <v>362332</v>
      </c>
      <c r="E88" s="6">
        <f t="shared" si="6"/>
        <v>2.4043885827461022E-3</v>
      </c>
      <c r="F88" s="5">
        <f ca="1">TODAY()-GETPIVOTDATA("LastPurchaseDate",MaxDate!$A$3,"Customer_name",MaxDate!A90)</f>
        <v>302</v>
      </c>
      <c r="G88" t="str">
        <f t="shared" ca="1" si="7"/>
        <v>Inactive</v>
      </c>
      <c r="H88" s="13">
        <f>RANK(B88,Customer_Tiers[Total_Sales])</f>
        <v>87</v>
      </c>
    </row>
    <row r="89" spans="1:8">
      <c r="A89" t="str">
        <f>'Top Customers'!A91</f>
        <v>JOMON MOOSARIPADY</v>
      </c>
      <c r="B89" s="5">
        <f>IF(A89="","",IFERROR(GETPIVOTDATA("Sales Amount",'Top Customers'!$A$3,"Customer_name",'Top Customers'!A91),""))</f>
        <v>134431</v>
      </c>
      <c r="C89" t="str">
        <f t="shared" si="4"/>
        <v>Silver</v>
      </c>
      <c r="D89">
        <f t="shared" si="5"/>
        <v>365569</v>
      </c>
      <c r="E89" s="6">
        <f t="shared" si="6"/>
        <v>2.3478539788995357E-3</v>
      </c>
      <c r="F89" s="5">
        <f ca="1">TODAY()-GETPIVOTDATA("LastPurchaseDate",MaxDate!$A$3,"Customer_name",MaxDate!A91)</f>
        <v>3</v>
      </c>
      <c r="G89" t="str">
        <f t="shared" ca="1" si="7"/>
        <v>Active</v>
      </c>
      <c r="H89" s="13">
        <f>RANK(B89,Customer_Tiers[Total_Sales])</f>
        <v>88</v>
      </c>
    </row>
    <row r="90" spans="1:8">
      <c r="A90" t="str">
        <f>'Top Customers'!A92</f>
        <v>ST.JOSEPH CHURCH</v>
      </c>
      <c r="B90" s="5">
        <f>IF(A90="","",IFERROR(GETPIVOTDATA("Sales Amount",'Top Customers'!$A$3,"Customer_name",'Top Customers'!A92),""))</f>
        <v>133319</v>
      </c>
      <c r="C90" t="str">
        <f t="shared" si="4"/>
        <v>Silver</v>
      </c>
      <c r="D90">
        <f t="shared" si="5"/>
        <v>366681</v>
      </c>
      <c r="E90" s="6">
        <f t="shared" si="6"/>
        <v>2.3284327618845889E-3</v>
      </c>
      <c r="F90" s="5">
        <f ca="1">TODAY()-GETPIVOTDATA("LastPurchaseDate",MaxDate!$A$3,"Customer_name",MaxDate!A92)</f>
        <v>16</v>
      </c>
      <c r="G90" t="str">
        <f t="shared" ca="1" si="7"/>
        <v>Active</v>
      </c>
      <c r="H90" s="13">
        <f>RANK(B90,Customer_Tiers[Total_Sales])</f>
        <v>89</v>
      </c>
    </row>
    <row r="91" spans="1:8">
      <c r="A91" t="str">
        <f>'Top Customers'!A93</f>
        <v>GEORGE , MECHENGARA</v>
      </c>
      <c r="B91" s="5">
        <f>IF(A91="","",IFERROR(GETPIVOTDATA("Sales Amount",'Top Customers'!$A$3,"Customer_name",'Top Customers'!A93),""))</f>
        <v>132291</v>
      </c>
      <c r="C91" t="str">
        <f t="shared" si="4"/>
        <v>Silver</v>
      </c>
      <c r="D91">
        <f t="shared" si="5"/>
        <v>367709</v>
      </c>
      <c r="E91" s="6">
        <f t="shared" si="6"/>
        <v>2.3104786152196924E-3</v>
      </c>
      <c r="F91" s="5">
        <f ca="1">TODAY()-GETPIVOTDATA("LastPurchaseDate",MaxDate!$A$3,"Customer_name",MaxDate!A93)</f>
        <v>157</v>
      </c>
      <c r="G91" t="str">
        <f t="shared" ca="1" si="7"/>
        <v>Inactive</v>
      </c>
      <c r="H91" s="13">
        <f>RANK(B91,Customer_Tiers[Total_Sales])</f>
        <v>90</v>
      </c>
    </row>
    <row r="92" spans="1:8">
      <c r="A92" t="str">
        <f>'Top Customers'!A94</f>
        <v>LINO AKKAMBARA</v>
      </c>
      <c r="B92" s="5">
        <f>IF(A92="","",IFERROR(GETPIVOTDATA("Sales Amount",'Top Customers'!$A$3,"Customer_name",'Top Customers'!A94),""))</f>
        <v>130231</v>
      </c>
      <c r="C92" t="str">
        <f t="shared" si="4"/>
        <v>Silver</v>
      </c>
      <c r="D92">
        <f t="shared" si="5"/>
        <v>369769</v>
      </c>
      <c r="E92" s="6">
        <f t="shared" si="6"/>
        <v>2.2745004613970395E-3</v>
      </c>
      <c r="F92" s="5">
        <f ca="1">TODAY()-GETPIVOTDATA("LastPurchaseDate",MaxDate!$A$3,"Customer_name",MaxDate!A94)</f>
        <v>62</v>
      </c>
      <c r="G92" t="str">
        <f t="shared" ca="1" si="7"/>
        <v>At Risk</v>
      </c>
      <c r="H92" s="13">
        <f>RANK(B92,Customer_Tiers[Total_Sales])</f>
        <v>91</v>
      </c>
    </row>
    <row r="93" spans="1:8">
      <c r="A93" t="str">
        <f>'Top Customers'!A95</f>
        <v>ANEESH M A</v>
      </c>
      <c r="B93" s="5">
        <f>IF(A93="","",IFERROR(GETPIVOTDATA("Sales Amount",'Top Customers'!$A$3,"Customer_name",'Top Customers'!A95),""))</f>
        <v>127237</v>
      </c>
      <c r="C93" t="str">
        <f t="shared" si="4"/>
        <v>Silver</v>
      </c>
      <c r="D93">
        <f t="shared" si="5"/>
        <v>372763</v>
      </c>
      <c r="E93" s="6">
        <f t="shared" si="6"/>
        <v>2.2222098824916888E-3</v>
      </c>
      <c r="F93" s="5">
        <f ca="1">TODAY()-GETPIVOTDATA("LastPurchaseDate",MaxDate!$A$3,"Customer_name",MaxDate!A95)</f>
        <v>57</v>
      </c>
      <c r="G93" t="str">
        <f t="shared" ca="1" si="7"/>
        <v>Active</v>
      </c>
      <c r="H93" s="13">
        <f>RANK(B93,Customer_Tiers[Total_Sales])</f>
        <v>92</v>
      </c>
    </row>
    <row r="94" spans="1:8">
      <c r="A94" t="str">
        <f>'Top Customers'!A96</f>
        <v>ST.MARY'S CHURCH VALAMBOOR</v>
      </c>
      <c r="B94" s="5">
        <f>IF(A94="","",IFERROR(GETPIVOTDATA("Sales Amount",'Top Customers'!$A$3,"Customer_name",'Top Customers'!A96),""))</f>
        <v>126772</v>
      </c>
      <c r="C94" t="str">
        <f t="shared" si="4"/>
        <v>Silver</v>
      </c>
      <c r="D94">
        <f t="shared" si="5"/>
        <v>373228</v>
      </c>
      <c r="E94" s="6">
        <f t="shared" si="6"/>
        <v>2.2140886001967694E-3</v>
      </c>
      <c r="F94" s="5">
        <f ca="1">TODAY()-GETPIVOTDATA("LastPurchaseDate",MaxDate!$A$3,"Customer_name",MaxDate!A96)</f>
        <v>55</v>
      </c>
      <c r="G94" t="str">
        <f t="shared" ca="1" si="7"/>
        <v>Active</v>
      </c>
      <c r="H94" s="13">
        <f>RANK(B94,Customer_Tiers[Total_Sales])</f>
        <v>93</v>
      </c>
    </row>
    <row r="95" spans="1:8">
      <c r="A95" t="str">
        <f>'Top Customers'!A97</f>
        <v>ARUN C THATTAMUGAL</v>
      </c>
      <c r="B95" s="5">
        <f>IF(A95="","",IFERROR(GETPIVOTDATA("Sales Amount",'Top Customers'!$A$3,"Customer_name",'Top Customers'!A97),""))</f>
        <v>126205</v>
      </c>
      <c r="C95" t="str">
        <f t="shared" si="4"/>
        <v>Silver</v>
      </c>
      <c r="D95">
        <f t="shared" si="5"/>
        <v>373795</v>
      </c>
      <c r="E95" s="6">
        <f t="shared" si="6"/>
        <v>2.2041858753339325E-3</v>
      </c>
      <c r="F95" s="5">
        <f ca="1">TODAY()-GETPIVOTDATA("LastPurchaseDate",MaxDate!$A$3,"Customer_name",MaxDate!A97)</f>
        <v>27</v>
      </c>
      <c r="G95" t="str">
        <f t="shared" ca="1" si="7"/>
        <v>Active</v>
      </c>
      <c r="H95" s="13">
        <f>RANK(B95,Customer_Tiers[Total_Sales])</f>
        <v>94</v>
      </c>
    </row>
    <row r="96" spans="1:8">
      <c r="A96" t="str">
        <f>'Top Customers'!A98</f>
        <v>SREEKUMAR KANINAD</v>
      </c>
      <c r="B96" s="5">
        <f>IF(A96="","",IFERROR(GETPIVOTDATA("Sales Amount",'Top Customers'!$A$3,"Customer_name",'Top Customers'!A98),""))</f>
        <v>125168</v>
      </c>
      <c r="C96" t="str">
        <f t="shared" si="4"/>
        <v>Silver</v>
      </c>
      <c r="D96">
        <f t="shared" si="5"/>
        <v>374832</v>
      </c>
      <c r="E96" s="6">
        <f t="shared" si="6"/>
        <v>2.186074542560102E-3</v>
      </c>
      <c r="F96" s="5">
        <f ca="1">TODAY()-GETPIVOTDATA("LastPurchaseDate",MaxDate!$A$3,"Customer_name",MaxDate!A98)</f>
        <v>264</v>
      </c>
      <c r="G96" t="str">
        <f t="shared" ca="1" si="7"/>
        <v>Inactive</v>
      </c>
      <c r="H96" s="13">
        <f>RANK(B96,Customer_Tiers[Total_Sales])</f>
        <v>95</v>
      </c>
    </row>
    <row r="97" spans="1:8">
      <c r="A97" t="str">
        <f>'Top Customers'!A99</f>
        <v>ANSAR , THANDAKKALA</v>
      </c>
      <c r="B97" s="5">
        <f>IF(A97="","",IFERROR(GETPIVOTDATA("Sales Amount",'Top Customers'!$A$3,"Customer_name",'Top Customers'!A99),""))</f>
        <v>123485</v>
      </c>
      <c r="C97" t="str">
        <f t="shared" si="4"/>
        <v>Silver</v>
      </c>
      <c r="D97">
        <f t="shared" si="5"/>
        <v>376515</v>
      </c>
      <c r="E97" s="6">
        <f t="shared" si="6"/>
        <v>2.156680740189459E-3</v>
      </c>
      <c r="F97" s="5">
        <f ca="1">TODAY()-GETPIVOTDATA("LastPurchaseDate",MaxDate!$A$3,"Customer_name",MaxDate!A99)</f>
        <v>78</v>
      </c>
      <c r="G97" t="str">
        <f t="shared" ca="1" si="7"/>
        <v>At Risk</v>
      </c>
      <c r="H97" s="13">
        <f>RANK(B97,Customer_Tiers[Total_Sales])</f>
        <v>96</v>
      </c>
    </row>
    <row r="98" spans="1:8">
      <c r="A98" t="str">
        <f>'Top Customers'!A100</f>
        <v>VINOD HITACHI</v>
      </c>
      <c r="B98" s="5">
        <f>IF(A98="","",IFERROR(GETPIVOTDATA("Sales Amount",'Top Customers'!$A$3,"Customer_name",'Top Customers'!A100),""))</f>
        <v>123324</v>
      </c>
      <c r="C98" t="str">
        <f t="shared" si="4"/>
        <v>Silver</v>
      </c>
      <c r="D98">
        <f t="shared" si="5"/>
        <v>376676</v>
      </c>
      <c r="E98" s="6">
        <f t="shared" si="6"/>
        <v>2.1538688553518633E-3</v>
      </c>
      <c r="F98" s="5">
        <f ca="1">TODAY()-GETPIVOTDATA("LastPurchaseDate",MaxDate!$A$3,"Customer_name",MaxDate!A100)</f>
        <v>5</v>
      </c>
      <c r="G98" t="str">
        <f t="shared" ca="1" si="7"/>
        <v>Active</v>
      </c>
      <c r="H98" s="13">
        <f>RANK(B98,Customer_Tiers[Total_Sales])</f>
        <v>97</v>
      </c>
    </row>
    <row r="99" spans="1:8">
      <c r="A99" t="str">
        <f>'Top Customers'!A101</f>
        <v>SUKUMARAN PULINCHODE</v>
      </c>
      <c r="B99" s="5">
        <f>IF(A99="","",IFERROR(GETPIVOTDATA("Sales Amount",'Top Customers'!$A$3,"Customer_name",'Top Customers'!A101),""))</f>
        <v>122906</v>
      </c>
      <c r="C99" t="str">
        <f t="shared" si="4"/>
        <v>Silver</v>
      </c>
      <c r="D99">
        <f t="shared" si="5"/>
        <v>377094</v>
      </c>
      <c r="E99" s="6">
        <f t="shared" si="6"/>
        <v>2.1465684338480436E-3</v>
      </c>
      <c r="F99" s="5">
        <f ca="1">TODAY()-GETPIVOTDATA("LastPurchaseDate",MaxDate!$A$3,"Customer_name",MaxDate!A101)</f>
        <v>199</v>
      </c>
      <c r="G99" t="str">
        <f t="shared" ca="1" si="7"/>
        <v>Inactive</v>
      </c>
      <c r="H99" s="13">
        <f>RANK(B99,Customer_Tiers[Total_Sales])</f>
        <v>98</v>
      </c>
    </row>
    <row r="100" spans="1:8">
      <c r="A100" t="str">
        <f>'Top Customers'!A102</f>
        <v>SHIBIN THURUTHEPARAMBU</v>
      </c>
      <c r="B100" s="5">
        <f>IF(A100="","",IFERROR(GETPIVOTDATA("Sales Amount",'Top Customers'!$A$3,"Customer_name",'Top Customers'!A102),""))</f>
        <v>121917</v>
      </c>
      <c r="C100" t="str">
        <f t="shared" si="4"/>
        <v>Silver</v>
      </c>
      <c r="D100">
        <f t="shared" si="5"/>
        <v>378083</v>
      </c>
      <c r="E100" s="6">
        <f t="shared" si="6"/>
        <v>2.1292954269885272E-3</v>
      </c>
      <c r="F100" s="5">
        <f ca="1">TODAY()-GETPIVOTDATA("LastPurchaseDate",MaxDate!$A$3,"Customer_name",MaxDate!A102)</f>
        <v>18</v>
      </c>
      <c r="G100" t="str">
        <f t="shared" ca="1" si="7"/>
        <v>Active</v>
      </c>
      <c r="H100" s="13">
        <f>RANK(B100,Customer_Tiers[Total_Sales])</f>
        <v>99</v>
      </c>
    </row>
    <row r="101" spans="1:8">
      <c r="A101" t="str">
        <f>'Top Customers'!A103</f>
        <v>AMEERKHAN K P</v>
      </c>
      <c r="B101" s="5">
        <f>IF(A101="","",IFERROR(GETPIVOTDATA("Sales Amount",'Top Customers'!$A$3,"Customer_name",'Top Customers'!A103),""))</f>
        <v>116800</v>
      </c>
      <c r="C101" t="str">
        <f t="shared" si="4"/>
        <v>Silver</v>
      </c>
      <c r="D101">
        <f t="shared" si="5"/>
        <v>383200</v>
      </c>
      <c r="E101" s="6">
        <f t="shared" si="6"/>
        <v>2.039926391497986E-3</v>
      </c>
      <c r="F101" s="5">
        <f ca="1">TODAY()-GETPIVOTDATA("LastPurchaseDate",MaxDate!$A$3,"Customer_name",MaxDate!A103)</f>
        <v>187</v>
      </c>
      <c r="G101" t="str">
        <f t="shared" ca="1" si="7"/>
        <v>Inactive</v>
      </c>
      <c r="H101" s="13">
        <f>RANK(B101,Customer_Tiers[Total_Sales])</f>
        <v>100</v>
      </c>
    </row>
    <row r="102" spans="1:8">
      <c r="A102" t="str">
        <f>'Top Customers'!A104</f>
        <v>MATTAKKATTIL FUELS</v>
      </c>
      <c r="B102" s="5">
        <f>IF(A102="","",IFERROR(GETPIVOTDATA("Sales Amount",'Top Customers'!$A$3,"Customer_name",'Top Customers'!A104),""))</f>
        <v>116672</v>
      </c>
      <c r="C102" t="str">
        <f t="shared" si="4"/>
        <v>Silver</v>
      </c>
      <c r="D102">
        <f t="shared" si="5"/>
        <v>383328</v>
      </c>
      <c r="E102" s="6">
        <f t="shared" si="6"/>
        <v>2.0376908557264814E-3</v>
      </c>
      <c r="F102" s="5">
        <f ca="1">TODAY()-GETPIVOTDATA("LastPurchaseDate",MaxDate!$A$3,"Customer_name",MaxDate!A104)</f>
        <v>152</v>
      </c>
      <c r="G102" t="str">
        <f t="shared" ca="1" si="7"/>
        <v>Inactive</v>
      </c>
      <c r="H102" s="13">
        <f>RANK(B102,Customer_Tiers[Total_Sales])</f>
        <v>101</v>
      </c>
    </row>
    <row r="103" spans="1:8">
      <c r="A103" t="str">
        <f>'Top Customers'!A105</f>
        <v>SAKKEER PLAPPILLY APE</v>
      </c>
      <c r="B103" s="5">
        <f>IF(A103="","",IFERROR(GETPIVOTDATA("Sales Amount",'Top Customers'!$A$3,"Customer_name",'Top Customers'!A105),""))</f>
        <v>115636</v>
      </c>
      <c r="C103" t="str">
        <f t="shared" si="4"/>
        <v>Silver</v>
      </c>
      <c r="D103">
        <f t="shared" si="5"/>
        <v>384364</v>
      </c>
      <c r="E103" s="6">
        <f t="shared" si="6"/>
        <v>2.0195969880758657E-3</v>
      </c>
      <c r="F103" s="5">
        <f ca="1">TODAY()-GETPIVOTDATA("LastPurchaseDate",MaxDate!$A$3,"Customer_name",MaxDate!A105)</f>
        <v>9</v>
      </c>
      <c r="G103" t="str">
        <f t="shared" ca="1" si="7"/>
        <v>Active</v>
      </c>
      <c r="H103" s="13">
        <f>RANK(B103,Customer_Tiers[Total_Sales])</f>
        <v>102</v>
      </c>
    </row>
    <row r="104" spans="1:8">
      <c r="A104" t="str">
        <f>'Top Customers'!A106</f>
        <v>PADMAN</v>
      </c>
      <c r="B104" s="5">
        <f>IF(A104="","",IFERROR(GETPIVOTDATA("Sales Amount",'Top Customers'!$A$3,"Customer_name",'Top Customers'!A106),""))</f>
        <v>114394</v>
      </c>
      <c r="C104" t="str">
        <f t="shared" si="4"/>
        <v>Silver</v>
      </c>
      <c r="D104">
        <f t="shared" si="5"/>
        <v>385606</v>
      </c>
      <c r="E104" s="6">
        <f t="shared" si="6"/>
        <v>1.9979053050429847E-3</v>
      </c>
      <c r="F104" s="5">
        <f ca="1">TODAY()-GETPIVOTDATA("LastPurchaseDate",MaxDate!$A$3,"Customer_name",MaxDate!A106)</f>
        <v>2</v>
      </c>
      <c r="G104" t="str">
        <f t="shared" ca="1" si="7"/>
        <v>Active</v>
      </c>
      <c r="H104" s="13">
        <f>RANK(B104,Customer_Tiers[Total_Sales])</f>
        <v>103</v>
      </c>
    </row>
    <row r="105" spans="1:8">
      <c r="A105" t="str">
        <f>'Top Customers'!A107</f>
        <v>GRACE ENGINEERING WORKS</v>
      </c>
      <c r="B105" s="5">
        <f>IF(A105="","",IFERROR(GETPIVOTDATA("Sales Amount",'Top Customers'!$A$3,"Customer_name",'Top Customers'!A107),""))</f>
        <v>113848</v>
      </c>
      <c r="C105" t="str">
        <f t="shared" si="4"/>
        <v>Silver</v>
      </c>
      <c r="D105">
        <f t="shared" si="5"/>
        <v>386152</v>
      </c>
      <c r="E105" s="6">
        <f t="shared" si="6"/>
        <v>1.9883693477676604E-3</v>
      </c>
      <c r="F105" s="5">
        <f ca="1">TODAY()-GETPIVOTDATA("LastPurchaseDate",MaxDate!$A$3,"Customer_name",MaxDate!A107)</f>
        <v>23</v>
      </c>
      <c r="G105" t="str">
        <f t="shared" ca="1" si="7"/>
        <v>Active</v>
      </c>
      <c r="H105" s="13">
        <f>RANK(B105,Customer_Tiers[Total_Sales])</f>
        <v>104</v>
      </c>
    </row>
    <row r="106" spans="1:8">
      <c r="A106" t="str">
        <f>'Top Customers'!A108</f>
        <v>RAJU EMBASSERY</v>
      </c>
      <c r="B106" s="5">
        <f>IF(A106="","",IFERROR(GETPIVOTDATA("Sales Amount",'Top Customers'!$A$3,"Customer_name",'Top Customers'!A108),""))</f>
        <v>113130</v>
      </c>
      <c r="C106" t="str">
        <f t="shared" si="4"/>
        <v>Silver</v>
      </c>
      <c r="D106">
        <f t="shared" si="5"/>
        <v>386870</v>
      </c>
      <c r="E106" s="6">
        <f t="shared" si="6"/>
        <v>1.9758293892993763E-3</v>
      </c>
      <c r="F106" s="5">
        <f ca="1">TODAY()-GETPIVOTDATA("LastPurchaseDate",MaxDate!$A$3,"Customer_name",MaxDate!A108)</f>
        <v>200</v>
      </c>
      <c r="G106" t="str">
        <f t="shared" ca="1" si="7"/>
        <v>Inactive</v>
      </c>
      <c r="H106" s="13">
        <f>RANK(B106,Customer_Tiers[Total_Sales])</f>
        <v>105</v>
      </c>
    </row>
    <row r="107" spans="1:8">
      <c r="A107" t="str">
        <f>'Top Customers'!A109</f>
        <v>NISSAR , PASSENGER</v>
      </c>
      <c r="B107" s="5">
        <f>IF(A107="","",IFERROR(GETPIVOTDATA("Sales Amount",'Top Customers'!$A$3,"Customer_name",'Top Customers'!A109),""))</f>
        <v>112741</v>
      </c>
      <c r="C107" t="str">
        <f t="shared" si="4"/>
        <v>Silver</v>
      </c>
      <c r="D107">
        <f t="shared" si="5"/>
        <v>387259</v>
      </c>
      <c r="E107" s="6">
        <f t="shared" si="6"/>
        <v>1.9690354563687879E-3</v>
      </c>
      <c r="F107" s="5">
        <f ca="1">TODAY()-GETPIVOTDATA("LastPurchaseDate",MaxDate!$A$3,"Customer_name",MaxDate!A109)</f>
        <v>145</v>
      </c>
      <c r="G107" t="str">
        <f t="shared" ca="1" si="7"/>
        <v>Inactive</v>
      </c>
      <c r="H107" s="13">
        <f>RANK(B107,Customer_Tiers[Total_Sales])</f>
        <v>106</v>
      </c>
    </row>
    <row r="108" spans="1:8">
      <c r="A108" t="str">
        <f>'Top Customers'!A110</f>
        <v>SHIBU CREATIVE</v>
      </c>
      <c r="B108" s="5">
        <f>IF(A108="","",IFERROR(GETPIVOTDATA("Sales Amount",'Top Customers'!$A$3,"Customer_name",'Top Customers'!A110),""))</f>
        <v>111858</v>
      </c>
      <c r="C108" t="str">
        <f t="shared" si="4"/>
        <v>Silver</v>
      </c>
      <c r="D108">
        <f t="shared" si="5"/>
        <v>388142</v>
      </c>
      <c r="E108" s="6">
        <f t="shared" si="6"/>
        <v>1.9536137525700491E-3</v>
      </c>
      <c r="F108" s="5">
        <f ca="1">TODAY()-GETPIVOTDATA("LastPurchaseDate",MaxDate!$A$3,"Customer_name",MaxDate!A110)</f>
        <v>25</v>
      </c>
      <c r="G108" t="str">
        <f t="shared" ca="1" si="7"/>
        <v>Active</v>
      </c>
      <c r="H108" s="13">
        <f>RANK(B108,Customer_Tiers[Total_Sales])</f>
        <v>107</v>
      </c>
    </row>
    <row r="109" spans="1:8">
      <c r="A109" t="str">
        <f>'Top Customers'!A111</f>
        <v>MAKKAR.M.P</v>
      </c>
      <c r="B109" s="5">
        <f>IF(A109="","",IFERROR(GETPIVOTDATA("Sales Amount",'Top Customers'!$A$3,"Customer_name",'Top Customers'!A111),""))</f>
        <v>111576</v>
      </c>
      <c r="C109" t="str">
        <f t="shared" si="4"/>
        <v>Silver</v>
      </c>
      <c r="D109">
        <f t="shared" si="5"/>
        <v>388424</v>
      </c>
      <c r="E109" s="6">
        <f t="shared" si="6"/>
        <v>1.9486885878234527E-3</v>
      </c>
      <c r="F109" s="5">
        <f ca="1">TODAY()-GETPIVOTDATA("LastPurchaseDate",MaxDate!$A$3,"Customer_name",MaxDate!A111)</f>
        <v>129</v>
      </c>
      <c r="G109" t="str">
        <f t="shared" ca="1" si="7"/>
        <v>Inactive</v>
      </c>
      <c r="H109" s="13">
        <f>RANK(B109,Customer_Tiers[Total_Sales])</f>
        <v>108</v>
      </c>
    </row>
    <row r="110" spans="1:8">
      <c r="A110" t="str">
        <f>'Top Customers'!A112</f>
        <v>RAPHEL, THATTAMUGAL</v>
      </c>
      <c r="B110" s="5">
        <f>IF(A110="","",IFERROR(GETPIVOTDATA("Sales Amount",'Top Customers'!$A$3,"Customer_name",'Top Customers'!A112),""))</f>
        <v>111072</v>
      </c>
      <c r="C110" t="str">
        <f t="shared" si="4"/>
        <v>Silver</v>
      </c>
      <c r="D110">
        <f t="shared" si="5"/>
        <v>388928</v>
      </c>
      <c r="E110" s="6">
        <f t="shared" si="6"/>
        <v>1.9398861657231533E-3</v>
      </c>
      <c r="F110" s="5">
        <f ca="1">TODAY()-GETPIVOTDATA("LastPurchaseDate",MaxDate!$A$3,"Customer_name",MaxDate!A112)</f>
        <v>85</v>
      </c>
      <c r="G110" t="str">
        <f t="shared" ca="1" si="7"/>
        <v>At Risk</v>
      </c>
      <c r="H110" s="13">
        <f>RANK(B110,Customer_Tiers[Total_Sales])</f>
        <v>109</v>
      </c>
    </row>
    <row r="111" spans="1:8">
      <c r="A111" t="str">
        <f>'Top Customers'!A113</f>
        <v>HI TECH COMPANY</v>
      </c>
      <c r="B111" s="5">
        <f>IF(A111="","",IFERROR(GETPIVOTDATA("Sales Amount",'Top Customers'!$A$3,"Customer_name",'Top Customers'!A113),""))</f>
        <v>109694</v>
      </c>
      <c r="C111" t="str">
        <f t="shared" si="4"/>
        <v>Silver</v>
      </c>
      <c r="D111">
        <f t="shared" si="5"/>
        <v>390306</v>
      </c>
      <c r="E111" s="6">
        <f t="shared" si="6"/>
        <v>1.9158192259330486E-3</v>
      </c>
      <c r="F111" s="5">
        <f ca="1">TODAY()-GETPIVOTDATA("LastPurchaseDate",MaxDate!$A$3,"Customer_name",MaxDate!A113)</f>
        <v>6</v>
      </c>
      <c r="G111" t="str">
        <f t="shared" ca="1" si="7"/>
        <v>Active</v>
      </c>
      <c r="H111" s="13">
        <f>RANK(B111,Customer_Tiers[Total_Sales])</f>
        <v>110</v>
      </c>
    </row>
    <row r="112" spans="1:8">
      <c r="A112" t="str">
        <f>'Top Customers'!A114</f>
        <v>SANTHOSH, CHENGARA</v>
      </c>
      <c r="B112" s="5">
        <f>IF(A112="","",IFERROR(GETPIVOTDATA("Sales Amount",'Top Customers'!$A$3,"Customer_name",'Top Customers'!A114),""))</f>
        <v>108415</v>
      </c>
      <c r="C112" t="str">
        <f t="shared" si="4"/>
        <v>Silver</v>
      </c>
      <c r="D112">
        <f t="shared" si="5"/>
        <v>391585</v>
      </c>
      <c r="E112" s="6">
        <f t="shared" si="6"/>
        <v>1.8934813333412171E-3</v>
      </c>
      <c r="F112" s="5">
        <f ca="1">TODAY()-GETPIVOTDATA("LastPurchaseDate",MaxDate!$A$3,"Customer_name",MaxDate!A114)</f>
        <v>128</v>
      </c>
      <c r="G112" t="str">
        <f t="shared" ca="1" si="7"/>
        <v>Inactive</v>
      </c>
      <c r="H112" s="13">
        <f>RANK(B112,Customer_Tiers[Total_Sales])</f>
        <v>111</v>
      </c>
    </row>
    <row r="113" spans="1:8">
      <c r="A113" t="str">
        <f>'Top Customers'!A115</f>
        <v>EBY PUNNACHALIL</v>
      </c>
      <c r="B113" s="5">
        <f>IF(A113="","",IFERROR(GETPIVOTDATA("Sales Amount",'Top Customers'!$A$3,"Customer_name",'Top Customers'!A115),""))</f>
        <v>106813</v>
      </c>
      <c r="C113" t="str">
        <f t="shared" si="4"/>
        <v>Silver</v>
      </c>
      <c r="D113">
        <f t="shared" si="5"/>
        <v>393187</v>
      </c>
      <c r="E113" s="6">
        <f t="shared" si="6"/>
        <v>1.8655022059509794E-3</v>
      </c>
      <c r="F113" s="5">
        <f ca="1">TODAY()-GETPIVOTDATA("LastPurchaseDate",MaxDate!$A$3,"Customer_name",MaxDate!A115)</f>
        <v>22</v>
      </c>
      <c r="G113" t="str">
        <f t="shared" ca="1" si="7"/>
        <v>Active</v>
      </c>
      <c r="H113" s="13">
        <f>RANK(B113,Customer_Tiers[Total_Sales])</f>
        <v>112</v>
      </c>
    </row>
    <row r="114" spans="1:8">
      <c r="A114" t="str">
        <f>'Top Customers'!A116</f>
        <v>SONEUR ENERGY PRIVATE LTD.</v>
      </c>
      <c r="B114" s="5">
        <f>IF(A114="","",IFERROR(GETPIVOTDATA("Sales Amount",'Top Customers'!$A$3,"Customer_name",'Top Customers'!A116),""))</f>
        <v>105615</v>
      </c>
      <c r="C114" t="str">
        <f t="shared" si="4"/>
        <v>Silver</v>
      </c>
      <c r="D114">
        <f t="shared" si="5"/>
        <v>394385</v>
      </c>
      <c r="E114" s="6">
        <f t="shared" si="6"/>
        <v>1.8445789883395529E-3</v>
      </c>
      <c r="F114" s="5">
        <f ca="1">TODAY()-GETPIVOTDATA("LastPurchaseDate",MaxDate!$A$3,"Customer_name",MaxDate!A116)</f>
        <v>300</v>
      </c>
      <c r="G114" t="str">
        <f t="shared" ca="1" si="7"/>
        <v>Inactive</v>
      </c>
      <c r="H114" s="13">
        <f>RANK(B114,Customer_Tiers[Total_Sales])</f>
        <v>113</v>
      </c>
    </row>
    <row r="115" spans="1:8">
      <c r="A115" t="str">
        <f>'Top Customers'!A117</f>
        <v>AGUL MAZHUVANOOR</v>
      </c>
      <c r="B115" s="5">
        <f>IF(A115="","",IFERROR(GETPIVOTDATA("Sales Amount",'Top Customers'!$A$3,"Customer_name",'Top Customers'!A117),""))</f>
        <v>103582</v>
      </c>
      <c r="C115" t="str">
        <f t="shared" si="4"/>
        <v>Silver</v>
      </c>
      <c r="D115">
        <f t="shared" si="5"/>
        <v>396418</v>
      </c>
      <c r="E115" s="6">
        <f t="shared" si="6"/>
        <v>1.8090723928437019E-3</v>
      </c>
      <c r="F115" s="5">
        <f ca="1">TODAY()-GETPIVOTDATA("LastPurchaseDate",MaxDate!$A$3,"Customer_name",MaxDate!A117)</f>
        <v>18</v>
      </c>
      <c r="G115" t="str">
        <f t="shared" ca="1" si="7"/>
        <v>Active</v>
      </c>
      <c r="H115" s="13">
        <f>RANK(B115,Customer_Tiers[Total_Sales])</f>
        <v>114</v>
      </c>
    </row>
    <row r="116" spans="1:8">
      <c r="A116" t="str">
        <f>'Top Customers'!A118</f>
        <v>BABU CHOLLAPPILLY</v>
      </c>
      <c r="B116" s="5">
        <f>IF(A116="","",IFERROR(GETPIVOTDATA("Sales Amount",'Top Customers'!$A$3,"Customer_name",'Top Customers'!A118),""))</f>
        <v>103445</v>
      </c>
      <c r="C116" t="str">
        <f t="shared" si="4"/>
        <v>Silver</v>
      </c>
      <c r="D116">
        <f t="shared" si="5"/>
        <v>396555</v>
      </c>
      <c r="E116" s="6">
        <f t="shared" si="6"/>
        <v>1.8066796709632633E-3</v>
      </c>
      <c r="F116" s="5">
        <f ca="1">TODAY()-GETPIVOTDATA("LastPurchaseDate",MaxDate!$A$3,"Customer_name",MaxDate!A118)</f>
        <v>40</v>
      </c>
      <c r="G116" t="str">
        <f t="shared" ca="1" si="7"/>
        <v>Active</v>
      </c>
      <c r="H116" s="13">
        <f>RANK(B116,Customer_Tiers[Total_Sales])</f>
        <v>115</v>
      </c>
    </row>
    <row r="117" spans="1:8">
      <c r="A117" t="str">
        <f>'Top Customers'!A119</f>
        <v>VIJESH T V</v>
      </c>
      <c r="B117" s="5">
        <f>IF(A117="","",IFERROR(GETPIVOTDATA("Sales Amount",'Top Customers'!$A$3,"Customer_name",'Top Customers'!A119),""))</f>
        <v>103075</v>
      </c>
      <c r="C117" t="str">
        <f t="shared" si="4"/>
        <v>Silver</v>
      </c>
      <c r="D117">
        <f t="shared" si="5"/>
        <v>396925</v>
      </c>
      <c r="E117" s="6">
        <f t="shared" si="6"/>
        <v>1.8002175753737578E-3</v>
      </c>
      <c r="F117" s="5">
        <f ca="1">TODAY()-GETPIVOTDATA("LastPurchaseDate",MaxDate!$A$3,"Customer_name",MaxDate!A119)</f>
        <v>192</v>
      </c>
      <c r="G117" t="str">
        <f t="shared" ca="1" si="7"/>
        <v>Inactive</v>
      </c>
      <c r="H117" s="13">
        <f>RANK(B117,Customer_Tiers[Total_Sales])</f>
        <v>116</v>
      </c>
    </row>
    <row r="118" spans="1:8">
      <c r="A118" t="str">
        <f>'Top Customers'!A120</f>
        <v>JOE EQUIPEMENT</v>
      </c>
      <c r="B118" s="5">
        <f>IF(A118="","",IFERROR(GETPIVOTDATA("Sales Amount",'Top Customers'!$A$3,"Customer_name",'Top Customers'!A120),""))</f>
        <v>101277</v>
      </c>
      <c r="C118" t="str">
        <f t="shared" si="4"/>
        <v>Silver</v>
      </c>
      <c r="D118">
        <f t="shared" si="5"/>
        <v>398723</v>
      </c>
      <c r="E118" s="6">
        <f t="shared" si="6"/>
        <v>1.7688152838334036E-3</v>
      </c>
      <c r="F118" s="5">
        <f ca="1">TODAY()-GETPIVOTDATA("LastPurchaseDate",MaxDate!$A$3,"Customer_name",MaxDate!A120)</f>
        <v>65</v>
      </c>
      <c r="G118" t="str">
        <f t="shared" ca="1" si="7"/>
        <v>At Risk</v>
      </c>
      <c r="H118" s="13">
        <f>RANK(B118,Customer_Tiers[Total_Sales])</f>
        <v>117</v>
      </c>
    </row>
    <row r="119" spans="1:8">
      <c r="A119" t="str">
        <f>'Top Customers'!A121</f>
        <v>CHANDRA CHOODAN</v>
      </c>
      <c r="B119" s="5">
        <f>IF(A119="","",IFERROR(GETPIVOTDATA("Sales Amount",'Top Customers'!$A$3,"Customer_name",'Top Customers'!A121),""))</f>
        <v>101108</v>
      </c>
      <c r="C119" t="str">
        <f t="shared" si="4"/>
        <v>Silver</v>
      </c>
      <c r="D119">
        <f t="shared" si="5"/>
        <v>398892</v>
      </c>
      <c r="E119" s="6">
        <f t="shared" si="6"/>
        <v>1.7658636780100887E-3</v>
      </c>
      <c r="F119" s="5">
        <f ca="1">TODAY()-GETPIVOTDATA("LastPurchaseDate",MaxDate!$A$3,"Customer_name",MaxDate!A121)</f>
        <v>226</v>
      </c>
      <c r="G119" t="str">
        <f t="shared" ca="1" si="7"/>
        <v>Inactive</v>
      </c>
      <c r="H119" s="13">
        <f>RANK(B119,Customer_Tiers[Total_Sales])</f>
        <v>118</v>
      </c>
    </row>
    <row r="120" spans="1:8">
      <c r="A120" t="str">
        <f>'Top Customers'!A122</f>
        <v>SANGEETHA PRASAD</v>
      </c>
      <c r="B120" s="5">
        <f>IF(A120="","",IFERROR(GETPIVOTDATA("Sales Amount",'Top Customers'!$A$3,"Customer_name",'Top Customers'!A122),""))</f>
        <v>100776</v>
      </c>
      <c r="C120" t="str">
        <f t="shared" si="4"/>
        <v>Silver</v>
      </c>
      <c r="D120">
        <f t="shared" si="5"/>
        <v>399224</v>
      </c>
      <c r="E120" s="6">
        <f t="shared" si="6"/>
        <v>1.7600652571027487E-3</v>
      </c>
      <c r="F120" s="5">
        <f ca="1">TODAY()-GETPIVOTDATA("LastPurchaseDate",MaxDate!$A$3,"Customer_name",MaxDate!A122)</f>
        <v>225</v>
      </c>
      <c r="G120" t="str">
        <f t="shared" ca="1" si="7"/>
        <v>Inactive</v>
      </c>
      <c r="H120" s="13">
        <f>RANK(B120,Customer_Tiers[Total_Sales])</f>
        <v>119</v>
      </c>
    </row>
    <row r="121" spans="1:8">
      <c r="A121" t="str">
        <f>'Top Customers'!A123</f>
        <v>JAMAL TRUSS</v>
      </c>
      <c r="B121" s="5">
        <f>IF(A121="","",IFERROR(GETPIVOTDATA("Sales Amount",'Top Customers'!$A$3,"Customer_name",'Top Customers'!A123),""))</f>
        <v>100178</v>
      </c>
      <c r="C121" t="str">
        <f t="shared" si="4"/>
        <v>Silver</v>
      </c>
      <c r="D121">
        <f t="shared" si="5"/>
        <v>399822</v>
      </c>
      <c r="E121" s="6">
        <f t="shared" si="6"/>
        <v>1.7496211134202504E-3</v>
      </c>
      <c r="F121" s="5">
        <f ca="1">TODAY()-GETPIVOTDATA("LastPurchaseDate",MaxDate!$A$3,"Customer_name",MaxDate!A123)</f>
        <v>38</v>
      </c>
      <c r="G121" t="str">
        <f t="shared" ca="1" si="7"/>
        <v>Active</v>
      </c>
      <c r="H121" s="13">
        <f>RANK(B121,Customer_Tiers[Total_Sales])</f>
        <v>120</v>
      </c>
    </row>
    <row r="122" spans="1:8">
      <c r="A122" t="str">
        <f>'Top Customers'!A124</f>
        <v>ALI PATTIMATTOM</v>
      </c>
      <c r="B122" s="5">
        <f>IF(A122="","",IFERROR(GETPIVOTDATA("Sales Amount",'Top Customers'!$A$3,"Customer_name",'Top Customers'!A124),""))</f>
        <v>98989</v>
      </c>
      <c r="C122" t="str">
        <f t="shared" si="4"/>
        <v>Regular</v>
      </c>
      <c r="D122">
        <f t="shared" si="5"/>
        <v>1011</v>
      </c>
      <c r="E122" s="6">
        <f t="shared" si="6"/>
        <v>1.728855081917758E-3</v>
      </c>
      <c r="F122" s="5">
        <f ca="1">TODAY()-GETPIVOTDATA("LastPurchaseDate",MaxDate!$A$3,"Customer_name",MaxDate!A124)</f>
        <v>5</v>
      </c>
      <c r="G122" t="str">
        <f t="shared" ca="1" si="7"/>
        <v>Active</v>
      </c>
      <c r="H122" s="13">
        <f>RANK(B122,Customer_Tiers[Total_Sales])</f>
        <v>121</v>
      </c>
    </row>
    <row r="123" spans="1:8">
      <c r="A123" t="str">
        <f>'Top Customers'!A125</f>
        <v>RUPA ENTERPRISES</v>
      </c>
      <c r="B123" s="5">
        <f>IF(A123="","",IFERROR(GETPIVOTDATA("Sales Amount",'Top Customers'!$A$3,"Customer_name",'Top Customers'!A125),""))</f>
        <v>98149</v>
      </c>
      <c r="C123" t="str">
        <f t="shared" si="4"/>
        <v>Regular</v>
      </c>
      <c r="D123">
        <f t="shared" si="5"/>
        <v>1851</v>
      </c>
      <c r="E123" s="6">
        <f t="shared" si="6"/>
        <v>1.7141843784172588E-3</v>
      </c>
      <c r="F123" s="5">
        <f ca="1">TODAY()-GETPIVOTDATA("LastPurchaseDate",MaxDate!$A$3,"Customer_name",MaxDate!A125)</f>
        <v>108</v>
      </c>
      <c r="G123" t="str">
        <f t="shared" ca="1" si="7"/>
        <v>At Risk</v>
      </c>
      <c r="H123" s="13">
        <f>RANK(B123,Customer_Tiers[Total_Sales])</f>
        <v>122</v>
      </c>
    </row>
    <row r="124" spans="1:8">
      <c r="A124" t="str">
        <f>'Top Customers'!A126</f>
        <v>BENNY POKKATTILL</v>
      </c>
      <c r="B124" s="5">
        <f>IF(A124="","",IFERROR(GETPIVOTDATA("Sales Amount",'Top Customers'!$A$3,"Customer_name",'Top Customers'!A126),""))</f>
        <v>97963</v>
      </c>
      <c r="C124" t="str">
        <f t="shared" si="4"/>
        <v>Regular</v>
      </c>
      <c r="D124">
        <f t="shared" si="5"/>
        <v>2037</v>
      </c>
      <c r="E124" s="6">
        <f t="shared" si="6"/>
        <v>1.7109358654992912E-3</v>
      </c>
      <c r="F124" s="5">
        <f ca="1">TODAY()-GETPIVOTDATA("LastPurchaseDate",MaxDate!$A$3,"Customer_name",MaxDate!A126)</f>
        <v>13</v>
      </c>
      <c r="G124" t="str">
        <f t="shared" ca="1" si="7"/>
        <v>Active</v>
      </c>
      <c r="H124" s="13">
        <f>RANK(B124,Customer_Tiers[Total_Sales])</f>
        <v>123</v>
      </c>
    </row>
    <row r="125" spans="1:8">
      <c r="A125" t="str">
        <f>'Top Customers'!A127</f>
        <v>LIJU TRUSS</v>
      </c>
      <c r="B125" s="5">
        <f>IF(A125="","",IFERROR(GETPIVOTDATA("Sales Amount",'Top Customers'!$A$3,"Customer_name",'Top Customers'!A127),""))</f>
        <v>97701</v>
      </c>
      <c r="C125" t="str">
        <f t="shared" si="4"/>
        <v>Regular</v>
      </c>
      <c r="D125">
        <f t="shared" si="5"/>
        <v>2299</v>
      </c>
      <c r="E125" s="6">
        <f t="shared" si="6"/>
        <v>1.7063600032169925E-3</v>
      </c>
      <c r="F125" s="5">
        <f ca="1">TODAY()-GETPIVOTDATA("LastPurchaseDate",MaxDate!$A$3,"Customer_name",MaxDate!A127)</f>
        <v>8</v>
      </c>
      <c r="G125" t="str">
        <f t="shared" ca="1" si="7"/>
        <v>Active</v>
      </c>
      <c r="H125" s="13">
        <f>RANK(B125,Customer_Tiers[Total_Sales])</f>
        <v>124</v>
      </c>
    </row>
    <row r="126" spans="1:8">
      <c r="A126" t="str">
        <f>'Top Customers'!A128</f>
        <v>YADU DAMODARAN NAMBOORI</v>
      </c>
      <c r="B126" s="5">
        <f>IF(A126="","",IFERROR(GETPIVOTDATA("Sales Amount",'Top Customers'!$A$3,"Customer_name",'Top Customers'!A128),""))</f>
        <v>97640</v>
      </c>
      <c r="C126" t="str">
        <f t="shared" si="4"/>
        <v>Regular</v>
      </c>
      <c r="D126">
        <f t="shared" si="5"/>
        <v>2360</v>
      </c>
      <c r="E126" s="6">
        <f t="shared" si="6"/>
        <v>1.705294630700885E-3</v>
      </c>
      <c r="F126" s="5">
        <f ca="1">TODAY()-GETPIVOTDATA("LastPurchaseDate",MaxDate!$A$3,"Customer_name",MaxDate!A128)</f>
        <v>20</v>
      </c>
      <c r="G126" t="str">
        <f t="shared" ca="1" si="7"/>
        <v>Active</v>
      </c>
      <c r="H126" s="13">
        <f>RANK(B126,Customer_Tiers[Total_Sales])</f>
        <v>125</v>
      </c>
    </row>
    <row r="127" spans="1:8">
      <c r="A127" t="str">
        <f>'Top Customers'!A129</f>
        <v>PADMANABHAN VALAMBOOR</v>
      </c>
      <c r="B127" s="5">
        <f>IF(A127="","",IFERROR(GETPIVOTDATA("Sales Amount",'Top Customers'!$A$3,"Customer_name",'Top Customers'!A129),""))</f>
        <v>97371</v>
      </c>
      <c r="C127" t="str">
        <f t="shared" si="4"/>
        <v>Regular</v>
      </c>
      <c r="D127">
        <f t="shared" si="5"/>
        <v>2629</v>
      </c>
      <c r="E127" s="6">
        <f t="shared" si="6"/>
        <v>1.7005965125560822E-3</v>
      </c>
      <c r="F127" s="5">
        <f ca="1">TODAY()-GETPIVOTDATA("LastPurchaseDate",MaxDate!$A$3,"Customer_name",MaxDate!A129)</f>
        <v>76</v>
      </c>
      <c r="G127" t="str">
        <f t="shared" ca="1" si="7"/>
        <v>At Risk</v>
      </c>
      <c r="H127" s="13">
        <f>RANK(B127,Customer_Tiers[Total_Sales])</f>
        <v>126</v>
      </c>
    </row>
    <row r="128" spans="1:8">
      <c r="A128" t="str">
        <f>'Top Customers'!A130</f>
        <v>NEETHU GANGADHARAN</v>
      </c>
      <c r="B128" s="5">
        <f>IF(A128="","",IFERROR(GETPIVOTDATA("Sales Amount",'Top Customers'!$A$3,"Customer_name",'Top Customers'!A130),""))</f>
        <v>96748</v>
      </c>
      <c r="C128" t="str">
        <f t="shared" si="4"/>
        <v>Regular</v>
      </c>
      <c r="D128">
        <f t="shared" si="5"/>
        <v>3252</v>
      </c>
      <c r="E128" s="6">
        <f t="shared" si="6"/>
        <v>1.689715740793212E-3</v>
      </c>
      <c r="F128" s="5">
        <f ca="1">TODAY()-GETPIVOTDATA("LastPurchaseDate",MaxDate!$A$3,"Customer_name",MaxDate!A130)</f>
        <v>197</v>
      </c>
      <c r="G128" t="str">
        <f t="shared" ca="1" si="7"/>
        <v>Inactive</v>
      </c>
      <c r="H128" s="13">
        <f>RANK(B128,Customer_Tiers[Total_Sales])</f>
        <v>127</v>
      </c>
    </row>
    <row r="129" spans="1:8">
      <c r="A129" t="str">
        <f>'Top Customers'!A131</f>
        <v>SIRAJ TRUSS ,  DOUBLEPALM</v>
      </c>
      <c r="B129" s="5">
        <f>IF(A129="","",IFERROR(GETPIVOTDATA("Sales Amount",'Top Customers'!$A$3,"Customer_name",'Top Customers'!A131),""))</f>
        <v>96587</v>
      </c>
      <c r="C129" t="str">
        <f t="shared" si="4"/>
        <v>Regular</v>
      </c>
      <c r="D129">
        <f t="shared" si="5"/>
        <v>3413</v>
      </c>
      <c r="E129" s="6">
        <f t="shared" si="6"/>
        <v>1.6869038559556163E-3</v>
      </c>
      <c r="F129" s="5">
        <f ca="1">TODAY()-GETPIVOTDATA("LastPurchaseDate",MaxDate!$A$3,"Customer_name",MaxDate!A131)</f>
        <v>3</v>
      </c>
      <c r="G129" t="str">
        <f t="shared" ca="1" si="7"/>
        <v>Active</v>
      </c>
      <c r="H129" s="13">
        <f>RANK(B129,Customer_Tiers[Total_Sales])</f>
        <v>128</v>
      </c>
    </row>
    <row r="130" spans="1:8">
      <c r="A130" t="str">
        <f>'Top Customers'!A132</f>
        <v>JACOB CHEENIKUZHI</v>
      </c>
      <c r="B130" s="5">
        <f>IF(A130="","",IFERROR(GETPIVOTDATA("Sales Amount",'Top Customers'!$A$3,"Customer_name",'Top Customers'!A132),""))</f>
        <v>95830</v>
      </c>
      <c r="C130" t="str">
        <f t="shared" ref="C130:C193" si="8">IF(B130&gt;=1000000,"Platinum",
 IF(B130&gt;=500000,"Gold",
 IF(B130&gt;=100000,"Silver","Regular")))</f>
        <v>Regular</v>
      </c>
      <c r="D130">
        <f t="shared" ref="D130:D193" si="9">IF(C130="Platinum",0,
 IF(C130="Gold",1000000-B130,
 IF(C130="Silver",500000-B130,
 IF(C130="Regular",100000-B130,0))))</f>
        <v>4170</v>
      </c>
      <c r="E130" s="6">
        <f t="shared" ref="E130:E193" si="10">B130/SUM(B:B)</f>
        <v>1.673682757681952E-3</v>
      </c>
      <c r="F130" s="5">
        <f ca="1">TODAY()-GETPIVOTDATA("LastPurchaseDate",MaxDate!$A$3,"Customer_name",MaxDate!A132)</f>
        <v>239</v>
      </c>
      <c r="G130" t="str">
        <f t="shared" ref="G130:G193" ca="1" si="11">IF(F130="","",
 IF(F130&lt;=60,"Active",
 IF(F130&lt;=120,"At Risk","Inactive")))</f>
        <v>Inactive</v>
      </c>
      <c r="H130" s="13">
        <f>RANK(B130,Customer_Tiers[Total_Sales])</f>
        <v>129</v>
      </c>
    </row>
    <row r="131" spans="1:8">
      <c r="A131" t="str">
        <f>'Top Customers'!A133</f>
        <v>RAYAN ENGINEERING</v>
      </c>
      <c r="B131" s="5">
        <f>IF(A131="","",IFERROR(GETPIVOTDATA("Sales Amount",'Top Customers'!$A$3,"Customer_name",'Top Customers'!A133),""))</f>
        <v>95483</v>
      </c>
      <c r="C131" t="str">
        <f t="shared" si="8"/>
        <v>Regular</v>
      </c>
      <c r="D131">
        <f t="shared" si="9"/>
        <v>4517</v>
      </c>
      <c r="E131" s="6">
        <f t="shared" si="10"/>
        <v>1.6676223599263887E-3</v>
      </c>
      <c r="F131" s="5">
        <f ca="1">TODAY()-GETPIVOTDATA("LastPurchaseDate",MaxDate!$A$3,"Customer_name",MaxDate!A133)</f>
        <v>90</v>
      </c>
      <c r="G131" t="str">
        <f t="shared" ca="1" si="11"/>
        <v>At Risk</v>
      </c>
      <c r="H131" s="13">
        <f>RANK(B131,Customer_Tiers[Total_Sales])</f>
        <v>130</v>
      </c>
    </row>
    <row r="132" spans="1:8">
      <c r="A132" t="str">
        <f>'Top Customers'!A134</f>
        <v>SHIJO AUTO  CONSULTANT</v>
      </c>
      <c r="B132" s="5">
        <f>IF(A132="","",IFERROR(GETPIVOTDATA("Sales Amount",'Top Customers'!$A$3,"Customer_name",'Top Customers'!A134),""))</f>
        <v>95454</v>
      </c>
      <c r="C132" t="str">
        <f t="shared" si="8"/>
        <v>Regular</v>
      </c>
      <c r="D132">
        <f t="shared" si="9"/>
        <v>4546</v>
      </c>
      <c r="E132" s="6">
        <f t="shared" si="10"/>
        <v>1.6671158713531572E-3</v>
      </c>
      <c r="F132" s="5">
        <f ca="1">TODAY()-GETPIVOTDATA("LastPurchaseDate",MaxDate!$A$3,"Customer_name",MaxDate!A134)</f>
        <v>88</v>
      </c>
      <c r="G132" t="str">
        <f t="shared" ca="1" si="11"/>
        <v>At Risk</v>
      </c>
      <c r="H132" s="13">
        <f>RANK(B132,Customer_Tiers[Total_Sales])</f>
        <v>131</v>
      </c>
    </row>
    <row r="133" spans="1:8">
      <c r="A133" t="str">
        <f>'Top Customers'!A135</f>
        <v>BIJU PURUSHOTHAMAN</v>
      </c>
      <c r="B133" s="5">
        <f>IF(A133="","",IFERROR(GETPIVOTDATA("Sales Amount",'Top Customers'!$A$3,"Customer_name",'Top Customers'!A135),""))</f>
        <v>95208</v>
      </c>
      <c r="C133" t="str">
        <f t="shared" si="8"/>
        <v>Regular</v>
      </c>
      <c r="D133">
        <f t="shared" si="9"/>
        <v>4792</v>
      </c>
      <c r="E133" s="6">
        <f t="shared" si="10"/>
        <v>1.6628194510422967E-3</v>
      </c>
      <c r="F133" s="5">
        <f ca="1">TODAY()-GETPIVOTDATA("LastPurchaseDate",MaxDate!$A$3,"Customer_name",MaxDate!A135)</f>
        <v>102</v>
      </c>
      <c r="G133" t="str">
        <f t="shared" ca="1" si="11"/>
        <v>At Risk</v>
      </c>
      <c r="H133" s="13">
        <f>RANK(B133,Customer_Tiers[Total_Sales])</f>
        <v>132</v>
      </c>
    </row>
    <row r="134" spans="1:8">
      <c r="A134" t="str">
        <f>'Top Customers'!A136</f>
        <v>APPU MECHERY</v>
      </c>
      <c r="B134" s="5">
        <f>IF(A134="","",IFERROR(GETPIVOTDATA("Sales Amount",'Top Customers'!$A$3,"Customer_name",'Top Customers'!A136),""))</f>
        <v>95031</v>
      </c>
      <c r="C134" t="str">
        <f t="shared" si="8"/>
        <v>Regular</v>
      </c>
      <c r="D134">
        <f t="shared" si="9"/>
        <v>4969</v>
      </c>
      <c r="E134" s="6">
        <f t="shared" si="10"/>
        <v>1.6597281242332629E-3</v>
      </c>
      <c r="F134" s="5">
        <f ca="1">TODAY()-GETPIVOTDATA("LastPurchaseDate",MaxDate!$A$3,"Customer_name",MaxDate!A136)</f>
        <v>30</v>
      </c>
      <c r="G134" t="str">
        <f t="shared" ca="1" si="11"/>
        <v>Active</v>
      </c>
      <c r="H134" s="13">
        <f>RANK(B134,Customer_Tiers[Total_Sales])</f>
        <v>133</v>
      </c>
    </row>
    <row r="135" spans="1:8">
      <c r="A135" t="str">
        <f>'Top Customers'!A137</f>
        <v>S AND S ENGINEERING WORKS</v>
      </c>
      <c r="B135" s="5">
        <f>IF(A135="","",IFERROR(GETPIVOTDATA("Sales Amount",'Top Customers'!$A$3,"Customer_name",'Top Customers'!A137),""))</f>
        <v>94602</v>
      </c>
      <c r="C135" t="str">
        <f t="shared" si="8"/>
        <v>Regular</v>
      </c>
      <c r="D135">
        <f t="shared" si="9"/>
        <v>5398</v>
      </c>
      <c r="E135" s="6">
        <f t="shared" si="10"/>
        <v>1.6522355863740794E-3</v>
      </c>
      <c r="F135" s="5">
        <f ca="1">TODAY()-GETPIVOTDATA("LastPurchaseDate",MaxDate!$A$3,"Customer_name",MaxDate!A137)</f>
        <v>3</v>
      </c>
      <c r="G135" t="str">
        <f t="shared" ca="1" si="11"/>
        <v>Active</v>
      </c>
      <c r="H135" s="13">
        <f>RANK(B135,Customer_Tiers[Total_Sales])</f>
        <v>134</v>
      </c>
    </row>
    <row r="136" spans="1:8">
      <c r="A136" t="str">
        <f>'Top Customers'!A138</f>
        <v>PRADEEP PULICKAN</v>
      </c>
      <c r="B136" s="5">
        <f>IF(A136="","",IFERROR(GETPIVOTDATA("Sales Amount",'Top Customers'!$A$3,"Customer_name",'Top Customers'!A138),""))</f>
        <v>91861</v>
      </c>
      <c r="C136" t="str">
        <f t="shared" si="8"/>
        <v>Regular</v>
      </c>
      <c r="D136">
        <f t="shared" si="9"/>
        <v>8139</v>
      </c>
      <c r="E136" s="6">
        <f t="shared" si="10"/>
        <v>1.6043636836420932E-3</v>
      </c>
      <c r="F136" s="5">
        <f ca="1">TODAY()-GETPIVOTDATA("LastPurchaseDate",MaxDate!$A$3,"Customer_name",MaxDate!A138)</f>
        <v>93</v>
      </c>
      <c r="G136" t="str">
        <f t="shared" ca="1" si="11"/>
        <v>At Risk</v>
      </c>
      <c r="H136" s="13">
        <f>RANK(B136,Customer_Tiers[Total_Sales])</f>
        <v>135</v>
      </c>
    </row>
    <row r="137" spans="1:8">
      <c r="A137" t="str">
        <f>'Top Customers'!A139</f>
        <v>ANIL KUMAR IRAPURAM</v>
      </c>
      <c r="B137" s="5">
        <f>IF(A137="","",IFERROR(GETPIVOTDATA("Sales Amount",'Top Customers'!$A$3,"Customer_name",'Top Customers'!A139),""))</f>
        <v>90358</v>
      </c>
      <c r="C137" t="str">
        <f t="shared" si="8"/>
        <v>Regular</v>
      </c>
      <c r="D137">
        <f t="shared" si="9"/>
        <v>9642</v>
      </c>
      <c r="E137" s="6">
        <f t="shared" si="10"/>
        <v>1.5781136034501285E-3</v>
      </c>
      <c r="F137" s="5">
        <f ca="1">TODAY()-GETPIVOTDATA("LastPurchaseDate",MaxDate!$A$3,"Customer_name",MaxDate!A139)</f>
        <v>120</v>
      </c>
      <c r="G137" t="str">
        <f t="shared" ca="1" si="11"/>
        <v>At Risk</v>
      </c>
      <c r="H137" s="13">
        <f>RANK(B137,Customer_Tiers[Total_Sales])</f>
        <v>136</v>
      </c>
    </row>
    <row r="138" spans="1:8">
      <c r="A138" t="str">
        <f>'Top Customers'!A140</f>
        <v>REJI PPK</v>
      </c>
      <c r="B138" s="5">
        <f>IF(A138="","",IFERROR(GETPIVOTDATA("Sales Amount",'Top Customers'!$A$3,"Customer_name",'Top Customers'!A140),""))</f>
        <v>88005</v>
      </c>
      <c r="C138" t="str">
        <f t="shared" si="8"/>
        <v>Regular</v>
      </c>
      <c r="D138">
        <f t="shared" si="9"/>
        <v>11995</v>
      </c>
      <c r="E138" s="6">
        <f t="shared" si="10"/>
        <v>1.5370181685255158E-3</v>
      </c>
      <c r="F138" s="5">
        <f ca="1">TODAY()-GETPIVOTDATA("LastPurchaseDate",MaxDate!$A$3,"Customer_name",MaxDate!A140)</f>
        <v>1</v>
      </c>
      <c r="G138" t="str">
        <f t="shared" ca="1" si="11"/>
        <v>Active</v>
      </c>
      <c r="H138" s="13">
        <f>RANK(B138,Customer_Tiers[Total_Sales])</f>
        <v>137</v>
      </c>
    </row>
    <row r="139" spans="1:8">
      <c r="A139" t="str">
        <f>'Top Customers'!A141</f>
        <v>MANOJ , THATTAMUKAL</v>
      </c>
      <c r="B139" s="5">
        <f>IF(A139="","",IFERROR(GETPIVOTDATA("Sales Amount",'Top Customers'!$A$3,"Customer_name",'Top Customers'!A141),""))</f>
        <v>87985</v>
      </c>
      <c r="C139" t="str">
        <f t="shared" si="8"/>
        <v>Regular</v>
      </c>
      <c r="D139">
        <f t="shared" si="9"/>
        <v>12015</v>
      </c>
      <c r="E139" s="6">
        <f t="shared" si="10"/>
        <v>1.5366688660612183E-3</v>
      </c>
      <c r="F139" s="5">
        <f ca="1">TODAY()-GETPIVOTDATA("LastPurchaseDate",MaxDate!$A$3,"Customer_name",MaxDate!A141)</f>
        <v>155</v>
      </c>
      <c r="G139" t="str">
        <f t="shared" ca="1" si="11"/>
        <v>Inactive</v>
      </c>
      <c r="H139" s="13">
        <f>RANK(B139,Customer_Tiers[Total_Sales])</f>
        <v>138</v>
      </c>
    </row>
    <row r="140" spans="1:8">
      <c r="A140" t="str">
        <f>'Top Customers'!A142</f>
        <v>JOSE , KOTTAYIL</v>
      </c>
      <c r="B140" s="5">
        <f>IF(A140="","",IFERROR(GETPIVOTDATA("Sales Amount",'Top Customers'!$A$3,"Customer_name",'Top Customers'!A142),""))</f>
        <v>86598</v>
      </c>
      <c r="C140" t="str">
        <f t="shared" si="8"/>
        <v>Regular</v>
      </c>
      <c r="D140">
        <f t="shared" si="9"/>
        <v>13402</v>
      </c>
      <c r="E140" s="6">
        <f t="shared" si="10"/>
        <v>1.5124447401621798E-3</v>
      </c>
      <c r="F140" s="5">
        <f ca="1">TODAY()-GETPIVOTDATA("LastPurchaseDate",MaxDate!$A$3,"Customer_name",MaxDate!A142)</f>
        <v>219</v>
      </c>
      <c r="G140" t="str">
        <f t="shared" ca="1" si="11"/>
        <v>Inactive</v>
      </c>
      <c r="H140" s="13">
        <f>RANK(B140,Customer_Tiers[Total_Sales])</f>
        <v>139</v>
      </c>
    </row>
    <row r="141" spans="1:8">
      <c r="A141" t="str">
        <f>'Top Customers'!A143</f>
        <v>PLATINUM DEVELOPERS</v>
      </c>
      <c r="B141" s="5">
        <f>IF(A141="","",IFERROR(GETPIVOTDATA("Sales Amount",'Top Customers'!$A$3,"Customer_name",'Top Customers'!A143),""))</f>
        <v>86547</v>
      </c>
      <c r="C141" t="str">
        <f t="shared" si="8"/>
        <v>Regular</v>
      </c>
      <c r="D141">
        <f t="shared" si="9"/>
        <v>13453</v>
      </c>
      <c r="E141" s="6">
        <f t="shared" si="10"/>
        <v>1.5115540188782208E-3</v>
      </c>
      <c r="F141" s="5">
        <f ca="1">TODAY()-GETPIVOTDATA("LastPurchaseDate",MaxDate!$A$3,"Customer_name",MaxDate!A143)</f>
        <v>75</v>
      </c>
      <c r="G141" t="str">
        <f t="shared" ca="1" si="11"/>
        <v>At Risk</v>
      </c>
      <c r="H141" s="13">
        <f>RANK(B141,Customer_Tiers[Total_Sales])</f>
        <v>140</v>
      </c>
    </row>
    <row r="142" spans="1:8">
      <c r="A142" t="str">
        <f>'Top Customers'!A144</f>
        <v>MARIYA STEELS</v>
      </c>
      <c r="B142" s="5">
        <f>IF(A142="","",IFERROR(GETPIVOTDATA("Sales Amount",'Top Customers'!$A$3,"Customer_name",'Top Customers'!A144),""))</f>
        <v>86056</v>
      </c>
      <c r="C142" t="str">
        <f t="shared" si="8"/>
        <v>Regular</v>
      </c>
      <c r="D142">
        <f t="shared" si="9"/>
        <v>13944</v>
      </c>
      <c r="E142" s="6">
        <f t="shared" si="10"/>
        <v>1.5029786433797148E-3</v>
      </c>
      <c r="F142" s="5">
        <f ca="1">TODAY()-GETPIVOTDATA("LastPurchaseDate",MaxDate!$A$3,"Customer_name",MaxDate!A144)</f>
        <v>10</v>
      </c>
      <c r="G142" t="str">
        <f t="shared" ca="1" si="11"/>
        <v>Active</v>
      </c>
      <c r="H142" s="13">
        <f>RANK(B142,Customer_Tiers[Total_Sales])</f>
        <v>141</v>
      </c>
    </row>
    <row r="143" spans="1:8">
      <c r="A143" t="str">
        <f>'Top Customers'!A145</f>
        <v>HAMEED TRUSS</v>
      </c>
      <c r="B143" s="5">
        <f>IF(A143="","",IFERROR(GETPIVOTDATA("Sales Amount",'Top Customers'!$A$3,"Customer_name",'Top Customers'!A145),""))</f>
        <v>85893</v>
      </c>
      <c r="C143" t="str">
        <f t="shared" si="8"/>
        <v>Regular</v>
      </c>
      <c r="D143">
        <f t="shared" si="9"/>
        <v>14107</v>
      </c>
      <c r="E143" s="6">
        <f t="shared" si="10"/>
        <v>1.5001318282956892E-3</v>
      </c>
      <c r="F143" s="5">
        <f ca="1">TODAY()-GETPIVOTDATA("LastPurchaseDate",MaxDate!$A$3,"Customer_name",MaxDate!A145)</f>
        <v>128</v>
      </c>
      <c r="G143" t="str">
        <f t="shared" ca="1" si="11"/>
        <v>Inactive</v>
      </c>
      <c r="H143" s="13">
        <f>RANK(B143,Customer_Tiers[Total_Sales])</f>
        <v>142</v>
      </c>
    </row>
    <row r="144" spans="1:8">
      <c r="A144" t="str">
        <f>'Top Customers'!A146</f>
        <v>RADHAKRISHNAN.K</v>
      </c>
      <c r="B144" s="5">
        <f>IF(A144="","",IFERROR(GETPIVOTDATA("Sales Amount",'Top Customers'!$A$3,"Customer_name",'Top Customers'!A146),""))</f>
        <v>85551</v>
      </c>
      <c r="C144" t="str">
        <f t="shared" si="8"/>
        <v>Regular</v>
      </c>
      <c r="D144">
        <f t="shared" si="9"/>
        <v>14449</v>
      </c>
      <c r="E144" s="6">
        <f t="shared" si="10"/>
        <v>1.4941587561562004E-3</v>
      </c>
      <c r="F144" s="5">
        <f ca="1">TODAY()-GETPIVOTDATA("LastPurchaseDate",MaxDate!$A$3,"Customer_name",MaxDate!A146)</f>
        <v>13</v>
      </c>
      <c r="G144" t="str">
        <f t="shared" ca="1" si="11"/>
        <v>Active</v>
      </c>
      <c r="H144" s="13">
        <f>RANK(B144,Customer_Tiers[Total_Sales])</f>
        <v>143</v>
      </c>
    </row>
    <row r="145" spans="1:8">
      <c r="A145" t="str">
        <f>'Top Customers'!A147</f>
        <v>ABY THOMAS</v>
      </c>
      <c r="B145" s="5">
        <f>IF(A145="","",IFERROR(GETPIVOTDATA("Sales Amount",'Top Customers'!$A$3,"Customer_name",'Top Customers'!A147),""))</f>
        <v>83591</v>
      </c>
      <c r="C145" t="str">
        <f t="shared" si="8"/>
        <v>Regular</v>
      </c>
      <c r="D145">
        <f t="shared" si="9"/>
        <v>16409</v>
      </c>
      <c r="E145" s="6">
        <f t="shared" si="10"/>
        <v>1.4599271146550354E-3</v>
      </c>
      <c r="F145" s="5">
        <f ca="1">TODAY()-GETPIVOTDATA("LastPurchaseDate",MaxDate!$A$3,"Customer_name",MaxDate!A147)</f>
        <v>174</v>
      </c>
      <c r="G145" t="str">
        <f t="shared" ca="1" si="11"/>
        <v>Inactive</v>
      </c>
      <c r="H145" s="13">
        <f>RANK(B145,Customer_Tiers[Total_Sales])</f>
        <v>144</v>
      </c>
    </row>
    <row r="146" spans="1:8">
      <c r="A146" t="str">
        <f>'Top Customers'!A148</f>
        <v>MERIN ANN PAUL</v>
      </c>
      <c r="B146" s="5">
        <f>IF(A146="","",IFERROR(GETPIVOTDATA("Sales Amount",'Top Customers'!$A$3,"Customer_name",'Top Customers'!A148),""))</f>
        <v>83158</v>
      </c>
      <c r="C146" t="str">
        <f t="shared" si="8"/>
        <v>Regular</v>
      </c>
      <c r="D146">
        <f t="shared" si="9"/>
        <v>16842</v>
      </c>
      <c r="E146" s="6">
        <f t="shared" si="10"/>
        <v>1.4523647163029924E-3</v>
      </c>
      <c r="F146" s="5">
        <f ca="1">TODAY()-GETPIVOTDATA("LastPurchaseDate",MaxDate!$A$3,"Customer_name",MaxDate!A148)</f>
        <v>27</v>
      </c>
      <c r="G146" t="str">
        <f t="shared" ca="1" si="11"/>
        <v>Active</v>
      </c>
      <c r="H146" s="13">
        <f>RANK(B146,Customer_Tiers[Total_Sales])</f>
        <v>145</v>
      </c>
    </row>
    <row r="147" spans="1:8">
      <c r="A147" t="str">
        <f>'Top Customers'!A149</f>
        <v>NIBU RAMAKRISHNAN</v>
      </c>
      <c r="B147" s="5">
        <f>IF(A147="","",IFERROR(GETPIVOTDATA("Sales Amount",'Top Customers'!$A$3,"Customer_name",'Top Customers'!A149),""))</f>
        <v>83005</v>
      </c>
      <c r="C147" t="str">
        <f t="shared" si="8"/>
        <v>Regular</v>
      </c>
      <c r="D147">
        <f t="shared" si="9"/>
        <v>16995</v>
      </c>
      <c r="E147" s="6">
        <f t="shared" si="10"/>
        <v>1.4496925524511159E-3</v>
      </c>
      <c r="F147" s="5">
        <f ca="1">TODAY()-GETPIVOTDATA("LastPurchaseDate",MaxDate!$A$3,"Customer_name",MaxDate!A149)</f>
        <v>243</v>
      </c>
      <c r="G147" t="str">
        <f t="shared" ca="1" si="11"/>
        <v>Inactive</v>
      </c>
      <c r="H147" s="13">
        <f>RANK(B147,Customer_Tiers[Total_Sales])</f>
        <v>146</v>
      </c>
    </row>
    <row r="148" spans="1:8">
      <c r="A148" t="str">
        <f>'Top Customers'!A150</f>
        <v>ZION BRICKS</v>
      </c>
      <c r="B148" s="5">
        <f>IF(A148="","",IFERROR(GETPIVOTDATA("Sales Amount",'Top Customers'!$A$3,"Customer_name",'Top Customers'!A150),""))</f>
        <v>82875</v>
      </c>
      <c r="C148" t="str">
        <f t="shared" si="8"/>
        <v>Regular</v>
      </c>
      <c r="D148">
        <f t="shared" si="9"/>
        <v>17125</v>
      </c>
      <c r="E148" s="6">
        <f t="shared" si="10"/>
        <v>1.4474220864331814E-3</v>
      </c>
      <c r="F148" s="5">
        <f ca="1">TODAY()-GETPIVOTDATA("LastPurchaseDate",MaxDate!$A$3,"Customer_name",MaxDate!A150)</f>
        <v>166</v>
      </c>
      <c r="G148" t="str">
        <f t="shared" ca="1" si="11"/>
        <v>Inactive</v>
      </c>
      <c r="H148" s="13">
        <f>RANK(B148,Customer_Tiers[Total_Sales])</f>
        <v>147</v>
      </c>
    </row>
    <row r="149" spans="1:8">
      <c r="A149" t="str">
        <f>'Top Customers'!A151</f>
        <v>JOBIN BABY</v>
      </c>
      <c r="B149" s="5">
        <f>IF(A149="","",IFERROR(GETPIVOTDATA("Sales Amount",'Top Customers'!$A$3,"Customer_name",'Top Customers'!A151),""))</f>
        <v>82364</v>
      </c>
      <c r="C149" t="str">
        <f t="shared" si="8"/>
        <v>Regular</v>
      </c>
      <c r="D149">
        <f t="shared" si="9"/>
        <v>17636</v>
      </c>
      <c r="E149" s="6">
        <f t="shared" si="10"/>
        <v>1.4384974084703777E-3</v>
      </c>
      <c r="F149" s="5">
        <f ca="1">TODAY()-GETPIVOTDATA("LastPurchaseDate",MaxDate!$A$3,"Customer_name",MaxDate!A151)</f>
        <v>4</v>
      </c>
      <c r="G149" t="str">
        <f t="shared" ca="1" si="11"/>
        <v>Active</v>
      </c>
      <c r="H149" s="13">
        <f>RANK(B149,Customer_Tiers[Total_Sales])</f>
        <v>148</v>
      </c>
    </row>
    <row r="150" spans="1:8">
      <c r="A150" t="str">
        <f>'Top Customers'!A152</f>
        <v>BIJU KUMMANODE</v>
      </c>
      <c r="B150" s="5">
        <f>IF(A150="","",IFERROR(GETPIVOTDATA("Sales Amount",'Top Customers'!$A$3,"Customer_name",'Top Customers'!A152),""))</f>
        <v>80484</v>
      </c>
      <c r="C150" t="str">
        <f t="shared" si="8"/>
        <v>Regular</v>
      </c>
      <c r="D150">
        <f t="shared" si="9"/>
        <v>19516</v>
      </c>
      <c r="E150" s="6">
        <f t="shared" si="10"/>
        <v>1.4056629768264034E-3</v>
      </c>
      <c r="F150" s="5">
        <f ca="1">TODAY()-GETPIVOTDATA("LastPurchaseDate",MaxDate!$A$3,"Customer_name",MaxDate!A152)</f>
        <v>197</v>
      </c>
      <c r="G150" t="str">
        <f t="shared" ca="1" si="11"/>
        <v>Inactive</v>
      </c>
      <c r="H150" s="13">
        <f>RANK(B150,Customer_Tiers[Total_Sales])</f>
        <v>149</v>
      </c>
    </row>
    <row r="151" spans="1:8">
      <c r="A151" t="str">
        <f>'Top Customers'!A153</f>
        <v>SAJU PARAYIL</v>
      </c>
      <c r="B151" s="5">
        <f>IF(A151="","",IFERROR(GETPIVOTDATA("Sales Amount",'Top Customers'!$A$3,"Customer_name",'Top Customers'!A153),""))</f>
        <v>79714</v>
      </c>
      <c r="C151" t="str">
        <f t="shared" si="8"/>
        <v>Regular</v>
      </c>
      <c r="D151">
        <f t="shared" si="9"/>
        <v>20286</v>
      </c>
      <c r="E151" s="6">
        <f t="shared" si="10"/>
        <v>1.3922148319509458E-3</v>
      </c>
      <c r="F151" s="5">
        <f ca="1">TODAY()-GETPIVOTDATA("LastPurchaseDate",MaxDate!$A$3,"Customer_name",MaxDate!A153)</f>
        <v>1</v>
      </c>
      <c r="G151" t="str">
        <f t="shared" ca="1" si="11"/>
        <v>Active</v>
      </c>
      <c r="H151" s="13">
        <f>RANK(B151,Customer_Tiers[Total_Sales])</f>
        <v>150</v>
      </c>
    </row>
    <row r="152" spans="1:8">
      <c r="A152" t="str">
        <f>'Top Customers'!A154</f>
        <v>MANI RUBBER PARK, IRAPURAM</v>
      </c>
      <c r="B152" s="5">
        <f>IF(A152="","",IFERROR(GETPIVOTDATA("Sales Amount",'Top Customers'!$A$3,"Customer_name",'Top Customers'!A154),""))</f>
        <v>79120</v>
      </c>
      <c r="C152" t="str">
        <f t="shared" si="8"/>
        <v>Regular</v>
      </c>
      <c r="D152">
        <f t="shared" si="9"/>
        <v>20880</v>
      </c>
      <c r="E152" s="6">
        <f t="shared" si="10"/>
        <v>1.3818405487613071E-3</v>
      </c>
      <c r="F152" s="5">
        <f ca="1">TODAY()-GETPIVOTDATA("LastPurchaseDate",MaxDate!$A$3,"Customer_name",MaxDate!A154)</f>
        <v>90</v>
      </c>
      <c r="G152" t="str">
        <f t="shared" ca="1" si="11"/>
        <v>At Risk</v>
      </c>
      <c r="H152" s="13">
        <f>RANK(B152,Customer_Tiers[Total_Sales])</f>
        <v>151</v>
      </c>
    </row>
    <row r="153" spans="1:8">
      <c r="A153" t="str">
        <f>'Top Customers'!A155</f>
        <v>SREEKUMAR VALETHUPADY</v>
      </c>
      <c r="B153" s="5">
        <f>IF(A153="","",IFERROR(GETPIVOTDATA("Sales Amount",'Top Customers'!$A$3,"Customer_name",'Top Customers'!A155),""))</f>
        <v>78704</v>
      </c>
      <c r="C153" t="str">
        <f t="shared" si="8"/>
        <v>Regular</v>
      </c>
      <c r="D153">
        <f t="shared" si="9"/>
        <v>21296</v>
      </c>
      <c r="E153" s="6">
        <f t="shared" si="10"/>
        <v>1.3745750575039168E-3</v>
      </c>
      <c r="F153" s="5">
        <f ca="1">TODAY()-GETPIVOTDATA("LastPurchaseDate",MaxDate!$A$3,"Customer_name",MaxDate!A155)</f>
        <v>3</v>
      </c>
      <c r="G153" t="str">
        <f t="shared" ca="1" si="11"/>
        <v>Active</v>
      </c>
      <c r="H153" s="13">
        <f>RANK(B153,Customer_Tiers[Total_Sales])</f>
        <v>152</v>
      </c>
    </row>
    <row r="154" spans="1:8">
      <c r="A154" t="str">
        <f>'Top Customers'!A156</f>
        <v>SIYAD PASSENGER</v>
      </c>
      <c r="B154" s="5">
        <f>IF(A154="","",IFERROR(GETPIVOTDATA("Sales Amount",'Top Customers'!$A$3,"Customer_name",'Top Customers'!A156),""))</f>
        <v>78349</v>
      </c>
      <c r="C154" t="str">
        <f t="shared" si="8"/>
        <v>Regular</v>
      </c>
      <c r="D154">
        <f t="shared" si="9"/>
        <v>21651</v>
      </c>
      <c r="E154" s="6">
        <f t="shared" si="10"/>
        <v>1.3683749387626346E-3</v>
      </c>
      <c r="F154" s="5">
        <f ca="1">TODAY()-GETPIVOTDATA("LastPurchaseDate",MaxDate!$A$3,"Customer_name",MaxDate!A156)</f>
        <v>130</v>
      </c>
      <c r="G154" t="str">
        <f t="shared" ca="1" si="11"/>
        <v>Inactive</v>
      </c>
      <c r="H154" s="13">
        <f>RANK(B154,Customer_Tiers[Total_Sales])</f>
        <v>153</v>
      </c>
    </row>
    <row r="155" spans="1:8">
      <c r="A155" t="str">
        <f>'Top Customers'!A157</f>
        <v>THOMAS T M</v>
      </c>
      <c r="B155" s="5">
        <f>IF(A155="","",IFERROR(GETPIVOTDATA("Sales Amount",'Top Customers'!$A$3,"Customer_name",'Top Customers'!A157),""))</f>
        <v>78231</v>
      </c>
      <c r="C155" t="str">
        <f t="shared" si="8"/>
        <v>Regular</v>
      </c>
      <c r="D155">
        <f t="shared" si="9"/>
        <v>21769</v>
      </c>
      <c r="E155" s="6">
        <f t="shared" si="10"/>
        <v>1.3663140542232786E-3</v>
      </c>
      <c r="F155" s="5">
        <f ca="1">TODAY()-GETPIVOTDATA("LastPurchaseDate",MaxDate!$A$3,"Customer_name",MaxDate!A157)</f>
        <v>25</v>
      </c>
      <c r="G155" t="str">
        <f t="shared" ca="1" si="11"/>
        <v>Active</v>
      </c>
      <c r="H155" s="13">
        <f>RANK(B155,Customer_Tiers[Total_Sales])</f>
        <v>154</v>
      </c>
    </row>
    <row r="156" spans="1:8">
      <c r="A156" t="str">
        <f>'Top Customers'!A158</f>
        <v>JOY KANDANALY</v>
      </c>
      <c r="B156" s="5">
        <f>IF(A156="","",IFERROR(GETPIVOTDATA("Sales Amount",'Top Customers'!$A$3,"Customer_name",'Top Customers'!A158),""))</f>
        <v>77517</v>
      </c>
      <c r="C156" t="str">
        <f t="shared" si="8"/>
        <v>Regular</v>
      </c>
      <c r="D156">
        <f t="shared" si="9"/>
        <v>22483</v>
      </c>
      <c r="E156" s="6">
        <f t="shared" si="10"/>
        <v>1.3538439562478543E-3</v>
      </c>
      <c r="F156" s="5">
        <f ca="1">TODAY()-GETPIVOTDATA("LastPurchaseDate",MaxDate!$A$3,"Customer_name",MaxDate!A158)</f>
        <v>58</v>
      </c>
      <c r="G156" t="str">
        <f t="shared" ca="1" si="11"/>
        <v>Active</v>
      </c>
      <c r="H156" s="13">
        <f>RANK(B156,Customer_Tiers[Total_Sales])</f>
        <v>155</v>
      </c>
    </row>
    <row r="157" spans="1:8">
      <c r="A157" t="str">
        <f>'Top Customers'!A159</f>
        <v>SIVADAS KUMMANODE</v>
      </c>
      <c r="B157" s="5">
        <f>IF(A157="","",IFERROR(GETPIVOTDATA("Sales Amount",'Top Customers'!$A$3,"Customer_name",'Top Customers'!A159),""))</f>
        <v>76616</v>
      </c>
      <c r="C157" t="str">
        <f t="shared" si="8"/>
        <v>Regular</v>
      </c>
      <c r="D157">
        <f t="shared" si="9"/>
        <v>23384</v>
      </c>
      <c r="E157" s="6">
        <f t="shared" si="10"/>
        <v>1.3381078802312473E-3</v>
      </c>
      <c r="F157" s="5">
        <f ca="1">TODAY()-GETPIVOTDATA("LastPurchaseDate",MaxDate!$A$3,"Customer_name",MaxDate!A159)</f>
        <v>29</v>
      </c>
      <c r="G157" t="str">
        <f t="shared" ca="1" si="11"/>
        <v>Active</v>
      </c>
      <c r="H157" s="13">
        <f>RANK(B157,Customer_Tiers[Total_Sales])</f>
        <v>156</v>
      </c>
    </row>
    <row r="158" spans="1:8">
      <c r="A158" t="str">
        <f>'Top Customers'!A160</f>
        <v>MATHAI MECHANGARA</v>
      </c>
      <c r="B158" s="5">
        <f>IF(A158="","",IFERROR(GETPIVOTDATA("Sales Amount",'Top Customers'!$A$3,"Customer_name",'Top Customers'!A160),""))</f>
        <v>76285</v>
      </c>
      <c r="C158" t="str">
        <f t="shared" si="8"/>
        <v>Regular</v>
      </c>
      <c r="D158">
        <f t="shared" si="9"/>
        <v>23715</v>
      </c>
      <c r="E158" s="6">
        <f t="shared" si="10"/>
        <v>1.3323269244471221E-3</v>
      </c>
      <c r="F158" s="5">
        <f ca="1">TODAY()-GETPIVOTDATA("LastPurchaseDate",MaxDate!$A$3,"Customer_name",MaxDate!A160)</f>
        <v>13</v>
      </c>
      <c r="G158" t="str">
        <f t="shared" ca="1" si="11"/>
        <v>Active</v>
      </c>
      <c r="H158" s="13">
        <f>RANK(B158,Customer_Tiers[Total_Sales])</f>
        <v>157</v>
      </c>
    </row>
    <row r="159" spans="1:8">
      <c r="A159" t="str">
        <f>'Top Customers'!A161</f>
        <v>RAVI K K</v>
      </c>
      <c r="B159" s="5">
        <f>IF(A159="","",IFERROR(GETPIVOTDATA("Sales Amount",'Top Customers'!$A$3,"Customer_name",'Top Customers'!A161),""))</f>
        <v>76258</v>
      </c>
      <c r="C159" t="str">
        <f t="shared" si="8"/>
        <v>Regular</v>
      </c>
      <c r="D159">
        <f t="shared" si="9"/>
        <v>23742</v>
      </c>
      <c r="E159" s="6">
        <f t="shared" si="10"/>
        <v>1.3318553661203203E-3</v>
      </c>
      <c r="F159" s="5">
        <f ca="1">TODAY()-GETPIVOTDATA("LastPurchaseDate",MaxDate!$A$3,"Customer_name",MaxDate!A161)</f>
        <v>53</v>
      </c>
      <c r="G159" t="str">
        <f t="shared" ca="1" si="11"/>
        <v>Active</v>
      </c>
      <c r="H159" s="13">
        <f>RANK(B159,Customer_Tiers[Total_Sales])</f>
        <v>158</v>
      </c>
    </row>
    <row r="160" spans="1:8">
      <c r="A160" t="str">
        <f>'Top Customers'!A162</f>
        <v>SELVARAJ</v>
      </c>
      <c r="B160" s="5">
        <f>IF(A160="","",IFERROR(GETPIVOTDATA("Sales Amount",'Top Customers'!$A$3,"Customer_name",'Top Customers'!A162),""))</f>
        <v>75872</v>
      </c>
      <c r="C160" t="str">
        <f t="shared" si="8"/>
        <v>Regular</v>
      </c>
      <c r="D160">
        <f t="shared" si="9"/>
        <v>24128</v>
      </c>
      <c r="E160" s="6">
        <f t="shared" si="10"/>
        <v>1.3251138285593766E-3</v>
      </c>
      <c r="F160" s="5">
        <f ca="1">TODAY()-GETPIVOTDATA("LastPurchaseDate",MaxDate!$A$3,"Customer_name",MaxDate!A162)</f>
        <v>181</v>
      </c>
      <c r="G160" t="str">
        <f t="shared" ca="1" si="11"/>
        <v>Inactive</v>
      </c>
      <c r="H160" s="13">
        <f>RANK(B160,Customer_Tiers[Total_Sales])</f>
        <v>159</v>
      </c>
    </row>
    <row r="161" spans="1:8">
      <c r="A161" t="str">
        <f>'Top Customers'!A163</f>
        <v>KABEER VISMAYA</v>
      </c>
      <c r="B161" s="5">
        <f>IF(A161="","",IFERROR(GETPIVOTDATA("Sales Amount",'Top Customers'!$A$3,"Customer_name",'Top Customers'!A163),""))</f>
        <v>74481</v>
      </c>
      <c r="C161" t="str">
        <f t="shared" si="8"/>
        <v>Regular</v>
      </c>
      <c r="D161">
        <f t="shared" si="9"/>
        <v>25519</v>
      </c>
      <c r="E161" s="6">
        <f t="shared" si="10"/>
        <v>1.3008198421674785E-3</v>
      </c>
      <c r="F161" s="5">
        <f ca="1">TODAY()-GETPIVOTDATA("LastPurchaseDate",MaxDate!$A$3,"Customer_name",MaxDate!A163)</f>
        <v>22</v>
      </c>
      <c r="G161" t="str">
        <f t="shared" ca="1" si="11"/>
        <v>Active</v>
      </c>
      <c r="H161" s="13">
        <f>RANK(B161,Customer_Tiers[Total_Sales])</f>
        <v>160</v>
      </c>
    </row>
    <row r="162" spans="1:8">
      <c r="A162" t="str">
        <f>'Top Customers'!A164</f>
        <v>NAJEEB O.M</v>
      </c>
      <c r="B162" s="5">
        <f>IF(A162="","",IFERROR(GETPIVOTDATA("Sales Amount",'Top Customers'!$A$3,"Customer_name",'Top Customers'!A164),""))</f>
        <v>72987</v>
      </c>
      <c r="C162" t="str">
        <f t="shared" si="8"/>
        <v>Regular</v>
      </c>
      <c r="D162">
        <f t="shared" si="9"/>
        <v>27013</v>
      </c>
      <c r="E162" s="6">
        <f t="shared" si="10"/>
        <v>1.2747269480844479E-3</v>
      </c>
      <c r="F162" s="5">
        <f ca="1">TODAY()-GETPIVOTDATA("LastPurchaseDate",MaxDate!$A$3,"Customer_name",MaxDate!A164)</f>
        <v>2</v>
      </c>
      <c r="G162" t="str">
        <f t="shared" ca="1" si="11"/>
        <v>Active</v>
      </c>
      <c r="H162" s="13">
        <f>RANK(B162,Customer_Tiers[Total_Sales])</f>
        <v>161</v>
      </c>
    </row>
    <row r="163" spans="1:8">
      <c r="A163" t="str">
        <f>'Top Customers'!A165</f>
        <v>ARUN VIJAYAVILASAM VIJAYAN</v>
      </c>
      <c r="B163" s="5">
        <f>IF(A163="","",IFERROR(GETPIVOTDATA("Sales Amount",'Top Customers'!$A$3,"Customer_name",'Top Customers'!A165),""))</f>
        <v>72702</v>
      </c>
      <c r="C163" t="str">
        <f t="shared" si="8"/>
        <v>Regular</v>
      </c>
      <c r="D163">
        <f t="shared" si="9"/>
        <v>27298</v>
      </c>
      <c r="E163" s="6">
        <f t="shared" si="10"/>
        <v>1.269749387968207E-3</v>
      </c>
      <c r="F163" s="5">
        <f ca="1">TODAY()-GETPIVOTDATA("LastPurchaseDate",MaxDate!$A$3,"Customer_name",MaxDate!A165)</f>
        <v>279</v>
      </c>
      <c r="G163" t="str">
        <f t="shared" ca="1" si="11"/>
        <v>Inactive</v>
      </c>
      <c r="H163" s="13">
        <f>RANK(B163,Customer_Tiers[Total_Sales])</f>
        <v>162</v>
      </c>
    </row>
    <row r="164" spans="1:8">
      <c r="A164" t="str">
        <f>'Top Customers'!A166</f>
        <v>SIJU KADAYIRUPPU</v>
      </c>
      <c r="B164" s="5">
        <f>IF(A164="","",IFERROR(GETPIVOTDATA("Sales Amount",'Top Customers'!$A$3,"Customer_name",'Top Customers'!A166),""))</f>
        <v>71335</v>
      </c>
      <c r="C164" t="str">
        <f t="shared" si="8"/>
        <v>Regular</v>
      </c>
      <c r="D164">
        <f t="shared" si="9"/>
        <v>28665</v>
      </c>
      <c r="E164" s="6">
        <f t="shared" si="10"/>
        <v>1.2458745645334661E-3</v>
      </c>
      <c r="F164" s="5">
        <f ca="1">TODAY()-GETPIVOTDATA("LastPurchaseDate",MaxDate!$A$3,"Customer_name",MaxDate!A166)</f>
        <v>312</v>
      </c>
      <c r="G164" t="str">
        <f t="shared" ca="1" si="11"/>
        <v>Inactive</v>
      </c>
      <c r="H164" s="13">
        <f>RANK(B164,Customer_Tiers[Total_Sales])</f>
        <v>163</v>
      </c>
    </row>
    <row r="165" spans="1:8">
      <c r="A165" t="str">
        <f>'Top Customers'!A167</f>
        <v>ARTEC INDUSTRIES</v>
      </c>
      <c r="B165" s="5">
        <f>IF(A165="","",IFERROR(GETPIVOTDATA("Sales Amount",'Top Customers'!$A$3,"Customer_name",'Top Customers'!A167),""))</f>
        <v>71102</v>
      </c>
      <c r="C165" t="str">
        <f t="shared" si="8"/>
        <v>Regular</v>
      </c>
      <c r="D165">
        <f t="shared" si="9"/>
        <v>28898</v>
      </c>
      <c r="E165" s="6">
        <f t="shared" si="10"/>
        <v>1.2418051908243989E-3</v>
      </c>
      <c r="F165" s="5">
        <f ca="1">TODAY()-GETPIVOTDATA("LastPurchaseDate",MaxDate!$A$3,"Customer_name",MaxDate!A167)</f>
        <v>104</v>
      </c>
      <c r="G165" t="str">
        <f t="shared" ca="1" si="11"/>
        <v>At Risk</v>
      </c>
      <c r="H165" s="13">
        <f>RANK(B165,Customer_Tiers[Total_Sales])</f>
        <v>164</v>
      </c>
    </row>
    <row r="166" spans="1:8">
      <c r="A166" t="str">
        <f>'Top Customers'!A168</f>
        <v>ANIL KOLENCHERY</v>
      </c>
      <c r="B166" s="5">
        <f>IF(A166="","",IFERROR(GETPIVOTDATA("Sales Amount",'Top Customers'!$A$3,"Customer_name",'Top Customers'!A168),""))</f>
        <v>70183</v>
      </c>
      <c r="C166" t="str">
        <f t="shared" si="8"/>
        <v>Regular</v>
      </c>
      <c r="D166">
        <f t="shared" si="9"/>
        <v>29817</v>
      </c>
      <c r="E166" s="6">
        <f t="shared" si="10"/>
        <v>1.2257547425899244E-3</v>
      </c>
      <c r="F166" s="5">
        <f ca="1">TODAY()-GETPIVOTDATA("LastPurchaseDate",MaxDate!$A$3,"Customer_name",MaxDate!A168)</f>
        <v>162</v>
      </c>
      <c r="G166" t="str">
        <f t="shared" ca="1" si="11"/>
        <v>Inactive</v>
      </c>
      <c r="H166" s="13">
        <f>RANK(B166,Customer_Tiers[Total_Sales])</f>
        <v>165</v>
      </c>
    </row>
    <row r="167" spans="1:8">
      <c r="A167" t="str">
        <f>'Top Customers'!A169</f>
        <v>SUBHASH NEDUMBALLY</v>
      </c>
      <c r="B167" s="5">
        <f>IF(A167="","",IFERROR(GETPIVOTDATA("Sales Amount",'Top Customers'!$A$3,"Customer_name",'Top Customers'!A169),""))</f>
        <v>69866</v>
      </c>
      <c r="C167" t="str">
        <f t="shared" si="8"/>
        <v>Regular</v>
      </c>
      <c r="D167">
        <f t="shared" si="9"/>
        <v>30134</v>
      </c>
      <c r="E167" s="6">
        <f t="shared" si="10"/>
        <v>1.2202182985308072E-3</v>
      </c>
      <c r="F167" s="5">
        <f ca="1">TODAY()-GETPIVOTDATA("LastPurchaseDate",MaxDate!$A$3,"Customer_name",MaxDate!A169)</f>
        <v>139</v>
      </c>
      <c r="G167" t="str">
        <f t="shared" ca="1" si="11"/>
        <v>Inactive</v>
      </c>
      <c r="H167" s="13">
        <f>RANK(B167,Customer_Tiers[Total_Sales])</f>
        <v>166</v>
      </c>
    </row>
    <row r="168" spans="1:8">
      <c r="A168" t="str">
        <f>'Top Customers'!A170</f>
        <v>ASHRAF T A</v>
      </c>
      <c r="B168" s="5">
        <f>IF(A168="","",IFERROR(GETPIVOTDATA("Sales Amount",'Top Customers'!$A$3,"Customer_name",'Top Customers'!A170),""))</f>
        <v>69660</v>
      </c>
      <c r="C168" t="str">
        <f t="shared" si="8"/>
        <v>Regular</v>
      </c>
      <c r="D168">
        <f t="shared" si="9"/>
        <v>30340</v>
      </c>
      <c r="E168" s="6">
        <f t="shared" si="10"/>
        <v>1.2166204831485421E-3</v>
      </c>
      <c r="F168" s="5">
        <f ca="1">TODAY()-GETPIVOTDATA("LastPurchaseDate",MaxDate!$A$3,"Customer_name",MaxDate!A170)</f>
        <v>165</v>
      </c>
      <c r="G168" t="str">
        <f t="shared" ca="1" si="11"/>
        <v>Inactive</v>
      </c>
      <c r="H168" s="13">
        <f>RANK(B168,Customer_Tiers[Total_Sales])</f>
        <v>167</v>
      </c>
    </row>
    <row r="169" spans="1:8">
      <c r="A169" t="str">
        <f>'Top Customers'!A171</f>
        <v>AJU VALAMBOOR</v>
      </c>
      <c r="B169" s="5">
        <f>IF(A169="","",IFERROR(GETPIVOTDATA("Sales Amount",'Top Customers'!$A$3,"Customer_name",'Top Customers'!A171),""))</f>
        <v>69120</v>
      </c>
      <c r="C169" t="str">
        <f t="shared" si="8"/>
        <v>Regular</v>
      </c>
      <c r="D169">
        <f t="shared" si="9"/>
        <v>30880</v>
      </c>
      <c r="E169" s="6">
        <f t="shared" si="10"/>
        <v>1.2071893166125068E-3</v>
      </c>
      <c r="F169" s="5">
        <f ca="1">TODAY()-GETPIVOTDATA("LastPurchaseDate",MaxDate!$A$3,"Customer_name",MaxDate!A171)</f>
        <v>45</v>
      </c>
      <c r="G169" t="str">
        <f t="shared" ca="1" si="11"/>
        <v>Active</v>
      </c>
      <c r="H169" s="13">
        <f>RANK(B169,Customer_Tiers[Total_Sales])</f>
        <v>168</v>
      </c>
    </row>
    <row r="170" spans="1:8">
      <c r="A170" t="str">
        <f>'Top Customers'!A172</f>
        <v>MOHANAN PANCODE</v>
      </c>
      <c r="B170" s="5">
        <f>IF(A170="","",IFERROR(GETPIVOTDATA("Sales Amount",'Top Customers'!$A$3,"Customer_name",'Top Customers'!A172),""))</f>
        <v>68731</v>
      </c>
      <c r="C170" t="str">
        <f t="shared" si="8"/>
        <v>Regular</v>
      </c>
      <c r="D170">
        <f t="shared" si="9"/>
        <v>31269</v>
      </c>
      <c r="E170" s="6">
        <f t="shared" si="10"/>
        <v>1.2003953836819184E-3</v>
      </c>
      <c r="F170" s="5">
        <f ca="1">TODAY()-GETPIVOTDATA("LastPurchaseDate",MaxDate!$A$3,"Customer_name",MaxDate!A172)</f>
        <v>221</v>
      </c>
      <c r="G170" t="str">
        <f t="shared" ca="1" si="11"/>
        <v>Inactive</v>
      </c>
      <c r="H170" s="13">
        <f>RANK(B170,Customer_Tiers[Total_Sales])</f>
        <v>169</v>
      </c>
    </row>
    <row r="171" spans="1:8">
      <c r="A171" t="str">
        <f>'Top Customers'!A173</f>
        <v>ABDULSALAM KORALIYADAN</v>
      </c>
      <c r="B171" s="5">
        <f>IF(A171="","",IFERROR(GETPIVOTDATA("Sales Amount",'Top Customers'!$A$3,"Customer_name",'Top Customers'!A173),""))</f>
        <v>68000</v>
      </c>
      <c r="C171" t="str">
        <f t="shared" si="8"/>
        <v>Regular</v>
      </c>
      <c r="D171">
        <f t="shared" si="9"/>
        <v>32000</v>
      </c>
      <c r="E171" s="6">
        <f t="shared" si="10"/>
        <v>1.1876283786118411E-3</v>
      </c>
      <c r="F171" s="5">
        <f ca="1">TODAY()-GETPIVOTDATA("LastPurchaseDate",MaxDate!$A$3,"Customer_name",MaxDate!A173)</f>
        <v>323</v>
      </c>
      <c r="G171" t="str">
        <f t="shared" ca="1" si="11"/>
        <v>Inactive</v>
      </c>
      <c r="H171" s="13">
        <f>RANK(B171,Customer_Tiers[Total_Sales])</f>
        <v>170</v>
      </c>
    </row>
    <row r="172" spans="1:8">
      <c r="A172" t="str">
        <f>'Top Customers'!A174</f>
        <v>ROYAL ENGINEERING WORKS</v>
      </c>
      <c r="B172" s="5">
        <f>IF(A172="","",IFERROR(GETPIVOTDATA("Sales Amount",'Top Customers'!$A$3,"Customer_name",'Top Customers'!A174),""))</f>
        <v>67704</v>
      </c>
      <c r="C172" t="str">
        <f t="shared" si="8"/>
        <v>Regular</v>
      </c>
      <c r="D172">
        <f t="shared" si="9"/>
        <v>32296</v>
      </c>
      <c r="E172" s="6">
        <f t="shared" si="10"/>
        <v>1.1824587021402367E-3</v>
      </c>
      <c r="F172" s="5">
        <f ca="1">TODAY()-GETPIVOTDATA("LastPurchaseDate",MaxDate!$A$3,"Customer_name",MaxDate!A174)</f>
        <v>159</v>
      </c>
      <c r="G172" t="str">
        <f t="shared" ca="1" si="11"/>
        <v>Inactive</v>
      </c>
      <c r="H172" s="13">
        <f>RANK(B172,Customer_Tiers[Total_Sales])</f>
        <v>171</v>
      </c>
    </row>
    <row r="173" spans="1:8">
      <c r="A173" t="str">
        <f>'Top Customers'!A175</f>
        <v>RAJALASKSHMI CHENGARA</v>
      </c>
      <c r="B173" s="5">
        <f>IF(A173="","",IFERROR(GETPIVOTDATA("Sales Amount",'Top Customers'!$A$3,"Customer_name",'Top Customers'!A175),""))</f>
        <v>67417</v>
      </c>
      <c r="C173" t="str">
        <f t="shared" si="8"/>
        <v>Regular</v>
      </c>
      <c r="D173">
        <f t="shared" si="9"/>
        <v>32583</v>
      </c>
      <c r="E173" s="6">
        <f t="shared" si="10"/>
        <v>1.1774462117775661E-3</v>
      </c>
      <c r="F173" s="5">
        <f ca="1">TODAY()-GETPIVOTDATA("LastPurchaseDate",MaxDate!$A$3,"Customer_name",MaxDate!A175)</f>
        <v>239</v>
      </c>
      <c r="G173" t="str">
        <f t="shared" ca="1" si="11"/>
        <v>Inactive</v>
      </c>
      <c r="H173" s="13">
        <f>RANK(B173,Customer_Tiers[Total_Sales])</f>
        <v>172</v>
      </c>
    </row>
    <row r="174" spans="1:8">
      <c r="A174" t="str">
        <f>'Top Customers'!A176</f>
        <v>FRAMEZ ARCHITECTURAL CONSTRUCTIONS</v>
      </c>
      <c r="B174" s="5">
        <f>IF(A174="","",IFERROR(GETPIVOTDATA("Sales Amount",'Top Customers'!$A$3,"Customer_name",'Top Customers'!A176),""))</f>
        <v>67290</v>
      </c>
      <c r="C174" t="str">
        <f t="shared" si="8"/>
        <v>Regular</v>
      </c>
      <c r="D174">
        <f t="shared" si="9"/>
        <v>32710</v>
      </c>
      <c r="E174" s="6">
        <f t="shared" si="10"/>
        <v>1.1752281411292764E-3</v>
      </c>
      <c r="F174" s="5">
        <f ca="1">TODAY()-GETPIVOTDATA("LastPurchaseDate",MaxDate!$A$3,"Customer_name",MaxDate!A176)</f>
        <v>110</v>
      </c>
      <c r="G174" t="str">
        <f t="shared" ca="1" si="11"/>
        <v>At Risk</v>
      </c>
      <c r="H174" s="13">
        <f>RANK(B174,Customer_Tiers[Total_Sales])</f>
        <v>173</v>
      </c>
    </row>
    <row r="175" spans="1:8">
      <c r="A175" t="str">
        <f>'Top Customers'!A177</f>
        <v>RAJESH VALAMBOOR</v>
      </c>
      <c r="B175" s="5">
        <f>IF(A175="","",IFERROR(GETPIVOTDATA("Sales Amount",'Top Customers'!$A$3,"Customer_name",'Top Customers'!A177),""))</f>
        <v>67243</v>
      </c>
      <c r="C175" t="str">
        <f t="shared" si="8"/>
        <v>Regular</v>
      </c>
      <c r="D175">
        <f t="shared" si="9"/>
        <v>32757</v>
      </c>
      <c r="E175" s="6">
        <f t="shared" si="10"/>
        <v>1.1744072803381771E-3</v>
      </c>
      <c r="F175" s="5">
        <f ca="1">TODAY()-GETPIVOTDATA("LastPurchaseDate",MaxDate!$A$3,"Customer_name",MaxDate!A177)</f>
        <v>325</v>
      </c>
      <c r="G175" t="str">
        <f t="shared" ca="1" si="11"/>
        <v>Inactive</v>
      </c>
      <c r="H175" s="13">
        <f>RANK(B175,Customer_Tiers[Total_Sales])</f>
        <v>174</v>
      </c>
    </row>
    <row r="176" spans="1:8">
      <c r="A176" t="str">
        <f>'Top Customers'!A178</f>
        <v>SUDHEER TRUSS</v>
      </c>
      <c r="B176" s="5">
        <f>IF(A176="","",IFERROR(GETPIVOTDATA("Sales Amount",'Top Customers'!$A$3,"Customer_name",'Top Customers'!A178),""))</f>
        <v>66793</v>
      </c>
      <c r="C176" t="str">
        <f t="shared" si="8"/>
        <v>Regular</v>
      </c>
      <c r="D176">
        <f t="shared" si="9"/>
        <v>33207</v>
      </c>
      <c r="E176" s="6">
        <f t="shared" si="10"/>
        <v>1.1665479748914809E-3</v>
      </c>
      <c r="F176" s="5">
        <f ca="1">TODAY()-GETPIVOTDATA("LastPurchaseDate",MaxDate!$A$3,"Customer_name",MaxDate!A178)</f>
        <v>187</v>
      </c>
      <c r="G176" t="str">
        <f t="shared" ca="1" si="11"/>
        <v>Inactive</v>
      </c>
      <c r="H176" s="13">
        <f>RANK(B176,Customer_Tiers[Total_Sales])</f>
        <v>175</v>
      </c>
    </row>
    <row r="177" spans="1:8">
      <c r="A177" t="str">
        <f>'Top Customers'!A179</f>
        <v>RAFEEK TRUSS</v>
      </c>
      <c r="B177" s="5">
        <f>IF(A177="","",IFERROR(GETPIVOTDATA("Sales Amount",'Top Customers'!$A$3,"Customer_name",'Top Customers'!A179),""))</f>
        <v>66429</v>
      </c>
      <c r="C177" t="str">
        <f t="shared" si="8"/>
        <v>Regular</v>
      </c>
      <c r="D177">
        <f t="shared" si="9"/>
        <v>33571</v>
      </c>
      <c r="E177" s="6">
        <f t="shared" si="10"/>
        <v>1.1601906700412646E-3</v>
      </c>
      <c r="F177" s="5">
        <f ca="1">TODAY()-GETPIVOTDATA("LastPurchaseDate",MaxDate!$A$3,"Customer_name",MaxDate!A179)</f>
        <v>81</v>
      </c>
      <c r="G177" t="str">
        <f t="shared" ca="1" si="11"/>
        <v>At Risk</v>
      </c>
      <c r="H177" s="13">
        <f>RANK(B177,Customer_Tiers[Total_Sales])</f>
        <v>176</v>
      </c>
    </row>
    <row r="178" spans="1:8">
      <c r="A178" t="str">
        <f>'Top Customers'!A180</f>
        <v>SAITHU , CITY FURNITURE</v>
      </c>
      <c r="B178" s="5">
        <f>IF(A178="","",IFERROR(GETPIVOTDATA("Sales Amount",'Top Customers'!$A$3,"Customer_name",'Top Customers'!A180),""))</f>
        <v>66004</v>
      </c>
      <c r="C178" t="str">
        <f t="shared" si="8"/>
        <v>Regular</v>
      </c>
      <c r="D178">
        <f t="shared" si="9"/>
        <v>33996</v>
      </c>
      <c r="E178" s="6">
        <f t="shared" si="10"/>
        <v>1.1527679926749406E-3</v>
      </c>
      <c r="F178" s="5">
        <f ca="1">TODAY()-GETPIVOTDATA("LastPurchaseDate",MaxDate!$A$3,"Customer_name",MaxDate!A180)</f>
        <v>20</v>
      </c>
      <c r="G178" t="str">
        <f t="shared" ca="1" si="11"/>
        <v>Active</v>
      </c>
      <c r="H178" s="13">
        <f>RANK(B178,Customer_Tiers[Total_Sales])</f>
        <v>177</v>
      </c>
    </row>
    <row r="179" spans="1:8">
      <c r="A179" t="str">
        <f>'Top Customers'!A181</f>
        <v>BALU CHELAKUALM</v>
      </c>
      <c r="B179" s="5">
        <f>IF(A179="","",IFERROR(GETPIVOTDATA("Sales Amount",'Top Customers'!$A$3,"Customer_name",'Top Customers'!A181),""))</f>
        <v>65084</v>
      </c>
      <c r="C179" t="str">
        <f t="shared" si="8"/>
        <v>Regular</v>
      </c>
      <c r="D179">
        <f t="shared" si="9"/>
        <v>34916</v>
      </c>
      <c r="E179" s="6">
        <f t="shared" si="10"/>
        <v>1.1367000793172512E-3</v>
      </c>
      <c r="F179" s="5">
        <f ca="1">TODAY()-GETPIVOTDATA("LastPurchaseDate",MaxDate!$A$3,"Customer_name",MaxDate!A181)</f>
        <v>107</v>
      </c>
      <c r="G179" t="str">
        <f t="shared" ca="1" si="11"/>
        <v>At Risk</v>
      </c>
      <c r="H179" s="13">
        <f>RANK(B179,Customer_Tiers[Total_Sales])</f>
        <v>178</v>
      </c>
    </row>
    <row r="180" spans="1:8">
      <c r="A180" t="str">
        <f>'Top Customers'!A182</f>
        <v>SHIHAB MUHAMMED</v>
      </c>
      <c r="B180" s="5">
        <f>IF(A180="","",IFERROR(GETPIVOTDATA("Sales Amount",'Top Customers'!$A$3,"Customer_name",'Top Customers'!A182),""))</f>
        <v>64689</v>
      </c>
      <c r="C180" t="str">
        <f t="shared" si="8"/>
        <v>Regular</v>
      </c>
      <c r="D180">
        <f t="shared" si="9"/>
        <v>35311</v>
      </c>
      <c r="E180" s="6">
        <f t="shared" si="10"/>
        <v>1.1298013556473735E-3</v>
      </c>
      <c r="F180" s="5">
        <f ca="1">TODAY()-GETPIVOTDATA("LastPurchaseDate",MaxDate!$A$3,"Customer_name",MaxDate!A182)</f>
        <v>10</v>
      </c>
      <c r="G180" t="str">
        <f t="shared" ca="1" si="11"/>
        <v>Active</v>
      </c>
      <c r="H180" s="13">
        <f>RANK(B180,Customer_Tiers[Total_Sales])</f>
        <v>179</v>
      </c>
    </row>
    <row r="181" spans="1:8">
      <c r="A181" t="str">
        <f>'Top Customers'!A183</f>
        <v>KRISHNADAS</v>
      </c>
      <c r="B181" s="5">
        <f>IF(A181="","",IFERROR(GETPIVOTDATA("Sales Amount",'Top Customers'!$A$3,"Customer_name",'Top Customers'!A183),""))</f>
        <v>64573</v>
      </c>
      <c r="C181" t="str">
        <f t="shared" si="8"/>
        <v>Regular</v>
      </c>
      <c r="D181">
        <f t="shared" si="9"/>
        <v>35427</v>
      </c>
      <c r="E181" s="6">
        <f t="shared" si="10"/>
        <v>1.1277754013544474E-3</v>
      </c>
      <c r="F181" s="5">
        <f ca="1">TODAY()-GETPIVOTDATA("LastPurchaseDate",MaxDate!$A$3,"Customer_name",MaxDate!A183)</f>
        <v>16</v>
      </c>
      <c r="G181" t="str">
        <f t="shared" ca="1" si="11"/>
        <v>Active</v>
      </c>
      <c r="H181" s="13">
        <f>RANK(B181,Customer_Tiers[Total_Sales])</f>
        <v>180</v>
      </c>
    </row>
    <row r="182" spans="1:8">
      <c r="A182" t="str">
        <f>'Top Customers'!A184</f>
        <v>SCARLET</v>
      </c>
      <c r="B182" s="5">
        <f>IF(A182="","",IFERROR(GETPIVOTDATA("Sales Amount",'Top Customers'!$A$3,"Customer_name",'Top Customers'!A184),""))</f>
        <v>64276</v>
      </c>
      <c r="C182" t="str">
        <f t="shared" si="8"/>
        <v>Regular</v>
      </c>
      <c r="D182">
        <f t="shared" si="9"/>
        <v>35724</v>
      </c>
      <c r="E182" s="6">
        <f t="shared" si="10"/>
        <v>1.122588259759628E-3</v>
      </c>
      <c r="F182" s="5">
        <f ca="1">TODAY()-GETPIVOTDATA("LastPurchaseDate",MaxDate!$A$3,"Customer_name",MaxDate!A184)</f>
        <v>205</v>
      </c>
      <c r="G182" t="str">
        <f t="shared" ca="1" si="11"/>
        <v>Inactive</v>
      </c>
      <c r="H182" s="13">
        <f>RANK(B182,Customer_Tiers[Total_Sales])</f>
        <v>181</v>
      </c>
    </row>
    <row r="183" spans="1:8">
      <c r="A183" t="str">
        <f>'Top Customers'!A185</f>
        <v>MANU PATTIMATTOM</v>
      </c>
      <c r="B183" s="5">
        <f>IF(A183="","",IFERROR(GETPIVOTDATA("Sales Amount",'Top Customers'!$A$3,"Customer_name",'Top Customers'!A185),""))</f>
        <v>63557</v>
      </c>
      <c r="C183" t="str">
        <f t="shared" si="8"/>
        <v>Regular</v>
      </c>
      <c r="D183">
        <f t="shared" si="9"/>
        <v>36443</v>
      </c>
      <c r="E183" s="6">
        <f t="shared" si="10"/>
        <v>1.1100308361681292E-3</v>
      </c>
      <c r="F183" s="5">
        <f ca="1">TODAY()-GETPIVOTDATA("LastPurchaseDate",MaxDate!$A$3,"Customer_name",MaxDate!A185)</f>
        <v>171</v>
      </c>
      <c r="G183" t="str">
        <f t="shared" ca="1" si="11"/>
        <v>Inactive</v>
      </c>
      <c r="H183" s="13">
        <f>RANK(B183,Customer_Tiers[Total_Sales])</f>
        <v>182</v>
      </c>
    </row>
    <row r="184" spans="1:8">
      <c r="A184" t="str">
        <f>'Top Customers'!A186</f>
        <v>SAJU KATTIKUDIYIL</v>
      </c>
      <c r="B184" s="5">
        <f>IF(A184="","",IFERROR(GETPIVOTDATA("Sales Amount",'Top Customers'!$A$3,"Customer_name",'Top Customers'!A186),""))</f>
        <v>63554</v>
      </c>
      <c r="C184" t="str">
        <f t="shared" si="8"/>
        <v>Regular</v>
      </c>
      <c r="D184">
        <f t="shared" si="9"/>
        <v>36446</v>
      </c>
      <c r="E184" s="6">
        <f t="shared" si="10"/>
        <v>1.1099784407984847E-3</v>
      </c>
      <c r="F184" s="5">
        <f ca="1">TODAY()-GETPIVOTDATA("LastPurchaseDate",MaxDate!$A$3,"Customer_name",MaxDate!A186)</f>
        <v>100</v>
      </c>
      <c r="G184" t="str">
        <f t="shared" ca="1" si="11"/>
        <v>At Risk</v>
      </c>
      <c r="H184" s="13">
        <f>RANK(B184,Customer_Tiers[Total_Sales])</f>
        <v>183</v>
      </c>
    </row>
    <row r="185" spans="1:8">
      <c r="A185" t="str">
        <f>'Top Customers'!A187</f>
        <v>JOSE VADAKKAN</v>
      </c>
      <c r="B185" s="5">
        <f>IF(A185="","",IFERROR(GETPIVOTDATA("Sales Amount",'Top Customers'!$A$3,"Customer_name",'Top Customers'!A187),""))</f>
        <v>63524</v>
      </c>
      <c r="C185" t="str">
        <f t="shared" si="8"/>
        <v>Regular</v>
      </c>
      <c r="D185">
        <f t="shared" si="9"/>
        <v>36476</v>
      </c>
      <c r="E185" s="6">
        <f t="shared" si="10"/>
        <v>1.1094544871020381E-3</v>
      </c>
      <c r="F185" s="5">
        <f ca="1">TODAY()-GETPIVOTDATA("LastPurchaseDate",MaxDate!$A$3,"Customer_name",MaxDate!A187)</f>
        <v>114</v>
      </c>
      <c r="G185" t="str">
        <f t="shared" ca="1" si="11"/>
        <v>At Risk</v>
      </c>
      <c r="H185" s="13">
        <f>RANK(B185,Customer_Tiers[Total_Sales])</f>
        <v>184</v>
      </c>
    </row>
    <row r="186" spans="1:8">
      <c r="A186" t="str">
        <f>'Top Customers'!A188</f>
        <v>AFSAL PAREETH TRUSS</v>
      </c>
      <c r="B186" s="5">
        <f>IF(A186="","",IFERROR(GETPIVOTDATA("Sales Amount",'Top Customers'!$A$3,"Customer_name",'Top Customers'!A188),""))</f>
        <v>63257</v>
      </c>
      <c r="C186" t="str">
        <f t="shared" si="8"/>
        <v>Regular</v>
      </c>
      <c r="D186">
        <f t="shared" si="9"/>
        <v>36743</v>
      </c>
      <c r="E186" s="6">
        <f t="shared" si="10"/>
        <v>1.1047912992036652E-3</v>
      </c>
      <c r="F186" s="5">
        <f ca="1">TODAY()-GETPIVOTDATA("LastPurchaseDate",MaxDate!$A$3,"Customer_name",MaxDate!A188)</f>
        <v>213</v>
      </c>
      <c r="G186" t="str">
        <f t="shared" ca="1" si="11"/>
        <v>Inactive</v>
      </c>
      <c r="H186" s="13">
        <f>RANK(B186,Customer_Tiers[Total_Sales])</f>
        <v>185</v>
      </c>
    </row>
    <row r="187" spans="1:8">
      <c r="A187" t="str">
        <f>'Top Customers'!A189</f>
        <v>JOY MECHANGARA</v>
      </c>
      <c r="B187" s="5">
        <f>IF(A187="","",IFERROR(GETPIVOTDATA("Sales Amount",'Top Customers'!$A$3,"Customer_name",'Top Customers'!A189),""))</f>
        <v>63011</v>
      </c>
      <c r="C187" t="str">
        <f t="shared" si="8"/>
        <v>Regular</v>
      </c>
      <c r="D187">
        <f t="shared" si="9"/>
        <v>36989</v>
      </c>
      <c r="E187" s="6">
        <f t="shared" si="10"/>
        <v>1.1004948788928047E-3</v>
      </c>
      <c r="F187" s="5">
        <f ca="1">TODAY()-GETPIVOTDATA("LastPurchaseDate",MaxDate!$A$3,"Customer_name",MaxDate!A189)</f>
        <v>289</v>
      </c>
      <c r="G187" t="str">
        <f t="shared" ca="1" si="11"/>
        <v>Inactive</v>
      </c>
      <c r="H187" s="13">
        <f>RANK(B187,Customer_Tiers[Total_Sales])</f>
        <v>186</v>
      </c>
    </row>
    <row r="188" spans="1:8">
      <c r="A188" t="str">
        <f>'Top Customers'!A190</f>
        <v>DR.DIVAKARAN NAIR</v>
      </c>
      <c r="B188" s="5">
        <f>IF(A188="","",IFERROR(GETPIVOTDATA("Sales Amount",'Top Customers'!$A$3,"Customer_name",'Top Customers'!A190),""))</f>
        <v>62732</v>
      </c>
      <c r="C188" t="str">
        <f t="shared" si="8"/>
        <v>Regular</v>
      </c>
      <c r="D188">
        <f t="shared" si="9"/>
        <v>37268</v>
      </c>
      <c r="E188" s="6">
        <f t="shared" si="10"/>
        <v>1.0956221095158533E-3</v>
      </c>
      <c r="F188" s="5">
        <f ca="1">TODAY()-GETPIVOTDATA("LastPurchaseDate",MaxDate!$A$3,"Customer_name",MaxDate!A190)</f>
        <v>236</v>
      </c>
      <c r="G188" t="str">
        <f t="shared" ca="1" si="11"/>
        <v>Inactive</v>
      </c>
      <c r="H188" s="13">
        <f>RANK(B188,Customer_Tiers[Total_Sales])</f>
        <v>187</v>
      </c>
    </row>
    <row r="189" spans="1:8">
      <c r="A189" t="str">
        <f>'Top Customers'!A191</f>
        <v>BASIL ,CHOORAKKODE</v>
      </c>
      <c r="B189" s="5">
        <f>IF(A189="","",IFERROR(GETPIVOTDATA("Sales Amount",'Top Customers'!$A$3,"Customer_name",'Top Customers'!A191),""))</f>
        <v>62722</v>
      </c>
      <c r="C189" t="str">
        <f t="shared" si="8"/>
        <v>Regular</v>
      </c>
      <c r="D189">
        <f t="shared" si="9"/>
        <v>37278</v>
      </c>
      <c r="E189" s="6">
        <f t="shared" si="10"/>
        <v>1.0954474582837044E-3</v>
      </c>
      <c r="F189" s="5">
        <f ca="1">TODAY()-GETPIVOTDATA("LastPurchaseDate",MaxDate!$A$3,"Customer_name",MaxDate!A191)</f>
        <v>3</v>
      </c>
      <c r="G189" t="str">
        <f t="shared" ca="1" si="11"/>
        <v>Active</v>
      </c>
      <c r="H189" s="13">
        <f>RANK(B189,Customer_Tiers[Total_Sales])</f>
        <v>188</v>
      </c>
    </row>
    <row r="190" spans="1:8">
      <c r="A190" t="str">
        <f>'Top Customers'!A192</f>
        <v>SANTHOSH(VS BAKERY)</v>
      </c>
      <c r="B190" s="5">
        <f>IF(A190="","",IFERROR(GETPIVOTDATA("Sales Amount",'Top Customers'!$A$3,"Customer_name",'Top Customers'!A192),""))</f>
        <v>62695</v>
      </c>
      <c r="C190" t="str">
        <f t="shared" si="8"/>
        <v>Regular</v>
      </c>
      <c r="D190">
        <f t="shared" si="9"/>
        <v>37305</v>
      </c>
      <c r="E190" s="6">
        <f t="shared" si="10"/>
        <v>1.0949758999569026E-3</v>
      </c>
      <c r="F190" s="5">
        <f ca="1">TODAY()-GETPIVOTDATA("LastPurchaseDate",MaxDate!$A$3,"Customer_name",MaxDate!A192)</f>
        <v>2</v>
      </c>
      <c r="G190" t="str">
        <f t="shared" ca="1" si="11"/>
        <v>Active</v>
      </c>
      <c r="H190" s="13">
        <f>RANK(B190,Customer_Tiers[Total_Sales])</f>
        <v>189</v>
      </c>
    </row>
    <row r="191" spans="1:8">
      <c r="A191" t="str">
        <f>'Top Customers'!A193</f>
        <v>NAUSHAD DOUBLEPALAM</v>
      </c>
      <c r="B191" s="5">
        <f>IF(A191="","",IFERROR(GETPIVOTDATA("Sales Amount",'Top Customers'!$A$3,"Customer_name",'Top Customers'!A193),""))</f>
        <v>62646</v>
      </c>
      <c r="C191" t="str">
        <f t="shared" si="8"/>
        <v>Regular</v>
      </c>
      <c r="D191">
        <f t="shared" si="9"/>
        <v>37354</v>
      </c>
      <c r="E191" s="6">
        <f t="shared" si="10"/>
        <v>1.0941201089193736E-3</v>
      </c>
      <c r="F191" s="5">
        <f ca="1">TODAY()-GETPIVOTDATA("LastPurchaseDate",MaxDate!$A$3,"Customer_name",MaxDate!A193)</f>
        <v>95</v>
      </c>
      <c r="G191" t="str">
        <f t="shared" ca="1" si="11"/>
        <v>At Risk</v>
      </c>
      <c r="H191" s="13">
        <f>RANK(B191,Customer_Tiers[Total_Sales])</f>
        <v>190</v>
      </c>
    </row>
    <row r="192" spans="1:8">
      <c r="A192" t="str">
        <f>'Top Customers'!A194</f>
        <v>AJITH K T</v>
      </c>
      <c r="B192" s="5">
        <f>IF(A192="","",IFERROR(GETPIVOTDATA("Sales Amount",'Top Customers'!$A$3,"Customer_name",'Top Customers'!A194),""))</f>
        <v>62630</v>
      </c>
      <c r="C192" t="str">
        <f t="shared" si="8"/>
        <v>Regular</v>
      </c>
      <c r="D192">
        <f t="shared" si="9"/>
        <v>37370</v>
      </c>
      <c r="E192" s="6">
        <f t="shared" si="10"/>
        <v>1.0938406669479355E-3</v>
      </c>
      <c r="F192" s="5">
        <f ca="1">TODAY()-GETPIVOTDATA("LastPurchaseDate",MaxDate!$A$3,"Customer_name",MaxDate!A194)</f>
        <v>4</v>
      </c>
      <c r="G192" t="str">
        <f t="shared" ca="1" si="11"/>
        <v>Active</v>
      </c>
      <c r="H192" s="13">
        <f>RANK(B192,Customer_Tiers[Total_Sales])</f>
        <v>191</v>
      </c>
    </row>
    <row r="193" spans="1:8">
      <c r="A193" t="str">
        <f>'Top Customers'!A195</f>
        <v>THOMAS ALEX</v>
      </c>
      <c r="B193" s="5">
        <f>IF(A193="","",IFERROR(GETPIVOTDATA("Sales Amount",'Top Customers'!$A$3,"Customer_name",'Top Customers'!A195),""))</f>
        <v>62045</v>
      </c>
      <c r="C193" t="str">
        <f t="shared" si="8"/>
        <v>Regular</v>
      </c>
      <c r="D193">
        <f t="shared" si="9"/>
        <v>37955</v>
      </c>
      <c r="E193" s="6">
        <f t="shared" si="10"/>
        <v>1.0836235698672306E-3</v>
      </c>
      <c r="F193" s="5">
        <f ca="1">TODAY()-GETPIVOTDATA("LastPurchaseDate",MaxDate!$A$3,"Customer_name",MaxDate!A195)</f>
        <v>145</v>
      </c>
      <c r="G193" t="str">
        <f t="shared" ca="1" si="11"/>
        <v>Inactive</v>
      </c>
      <c r="H193" s="13">
        <f>RANK(B193,Customer_Tiers[Total_Sales])</f>
        <v>192</v>
      </c>
    </row>
    <row r="194" spans="1:8">
      <c r="A194" t="str">
        <f>'Top Customers'!A196</f>
        <v>PAREETH TRUSS</v>
      </c>
      <c r="B194" s="5">
        <f>IF(A194="","",IFERROR(GETPIVOTDATA("Sales Amount",'Top Customers'!$A$3,"Customer_name",'Top Customers'!A196),""))</f>
        <v>61925</v>
      </c>
      <c r="C194" t="str">
        <f t="shared" ref="C194:C257" si="12">IF(B194&gt;=1000000,"Platinum",
 IF(B194&gt;=500000,"Gold",
 IF(B194&gt;=100000,"Silver","Regular")))</f>
        <v>Regular</v>
      </c>
      <c r="D194">
        <f t="shared" ref="D194:D257" si="13">IF(C194="Platinum",0,
 IF(C194="Gold",1000000-B194,
 IF(C194="Silver",500000-B194,
 IF(C194="Regular",100000-B194,0))))</f>
        <v>38075</v>
      </c>
      <c r="E194" s="6">
        <f t="shared" ref="E194:E257" si="14">B194/SUM(B:B)</f>
        <v>1.0815277550814452E-3</v>
      </c>
      <c r="F194" s="5">
        <f ca="1">TODAY()-GETPIVOTDATA("LastPurchaseDate",MaxDate!$A$3,"Customer_name",MaxDate!A196)</f>
        <v>138</v>
      </c>
      <c r="G194" t="str">
        <f t="shared" ref="G194:G257" ca="1" si="15">IF(F194="","",
 IF(F194&lt;=60,"Active",
 IF(F194&lt;=120,"At Risk","Inactive")))</f>
        <v>Inactive</v>
      </c>
      <c r="H194" s="13">
        <f>RANK(B194,Customer_Tiers[Total_Sales])</f>
        <v>193</v>
      </c>
    </row>
    <row r="195" spans="1:8">
      <c r="A195" t="str">
        <f>'Top Customers'!A197</f>
        <v>SHAJI MUNNAS VILANGU</v>
      </c>
      <c r="B195" s="5">
        <f>IF(A195="","",IFERROR(GETPIVOTDATA("Sales Amount",'Top Customers'!$A$3,"Customer_name",'Top Customers'!A197),""))</f>
        <v>61880</v>
      </c>
      <c r="C195" t="str">
        <f t="shared" si="12"/>
        <v>Regular</v>
      </c>
      <c r="D195">
        <f t="shared" si="13"/>
        <v>38120</v>
      </c>
      <c r="E195" s="6">
        <f t="shared" si="14"/>
        <v>1.0807418245367755E-3</v>
      </c>
      <c r="F195" s="5">
        <f ca="1">TODAY()-GETPIVOTDATA("LastPurchaseDate",MaxDate!$A$3,"Customer_name",MaxDate!A197)</f>
        <v>134</v>
      </c>
      <c r="G195" t="str">
        <f t="shared" ca="1" si="15"/>
        <v>Inactive</v>
      </c>
      <c r="H195" s="13">
        <f>RANK(B195,Customer_Tiers[Total_Sales])</f>
        <v>194</v>
      </c>
    </row>
    <row r="196" spans="1:8">
      <c r="A196" t="str">
        <f>'Top Customers'!A198</f>
        <v>ELDHOPAUL PAILY</v>
      </c>
      <c r="B196" s="5">
        <f>IF(A196="","",IFERROR(GETPIVOTDATA("Sales Amount",'Top Customers'!$A$3,"Customer_name",'Top Customers'!A198),""))</f>
        <v>61604</v>
      </c>
      <c r="C196" t="str">
        <f t="shared" si="12"/>
        <v>Regular</v>
      </c>
      <c r="D196">
        <f t="shared" si="13"/>
        <v>38396</v>
      </c>
      <c r="E196" s="6">
        <f t="shared" si="14"/>
        <v>1.0759214505294686E-3</v>
      </c>
      <c r="F196" s="5">
        <f ca="1">TODAY()-GETPIVOTDATA("LastPurchaseDate",MaxDate!$A$3,"Customer_name",MaxDate!A198)</f>
        <v>62</v>
      </c>
      <c r="G196" t="str">
        <f t="shared" ca="1" si="15"/>
        <v>At Risk</v>
      </c>
      <c r="H196" s="13">
        <f>RANK(B196,Customer_Tiers[Total_Sales])</f>
        <v>195</v>
      </c>
    </row>
    <row r="197" spans="1:8">
      <c r="A197" t="str">
        <f>'Top Customers'!A199</f>
        <v>IDEAL CONSTRUCTION</v>
      </c>
      <c r="B197" s="5">
        <f>IF(A197="","",IFERROR(GETPIVOTDATA("Sales Amount",'Top Customers'!$A$3,"Customer_name",'Top Customers'!A199),""))</f>
        <v>61506</v>
      </c>
      <c r="C197" t="str">
        <f t="shared" si="12"/>
        <v>Regular</v>
      </c>
      <c r="D197">
        <f t="shared" si="13"/>
        <v>38494</v>
      </c>
      <c r="E197" s="6">
        <f t="shared" si="14"/>
        <v>1.0742098684544104E-3</v>
      </c>
      <c r="F197" s="5">
        <f ca="1">TODAY()-GETPIVOTDATA("LastPurchaseDate",MaxDate!$A$3,"Customer_name",MaxDate!A199)</f>
        <v>68</v>
      </c>
      <c r="G197" t="str">
        <f t="shared" ca="1" si="15"/>
        <v>At Risk</v>
      </c>
      <c r="H197" s="13">
        <f>RANK(B197,Customer_Tiers[Total_Sales])</f>
        <v>196</v>
      </c>
    </row>
    <row r="198" spans="1:8">
      <c r="A198" t="str">
        <f>'Top Customers'!A200</f>
        <v>VISHNU VALAYANCHRANGARA</v>
      </c>
      <c r="B198" s="5">
        <f>IF(A198="","",IFERROR(GETPIVOTDATA("Sales Amount",'Top Customers'!$A$3,"Customer_name",'Top Customers'!A200),""))</f>
        <v>61259</v>
      </c>
      <c r="C198" t="str">
        <f t="shared" si="12"/>
        <v>Regular</v>
      </c>
      <c r="D198">
        <f t="shared" si="13"/>
        <v>38741</v>
      </c>
      <c r="E198" s="6">
        <f t="shared" si="14"/>
        <v>1.069895983020335E-3</v>
      </c>
      <c r="F198" s="5">
        <f ca="1">TODAY()-GETPIVOTDATA("LastPurchaseDate",MaxDate!$A$3,"Customer_name",MaxDate!A200)</f>
        <v>194</v>
      </c>
      <c r="G198" t="str">
        <f t="shared" ca="1" si="15"/>
        <v>Inactive</v>
      </c>
      <c r="H198" s="13">
        <f>RANK(B198,Customer_Tiers[Total_Sales])</f>
        <v>197</v>
      </c>
    </row>
    <row r="199" spans="1:8">
      <c r="A199" t="str">
        <f>'Top Customers'!A201</f>
        <v>SUN POWER SYSTEM</v>
      </c>
      <c r="B199" s="5">
        <f>IF(A199="","",IFERROR(GETPIVOTDATA("Sales Amount",'Top Customers'!$A$3,"Customer_name",'Top Customers'!A201),""))</f>
        <v>61254</v>
      </c>
      <c r="C199" t="str">
        <f t="shared" si="12"/>
        <v>Regular</v>
      </c>
      <c r="D199">
        <f t="shared" si="13"/>
        <v>38746</v>
      </c>
      <c r="E199" s="6">
        <f t="shared" si="14"/>
        <v>1.0698086574042606E-3</v>
      </c>
      <c r="F199" s="5">
        <f ca="1">TODAY()-GETPIVOTDATA("LastPurchaseDate",MaxDate!$A$3,"Customer_name",MaxDate!A201)</f>
        <v>139</v>
      </c>
      <c r="G199" t="str">
        <f t="shared" ca="1" si="15"/>
        <v>Inactive</v>
      </c>
      <c r="H199" s="13">
        <f>RANK(B199,Customer_Tiers[Total_Sales])</f>
        <v>198</v>
      </c>
    </row>
    <row r="200" spans="1:8">
      <c r="A200" t="str">
        <f>'Top Customers'!A202</f>
        <v>PAREETH KUNJU K S E B</v>
      </c>
      <c r="B200" s="5">
        <f>IF(A200="","",IFERROR(GETPIVOTDATA("Sales Amount",'Top Customers'!$A$3,"Customer_name",'Top Customers'!A202),""))</f>
        <v>60813</v>
      </c>
      <c r="C200" t="str">
        <f t="shared" si="12"/>
        <v>Regular</v>
      </c>
      <c r="D200">
        <f t="shared" si="13"/>
        <v>39187</v>
      </c>
      <c r="E200" s="6">
        <f t="shared" si="14"/>
        <v>1.0621065380664984E-3</v>
      </c>
      <c r="F200" s="5">
        <f ca="1">TODAY()-GETPIVOTDATA("LastPurchaseDate",MaxDate!$A$3,"Customer_name",MaxDate!A202)</f>
        <v>120</v>
      </c>
      <c r="G200" t="str">
        <f t="shared" ca="1" si="15"/>
        <v>At Risk</v>
      </c>
      <c r="H200" s="13">
        <f>RANK(B200,Customer_Tiers[Total_Sales])</f>
        <v>199</v>
      </c>
    </row>
    <row r="201" spans="1:8">
      <c r="A201" t="str">
        <f>'Top Customers'!A203</f>
        <v>SUNNY KUPPAKKADAN</v>
      </c>
      <c r="B201" s="5">
        <f>IF(A201="","",IFERROR(GETPIVOTDATA("Sales Amount",'Top Customers'!$A$3,"Customer_name",'Top Customers'!A203),""))</f>
        <v>60484</v>
      </c>
      <c r="C201" t="str">
        <f t="shared" si="12"/>
        <v>Regular</v>
      </c>
      <c r="D201">
        <f t="shared" si="13"/>
        <v>39516</v>
      </c>
      <c r="E201" s="6">
        <f t="shared" si="14"/>
        <v>1.0563605125288029E-3</v>
      </c>
      <c r="F201" s="5">
        <f ca="1">TODAY()-GETPIVOTDATA("LastPurchaseDate",MaxDate!$A$3,"Customer_name",MaxDate!A203)</f>
        <v>192</v>
      </c>
      <c r="G201" t="str">
        <f t="shared" ca="1" si="15"/>
        <v>Inactive</v>
      </c>
      <c r="H201" s="13">
        <f>RANK(B201,Customer_Tiers[Total_Sales])</f>
        <v>200</v>
      </c>
    </row>
    <row r="202" spans="1:8">
      <c r="A202" t="str">
        <f>'Top Customers'!A204</f>
        <v>REJI MATHEW</v>
      </c>
      <c r="B202" s="5">
        <f>IF(A202="","",IFERROR(GETPIVOTDATA("Sales Amount",'Top Customers'!$A$3,"Customer_name",'Top Customers'!A204),""))</f>
        <v>60234</v>
      </c>
      <c r="C202" t="str">
        <f t="shared" si="12"/>
        <v>Regular</v>
      </c>
      <c r="D202">
        <f t="shared" si="13"/>
        <v>39766</v>
      </c>
      <c r="E202" s="6">
        <f t="shared" si="14"/>
        <v>1.051994231725083E-3</v>
      </c>
      <c r="F202" s="5">
        <f ca="1">TODAY()-GETPIVOTDATA("LastPurchaseDate",MaxDate!$A$3,"Customer_name",MaxDate!A204)</f>
        <v>243</v>
      </c>
      <c r="G202" t="str">
        <f t="shared" ca="1" si="15"/>
        <v>Inactive</v>
      </c>
      <c r="H202" s="13">
        <f>RANK(B202,Customer_Tiers[Total_Sales])</f>
        <v>201</v>
      </c>
    </row>
    <row r="203" spans="1:8">
      <c r="A203" t="str">
        <f>'Top Customers'!A205</f>
        <v>RAMESH E.S</v>
      </c>
      <c r="B203" s="5">
        <f>IF(A203="","",IFERROR(GETPIVOTDATA("Sales Amount",'Top Customers'!$A$3,"Customer_name",'Top Customers'!A205),""))</f>
        <v>60152</v>
      </c>
      <c r="C203" t="str">
        <f t="shared" si="12"/>
        <v>Regular</v>
      </c>
      <c r="D203">
        <f t="shared" si="13"/>
        <v>39848</v>
      </c>
      <c r="E203" s="6">
        <f t="shared" si="14"/>
        <v>1.0505620916214627E-3</v>
      </c>
      <c r="F203" s="5">
        <f ca="1">TODAY()-GETPIVOTDATA("LastPurchaseDate",MaxDate!$A$3,"Customer_name",MaxDate!A205)</f>
        <v>185</v>
      </c>
      <c r="G203" t="str">
        <f t="shared" ca="1" si="15"/>
        <v>Inactive</v>
      </c>
      <c r="H203" s="13">
        <f>RANK(B203,Customer_Tiers[Total_Sales])</f>
        <v>202</v>
      </c>
    </row>
    <row r="204" spans="1:8">
      <c r="A204" t="str">
        <f>'Top Customers'!A206</f>
        <v>BABU THATTAMUGAL</v>
      </c>
      <c r="B204" s="5">
        <f>IF(A204="","",IFERROR(GETPIVOTDATA("Sales Amount",'Top Customers'!$A$3,"Customer_name",'Top Customers'!A206),""))</f>
        <v>60005</v>
      </c>
      <c r="C204" t="str">
        <f t="shared" si="12"/>
        <v>Regular</v>
      </c>
      <c r="D204">
        <f t="shared" si="13"/>
        <v>39995</v>
      </c>
      <c r="E204" s="6">
        <f t="shared" si="14"/>
        <v>1.0479947185088755E-3</v>
      </c>
      <c r="F204" s="5">
        <f ca="1">TODAY()-GETPIVOTDATA("LastPurchaseDate",MaxDate!$A$3,"Customer_name",MaxDate!A206)</f>
        <v>23</v>
      </c>
      <c r="G204" t="str">
        <f t="shared" ca="1" si="15"/>
        <v>Active</v>
      </c>
      <c r="H204" s="13">
        <f>RANK(B204,Customer_Tiers[Total_Sales])</f>
        <v>203</v>
      </c>
    </row>
    <row r="205" spans="1:8">
      <c r="A205" t="str">
        <f>'Top Customers'!A207</f>
        <v>V.MATHA CONSTRUCTIONS</v>
      </c>
      <c r="B205" s="5">
        <f>IF(A205="","",IFERROR(GETPIVOTDATA("Sales Amount",'Top Customers'!$A$3,"Customer_name",'Top Customers'!A207),""))</f>
        <v>60000</v>
      </c>
      <c r="C205" t="str">
        <f t="shared" si="12"/>
        <v>Regular</v>
      </c>
      <c r="D205">
        <f t="shared" si="13"/>
        <v>40000</v>
      </c>
      <c r="E205" s="6">
        <f t="shared" si="14"/>
        <v>1.047907392892801E-3</v>
      </c>
      <c r="F205" s="5">
        <f ca="1">TODAY()-GETPIVOTDATA("LastPurchaseDate",MaxDate!$A$3,"Customer_name",MaxDate!A207)</f>
        <v>3</v>
      </c>
      <c r="G205" t="str">
        <f t="shared" ca="1" si="15"/>
        <v>Active</v>
      </c>
      <c r="H205" s="13">
        <f>RANK(B205,Customer_Tiers[Total_Sales])</f>
        <v>204</v>
      </c>
    </row>
    <row r="206" spans="1:8">
      <c r="A206" t="str">
        <f>'Top Customers'!A208</f>
        <v>ARUN DAS</v>
      </c>
      <c r="B206" s="5">
        <f>IF(A206="","",IFERROR(GETPIVOTDATA("Sales Amount",'Top Customers'!$A$3,"Customer_name",'Top Customers'!A208),""))</f>
        <v>59913</v>
      </c>
      <c r="C206" t="str">
        <f t="shared" si="12"/>
        <v>Regular</v>
      </c>
      <c r="D206">
        <f t="shared" si="13"/>
        <v>40087</v>
      </c>
      <c r="E206" s="6">
        <f t="shared" si="14"/>
        <v>1.0463879271731065E-3</v>
      </c>
      <c r="F206" s="5">
        <f ca="1">TODAY()-GETPIVOTDATA("LastPurchaseDate",MaxDate!$A$3,"Customer_name",MaxDate!A208)</f>
        <v>18</v>
      </c>
      <c r="G206" t="str">
        <f t="shared" ca="1" si="15"/>
        <v>Active</v>
      </c>
      <c r="H206" s="13">
        <f>RANK(B206,Customer_Tiers[Total_Sales])</f>
        <v>205</v>
      </c>
    </row>
    <row r="207" spans="1:8">
      <c r="A207" t="str">
        <f>'Top Customers'!A209</f>
        <v>HABEEB</v>
      </c>
      <c r="B207" s="5">
        <f>IF(A207="","",IFERROR(GETPIVOTDATA("Sales Amount",'Top Customers'!$A$3,"Customer_name",'Top Customers'!A209),""))</f>
        <v>59870</v>
      </c>
      <c r="C207" t="str">
        <f t="shared" si="12"/>
        <v>Regular</v>
      </c>
      <c r="D207">
        <f t="shared" si="13"/>
        <v>40130</v>
      </c>
      <c r="E207" s="6">
        <f t="shared" si="14"/>
        <v>1.0456369268748665E-3</v>
      </c>
      <c r="F207" s="5">
        <f ca="1">TODAY()-GETPIVOTDATA("LastPurchaseDate",MaxDate!$A$3,"Customer_name",MaxDate!A209)</f>
        <v>6</v>
      </c>
      <c r="G207" t="str">
        <f t="shared" ca="1" si="15"/>
        <v>Active</v>
      </c>
      <c r="H207" s="13">
        <f>RANK(B207,Customer_Tiers[Total_Sales])</f>
        <v>206</v>
      </c>
    </row>
    <row r="208" spans="1:8">
      <c r="A208" t="str">
        <f>'Top Customers'!A210</f>
        <v>DOCTORS CHOICE HEALTHY COCONUT OIL</v>
      </c>
      <c r="B208" s="5">
        <f>IF(A208="","",IFERROR(GETPIVOTDATA("Sales Amount",'Top Customers'!$A$3,"Customer_name",'Top Customers'!A210),""))</f>
        <v>59765</v>
      </c>
      <c r="C208" t="str">
        <f t="shared" si="12"/>
        <v>Regular</v>
      </c>
      <c r="D208">
        <f t="shared" si="13"/>
        <v>40235</v>
      </c>
      <c r="E208" s="6">
        <f t="shared" si="14"/>
        <v>1.0438030889373042E-3</v>
      </c>
      <c r="F208" s="5">
        <f ca="1">TODAY()-GETPIVOTDATA("LastPurchaseDate",MaxDate!$A$3,"Customer_name",MaxDate!A210)</f>
        <v>188</v>
      </c>
      <c r="G208" t="str">
        <f t="shared" ca="1" si="15"/>
        <v>Inactive</v>
      </c>
      <c r="H208" s="13">
        <f>RANK(B208,Customer_Tiers[Total_Sales])</f>
        <v>207</v>
      </c>
    </row>
    <row r="209" spans="1:8">
      <c r="A209" t="str">
        <f>'Top Customers'!A211</f>
        <v>KICHU K RAVI</v>
      </c>
      <c r="B209" s="5">
        <f>IF(A209="","",IFERROR(GETPIVOTDATA("Sales Amount",'Top Customers'!$A$3,"Customer_name",'Top Customers'!A211),""))</f>
        <v>59603</v>
      </c>
      <c r="C209" t="str">
        <f t="shared" si="12"/>
        <v>Regular</v>
      </c>
      <c r="D209">
        <f t="shared" si="13"/>
        <v>40397</v>
      </c>
      <c r="E209" s="6">
        <f t="shared" si="14"/>
        <v>1.0409737389764937E-3</v>
      </c>
      <c r="F209" s="5">
        <f ca="1">TODAY()-GETPIVOTDATA("LastPurchaseDate",MaxDate!$A$3,"Customer_name",MaxDate!A211)</f>
        <v>165</v>
      </c>
      <c r="G209" t="str">
        <f t="shared" ca="1" si="15"/>
        <v>Inactive</v>
      </c>
      <c r="H209" s="13">
        <f>RANK(B209,Customer_Tiers[Total_Sales])</f>
        <v>208</v>
      </c>
    </row>
    <row r="210" spans="1:8">
      <c r="A210" t="str">
        <f>'Top Customers'!A212</f>
        <v>NIHAS .E.M</v>
      </c>
      <c r="B210" s="5">
        <f>IF(A210="","",IFERROR(GETPIVOTDATA("Sales Amount",'Top Customers'!$A$3,"Customer_name",'Top Customers'!A212),""))</f>
        <v>59595</v>
      </c>
      <c r="C210" t="str">
        <f t="shared" si="12"/>
        <v>Regular</v>
      </c>
      <c r="D210">
        <f t="shared" si="13"/>
        <v>40405</v>
      </c>
      <c r="E210" s="6">
        <f t="shared" si="14"/>
        <v>1.0408340179907747E-3</v>
      </c>
      <c r="F210" s="5">
        <f ca="1">TODAY()-GETPIVOTDATA("LastPurchaseDate",MaxDate!$A$3,"Customer_name",MaxDate!A212)</f>
        <v>4</v>
      </c>
      <c r="G210" t="str">
        <f t="shared" ca="1" si="15"/>
        <v>Active</v>
      </c>
      <c r="H210" s="13">
        <f>RANK(B210,Customer_Tiers[Total_Sales])</f>
        <v>209</v>
      </c>
    </row>
    <row r="211" spans="1:8">
      <c r="A211" t="str">
        <f>'Top Customers'!A213</f>
        <v>M S EQUIPMENTS</v>
      </c>
      <c r="B211" s="5">
        <f>IF(A211="","",IFERROR(GETPIVOTDATA("Sales Amount",'Top Customers'!$A$3,"Customer_name",'Top Customers'!A213),""))</f>
        <v>59008</v>
      </c>
      <c r="C211" t="str">
        <f t="shared" si="12"/>
        <v>Regular</v>
      </c>
      <c r="D211">
        <f t="shared" si="13"/>
        <v>40992</v>
      </c>
      <c r="E211" s="6">
        <f t="shared" si="14"/>
        <v>1.0305819906636401E-3</v>
      </c>
      <c r="F211" s="5">
        <f ca="1">TODAY()-GETPIVOTDATA("LastPurchaseDate",MaxDate!$A$3,"Customer_name",MaxDate!A213)</f>
        <v>94</v>
      </c>
      <c r="G211" t="str">
        <f t="shared" ca="1" si="15"/>
        <v>At Risk</v>
      </c>
      <c r="H211" s="13">
        <f>RANK(B211,Customer_Tiers[Total_Sales])</f>
        <v>210</v>
      </c>
    </row>
    <row r="212" spans="1:8">
      <c r="A212" t="str">
        <f>'Top Customers'!A214</f>
        <v>MASTER SHEF PATTIMATTOM</v>
      </c>
      <c r="B212" s="5">
        <f>IF(A212="","",IFERROR(GETPIVOTDATA("Sales Amount",'Top Customers'!$A$3,"Customer_name",'Top Customers'!A214),""))</f>
        <v>58984</v>
      </c>
      <c r="C212" t="str">
        <f t="shared" si="12"/>
        <v>Regular</v>
      </c>
      <c r="D212">
        <f t="shared" si="13"/>
        <v>41016</v>
      </c>
      <c r="E212" s="6">
        <f t="shared" si="14"/>
        <v>1.030162827706483E-3</v>
      </c>
      <c r="F212" s="5">
        <f ca="1">TODAY()-GETPIVOTDATA("LastPurchaseDate",MaxDate!$A$3,"Customer_name",MaxDate!A214)</f>
        <v>255</v>
      </c>
      <c r="G212" t="str">
        <f t="shared" ca="1" si="15"/>
        <v>Inactive</v>
      </c>
      <c r="H212" s="13">
        <f>RANK(B212,Customer_Tiers[Total_Sales])</f>
        <v>211</v>
      </c>
    </row>
    <row r="213" spans="1:8">
      <c r="A213" t="str">
        <f>'Top Customers'!A215</f>
        <v>ELDHO PAUL(MARIYA STEEL)</v>
      </c>
      <c r="B213" s="5">
        <f>IF(A213="","",IFERROR(GETPIVOTDATA("Sales Amount",'Top Customers'!$A$3,"Customer_name",'Top Customers'!A215),""))</f>
        <v>58824</v>
      </c>
      <c r="C213" t="str">
        <f t="shared" si="12"/>
        <v>Regular</v>
      </c>
      <c r="D213">
        <f t="shared" si="13"/>
        <v>41176</v>
      </c>
      <c r="E213" s="6">
        <f t="shared" si="14"/>
        <v>1.0273684079921022E-3</v>
      </c>
      <c r="F213" s="5">
        <f ca="1">TODAY()-GETPIVOTDATA("LastPurchaseDate",MaxDate!$A$3,"Customer_name",MaxDate!A215)</f>
        <v>293</v>
      </c>
      <c r="G213" t="str">
        <f t="shared" ca="1" si="15"/>
        <v>Inactive</v>
      </c>
      <c r="H213" s="13">
        <f>RANK(B213,Customer_Tiers[Total_Sales])</f>
        <v>212</v>
      </c>
    </row>
    <row r="214" spans="1:8">
      <c r="A214" t="str">
        <f>'Top Customers'!A216</f>
        <v>ARUN A R</v>
      </c>
      <c r="B214" s="5">
        <f>IF(A214="","",IFERROR(GETPIVOTDATA("Sales Amount",'Top Customers'!$A$3,"Customer_name",'Top Customers'!A216),""))</f>
        <v>58756</v>
      </c>
      <c r="C214" t="str">
        <f t="shared" si="12"/>
        <v>Regular</v>
      </c>
      <c r="D214">
        <f t="shared" si="13"/>
        <v>41244</v>
      </c>
      <c r="E214" s="6">
        <f t="shared" si="14"/>
        <v>1.0261807796134903E-3</v>
      </c>
      <c r="F214" s="5">
        <f ca="1">TODAY()-GETPIVOTDATA("LastPurchaseDate",MaxDate!$A$3,"Customer_name",MaxDate!A216)</f>
        <v>232</v>
      </c>
      <c r="G214" t="str">
        <f t="shared" ca="1" si="15"/>
        <v>Inactive</v>
      </c>
      <c r="H214" s="13">
        <f>RANK(B214,Customer_Tiers[Total_Sales])</f>
        <v>213</v>
      </c>
    </row>
    <row r="215" spans="1:8">
      <c r="A215" t="str">
        <f>'Top Customers'!A217</f>
        <v>DR.SREENATH</v>
      </c>
      <c r="B215" s="5">
        <f>IF(A215="","",IFERROR(GETPIVOTDATA("Sales Amount",'Top Customers'!$A$3,"Customer_name",'Top Customers'!A217),""))</f>
        <v>58706</v>
      </c>
      <c r="C215" t="str">
        <f t="shared" si="12"/>
        <v>Regular</v>
      </c>
      <c r="D215">
        <f t="shared" si="13"/>
        <v>41294</v>
      </c>
      <c r="E215" s="6">
        <f t="shared" si="14"/>
        <v>1.0253075234527463E-3</v>
      </c>
      <c r="F215" s="5">
        <f ca="1">TODAY()-GETPIVOTDATA("LastPurchaseDate",MaxDate!$A$3,"Customer_name",MaxDate!A217)</f>
        <v>69</v>
      </c>
      <c r="G215" t="str">
        <f t="shared" ca="1" si="15"/>
        <v>At Risk</v>
      </c>
      <c r="H215" s="13">
        <f>RANK(B215,Customer_Tiers[Total_Sales])</f>
        <v>214</v>
      </c>
    </row>
    <row r="216" spans="1:8">
      <c r="A216" t="str">
        <f>'Top Customers'!A218</f>
        <v>RADHAKRISHNA KURUPPU</v>
      </c>
      <c r="B216" s="5">
        <f>IF(A216="","",IFERROR(GETPIVOTDATA("Sales Amount",'Top Customers'!$A$3,"Customer_name",'Top Customers'!A218),""))</f>
        <v>58182</v>
      </c>
      <c r="C216" t="str">
        <f t="shared" si="12"/>
        <v>Regular</v>
      </c>
      <c r="D216">
        <f t="shared" si="13"/>
        <v>41818</v>
      </c>
      <c r="E216" s="6">
        <f t="shared" si="14"/>
        <v>1.0161557988881491E-3</v>
      </c>
      <c r="F216" s="5">
        <f ca="1">TODAY()-GETPIVOTDATA("LastPurchaseDate",MaxDate!$A$3,"Customer_name",MaxDate!A218)</f>
        <v>3</v>
      </c>
      <c r="G216" t="str">
        <f t="shared" ca="1" si="15"/>
        <v>Active</v>
      </c>
      <c r="H216" s="13">
        <f>RANK(B216,Customer_Tiers[Total_Sales])</f>
        <v>215</v>
      </c>
    </row>
    <row r="217" spans="1:8">
      <c r="A217" t="str">
        <f>'Top Customers'!A219</f>
        <v>PAULOSE VALAMBOOR</v>
      </c>
      <c r="B217" s="5">
        <f>IF(A217="","",IFERROR(GETPIVOTDATA("Sales Amount",'Top Customers'!$A$3,"Customer_name",'Top Customers'!A219),""))</f>
        <v>58036</v>
      </c>
      <c r="C217" t="str">
        <f t="shared" si="12"/>
        <v>Regular</v>
      </c>
      <c r="D217">
        <f t="shared" si="13"/>
        <v>41964</v>
      </c>
      <c r="E217" s="6">
        <f t="shared" si="14"/>
        <v>1.0136058908987767E-3</v>
      </c>
      <c r="F217" s="5">
        <f ca="1">TODAY()-GETPIVOTDATA("LastPurchaseDate",MaxDate!$A$3,"Customer_name",MaxDate!A219)</f>
        <v>19</v>
      </c>
      <c r="G217" t="str">
        <f t="shared" ca="1" si="15"/>
        <v>Active</v>
      </c>
      <c r="H217" s="13">
        <f>RANK(B217,Customer_Tiers[Total_Sales])</f>
        <v>216</v>
      </c>
    </row>
    <row r="218" spans="1:8">
      <c r="A218" t="str">
        <f>'Top Customers'!A220</f>
        <v>THANKACHAN KANJIRAKKADAN</v>
      </c>
      <c r="B218" s="5">
        <f>IF(A218="","",IFERROR(GETPIVOTDATA("Sales Amount",'Top Customers'!$A$3,"Customer_name",'Top Customers'!A220),""))</f>
        <v>57530</v>
      </c>
      <c r="C218" t="str">
        <f t="shared" si="12"/>
        <v>Regular</v>
      </c>
      <c r="D218">
        <f t="shared" si="13"/>
        <v>42470</v>
      </c>
      <c r="E218" s="6">
        <f t="shared" si="14"/>
        <v>1.0047685385520474E-3</v>
      </c>
      <c r="F218" s="5">
        <f ca="1">TODAY()-GETPIVOTDATA("LastPurchaseDate",MaxDate!$A$3,"Customer_name",MaxDate!A220)</f>
        <v>8</v>
      </c>
      <c r="G218" t="str">
        <f t="shared" ca="1" si="15"/>
        <v>Active</v>
      </c>
      <c r="H218" s="13">
        <f>RANK(B218,Customer_Tiers[Total_Sales])</f>
        <v>217</v>
      </c>
    </row>
    <row r="219" spans="1:8">
      <c r="A219" t="str">
        <f>'Top Customers'!A221</f>
        <v>N-FAB</v>
      </c>
      <c r="B219" s="5">
        <f>IF(A219="","",IFERROR(GETPIVOTDATA("Sales Amount",'Top Customers'!$A$3,"Customer_name",'Top Customers'!A221),""))</f>
        <v>57132</v>
      </c>
      <c r="C219" t="str">
        <f t="shared" si="12"/>
        <v>Regular</v>
      </c>
      <c r="D219">
        <f t="shared" si="13"/>
        <v>42868</v>
      </c>
      <c r="E219" s="6">
        <f t="shared" si="14"/>
        <v>9.9781741951252521E-4</v>
      </c>
      <c r="F219" s="5">
        <f ca="1">TODAY()-GETPIVOTDATA("LastPurchaseDate",MaxDate!$A$3,"Customer_name",MaxDate!A221)</f>
        <v>47</v>
      </c>
      <c r="G219" t="str">
        <f t="shared" ca="1" si="15"/>
        <v>Active</v>
      </c>
      <c r="H219" s="13">
        <f>RANK(B219,Customer_Tiers[Total_Sales])</f>
        <v>218</v>
      </c>
    </row>
    <row r="220" spans="1:8">
      <c r="A220" t="str">
        <f>'Top Customers'!A222</f>
        <v>SAJI PULINCHODE</v>
      </c>
      <c r="B220" s="5">
        <f>IF(A220="","",IFERROR(GETPIVOTDATA("Sales Amount",'Top Customers'!$A$3,"Customer_name",'Top Customers'!A222),""))</f>
        <v>57128</v>
      </c>
      <c r="C220" t="str">
        <f t="shared" si="12"/>
        <v>Regular</v>
      </c>
      <c r="D220">
        <f t="shared" si="13"/>
        <v>42872</v>
      </c>
      <c r="E220" s="6">
        <f t="shared" si="14"/>
        <v>9.9774755901966563E-4</v>
      </c>
      <c r="F220" s="5">
        <f ca="1">TODAY()-GETPIVOTDATA("LastPurchaseDate",MaxDate!$A$3,"Customer_name",MaxDate!A222)</f>
        <v>83</v>
      </c>
      <c r="G220" t="str">
        <f t="shared" ca="1" si="15"/>
        <v>At Risk</v>
      </c>
      <c r="H220" s="13">
        <f>RANK(B220,Customer_Tiers[Total_Sales])</f>
        <v>219</v>
      </c>
    </row>
    <row r="221" spans="1:8">
      <c r="A221" t="str">
        <f>'Top Customers'!A223</f>
        <v>KURIAKOSE SILVERSTEP</v>
      </c>
      <c r="B221" s="5">
        <f>IF(A221="","",IFERROR(GETPIVOTDATA("Sales Amount",'Top Customers'!$A$3,"Customer_name",'Top Customers'!A223),""))</f>
        <v>56069</v>
      </c>
      <c r="C221" t="str">
        <f t="shared" si="12"/>
        <v>Regular</v>
      </c>
      <c r="D221">
        <f t="shared" si="13"/>
        <v>43931</v>
      </c>
      <c r="E221" s="6">
        <f t="shared" si="14"/>
        <v>9.7925199353510769E-4</v>
      </c>
      <c r="F221" s="5">
        <f ca="1">TODAY()-GETPIVOTDATA("LastPurchaseDate",MaxDate!$A$3,"Customer_name",MaxDate!A223)</f>
        <v>26</v>
      </c>
      <c r="G221" t="str">
        <f t="shared" ca="1" si="15"/>
        <v>Active</v>
      </c>
      <c r="H221" s="13">
        <f>RANK(B221,Customer_Tiers[Total_Sales])</f>
        <v>220</v>
      </c>
    </row>
    <row r="222" spans="1:8">
      <c r="A222" t="str">
        <f>'Top Customers'!A224</f>
        <v>SANOOP MAZHUVANNOOR</v>
      </c>
      <c r="B222" s="5">
        <f>IF(A222="","",IFERROR(GETPIVOTDATA("Sales Amount",'Top Customers'!$A$3,"Customer_name",'Top Customers'!A224),""))</f>
        <v>55259</v>
      </c>
      <c r="C222" t="str">
        <f t="shared" si="12"/>
        <v>Regular</v>
      </c>
      <c r="D222">
        <f t="shared" si="13"/>
        <v>44741</v>
      </c>
      <c r="E222" s="6">
        <f t="shared" si="14"/>
        <v>9.6510524373105483E-4</v>
      </c>
      <c r="F222" s="5">
        <f ca="1">TODAY()-GETPIVOTDATA("LastPurchaseDate",MaxDate!$A$3,"Customer_name",MaxDate!A224)</f>
        <v>129</v>
      </c>
      <c r="G222" t="str">
        <f t="shared" ca="1" si="15"/>
        <v>Inactive</v>
      </c>
      <c r="H222" s="13">
        <f>RANK(B222,Customer_Tiers[Total_Sales])</f>
        <v>221</v>
      </c>
    </row>
    <row r="223" spans="1:8">
      <c r="A223" t="str">
        <f>'Top Customers'!A225</f>
        <v>ADARSH HOTEL THATTAMUGAL</v>
      </c>
      <c r="B223" s="5">
        <f>IF(A223="","",IFERROR(GETPIVOTDATA("Sales Amount",'Top Customers'!$A$3,"Customer_name",'Top Customers'!A225),""))</f>
        <v>55173</v>
      </c>
      <c r="C223" t="str">
        <f t="shared" si="12"/>
        <v>Regular</v>
      </c>
      <c r="D223">
        <f t="shared" si="13"/>
        <v>44827</v>
      </c>
      <c r="E223" s="6">
        <f t="shared" si="14"/>
        <v>9.6360324313457524E-4</v>
      </c>
      <c r="F223" s="5">
        <f ca="1">TODAY()-GETPIVOTDATA("LastPurchaseDate",MaxDate!$A$3,"Customer_name",MaxDate!A225)</f>
        <v>6</v>
      </c>
      <c r="G223" t="str">
        <f t="shared" ca="1" si="15"/>
        <v>Active</v>
      </c>
      <c r="H223" s="13">
        <f>RANK(B223,Customer_Tiers[Total_Sales])</f>
        <v>222</v>
      </c>
    </row>
    <row r="224" spans="1:8">
      <c r="A224" t="str">
        <f>'Top Customers'!A226</f>
        <v>AVARACHAN VALAMBOOR</v>
      </c>
      <c r="B224" s="5">
        <f>IF(A224="","",IFERROR(GETPIVOTDATA("Sales Amount",'Top Customers'!$A$3,"Customer_name",'Top Customers'!A226),""))</f>
        <v>55066</v>
      </c>
      <c r="C224" t="str">
        <f t="shared" si="12"/>
        <v>Regular</v>
      </c>
      <c r="D224">
        <f t="shared" si="13"/>
        <v>44934</v>
      </c>
      <c r="E224" s="6">
        <f t="shared" si="14"/>
        <v>9.6173447495058299E-4</v>
      </c>
      <c r="F224" s="5">
        <f ca="1">TODAY()-GETPIVOTDATA("LastPurchaseDate",MaxDate!$A$3,"Customer_name",MaxDate!A226)</f>
        <v>6</v>
      </c>
      <c r="G224" t="str">
        <f t="shared" ca="1" si="15"/>
        <v>Active</v>
      </c>
      <c r="H224" s="13">
        <f>RANK(B224,Customer_Tiers[Total_Sales])</f>
        <v>223</v>
      </c>
    </row>
    <row r="225" spans="1:8">
      <c r="A225" t="str">
        <f>'Top Customers'!A227</f>
        <v>MANEESH MADANAN</v>
      </c>
      <c r="B225" s="5">
        <f>IF(A225="","",IFERROR(GETPIVOTDATA("Sales Amount",'Top Customers'!$A$3,"Customer_name",'Top Customers'!A227),""))</f>
        <v>54131</v>
      </c>
      <c r="C225" t="str">
        <f t="shared" si="12"/>
        <v>Regular</v>
      </c>
      <c r="D225">
        <f t="shared" si="13"/>
        <v>45869</v>
      </c>
      <c r="E225" s="6">
        <f t="shared" si="14"/>
        <v>9.4540458474467017E-4</v>
      </c>
      <c r="F225" s="5">
        <f ca="1">TODAY()-GETPIVOTDATA("LastPurchaseDate",MaxDate!$A$3,"Customer_name",MaxDate!A227)</f>
        <v>3</v>
      </c>
      <c r="G225" t="str">
        <f t="shared" ca="1" si="15"/>
        <v>Active</v>
      </c>
      <c r="H225" s="13">
        <f>RANK(B225,Customer_Tiers[Total_Sales])</f>
        <v>224</v>
      </c>
    </row>
    <row r="226" spans="1:8">
      <c r="A226" t="str">
        <f>'Top Customers'!A228</f>
        <v>ST.GEORGE INDUSTRY</v>
      </c>
      <c r="B226" s="5">
        <f>IF(A226="","",IFERROR(GETPIVOTDATA("Sales Amount",'Top Customers'!$A$3,"Customer_name",'Top Customers'!A228),""))</f>
        <v>54120</v>
      </c>
      <c r="C226" t="str">
        <f t="shared" si="12"/>
        <v>Regular</v>
      </c>
      <c r="D226">
        <f t="shared" si="13"/>
        <v>45880</v>
      </c>
      <c r="E226" s="6">
        <f t="shared" si="14"/>
        <v>9.4521246838930658E-4</v>
      </c>
      <c r="F226" s="5">
        <f ca="1">TODAY()-GETPIVOTDATA("LastPurchaseDate",MaxDate!$A$3,"Customer_name",MaxDate!A228)</f>
        <v>150</v>
      </c>
      <c r="G226" t="str">
        <f t="shared" ca="1" si="15"/>
        <v>Inactive</v>
      </c>
      <c r="H226" s="13">
        <f>RANK(B226,Customer_Tiers[Total_Sales])</f>
        <v>225</v>
      </c>
    </row>
    <row r="227" spans="1:8">
      <c r="A227" t="str">
        <f>'Top Customers'!A229</f>
        <v>VIZAG ARAKKAPADY</v>
      </c>
      <c r="B227" s="5">
        <f>IF(A227="","",IFERROR(GETPIVOTDATA("Sales Amount",'Top Customers'!$A$3,"Customer_name",'Top Customers'!A229),""))</f>
        <v>54036</v>
      </c>
      <c r="C227" t="str">
        <f t="shared" si="12"/>
        <v>Regular</v>
      </c>
      <c r="D227">
        <f t="shared" si="13"/>
        <v>45964</v>
      </c>
      <c r="E227" s="6">
        <f t="shared" si="14"/>
        <v>9.4374539803925657E-4</v>
      </c>
      <c r="F227" s="5">
        <f ca="1">TODAY()-GETPIVOTDATA("LastPurchaseDate",MaxDate!$A$3,"Customer_name",MaxDate!A229)</f>
        <v>277</v>
      </c>
      <c r="G227" t="str">
        <f t="shared" ca="1" si="15"/>
        <v>Inactive</v>
      </c>
      <c r="H227" s="13">
        <f>RANK(B227,Customer_Tiers[Total_Sales])</f>
        <v>226</v>
      </c>
    </row>
    <row r="228" spans="1:8">
      <c r="A228" t="str">
        <f>'Top Customers'!A230</f>
        <v>SAIJU PALLIKKARA</v>
      </c>
      <c r="B228" s="5">
        <f>IF(A228="","",IFERROR(GETPIVOTDATA("Sales Amount",'Top Customers'!$A$3,"Customer_name",'Top Customers'!A230),""))</f>
        <v>53478</v>
      </c>
      <c r="C228" t="str">
        <f t="shared" si="12"/>
        <v>Regular</v>
      </c>
      <c r="D228">
        <f t="shared" si="13"/>
        <v>46522</v>
      </c>
      <c r="E228" s="6">
        <f t="shared" si="14"/>
        <v>9.3399985928535362E-4</v>
      </c>
      <c r="F228" s="5">
        <f ca="1">TODAY()-GETPIVOTDATA("LastPurchaseDate",MaxDate!$A$3,"Customer_name",MaxDate!A230)</f>
        <v>205</v>
      </c>
      <c r="G228" t="str">
        <f t="shared" ca="1" si="15"/>
        <v>Inactive</v>
      </c>
      <c r="H228" s="13">
        <f>RANK(B228,Customer_Tiers[Total_Sales])</f>
        <v>227</v>
      </c>
    </row>
    <row r="229" spans="1:8">
      <c r="A229" t="str">
        <f>'Top Customers'!A231</f>
        <v>SUNNY , VALAMBOOR CRUIZE</v>
      </c>
      <c r="B229" s="5">
        <f>IF(A229="","",IFERROR(GETPIVOTDATA("Sales Amount",'Top Customers'!$A$3,"Customer_name",'Top Customers'!A231),""))</f>
        <v>53383</v>
      </c>
      <c r="C229" t="str">
        <f t="shared" si="12"/>
        <v>Regular</v>
      </c>
      <c r="D229">
        <f t="shared" si="13"/>
        <v>46617</v>
      </c>
      <c r="E229" s="6">
        <f t="shared" si="14"/>
        <v>9.3234067257993991E-4</v>
      </c>
      <c r="F229" s="5">
        <f ca="1">TODAY()-GETPIVOTDATA("LastPurchaseDate",MaxDate!$A$3,"Customer_name",MaxDate!A231)</f>
        <v>31</v>
      </c>
      <c r="G229" t="str">
        <f t="shared" ca="1" si="15"/>
        <v>Active</v>
      </c>
      <c r="H229" s="13">
        <f>RANK(B229,Customer_Tiers[Total_Sales])</f>
        <v>228</v>
      </c>
    </row>
    <row r="230" spans="1:8">
      <c r="A230" t="str">
        <f>'Top Customers'!A232</f>
        <v>INTERGLIDE AUTO CONTROLS</v>
      </c>
      <c r="B230" s="5">
        <f>IF(A230="","",IFERROR(GETPIVOTDATA("Sales Amount",'Top Customers'!$A$3,"Customer_name",'Top Customers'!A232),""))</f>
        <v>53135</v>
      </c>
      <c r="C230" t="str">
        <f t="shared" si="12"/>
        <v>Regular</v>
      </c>
      <c r="D230">
        <f t="shared" si="13"/>
        <v>46865</v>
      </c>
      <c r="E230" s="6">
        <f t="shared" si="14"/>
        <v>9.2800932202264969E-4</v>
      </c>
      <c r="F230" s="5">
        <f ca="1">TODAY()-GETPIVOTDATA("LastPurchaseDate",MaxDate!$A$3,"Customer_name",MaxDate!A232)</f>
        <v>8</v>
      </c>
      <c r="G230" t="str">
        <f t="shared" ca="1" si="15"/>
        <v>Active</v>
      </c>
      <c r="H230" s="13">
        <f>RANK(B230,Customer_Tiers[Total_Sales])</f>
        <v>229</v>
      </c>
    </row>
    <row r="231" spans="1:8">
      <c r="A231" t="str">
        <f>'Top Customers'!A233</f>
        <v>JOY VEMPILLY</v>
      </c>
      <c r="B231" s="5">
        <f>IF(A231="","",IFERROR(GETPIVOTDATA("Sales Amount",'Top Customers'!$A$3,"Customer_name",'Top Customers'!A233),""))</f>
        <v>52391</v>
      </c>
      <c r="C231" t="str">
        <f t="shared" si="12"/>
        <v>Regular</v>
      </c>
      <c r="D231">
        <f t="shared" si="13"/>
        <v>47609</v>
      </c>
      <c r="E231" s="6">
        <f t="shared" si="14"/>
        <v>9.1501527035077902E-4</v>
      </c>
      <c r="F231" s="5">
        <f ca="1">TODAY()-GETPIVOTDATA("LastPurchaseDate",MaxDate!$A$3,"Customer_name",MaxDate!A233)</f>
        <v>4</v>
      </c>
      <c r="G231" t="str">
        <f t="shared" ca="1" si="15"/>
        <v>Active</v>
      </c>
      <c r="H231" s="13">
        <f>RANK(B231,Customer_Tiers[Total_Sales])</f>
        <v>230</v>
      </c>
    </row>
    <row r="232" spans="1:8">
      <c r="A232" t="str">
        <f>'Top Customers'!A234</f>
        <v>AVARACHAN KANJIRAVELIL</v>
      </c>
      <c r="B232" s="5">
        <f>IF(A232="","",IFERROR(GETPIVOTDATA("Sales Amount",'Top Customers'!$A$3,"Customer_name",'Top Customers'!A234),""))</f>
        <v>52074</v>
      </c>
      <c r="C232" t="str">
        <f t="shared" si="12"/>
        <v>Regular</v>
      </c>
      <c r="D232">
        <f t="shared" si="13"/>
        <v>47926</v>
      </c>
      <c r="E232" s="6">
        <f t="shared" si="14"/>
        <v>9.0947882629166207E-4</v>
      </c>
      <c r="F232" s="5">
        <f ca="1">TODAY()-GETPIVOTDATA("LastPurchaseDate",MaxDate!$A$3,"Customer_name",MaxDate!A234)</f>
        <v>31</v>
      </c>
      <c r="G232" t="str">
        <f t="shared" ca="1" si="15"/>
        <v>Active</v>
      </c>
      <c r="H232" s="13">
        <f>RANK(B232,Customer_Tiers[Total_Sales])</f>
        <v>231</v>
      </c>
    </row>
    <row r="233" spans="1:8">
      <c r="A233" t="str">
        <f>'Top Customers'!A235</f>
        <v>BINU SARARO</v>
      </c>
      <c r="B233" s="5">
        <f>IF(A233="","",IFERROR(GETPIVOTDATA("Sales Amount",'Top Customers'!$A$3,"Customer_name",'Top Customers'!A235),""))</f>
        <v>52037</v>
      </c>
      <c r="C233" t="str">
        <f t="shared" si="12"/>
        <v>Regular</v>
      </c>
      <c r="D233">
        <f t="shared" si="13"/>
        <v>47963</v>
      </c>
      <c r="E233" s="6">
        <f t="shared" si="14"/>
        <v>9.0883261673271149E-4</v>
      </c>
      <c r="F233" s="5">
        <f ca="1">TODAY()-GETPIVOTDATA("LastPurchaseDate",MaxDate!$A$3,"Customer_name",MaxDate!A235)</f>
        <v>118</v>
      </c>
      <c r="G233" t="str">
        <f t="shared" ca="1" si="15"/>
        <v>At Risk</v>
      </c>
      <c r="H233" s="13">
        <f>RANK(B233,Customer_Tiers[Total_Sales])</f>
        <v>232</v>
      </c>
    </row>
    <row r="234" spans="1:8">
      <c r="A234" t="str">
        <f>'Top Customers'!A236</f>
        <v>SANTHOSH THOTTAPPILLY</v>
      </c>
      <c r="B234" s="5">
        <f>IF(A234="","",IFERROR(GETPIVOTDATA("Sales Amount",'Top Customers'!$A$3,"Customer_name",'Top Customers'!A236),""))</f>
        <v>51747</v>
      </c>
      <c r="C234" t="str">
        <f t="shared" si="12"/>
        <v>Regular</v>
      </c>
      <c r="D234">
        <f t="shared" si="13"/>
        <v>48253</v>
      </c>
      <c r="E234" s="6">
        <f t="shared" si="14"/>
        <v>9.0376773100039626E-4</v>
      </c>
      <c r="F234" s="5">
        <f ca="1">TODAY()-GETPIVOTDATA("LastPurchaseDate",MaxDate!$A$3,"Customer_name",MaxDate!A236)</f>
        <v>47</v>
      </c>
      <c r="G234" t="str">
        <f t="shared" ca="1" si="15"/>
        <v>Active</v>
      </c>
      <c r="H234" s="13">
        <f>RANK(B234,Customer_Tiers[Total_Sales])</f>
        <v>233</v>
      </c>
    </row>
    <row r="235" spans="1:8">
      <c r="A235" t="str">
        <f>'Top Customers'!A237</f>
        <v>SHAJI , KILIKULAM</v>
      </c>
      <c r="B235" s="5">
        <f>IF(A235="","",IFERROR(GETPIVOTDATA("Sales Amount",'Top Customers'!$A$3,"Customer_name",'Top Customers'!A237),""))</f>
        <v>51723</v>
      </c>
      <c r="C235" t="str">
        <f t="shared" si="12"/>
        <v>Regular</v>
      </c>
      <c r="D235">
        <f t="shared" si="13"/>
        <v>48277</v>
      </c>
      <c r="E235" s="6">
        <f t="shared" si="14"/>
        <v>9.0334856804323918E-4</v>
      </c>
      <c r="F235" s="5">
        <f ca="1">TODAY()-GETPIVOTDATA("LastPurchaseDate",MaxDate!$A$3,"Customer_name",MaxDate!A237)</f>
        <v>10</v>
      </c>
      <c r="G235" t="str">
        <f t="shared" ca="1" si="15"/>
        <v>Active</v>
      </c>
      <c r="H235" s="13">
        <f>RANK(B235,Customer_Tiers[Total_Sales])</f>
        <v>234</v>
      </c>
    </row>
    <row r="236" spans="1:8">
      <c r="A236" t="str">
        <f>'Top Customers'!A238</f>
        <v>ELDHO DANIEL</v>
      </c>
      <c r="B236" s="5">
        <f>IF(A236="","",IFERROR(GETPIVOTDATA("Sales Amount",'Top Customers'!$A$3,"Customer_name",'Top Customers'!A238),""))</f>
        <v>51575</v>
      </c>
      <c r="C236" t="str">
        <f t="shared" si="12"/>
        <v>Regular</v>
      </c>
      <c r="D236">
        <f t="shared" si="13"/>
        <v>48425</v>
      </c>
      <c r="E236" s="6">
        <f t="shared" si="14"/>
        <v>9.0076372980743688E-4</v>
      </c>
      <c r="F236" s="5">
        <f ca="1">TODAY()-GETPIVOTDATA("LastPurchaseDate",MaxDate!$A$3,"Customer_name",MaxDate!A238)</f>
        <v>191</v>
      </c>
      <c r="G236" t="str">
        <f t="shared" ca="1" si="15"/>
        <v>Inactive</v>
      </c>
      <c r="H236" s="13">
        <f>RANK(B236,Customer_Tiers[Total_Sales])</f>
        <v>235</v>
      </c>
    </row>
    <row r="237" spans="1:8">
      <c r="A237" t="str">
        <f>'Top Customers'!A239</f>
        <v>MECHERIYIL CONSTRUCTIONS</v>
      </c>
      <c r="B237" s="5">
        <f>IF(A237="","",IFERROR(GETPIVOTDATA("Sales Amount",'Top Customers'!$A$3,"Customer_name",'Top Customers'!A239),""))</f>
        <v>51460</v>
      </c>
      <c r="C237" t="str">
        <f t="shared" si="12"/>
        <v>Regular</v>
      </c>
      <c r="D237">
        <f t="shared" si="13"/>
        <v>48540</v>
      </c>
      <c r="E237" s="6">
        <f t="shared" si="14"/>
        <v>8.9875524063772567E-4</v>
      </c>
      <c r="F237" s="5">
        <f ca="1">TODAY()-GETPIVOTDATA("LastPurchaseDate",MaxDate!$A$3,"Customer_name",MaxDate!A239)</f>
        <v>164</v>
      </c>
      <c r="G237" t="str">
        <f t="shared" ca="1" si="15"/>
        <v>Inactive</v>
      </c>
      <c r="H237" s="13">
        <f>RANK(B237,Customer_Tiers[Total_Sales])</f>
        <v>236</v>
      </c>
    </row>
    <row r="238" spans="1:8">
      <c r="A238" t="str">
        <f>'Top Customers'!A240</f>
        <v>SAIJU PAUL</v>
      </c>
      <c r="B238" s="5">
        <f>IF(A238="","",IFERROR(GETPIVOTDATA("Sales Amount",'Top Customers'!$A$3,"Customer_name",'Top Customers'!A240),""))</f>
        <v>50190</v>
      </c>
      <c r="C238" t="str">
        <f t="shared" si="12"/>
        <v>Regular</v>
      </c>
      <c r="D238">
        <f t="shared" si="13"/>
        <v>49810</v>
      </c>
      <c r="E238" s="6">
        <f t="shared" si="14"/>
        <v>8.7657453415482809E-4</v>
      </c>
      <c r="F238" s="5">
        <f ca="1">TODAY()-GETPIVOTDATA("LastPurchaseDate",MaxDate!$A$3,"Customer_name",MaxDate!A240)</f>
        <v>292</v>
      </c>
      <c r="G238" t="str">
        <f t="shared" ca="1" si="15"/>
        <v>Inactive</v>
      </c>
      <c r="H238" s="13">
        <f>RANK(B238,Customer_Tiers[Total_Sales])</f>
        <v>237</v>
      </c>
    </row>
    <row r="239" spans="1:8">
      <c r="A239" t="str">
        <f>'Top Customers'!A241</f>
        <v>AMAL MANGALATHUNADA</v>
      </c>
      <c r="B239" s="5">
        <f>IF(A239="","",IFERROR(GETPIVOTDATA("Sales Amount",'Top Customers'!$A$3,"Customer_name",'Top Customers'!A241),""))</f>
        <v>49912</v>
      </c>
      <c r="C239" t="str">
        <f t="shared" si="12"/>
        <v>Regular</v>
      </c>
      <c r="D239">
        <f t="shared" si="13"/>
        <v>50088</v>
      </c>
      <c r="E239" s="6">
        <f t="shared" si="14"/>
        <v>8.717192299010914E-4</v>
      </c>
      <c r="F239" s="5">
        <f ca="1">TODAY()-GETPIVOTDATA("LastPurchaseDate",MaxDate!$A$3,"Customer_name",MaxDate!A241)</f>
        <v>271</v>
      </c>
      <c r="G239" t="str">
        <f t="shared" ca="1" si="15"/>
        <v>Inactive</v>
      </c>
      <c r="H239" s="13">
        <f>RANK(B239,Customer_Tiers[Total_Sales])</f>
        <v>238</v>
      </c>
    </row>
    <row r="240" spans="1:8">
      <c r="A240" t="str">
        <f>'Top Customers'!A242</f>
        <v>P V GEORGE</v>
      </c>
      <c r="B240" s="5">
        <f>IF(A240="","",IFERROR(GETPIVOTDATA("Sales Amount",'Top Customers'!$A$3,"Customer_name",'Top Customers'!A242),""))</f>
        <v>49643</v>
      </c>
      <c r="C240" t="str">
        <f t="shared" si="12"/>
        <v>Regular</v>
      </c>
      <c r="D240">
        <f t="shared" si="13"/>
        <v>50357</v>
      </c>
      <c r="E240" s="6">
        <f t="shared" si="14"/>
        <v>8.6702111175628873E-4</v>
      </c>
      <c r="F240" s="5">
        <f ca="1">TODAY()-GETPIVOTDATA("LastPurchaseDate",MaxDate!$A$3,"Customer_name",MaxDate!A242)</f>
        <v>130</v>
      </c>
      <c r="G240" t="str">
        <f t="shared" ca="1" si="15"/>
        <v>Inactive</v>
      </c>
      <c r="H240" s="13">
        <f>RANK(B240,Customer_Tiers[Total_Sales])</f>
        <v>239</v>
      </c>
    </row>
    <row r="241" spans="1:8">
      <c r="A241" t="str">
        <f>'Top Customers'!A243</f>
        <v>BENNY PULINCHODE</v>
      </c>
      <c r="B241" s="5">
        <f>IF(A241="","",IFERROR(GETPIVOTDATA("Sales Amount",'Top Customers'!$A$3,"Customer_name",'Top Customers'!A243),""))</f>
        <v>49309</v>
      </c>
      <c r="C241" t="str">
        <f t="shared" si="12"/>
        <v>Regular</v>
      </c>
      <c r="D241">
        <f t="shared" si="13"/>
        <v>50691</v>
      </c>
      <c r="E241" s="6">
        <f t="shared" si="14"/>
        <v>8.6118776060251881E-4</v>
      </c>
      <c r="F241" s="5">
        <f ca="1">TODAY()-GETPIVOTDATA("LastPurchaseDate",MaxDate!$A$3,"Customer_name",MaxDate!A243)</f>
        <v>130</v>
      </c>
      <c r="G241" t="str">
        <f t="shared" ca="1" si="15"/>
        <v>Inactive</v>
      </c>
      <c r="H241" s="13">
        <f>RANK(B241,Customer_Tiers[Total_Sales])</f>
        <v>240</v>
      </c>
    </row>
    <row r="242" spans="1:8">
      <c r="A242" t="str">
        <f>'Top Customers'!A244</f>
        <v>RAVINDRAN THATTAMUGAL</v>
      </c>
      <c r="B242" s="5">
        <f>IF(A242="","",IFERROR(GETPIVOTDATA("Sales Amount",'Top Customers'!$A$3,"Customer_name",'Top Customers'!A244),""))</f>
        <v>49304</v>
      </c>
      <c r="C242" t="str">
        <f t="shared" si="12"/>
        <v>Regular</v>
      </c>
      <c r="D242">
        <f t="shared" si="13"/>
        <v>50696</v>
      </c>
      <c r="E242" s="6">
        <f t="shared" si="14"/>
        <v>8.6110043498644439E-4</v>
      </c>
      <c r="F242" s="5">
        <f ca="1">TODAY()-GETPIVOTDATA("LastPurchaseDate",MaxDate!$A$3,"Customer_name",MaxDate!A244)</f>
        <v>142</v>
      </c>
      <c r="G242" t="str">
        <f t="shared" ca="1" si="15"/>
        <v>Inactive</v>
      </c>
      <c r="H242" s="13">
        <f>RANK(B242,Customer_Tiers[Total_Sales])</f>
        <v>241</v>
      </c>
    </row>
    <row r="243" spans="1:8">
      <c r="A243" t="str">
        <f>'Top Customers'!A245</f>
        <v>SHUKOOR ARACKKAPADY</v>
      </c>
      <c r="B243" s="5">
        <f>IF(A243="","",IFERROR(GETPIVOTDATA("Sales Amount",'Top Customers'!$A$3,"Customer_name",'Top Customers'!A245),""))</f>
        <v>48640</v>
      </c>
      <c r="C243" t="str">
        <f t="shared" si="12"/>
        <v>Regular</v>
      </c>
      <c r="D243">
        <f t="shared" si="13"/>
        <v>51360</v>
      </c>
      <c r="E243" s="6">
        <f t="shared" si="14"/>
        <v>8.4950359317176403E-4</v>
      </c>
      <c r="F243" s="5">
        <f ca="1">TODAY()-GETPIVOTDATA("LastPurchaseDate",MaxDate!$A$3,"Customer_name",MaxDate!A245)</f>
        <v>117</v>
      </c>
      <c r="G243" t="str">
        <f t="shared" ca="1" si="15"/>
        <v>At Risk</v>
      </c>
      <c r="H243" s="13">
        <f>RANK(B243,Customer_Tiers[Total_Sales])</f>
        <v>242</v>
      </c>
    </row>
    <row r="244" spans="1:8">
      <c r="A244" t="str">
        <f>'Top Customers'!A246</f>
        <v>JOY VACHERY</v>
      </c>
      <c r="B244" s="5">
        <f>IF(A244="","",IFERROR(GETPIVOTDATA("Sales Amount",'Top Customers'!$A$3,"Customer_name",'Top Customers'!A246),""))</f>
        <v>48332</v>
      </c>
      <c r="C244" t="str">
        <f t="shared" si="12"/>
        <v>Regular</v>
      </c>
      <c r="D244">
        <f t="shared" si="13"/>
        <v>51668</v>
      </c>
      <c r="E244" s="6">
        <f t="shared" si="14"/>
        <v>8.4412433522158099E-4</v>
      </c>
      <c r="F244" s="5">
        <f ca="1">TODAY()-GETPIVOTDATA("LastPurchaseDate",MaxDate!$A$3,"Customer_name",MaxDate!A246)</f>
        <v>26</v>
      </c>
      <c r="G244" t="str">
        <f t="shared" ca="1" si="15"/>
        <v>Active</v>
      </c>
      <c r="H244" s="13">
        <f>RANK(B244,Customer_Tiers[Total_Sales])</f>
        <v>243</v>
      </c>
    </row>
    <row r="245" spans="1:8">
      <c r="A245" t="str">
        <f>'Top Customers'!A247</f>
        <v>PBJ INDUSTRIES</v>
      </c>
      <c r="B245" s="5">
        <f>IF(A245="","",IFERROR(GETPIVOTDATA("Sales Amount",'Top Customers'!$A$3,"Customer_name",'Top Customers'!A247),""))</f>
        <v>47825</v>
      </c>
      <c r="C245" t="str">
        <f t="shared" si="12"/>
        <v>Regular</v>
      </c>
      <c r="D245">
        <f t="shared" si="13"/>
        <v>52175</v>
      </c>
      <c r="E245" s="6">
        <f t="shared" si="14"/>
        <v>8.3526951775163684E-4</v>
      </c>
      <c r="F245" s="5">
        <f ca="1">TODAY()-GETPIVOTDATA("LastPurchaseDate",MaxDate!$A$3,"Customer_name",MaxDate!A247)</f>
        <v>52</v>
      </c>
      <c r="G245" t="str">
        <f t="shared" ca="1" si="15"/>
        <v>Active</v>
      </c>
      <c r="H245" s="13">
        <f>RANK(B245,Customer_Tiers[Total_Sales])</f>
        <v>244</v>
      </c>
    </row>
    <row r="246" spans="1:8">
      <c r="A246" t="str">
        <f>'Top Customers'!A248</f>
        <v>GEORGE VALAYIL</v>
      </c>
      <c r="B246" s="5">
        <f>IF(A246="","",IFERROR(GETPIVOTDATA("Sales Amount",'Top Customers'!$A$3,"Customer_name",'Top Customers'!A248),""))</f>
        <v>46476</v>
      </c>
      <c r="C246" t="str">
        <f t="shared" si="12"/>
        <v>Regular</v>
      </c>
      <c r="D246">
        <f t="shared" si="13"/>
        <v>53524</v>
      </c>
      <c r="E246" s="6">
        <f t="shared" si="14"/>
        <v>8.1170906653476368E-4</v>
      </c>
      <c r="F246" s="5">
        <f ca="1">TODAY()-GETPIVOTDATA("LastPurchaseDate",MaxDate!$A$3,"Customer_name",MaxDate!A248)</f>
        <v>94</v>
      </c>
      <c r="G246" t="str">
        <f t="shared" ca="1" si="15"/>
        <v>At Risk</v>
      </c>
      <c r="H246" s="13">
        <f>RANK(B246,Customer_Tiers[Total_Sales])</f>
        <v>245</v>
      </c>
    </row>
    <row r="247" spans="1:8">
      <c r="A247" t="str">
        <f>'Top Customers'!A249</f>
        <v>MANIKANDAN CHOORAKKODE</v>
      </c>
      <c r="B247" s="5">
        <f>IF(A247="","",IFERROR(GETPIVOTDATA("Sales Amount",'Top Customers'!$A$3,"Customer_name",'Top Customers'!A249),""))</f>
        <v>46108</v>
      </c>
      <c r="C247" t="str">
        <f t="shared" si="12"/>
        <v>Regular</v>
      </c>
      <c r="D247">
        <f t="shared" si="13"/>
        <v>53892</v>
      </c>
      <c r="E247" s="6">
        <f t="shared" si="14"/>
        <v>8.0528190119168782E-4</v>
      </c>
      <c r="F247" s="5">
        <f ca="1">TODAY()-GETPIVOTDATA("LastPurchaseDate",MaxDate!$A$3,"Customer_name",MaxDate!A249)</f>
        <v>311</v>
      </c>
      <c r="G247" t="str">
        <f t="shared" ca="1" si="15"/>
        <v>Inactive</v>
      </c>
      <c r="H247" s="13">
        <f>RANK(B247,Customer_Tiers[Total_Sales])</f>
        <v>246</v>
      </c>
    </row>
    <row r="248" spans="1:8">
      <c r="A248" t="str">
        <f>'Top Customers'!A250</f>
        <v>JINS VEMPILLY</v>
      </c>
      <c r="B248" s="5">
        <f>IF(A248="","",IFERROR(GETPIVOTDATA("Sales Amount",'Top Customers'!$A$3,"Customer_name",'Top Customers'!A250),""))</f>
        <v>45886</v>
      </c>
      <c r="C248" t="str">
        <f t="shared" si="12"/>
        <v>Regular</v>
      </c>
      <c r="D248">
        <f t="shared" si="13"/>
        <v>54114</v>
      </c>
      <c r="E248" s="6">
        <f t="shared" si="14"/>
        <v>8.0140464383798447E-4</v>
      </c>
      <c r="F248" s="5">
        <f ca="1">TODAY()-GETPIVOTDATA("LastPurchaseDate",MaxDate!$A$3,"Customer_name",MaxDate!A250)</f>
        <v>4</v>
      </c>
      <c r="G248" t="str">
        <f t="shared" ca="1" si="15"/>
        <v>Active</v>
      </c>
      <c r="H248" s="13">
        <f>RANK(B248,Customer_Tiers[Total_Sales])</f>
        <v>247</v>
      </c>
    </row>
    <row r="249" spans="1:8">
      <c r="A249" t="str">
        <f>'Top Customers'!A251</f>
        <v>VISHNU DOUBLEPALAM</v>
      </c>
      <c r="B249" s="5">
        <f>IF(A249="","",IFERROR(GETPIVOTDATA("Sales Amount",'Top Customers'!$A$3,"Customer_name",'Top Customers'!A251),""))</f>
        <v>45549</v>
      </c>
      <c r="C249" t="str">
        <f t="shared" si="12"/>
        <v>Regular</v>
      </c>
      <c r="D249">
        <f t="shared" si="13"/>
        <v>54451</v>
      </c>
      <c r="E249" s="6">
        <f t="shared" si="14"/>
        <v>7.9551889731456992E-4</v>
      </c>
      <c r="F249" s="5">
        <f ca="1">TODAY()-GETPIVOTDATA("LastPurchaseDate",MaxDate!$A$3,"Customer_name",MaxDate!A251)</f>
        <v>155</v>
      </c>
      <c r="G249" t="str">
        <f t="shared" ca="1" si="15"/>
        <v>Inactive</v>
      </c>
      <c r="H249" s="13">
        <f>RANK(B249,Customer_Tiers[Total_Sales])</f>
        <v>248</v>
      </c>
    </row>
    <row r="250" spans="1:8">
      <c r="A250" t="str">
        <f>'Top Customers'!A252</f>
        <v>TRISSUR SAND &amp;GRAVEL (P) LTD.</v>
      </c>
      <c r="B250" s="5">
        <f>IF(A250="","",IFERROR(GETPIVOTDATA("Sales Amount",'Top Customers'!$A$3,"Customer_name",'Top Customers'!A252),""))</f>
        <v>45072</v>
      </c>
      <c r="C250" t="str">
        <f t="shared" si="12"/>
        <v>Regular</v>
      </c>
      <c r="D250">
        <f t="shared" si="13"/>
        <v>54928</v>
      </c>
      <c r="E250" s="6">
        <f t="shared" si="14"/>
        <v>7.8718803354107213E-4</v>
      </c>
      <c r="F250" s="5">
        <f ca="1">TODAY()-GETPIVOTDATA("LastPurchaseDate",MaxDate!$A$3,"Customer_name",MaxDate!A252)</f>
        <v>27</v>
      </c>
      <c r="G250" t="str">
        <f t="shared" ca="1" si="15"/>
        <v>Active</v>
      </c>
      <c r="H250" s="13">
        <f>RANK(B250,Customer_Tiers[Total_Sales])</f>
        <v>249</v>
      </c>
    </row>
    <row r="251" spans="1:8">
      <c r="A251" t="str">
        <f>'Top Customers'!A253</f>
        <v>RAMACHANDRAN VALAMBOOR</v>
      </c>
      <c r="B251" s="5">
        <f>IF(A251="","",IFERROR(GETPIVOTDATA("Sales Amount",'Top Customers'!$A$3,"Customer_name",'Top Customers'!A253),""))</f>
        <v>44996</v>
      </c>
      <c r="C251" t="str">
        <f t="shared" si="12"/>
        <v>Regular</v>
      </c>
      <c r="D251">
        <f t="shared" si="13"/>
        <v>55004</v>
      </c>
      <c r="E251" s="6">
        <f t="shared" si="14"/>
        <v>7.8586068417674129E-4</v>
      </c>
      <c r="F251" s="5">
        <f ca="1">TODAY()-GETPIVOTDATA("LastPurchaseDate",MaxDate!$A$3,"Customer_name",MaxDate!A253)</f>
        <v>211</v>
      </c>
      <c r="G251" t="str">
        <f t="shared" ca="1" si="15"/>
        <v>Inactive</v>
      </c>
      <c r="H251" s="13">
        <f>RANK(B251,Customer_Tiers[Total_Sales])</f>
        <v>250</v>
      </c>
    </row>
    <row r="252" spans="1:8">
      <c r="A252" t="str">
        <f>'Top Customers'!A254</f>
        <v>LENIN KILIKULAM</v>
      </c>
      <c r="B252" s="5">
        <f>IF(A252="","",IFERROR(GETPIVOTDATA("Sales Amount",'Top Customers'!$A$3,"Customer_name",'Top Customers'!A254),""))</f>
        <v>43796</v>
      </c>
      <c r="C252" t="str">
        <f t="shared" si="12"/>
        <v>Regular</v>
      </c>
      <c r="D252">
        <f t="shared" si="13"/>
        <v>56204</v>
      </c>
      <c r="E252" s="6">
        <f t="shared" si="14"/>
        <v>7.6490253631888527E-4</v>
      </c>
      <c r="F252" s="5">
        <f ca="1">TODAY()-GETPIVOTDATA("LastPurchaseDate",MaxDate!$A$3,"Customer_name",MaxDate!A254)</f>
        <v>8</v>
      </c>
      <c r="G252" t="str">
        <f t="shared" ca="1" si="15"/>
        <v>Active</v>
      </c>
      <c r="H252" s="13">
        <f>RANK(B252,Customer_Tiers[Total_Sales])</f>
        <v>251</v>
      </c>
    </row>
    <row r="253" spans="1:8">
      <c r="A253" t="str">
        <f>'Top Customers'!A255</f>
        <v>SAJI VILLAGE CHENGARA</v>
      </c>
      <c r="B253" s="5">
        <f>IF(A253="","",IFERROR(GETPIVOTDATA("Sales Amount",'Top Customers'!$A$3,"Customer_name",'Top Customers'!A255),""))</f>
        <v>43776</v>
      </c>
      <c r="C253" t="str">
        <f t="shared" si="12"/>
        <v>Regular</v>
      </c>
      <c r="D253">
        <f t="shared" si="13"/>
        <v>56224</v>
      </c>
      <c r="E253" s="6">
        <f t="shared" si="14"/>
        <v>7.6455323385458767E-4</v>
      </c>
      <c r="F253" s="5">
        <f ca="1">TODAY()-GETPIVOTDATA("LastPurchaseDate",MaxDate!$A$3,"Customer_name",MaxDate!A255)</f>
        <v>286</v>
      </c>
      <c r="G253" t="str">
        <f t="shared" ca="1" si="15"/>
        <v>Inactive</v>
      </c>
      <c r="H253" s="13">
        <f>RANK(B253,Customer_Tiers[Total_Sales])</f>
        <v>252</v>
      </c>
    </row>
    <row r="254" spans="1:8">
      <c r="A254" t="str">
        <f>'Top Customers'!A256</f>
        <v>PAULOSE K</v>
      </c>
      <c r="B254" s="5">
        <f>IF(A254="","",IFERROR(GETPIVOTDATA("Sales Amount",'Top Customers'!$A$3,"Customer_name",'Top Customers'!A256),""))</f>
        <v>43501</v>
      </c>
      <c r="C254" t="str">
        <f t="shared" si="12"/>
        <v>Regular</v>
      </c>
      <c r="D254">
        <f t="shared" si="13"/>
        <v>56499</v>
      </c>
      <c r="E254" s="6">
        <f t="shared" si="14"/>
        <v>7.5975032497049562E-4</v>
      </c>
      <c r="F254" s="5">
        <f ca="1">TODAY()-GETPIVOTDATA("LastPurchaseDate",MaxDate!$A$3,"Customer_name",MaxDate!A256)</f>
        <v>215</v>
      </c>
      <c r="G254" t="str">
        <f t="shared" ca="1" si="15"/>
        <v>Inactive</v>
      </c>
      <c r="H254" s="13">
        <f>RANK(B254,Customer_Tiers[Total_Sales])</f>
        <v>253</v>
      </c>
    </row>
    <row r="255" spans="1:8">
      <c r="A255" t="str">
        <f>'Top Customers'!A257</f>
        <v>JOY NJARALLOOR</v>
      </c>
      <c r="B255" s="5">
        <f>IF(A255="","",IFERROR(GETPIVOTDATA("Sales Amount",'Top Customers'!$A$3,"Customer_name",'Top Customers'!A257),""))</f>
        <v>43307</v>
      </c>
      <c r="C255" t="str">
        <f t="shared" si="12"/>
        <v>Regular</v>
      </c>
      <c r="D255">
        <f t="shared" si="13"/>
        <v>56693</v>
      </c>
      <c r="E255" s="6">
        <f t="shared" si="14"/>
        <v>7.5636209106680894E-4</v>
      </c>
      <c r="F255" s="5">
        <f ca="1">TODAY()-GETPIVOTDATA("LastPurchaseDate",MaxDate!$A$3,"Customer_name",MaxDate!A257)</f>
        <v>57</v>
      </c>
      <c r="G255" t="str">
        <f t="shared" ca="1" si="15"/>
        <v>Active</v>
      </c>
      <c r="H255" s="13">
        <f>RANK(B255,Customer_Tiers[Total_Sales])</f>
        <v>254</v>
      </c>
    </row>
    <row r="256" spans="1:8">
      <c r="A256" t="str">
        <f>'Top Customers'!A258</f>
        <v>KHADAR THANDAKKALA</v>
      </c>
      <c r="B256" s="5">
        <f>IF(A256="","",IFERROR(GETPIVOTDATA("Sales Amount",'Top Customers'!$A$3,"Customer_name",'Top Customers'!A258),""))</f>
        <v>43163</v>
      </c>
      <c r="C256" t="str">
        <f t="shared" si="12"/>
        <v>Regular</v>
      </c>
      <c r="D256">
        <f t="shared" si="13"/>
        <v>56837</v>
      </c>
      <c r="E256" s="6">
        <f t="shared" si="14"/>
        <v>7.5384711332386622E-4</v>
      </c>
      <c r="F256" s="5">
        <f ca="1">TODAY()-GETPIVOTDATA("LastPurchaseDate",MaxDate!$A$3,"Customer_name",MaxDate!A258)</f>
        <v>88</v>
      </c>
      <c r="G256" t="str">
        <f t="shared" ca="1" si="15"/>
        <v>At Risk</v>
      </c>
      <c r="H256" s="13">
        <f>RANK(B256,Customer_Tiers[Total_Sales])</f>
        <v>255</v>
      </c>
    </row>
    <row r="257" spans="1:8">
      <c r="A257" t="str">
        <f>'Top Customers'!A259</f>
        <v>DILEEP PATTIMATTOM</v>
      </c>
      <c r="B257" s="5">
        <f>IF(A257="","",IFERROR(GETPIVOTDATA("Sales Amount",'Top Customers'!$A$3,"Customer_name",'Top Customers'!A259),""))</f>
        <v>42850</v>
      </c>
      <c r="C257" t="str">
        <f t="shared" si="12"/>
        <v>Regular</v>
      </c>
      <c r="D257">
        <f t="shared" si="13"/>
        <v>57150</v>
      </c>
      <c r="E257" s="6">
        <f t="shared" si="14"/>
        <v>7.4838052975760875E-4</v>
      </c>
      <c r="F257" s="5">
        <f ca="1">TODAY()-GETPIVOTDATA("LastPurchaseDate",MaxDate!$A$3,"Customer_name",MaxDate!A259)</f>
        <v>277</v>
      </c>
      <c r="G257" t="str">
        <f t="shared" ca="1" si="15"/>
        <v>Inactive</v>
      </c>
      <c r="H257" s="13">
        <f>RANK(B257,Customer_Tiers[Total_Sales])</f>
        <v>256</v>
      </c>
    </row>
    <row r="258" spans="1:8">
      <c r="A258" t="str">
        <f>'Top Customers'!A260</f>
        <v>ELDHO ISSAC PONNIYIL</v>
      </c>
      <c r="B258" s="5">
        <f>IF(A258="","",IFERROR(GETPIVOTDATA("Sales Amount",'Top Customers'!$A$3,"Customer_name",'Top Customers'!A260),""))</f>
        <v>42791</v>
      </c>
      <c r="C258" t="str">
        <f t="shared" ref="C258:C321" si="16">IF(B258&gt;=1000000,"Platinum",
 IF(B258&gt;=500000,"Gold",
 IF(B258&gt;=100000,"Silver","Regular")))</f>
        <v>Regular</v>
      </c>
      <c r="D258">
        <f t="shared" ref="D258:D321" si="17">IF(C258="Platinum",0,
 IF(C258="Gold",1000000-B258,
 IF(C258="Silver",500000-B258,
 IF(C258="Regular",100000-B258,0))))</f>
        <v>57209</v>
      </c>
      <c r="E258" s="6">
        <f t="shared" ref="E258:E321" si="18">B258/SUM(B:B)</f>
        <v>7.4735008748793078E-4</v>
      </c>
      <c r="F258" s="5">
        <f ca="1">TODAY()-GETPIVOTDATA("LastPurchaseDate",MaxDate!$A$3,"Customer_name",MaxDate!A260)</f>
        <v>37</v>
      </c>
      <c r="G258" t="str">
        <f t="shared" ref="G258:G321" ca="1" si="19">IF(F258="","",
 IF(F258&lt;=60,"Active",
 IF(F258&lt;=120,"At Risk","Inactive")))</f>
        <v>Active</v>
      </c>
      <c r="H258" s="13">
        <f>RANK(B258,Customer_Tiers[Total_Sales])</f>
        <v>257</v>
      </c>
    </row>
    <row r="259" spans="1:8">
      <c r="A259" t="str">
        <f>'Top Customers'!A261</f>
        <v>VAIGA ENGINEERING</v>
      </c>
      <c r="B259" s="5">
        <f>IF(A259="","",IFERROR(GETPIVOTDATA("Sales Amount",'Top Customers'!$A$3,"Customer_name",'Top Customers'!A261),""))</f>
        <v>42785</v>
      </c>
      <c r="C259" t="str">
        <f t="shared" si="16"/>
        <v>Regular</v>
      </c>
      <c r="D259">
        <f t="shared" si="17"/>
        <v>57215</v>
      </c>
      <c r="E259" s="6">
        <f t="shared" si="18"/>
        <v>7.4724529674864151E-4</v>
      </c>
      <c r="F259" s="5">
        <f ca="1">TODAY()-GETPIVOTDATA("LastPurchaseDate",MaxDate!$A$3,"Customer_name",MaxDate!A261)</f>
        <v>44</v>
      </c>
      <c r="G259" t="str">
        <f t="shared" ca="1" si="19"/>
        <v>Active</v>
      </c>
      <c r="H259" s="13">
        <f>RANK(B259,Customer_Tiers[Total_Sales])</f>
        <v>258</v>
      </c>
    </row>
    <row r="260" spans="1:8">
      <c r="A260" t="str">
        <f>'Top Customers'!A262</f>
        <v>SIGNATURE REALTIES</v>
      </c>
      <c r="B260" s="5">
        <f>IF(A260="","",IFERROR(GETPIVOTDATA("Sales Amount",'Top Customers'!$A$3,"Customer_name",'Top Customers'!A262),""))</f>
        <v>42561</v>
      </c>
      <c r="C260" t="str">
        <f t="shared" si="16"/>
        <v>Regular</v>
      </c>
      <c r="D260">
        <f t="shared" si="17"/>
        <v>57439</v>
      </c>
      <c r="E260" s="6">
        <f t="shared" si="18"/>
        <v>7.4333310914850837E-4</v>
      </c>
      <c r="F260" s="5">
        <f ca="1">TODAY()-GETPIVOTDATA("LastPurchaseDate",MaxDate!$A$3,"Customer_name",MaxDate!A262)</f>
        <v>296</v>
      </c>
      <c r="G260" t="str">
        <f t="shared" ca="1" si="19"/>
        <v>Inactive</v>
      </c>
      <c r="H260" s="13">
        <f>RANK(B260,Customer_Tiers[Total_Sales])</f>
        <v>259</v>
      </c>
    </row>
    <row r="261" spans="1:8">
      <c r="A261" t="str">
        <f>'Top Customers'!A263</f>
        <v>FAIZAL N.P</v>
      </c>
      <c r="B261" s="5">
        <f>IF(A261="","",IFERROR(GETPIVOTDATA("Sales Amount",'Top Customers'!$A$3,"Customer_name",'Top Customers'!A263),""))</f>
        <v>42219</v>
      </c>
      <c r="C261" t="str">
        <f t="shared" si="16"/>
        <v>Regular</v>
      </c>
      <c r="D261">
        <f t="shared" si="17"/>
        <v>57781</v>
      </c>
      <c r="E261" s="6">
        <f t="shared" si="18"/>
        <v>7.3736003700901949E-4</v>
      </c>
      <c r="F261" s="5">
        <f ca="1">TODAY()-GETPIVOTDATA("LastPurchaseDate",MaxDate!$A$3,"Customer_name",MaxDate!A263)</f>
        <v>68</v>
      </c>
      <c r="G261" t="str">
        <f t="shared" ca="1" si="19"/>
        <v>At Risk</v>
      </c>
      <c r="H261" s="13">
        <f>RANK(B261,Customer_Tiers[Total_Sales])</f>
        <v>260</v>
      </c>
    </row>
    <row r="262" spans="1:8">
      <c r="A262" t="str">
        <f>'Top Customers'!A264</f>
        <v>BINU KURIAN</v>
      </c>
      <c r="B262" s="5">
        <f>IF(A262="","",IFERROR(GETPIVOTDATA("Sales Amount",'Top Customers'!$A$3,"Customer_name",'Top Customers'!A264),""))</f>
        <v>41848</v>
      </c>
      <c r="C262" t="str">
        <f t="shared" si="16"/>
        <v>Regular</v>
      </c>
      <c r="D262">
        <f t="shared" si="17"/>
        <v>58152</v>
      </c>
      <c r="E262" s="6">
        <f t="shared" si="18"/>
        <v>7.30880476296299E-4</v>
      </c>
      <c r="F262" s="5">
        <f ca="1">TODAY()-GETPIVOTDATA("LastPurchaseDate",MaxDate!$A$3,"Customer_name",MaxDate!A264)</f>
        <v>109</v>
      </c>
      <c r="G262" t="str">
        <f t="shared" ca="1" si="19"/>
        <v>At Risk</v>
      </c>
      <c r="H262" s="13">
        <f>RANK(B262,Customer_Tiers[Total_Sales])</f>
        <v>261</v>
      </c>
    </row>
    <row r="263" spans="1:8">
      <c r="A263" t="str">
        <f>'Top Customers'!A265</f>
        <v>ROSHAN VARGHSESE KUMMMANODE</v>
      </c>
      <c r="B263" s="5">
        <f>IF(A263="","",IFERROR(GETPIVOTDATA("Sales Amount",'Top Customers'!$A$3,"Customer_name",'Top Customers'!A265),""))</f>
        <v>41712</v>
      </c>
      <c r="C263" t="str">
        <f t="shared" si="16"/>
        <v>Regular</v>
      </c>
      <c r="D263">
        <f t="shared" si="17"/>
        <v>58288</v>
      </c>
      <c r="E263" s="6">
        <f t="shared" si="18"/>
        <v>7.2850521953907524E-4</v>
      </c>
      <c r="F263" s="5">
        <f ca="1">TODAY()-GETPIVOTDATA("LastPurchaseDate",MaxDate!$A$3,"Customer_name",MaxDate!A265)</f>
        <v>220</v>
      </c>
      <c r="G263" t="str">
        <f t="shared" ca="1" si="19"/>
        <v>Inactive</v>
      </c>
      <c r="H263" s="13">
        <f>RANK(B263,Customer_Tiers[Total_Sales])</f>
        <v>262</v>
      </c>
    </row>
    <row r="264" spans="1:8">
      <c r="A264" t="str">
        <f>'Top Customers'!A266</f>
        <v>ZAYED DEVELOPERS</v>
      </c>
      <c r="B264" s="5">
        <f>IF(A264="","",IFERROR(GETPIVOTDATA("Sales Amount",'Top Customers'!$A$3,"Customer_name",'Top Customers'!A266),""))</f>
        <v>41603</v>
      </c>
      <c r="C264" t="str">
        <f t="shared" si="16"/>
        <v>Regular</v>
      </c>
      <c r="D264">
        <f t="shared" si="17"/>
        <v>58397</v>
      </c>
      <c r="E264" s="6">
        <f t="shared" si="18"/>
        <v>7.2660152110865341E-4</v>
      </c>
      <c r="F264" s="5">
        <f ca="1">TODAY()-GETPIVOTDATA("LastPurchaseDate",MaxDate!$A$3,"Customer_name",MaxDate!A266)</f>
        <v>46</v>
      </c>
      <c r="G264" t="str">
        <f t="shared" ca="1" si="19"/>
        <v>Active</v>
      </c>
      <c r="H264" s="13">
        <f>RANK(B264,Customer_Tiers[Total_Sales])</f>
        <v>263</v>
      </c>
    </row>
    <row r="265" spans="1:8">
      <c r="A265" t="str">
        <f>'Top Customers'!A267</f>
        <v>SUNIL EZIPURAM</v>
      </c>
      <c r="B265" s="5">
        <f>IF(A265="","",IFERROR(GETPIVOTDATA("Sales Amount",'Top Customers'!$A$3,"Customer_name",'Top Customers'!A267),""))</f>
        <v>41563</v>
      </c>
      <c r="C265" t="str">
        <f t="shared" si="16"/>
        <v>Regular</v>
      </c>
      <c r="D265">
        <f t="shared" si="17"/>
        <v>58437</v>
      </c>
      <c r="E265" s="6">
        <f t="shared" si="18"/>
        <v>7.259029161800582E-4</v>
      </c>
      <c r="F265" s="5">
        <f ca="1">TODAY()-GETPIVOTDATA("LastPurchaseDate",MaxDate!$A$3,"Customer_name",MaxDate!A267)</f>
        <v>54</v>
      </c>
      <c r="G265" t="str">
        <f t="shared" ca="1" si="19"/>
        <v>Active</v>
      </c>
      <c r="H265" s="13">
        <f>RANK(B265,Customer_Tiers[Total_Sales])</f>
        <v>264</v>
      </c>
    </row>
    <row r="266" spans="1:8">
      <c r="A266" t="str">
        <f>'Top Customers'!A268</f>
        <v>NEENA VINOD</v>
      </c>
      <c r="B266" s="5">
        <f>IF(A266="","",IFERROR(GETPIVOTDATA("Sales Amount",'Top Customers'!$A$3,"Customer_name",'Top Customers'!A268),""))</f>
        <v>41392</v>
      </c>
      <c r="C266" t="str">
        <f t="shared" si="16"/>
        <v>Regular</v>
      </c>
      <c r="D266">
        <f t="shared" si="17"/>
        <v>58608</v>
      </c>
      <c r="E266" s="6">
        <f t="shared" si="18"/>
        <v>7.2291638011031366E-4</v>
      </c>
      <c r="F266" s="5">
        <f ca="1">TODAY()-GETPIVOTDATA("LastPurchaseDate",MaxDate!$A$3,"Customer_name",MaxDate!A268)</f>
        <v>108</v>
      </c>
      <c r="G266" t="str">
        <f t="shared" ca="1" si="19"/>
        <v>At Risk</v>
      </c>
      <c r="H266" s="13">
        <f>RANK(B266,Customer_Tiers[Total_Sales])</f>
        <v>265</v>
      </c>
    </row>
    <row r="267" spans="1:8">
      <c r="A267" t="str">
        <f>'Top Customers'!A269</f>
        <v>DAMODARAN NAMBOORI</v>
      </c>
      <c r="B267" s="5">
        <f>IF(A267="","",IFERROR(GETPIVOTDATA("Sales Amount",'Top Customers'!$A$3,"Customer_name",'Top Customers'!A269),""))</f>
        <v>41175</v>
      </c>
      <c r="C267" t="str">
        <f t="shared" si="16"/>
        <v>Regular</v>
      </c>
      <c r="D267">
        <f t="shared" si="17"/>
        <v>58825</v>
      </c>
      <c r="E267" s="6">
        <f t="shared" si="18"/>
        <v>7.1912644837268474E-4</v>
      </c>
      <c r="F267" s="5">
        <f ca="1">TODAY()-GETPIVOTDATA("LastPurchaseDate",MaxDate!$A$3,"Customer_name",MaxDate!A269)</f>
        <v>257</v>
      </c>
      <c r="G267" t="str">
        <f t="shared" ca="1" si="19"/>
        <v>Inactive</v>
      </c>
      <c r="H267" s="13">
        <f>RANK(B267,Customer_Tiers[Total_Sales])</f>
        <v>266</v>
      </c>
    </row>
    <row r="268" spans="1:8">
      <c r="A268" t="str">
        <f>'Top Customers'!A270</f>
        <v>BAVASONS ENTERPRISES</v>
      </c>
      <c r="B268" s="5">
        <f>IF(A268="","",IFERROR(GETPIVOTDATA("Sales Amount",'Top Customers'!$A$3,"Customer_name",'Top Customers'!A270),""))</f>
        <v>41069</v>
      </c>
      <c r="C268" t="str">
        <f t="shared" si="16"/>
        <v>Regular</v>
      </c>
      <c r="D268">
        <f t="shared" si="17"/>
        <v>58931</v>
      </c>
      <c r="E268" s="6">
        <f t="shared" si="18"/>
        <v>7.1727514531190744E-4</v>
      </c>
      <c r="F268" s="5">
        <f ca="1">TODAY()-GETPIVOTDATA("LastPurchaseDate",MaxDate!$A$3,"Customer_name",MaxDate!A270)</f>
        <v>58</v>
      </c>
      <c r="G268" t="str">
        <f t="shared" ca="1" si="19"/>
        <v>Active</v>
      </c>
      <c r="H268" s="13">
        <f>RANK(B268,Customer_Tiers[Total_Sales])</f>
        <v>267</v>
      </c>
    </row>
    <row r="269" spans="1:8">
      <c r="A269" t="str">
        <f>'Top Customers'!A271</f>
        <v>PAULOSE MEPPURATH</v>
      </c>
      <c r="B269" s="5">
        <f>IF(A269="","",IFERROR(GETPIVOTDATA("Sales Amount",'Top Customers'!$A$3,"Customer_name",'Top Customers'!A271),""))</f>
        <v>40925</v>
      </c>
      <c r="C269" t="str">
        <f t="shared" si="16"/>
        <v>Regular</v>
      </c>
      <c r="D269">
        <f t="shared" si="17"/>
        <v>59075</v>
      </c>
      <c r="E269" s="6">
        <f t="shared" si="18"/>
        <v>7.1476016756896472E-4</v>
      </c>
      <c r="F269" s="5">
        <f ca="1">TODAY()-GETPIVOTDATA("LastPurchaseDate",MaxDate!$A$3,"Customer_name",MaxDate!A271)</f>
        <v>206</v>
      </c>
      <c r="G269" t="str">
        <f t="shared" ca="1" si="19"/>
        <v>Inactive</v>
      </c>
      <c r="H269" s="13">
        <f>RANK(B269,Customer_Tiers[Total_Sales])</f>
        <v>268</v>
      </c>
    </row>
    <row r="270" spans="1:8">
      <c r="A270" t="str">
        <f>'Top Customers'!A272</f>
        <v>VISHNU</v>
      </c>
      <c r="B270" s="5">
        <f>IF(A270="","",IFERROR(GETPIVOTDATA("Sales Amount",'Top Customers'!$A$3,"Customer_name",'Top Customers'!A272),""))</f>
        <v>40913</v>
      </c>
      <c r="C270" t="str">
        <f t="shared" si="16"/>
        <v>Regular</v>
      </c>
      <c r="D270">
        <f t="shared" si="17"/>
        <v>59087</v>
      </c>
      <c r="E270" s="6">
        <f t="shared" si="18"/>
        <v>7.1455058609038618E-4</v>
      </c>
      <c r="F270" s="5">
        <f ca="1">TODAY()-GETPIVOTDATA("LastPurchaseDate",MaxDate!$A$3,"Customer_name",MaxDate!A272)</f>
        <v>239</v>
      </c>
      <c r="G270" t="str">
        <f t="shared" ca="1" si="19"/>
        <v>Inactive</v>
      </c>
      <c r="H270" s="13">
        <f>RANK(B270,Customer_Tiers[Total_Sales])</f>
        <v>269</v>
      </c>
    </row>
    <row r="271" spans="1:8">
      <c r="A271" t="str">
        <f>'Top Customers'!A273</f>
        <v>JIJO MATHEW</v>
      </c>
      <c r="B271" s="5">
        <f>IF(A271="","",IFERROR(GETPIVOTDATA("Sales Amount",'Top Customers'!$A$3,"Customer_name",'Top Customers'!A273),""))</f>
        <v>40839</v>
      </c>
      <c r="C271" t="str">
        <f t="shared" si="16"/>
        <v>Regular</v>
      </c>
      <c r="D271">
        <f t="shared" si="17"/>
        <v>59161</v>
      </c>
      <c r="E271" s="6">
        <f t="shared" si="18"/>
        <v>7.1325816697248503E-4</v>
      </c>
      <c r="F271" s="5">
        <f ca="1">TODAY()-GETPIVOTDATA("LastPurchaseDate",MaxDate!$A$3,"Customer_name",MaxDate!A273)</f>
        <v>16</v>
      </c>
      <c r="G271" t="str">
        <f t="shared" ca="1" si="19"/>
        <v>Active</v>
      </c>
      <c r="H271" s="13">
        <f>RANK(B271,Customer_Tiers[Total_Sales])</f>
        <v>270</v>
      </c>
    </row>
    <row r="272" spans="1:8">
      <c r="A272" t="str">
        <f>'Top Customers'!A274</f>
        <v>REGHU KUMMANODE</v>
      </c>
      <c r="B272" s="5">
        <f>IF(A272="","",IFERROR(GETPIVOTDATA("Sales Amount",'Top Customers'!$A$3,"Customer_name",'Top Customers'!A274),""))</f>
        <v>40554</v>
      </c>
      <c r="C272" t="str">
        <f t="shared" si="16"/>
        <v>Regular</v>
      </c>
      <c r="D272">
        <f t="shared" si="17"/>
        <v>59446</v>
      </c>
      <c r="E272" s="6">
        <f t="shared" si="18"/>
        <v>7.0828060685624423E-4</v>
      </c>
      <c r="F272" s="5">
        <f ca="1">TODAY()-GETPIVOTDATA("LastPurchaseDate",MaxDate!$A$3,"Customer_name",MaxDate!A274)</f>
        <v>38</v>
      </c>
      <c r="G272" t="str">
        <f t="shared" ca="1" si="19"/>
        <v>Active</v>
      </c>
      <c r="H272" s="13">
        <f>RANK(B272,Customer_Tiers[Total_Sales])</f>
        <v>271</v>
      </c>
    </row>
    <row r="273" spans="1:8">
      <c r="A273" t="str">
        <f>'Top Customers'!A275</f>
        <v>PRAVEEN MAZHUVANNOOR</v>
      </c>
      <c r="B273" s="5">
        <f>IF(A273="","",IFERROR(GETPIVOTDATA("Sales Amount",'Top Customers'!$A$3,"Customer_name",'Top Customers'!A275),""))</f>
        <v>40507</v>
      </c>
      <c r="C273" t="str">
        <f t="shared" si="16"/>
        <v>Regular</v>
      </c>
      <c r="D273">
        <f t="shared" si="17"/>
        <v>59493</v>
      </c>
      <c r="E273" s="6">
        <f t="shared" si="18"/>
        <v>7.074597460651449E-4</v>
      </c>
      <c r="F273" s="5">
        <f ca="1">TODAY()-GETPIVOTDATA("LastPurchaseDate",MaxDate!$A$3,"Customer_name",MaxDate!A275)</f>
        <v>289</v>
      </c>
      <c r="G273" t="str">
        <f t="shared" ca="1" si="19"/>
        <v>Inactive</v>
      </c>
      <c r="H273" s="13">
        <f>RANK(B273,Customer_Tiers[Total_Sales])</f>
        <v>272</v>
      </c>
    </row>
    <row r="274" spans="1:8">
      <c r="A274" t="str">
        <f>'Top Customers'!A276</f>
        <v>ST.THOMAS JACOBITE SYRIAN CHURCH</v>
      </c>
      <c r="B274" s="5">
        <f>IF(A274="","",IFERROR(GETPIVOTDATA("Sales Amount",'Top Customers'!$A$3,"Customer_name",'Top Customers'!A276),""))</f>
        <v>40507</v>
      </c>
      <c r="C274" t="str">
        <f t="shared" si="16"/>
        <v>Regular</v>
      </c>
      <c r="D274">
        <f t="shared" si="17"/>
        <v>59493</v>
      </c>
      <c r="E274" s="6">
        <f t="shared" si="18"/>
        <v>7.074597460651449E-4</v>
      </c>
      <c r="F274" s="5">
        <f ca="1">TODAY()-GETPIVOTDATA("LastPurchaseDate",MaxDate!$A$3,"Customer_name",MaxDate!A276)</f>
        <v>124</v>
      </c>
      <c r="G274" t="str">
        <f t="shared" ca="1" si="19"/>
        <v>Inactive</v>
      </c>
      <c r="H274" s="13">
        <f>RANK(B274,Customer_Tiers[Total_Sales])</f>
        <v>272</v>
      </c>
    </row>
    <row r="275" spans="1:8">
      <c r="A275" t="str">
        <f>'Top Customers'!A277</f>
        <v>PTECH BUILDERS AND DEVELOPERS PVT LTD</v>
      </c>
      <c r="B275" s="5">
        <f>IF(A275="","",IFERROR(GETPIVOTDATA("Sales Amount",'Top Customers'!$A$3,"Customer_name",'Top Customers'!A277),""))</f>
        <v>40359</v>
      </c>
      <c r="C275" t="str">
        <f t="shared" si="16"/>
        <v>Regular</v>
      </c>
      <c r="D275">
        <f t="shared" si="17"/>
        <v>59641</v>
      </c>
      <c r="E275" s="6">
        <f t="shared" si="18"/>
        <v>7.048749078293426E-4</v>
      </c>
      <c r="F275" s="5">
        <f ca="1">TODAY()-GETPIVOTDATA("LastPurchaseDate",MaxDate!$A$3,"Customer_name",MaxDate!A277)</f>
        <v>300</v>
      </c>
      <c r="G275" t="str">
        <f t="shared" ca="1" si="19"/>
        <v>Inactive</v>
      </c>
      <c r="H275" s="13">
        <f>RANK(B275,Customer_Tiers[Total_Sales])</f>
        <v>274</v>
      </c>
    </row>
    <row r="276" spans="1:8">
      <c r="A276" t="str">
        <f>'Top Customers'!A278</f>
        <v>BIJU MATHEW</v>
      </c>
      <c r="B276" s="5">
        <f>IF(A276="","",IFERROR(GETPIVOTDATA("Sales Amount",'Top Customers'!$A$3,"Customer_name",'Top Customers'!A278),""))</f>
        <v>40180</v>
      </c>
      <c r="C276" t="str">
        <f t="shared" si="16"/>
        <v>Regular</v>
      </c>
      <c r="D276">
        <f t="shared" si="17"/>
        <v>59820</v>
      </c>
      <c r="E276" s="6">
        <f t="shared" si="18"/>
        <v>7.017486507738791E-4</v>
      </c>
      <c r="F276" s="5">
        <f ca="1">TODAY()-GETPIVOTDATA("LastPurchaseDate",MaxDate!$A$3,"Customer_name",MaxDate!A278)</f>
        <v>265</v>
      </c>
      <c r="G276" t="str">
        <f t="shared" ca="1" si="19"/>
        <v>Inactive</v>
      </c>
      <c r="H276" s="13">
        <f>RANK(B276,Customer_Tiers[Total_Sales])</f>
        <v>275</v>
      </c>
    </row>
    <row r="277" spans="1:8">
      <c r="A277" t="str">
        <f>'Top Customers'!A279</f>
        <v>ALIYAR PAREMKUDY</v>
      </c>
      <c r="B277" s="5">
        <f>IF(A277="","",IFERROR(GETPIVOTDATA("Sales Amount",'Top Customers'!$A$3,"Customer_name",'Top Customers'!A279),""))</f>
        <v>39948</v>
      </c>
      <c r="C277" t="str">
        <f t="shared" si="16"/>
        <v>Regular</v>
      </c>
      <c r="D277">
        <f t="shared" si="17"/>
        <v>60052</v>
      </c>
      <c r="E277" s="6">
        <f t="shared" si="18"/>
        <v>6.9769674218802689E-4</v>
      </c>
      <c r="F277" s="5">
        <f ca="1">TODAY()-GETPIVOTDATA("LastPurchaseDate",MaxDate!$A$3,"Customer_name",MaxDate!A279)</f>
        <v>270</v>
      </c>
      <c r="G277" t="str">
        <f t="shared" ca="1" si="19"/>
        <v>Inactive</v>
      </c>
      <c r="H277" s="13">
        <f>RANK(B277,Customer_Tiers[Total_Sales])</f>
        <v>276</v>
      </c>
    </row>
    <row r="278" spans="1:8">
      <c r="A278" t="str">
        <f>'Top Customers'!A280</f>
        <v>JENY SAJEEV</v>
      </c>
      <c r="B278" s="5">
        <f>IF(A278="","",IFERROR(GETPIVOTDATA("Sales Amount",'Top Customers'!$A$3,"Customer_name",'Top Customers'!A280),""))</f>
        <v>39500</v>
      </c>
      <c r="C278" t="str">
        <f t="shared" si="16"/>
        <v>Regular</v>
      </c>
      <c r="D278">
        <f t="shared" si="17"/>
        <v>60500</v>
      </c>
      <c r="E278" s="6">
        <f t="shared" si="18"/>
        <v>6.8987236698776072E-4</v>
      </c>
      <c r="F278" s="5">
        <f ca="1">TODAY()-GETPIVOTDATA("LastPurchaseDate",MaxDate!$A$3,"Customer_name",MaxDate!A280)</f>
        <v>293</v>
      </c>
      <c r="G278" t="str">
        <f t="shared" ca="1" si="19"/>
        <v>Inactive</v>
      </c>
      <c r="H278" s="13">
        <f>RANK(B278,Customer_Tiers[Total_Sales])</f>
        <v>277</v>
      </c>
    </row>
    <row r="279" spans="1:8">
      <c r="A279" t="str">
        <f>'Top Customers'!A281</f>
        <v>RAVI KEDHARAM</v>
      </c>
      <c r="B279" s="5">
        <f>IF(A279="","",IFERROR(GETPIVOTDATA("Sales Amount",'Top Customers'!$A$3,"Customer_name",'Top Customers'!A281),""))</f>
        <v>39481</v>
      </c>
      <c r="C279" t="str">
        <f t="shared" si="16"/>
        <v>Regular</v>
      </c>
      <c r="D279">
        <f t="shared" si="17"/>
        <v>60519</v>
      </c>
      <c r="E279" s="6">
        <f t="shared" si="18"/>
        <v>6.8954052964667796E-4</v>
      </c>
      <c r="F279" s="5">
        <f ca="1">TODAY()-GETPIVOTDATA("LastPurchaseDate",MaxDate!$A$3,"Customer_name",MaxDate!A281)</f>
        <v>204</v>
      </c>
      <c r="G279" t="str">
        <f t="shared" ca="1" si="19"/>
        <v>Inactive</v>
      </c>
      <c r="H279" s="13">
        <f>RANK(B279,Customer_Tiers[Total_Sales])</f>
        <v>278</v>
      </c>
    </row>
    <row r="280" spans="1:8">
      <c r="A280" t="str">
        <f>'Top Customers'!A282</f>
        <v>AJAYGHOSH V A</v>
      </c>
      <c r="B280" s="5">
        <f>IF(A280="","",IFERROR(GETPIVOTDATA("Sales Amount",'Top Customers'!$A$3,"Customer_name",'Top Customers'!A282),""))</f>
        <v>39183</v>
      </c>
      <c r="C280" t="str">
        <f t="shared" si="16"/>
        <v>Regular</v>
      </c>
      <c r="D280">
        <f t="shared" si="17"/>
        <v>60817</v>
      </c>
      <c r="E280" s="6">
        <f t="shared" si="18"/>
        <v>6.8433592292864367E-4</v>
      </c>
      <c r="F280" s="5">
        <f ca="1">TODAY()-GETPIVOTDATA("LastPurchaseDate",MaxDate!$A$3,"Customer_name",MaxDate!A282)</f>
        <v>201</v>
      </c>
      <c r="G280" t="str">
        <f t="shared" ca="1" si="19"/>
        <v>Inactive</v>
      </c>
      <c r="H280" s="13">
        <f>RANK(B280,Customer_Tiers[Total_Sales])</f>
        <v>279</v>
      </c>
    </row>
    <row r="281" spans="1:8">
      <c r="A281" t="str">
        <f>'Top Customers'!A283</f>
        <v>SUNIL SEBASTIAN</v>
      </c>
      <c r="B281" s="5">
        <f>IF(A281="","",IFERROR(GETPIVOTDATA("Sales Amount",'Top Customers'!$A$3,"Customer_name",'Top Customers'!A283),""))</f>
        <v>38955</v>
      </c>
      <c r="C281" t="str">
        <f t="shared" si="16"/>
        <v>Regular</v>
      </c>
      <c r="D281">
        <f t="shared" si="17"/>
        <v>61045</v>
      </c>
      <c r="E281" s="6">
        <f t="shared" si="18"/>
        <v>6.8035387483565105E-4</v>
      </c>
      <c r="F281" s="5">
        <f ca="1">TODAY()-GETPIVOTDATA("LastPurchaseDate",MaxDate!$A$3,"Customer_name",MaxDate!A283)</f>
        <v>299</v>
      </c>
      <c r="G281" t="str">
        <f t="shared" ca="1" si="19"/>
        <v>Inactive</v>
      </c>
      <c r="H281" s="13">
        <f>RANK(B281,Customer_Tiers[Total_Sales])</f>
        <v>280</v>
      </c>
    </row>
    <row r="282" spans="1:8">
      <c r="A282" t="str">
        <f>'Top Customers'!A284</f>
        <v>AJI THATTAMUKAL</v>
      </c>
      <c r="B282" s="5">
        <f>IF(A282="","",IFERROR(GETPIVOTDATA("Sales Amount",'Top Customers'!$A$3,"Customer_name",'Top Customers'!A284),""))</f>
        <v>38641</v>
      </c>
      <c r="C282" t="str">
        <f t="shared" si="16"/>
        <v>Regular</v>
      </c>
      <c r="D282">
        <f t="shared" si="17"/>
        <v>61359</v>
      </c>
      <c r="E282" s="6">
        <f t="shared" si="18"/>
        <v>6.7486982614617874E-4</v>
      </c>
      <c r="F282" s="5">
        <f ca="1">TODAY()-GETPIVOTDATA("LastPurchaseDate",MaxDate!$A$3,"Customer_name",MaxDate!A284)</f>
        <v>13</v>
      </c>
      <c r="G282" t="str">
        <f t="shared" ca="1" si="19"/>
        <v>Active</v>
      </c>
      <c r="H282" s="13">
        <f>RANK(B282,Customer_Tiers[Total_Sales])</f>
        <v>281</v>
      </c>
    </row>
    <row r="283" spans="1:8">
      <c r="A283" t="str">
        <f>'Top Customers'!A285</f>
        <v>JINU CHELAKULAM</v>
      </c>
      <c r="B283" s="5">
        <f>IF(A283="","",IFERROR(GETPIVOTDATA("Sales Amount",'Top Customers'!$A$3,"Customer_name",'Top Customers'!A285),""))</f>
        <v>38521</v>
      </c>
      <c r="C283" t="str">
        <f t="shared" si="16"/>
        <v>Regular</v>
      </c>
      <c r="D283">
        <f t="shared" si="17"/>
        <v>61479</v>
      </c>
      <c r="E283" s="6">
        <f t="shared" si="18"/>
        <v>6.727740113603931E-4</v>
      </c>
      <c r="F283" s="5">
        <f ca="1">TODAY()-GETPIVOTDATA("LastPurchaseDate",MaxDate!$A$3,"Customer_name",MaxDate!A285)</f>
        <v>157</v>
      </c>
      <c r="G283" t="str">
        <f t="shared" ca="1" si="19"/>
        <v>Inactive</v>
      </c>
      <c r="H283" s="13">
        <f>RANK(B283,Customer_Tiers[Total_Sales])</f>
        <v>282</v>
      </c>
    </row>
    <row r="284" spans="1:8">
      <c r="A284" t="str">
        <f>'Top Customers'!A286</f>
        <v>JALAL PATTIMATTOM</v>
      </c>
      <c r="B284" s="5">
        <f>IF(A284="","",IFERROR(GETPIVOTDATA("Sales Amount",'Top Customers'!$A$3,"Customer_name",'Top Customers'!A286),""))</f>
        <v>38032</v>
      </c>
      <c r="C284" t="str">
        <f t="shared" si="16"/>
        <v>Regular</v>
      </c>
      <c r="D284">
        <f t="shared" si="17"/>
        <v>61968</v>
      </c>
      <c r="E284" s="6">
        <f t="shared" si="18"/>
        <v>6.6423356610831677E-4</v>
      </c>
      <c r="F284" s="5">
        <f ca="1">TODAY()-GETPIVOTDATA("LastPurchaseDate",MaxDate!$A$3,"Customer_name",MaxDate!A286)</f>
        <v>216</v>
      </c>
      <c r="G284" t="str">
        <f t="shared" ca="1" si="19"/>
        <v>Inactive</v>
      </c>
      <c r="H284" s="13">
        <f>RANK(B284,Customer_Tiers[Total_Sales])</f>
        <v>283</v>
      </c>
    </row>
    <row r="285" spans="1:8">
      <c r="A285" t="str">
        <f>'Top Customers'!A287</f>
        <v>KANNAPPAN</v>
      </c>
      <c r="B285" s="5">
        <f>IF(A285="","",IFERROR(GETPIVOTDATA("Sales Amount",'Top Customers'!$A$3,"Customer_name",'Top Customers'!A287),""))</f>
        <v>37518</v>
      </c>
      <c r="C285" t="str">
        <f t="shared" si="16"/>
        <v>Regular</v>
      </c>
      <c r="D285">
        <f t="shared" si="17"/>
        <v>62482</v>
      </c>
      <c r="E285" s="6">
        <f t="shared" si="18"/>
        <v>6.5525649277586851E-4</v>
      </c>
      <c r="F285" s="5">
        <f ca="1">TODAY()-GETPIVOTDATA("LastPurchaseDate",MaxDate!$A$3,"Customer_name",MaxDate!A287)</f>
        <v>183</v>
      </c>
      <c r="G285" t="str">
        <f t="shared" ca="1" si="19"/>
        <v>Inactive</v>
      </c>
      <c r="H285" s="13">
        <f>RANK(B285,Customer_Tiers[Total_Sales])</f>
        <v>284</v>
      </c>
    </row>
    <row r="286" spans="1:8">
      <c r="A286" t="str">
        <f>'Top Customers'!A288</f>
        <v>ALIAS MATHAI</v>
      </c>
      <c r="B286" s="5">
        <f>IF(A286="","",IFERROR(GETPIVOTDATA("Sales Amount",'Top Customers'!$A$3,"Customer_name",'Top Customers'!A288),""))</f>
        <v>37501</v>
      </c>
      <c r="C286" t="str">
        <f t="shared" si="16"/>
        <v>Regular</v>
      </c>
      <c r="D286">
        <f t="shared" si="17"/>
        <v>62499</v>
      </c>
      <c r="E286" s="6">
        <f t="shared" si="18"/>
        <v>6.5495958568121554E-4</v>
      </c>
      <c r="F286" s="5">
        <f ca="1">TODAY()-GETPIVOTDATA("LastPurchaseDate",MaxDate!$A$3,"Customer_name",MaxDate!A288)</f>
        <v>143</v>
      </c>
      <c r="G286" t="str">
        <f t="shared" ca="1" si="19"/>
        <v>Inactive</v>
      </c>
      <c r="H286" s="13">
        <f>RANK(B286,Customer_Tiers[Total_Sales])</f>
        <v>285</v>
      </c>
    </row>
    <row r="287" spans="1:8">
      <c r="A287" t="str">
        <f>'Top Customers'!A289</f>
        <v>SUBASH  , BHAGAVATHY AMMA</v>
      </c>
      <c r="B287" s="5">
        <f>IF(A287="","",IFERROR(GETPIVOTDATA("Sales Amount",'Top Customers'!$A$3,"Customer_name",'Top Customers'!A289),""))</f>
        <v>37353</v>
      </c>
      <c r="C287" t="str">
        <f t="shared" si="16"/>
        <v>Regular</v>
      </c>
      <c r="D287">
        <f t="shared" si="17"/>
        <v>62647</v>
      </c>
      <c r="E287" s="6">
        <f t="shared" si="18"/>
        <v>6.5237474744541334E-4</v>
      </c>
      <c r="F287" s="5">
        <f ca="1">TODAY()-GETPIVOTDATA("LastPurchaseDate",MaxDate!$A$3,"Customer_name",MaxDate!A289)</f>
        <v>12</v>
      </c>
      <c r="G287" t="str">
        <f t="shared" ca="1" si="19"/>
        <v>Active</v>
      </c>
      <c r="H287" s="13">
        <f>RANK(B287,Customer_Tiers[Total_Sales])</f>
        <v>286</v>
      </c>
    </row>
    <row r="288" spans="1:8">
      <c r="A288" t="str">
        <f>'Top Customers'!A290</f>
        <v>SANEESH TRUSS OORAMANA</v>
      </c>
      <c r="B288" s="5">
        <f>IF(A288="","",IFERROR(GETPIVOTDATA("Sales Amount",'Top Customers'!$A$3,"Customer_name",'Top Customers'!A290),""))</f>
        <v>37194</v>
      </c>
      <c r="C288" t="str">
        <f t="shared" si="16"/>
        <v>Regular</v>
      </c>
      <c r="D288">
        <f t="shared" si="17"/>
        <v>62806</v>
      </c>
      <c r="E288" s="6">
        <f t="shared" si="18"/>
        <v>6.4959779285424734E-4</v>
      </c>
      <c r="F288" s="5">
        <f ca="1">TODAY()-GETPIVOTDATA("LastPurchaseDate",MaxDate!$A$3,"Customer_name",MaxDate!A290)</f>
        <v>162</v>
      </c>
      <c r="G288" t="str">
        <f t="shared" ca="1" si="19"/>
        <v>Inactive</v>
      </c>
      <c r="H288" s="13">
        <f>RANK(B288,Customer_Tiers[Total_Sales])</f>
        <v>287</v>
      </c>
    </row>
    <row r="289" spans="1:8">
      <c r="A289" t="str">
        <f>'Top Customers'!A291</f>
        <v>RAJEEV KOLANKUDY</v>
      </c>
      <c r="B289" s="5">
        <f>IF(A289="","",IFERROR(GETPIVOTDATA("Sales Amount",'Top Customers'!$A$3,"Customer_name",'Top Customers'!A291),""))</f>
        <v>36989</v>
      </c>
      <c r="C289" t="str">
        <f t="shared" si="16"/>
        <v>Regular</v>
      </c>
      <c r="D289">
        <f t="shared" si="17"/>
        <v>63011</v>
      </c>
      <c r="E289" s="6">
        <f t="shared" si="18"/>
        <v>6.4601744259519696E-4</v>
      </c>
      <c r="F289" s="5">
        <f ca="1">TODAY()-GETPIVOTDATA("LastPurchaseDate",MaxDate!$A$3,"Customer_name",MaxDate!A291)</f>
        <v>104</v>
      </c>
      <c r="G289" t="str">
        <f t="shared" ca="1" si="19"/>
        <v>At Risk</v>
      </c>
      <c r="H289" s="13">
        <f>RANK(B289,Customer_Tiers[Total_Sales])</f>
        <v>288</v>
      </c>
    </row>
    <row r="290" spans="1:8">
      <c r="A290" t="str">
        <f>'Top Customers'!A292</f>
        <v>SHAMEER P.S</v>
      </c>
      <c r="B290" s="5">
        <f>IF(A290="","",IFERROR(GETPIVOTDATA("Sales Amount",'Top Customers'!$A$3,"Customer_name",'Top Customers'!A292),""))</f>
        <v>36855</v>
      </c>
      <c r="C290" t="str">
        <f t="shared" si="16"/>
        <v>Regular</v>
      </c>
      <c r="D290">
        <f t="shared" si="17"/>
        <v>63145</v>
      </c>
      <c r="E290" s="6">
        <f t="shared" si="18"/>
        <v>6.4367711608440299E-4</v>
      </c>
      <c r="F290" s="5">
        <f ca="1">TODAY()-GETPIVOTDATA("LastPurchaseDate",MaxDate!$A$3,"Customer_name",MaxDate!A292)</f>
        <v>307</v>
      </c>
      <c r="G290" t="str">
        <f t="shared" ca="1" si="19"/>
        <v>Inactive</v>
      </c>
      <c r="H290" s="13">
        <f>RANK(B290,Customer_Tiers[Total_Sales])</f>
        <v>289</v>
      </c>
    </row>
    <row r="291" spans="1:8">
      <c r="A291" t="str">
        <f>'Top Customers'!A293</f>
        <v>ROBIN GEORGE ATHANI</v>
      </c>
      <c r="B291" s="5">
        <f>IF(A291="","",IFERROR(GETPIVOTDATA("Sales Amount",'Top Customers'!$A$3,"Customer_name",'Top Customers'!A293),""))</f>
        <v>36733</v>
      </c>
      <c r="C291" t="str">
        <f t="shared" si="16"/>
        <v>Regular</v>
      </c>
      <c r="D291">
        <f t="shared" si="17"/>
        <v>63267</v>
      </c>
      <c r="E291" s="6">
        <f t="shared" si="18"/>
        <v>6.4154637105218767E-4</v>
      </c>
      <c r="F291" s="5">
        <f ca="1">TODAY()-GETPIVOTDATA("LastPurchaseDate",MaxDate!$A$3,"Customer_name",MaxDate!A293)</f>
        <v>44</v>
      </c>
      <c r="G291" t="str">
        <f t="shared" ca="1" si="19"/>
        <v>Active</v>
      </c>
      <c r="H291" s="13">
        <f>RANK(B291,Customer_Tiers[Total_Sales])</f>
        <v>290</v>
      </c>
    </row>
    <row r="292" spans="1:8">
      <c r="A292" t="str">
        <f>'Top Customers'!A294</f>
        <v>SUKUMARAN KAITHAKKAD</v>
      </c>
      <c r="B292" s="5">
        <f>IF(A292="","",IFERROR(GETPIVOTDATA("Sales Amount",'Top Customers'!$A$3,"Customer_name",'Top Customers'!A294),""))</f>
        <v>36484</v>
      </c>
      <c r="C292" t="str">
        <f t="shared" si="16"/>
        <v>Regular</v>
      </c>
      <c r="D292">
        <f t="shared" si="17"/>
        <v>63516</v>
      </c>
      <c r="E292" s="6">
        <f t="shared" si="18"/>
        <v>6.371975553716825E-4</v>
      </c>
      <c r="F292" s="5">
        <f ca="1">TODAY()-GETPIVOTDATA("LastPurchaseDate",MaxDate!$A$3,"Customer_name",MaxDate!A294)</f>
        <v>289</v>
      </c>
      <c r="G292" t="str">
        <f t="shared" ca="1" si="19"/>
        <v>Inactive</v>
      </c>
      <c r="H292" s="13">
        <f>RANK(B292,Customer_Tiers[Total_Sales])</f>
        <v>291</v>
      </c>
    </row>
    <row r="293" spans="1:8">
      <c r="A293" t="str">
        <f>'Top Customers'!A295</f>
        <v>RAJESH RB GAS</v>
      </c>
      <c r="B293" s="5">
        <f>IF(A293="","",IFERROR(GETPIVOTDATA("Sales Amount",'Top Customers'!$A$3,"Customer_name",'Top Customers'!A295),""))</f>
        <v>36361</v>
      </c>
      <c r="C293" t="str">
        <f t="shared" si="16"/>
        <v>Regular</v>
      </c>
      <c r="D293">
        <f t="shared" si="17"/>
        <v>63639</v>
      </c>
      <c r="E293" s="6">
        <f t="shared" si="18"/>
        <v>6.3504934521625234E-4</v>
      </c>
      <c r="F293" s="5">
        <f ca="1">TODAY()-GETPIVOTDATA("LastPurchaseDate",MaxDate!$A$3,"Customer_name",MaxDate!A295)</f>
        <v>25</v>
      </c>
      <c r="G293" t="str">
        <f t="shared" ca="1" si="19"/>
        <v>Active</v>
      </c>
      <c r="H293" s="13">
        <f>RANK(B293,Customer_Tiers[Total_Sales])</f>
        <v>292</v>
      </c>
    </row>
    <row r="294" spans="1:8">
      <c r="A294" t="str">
        <f>'Top Customers'!A296</f>
        <v>SONA KURIAKOSE</v>
      </c>
      <c r="B294" s="5">
        <f>IF(A294="","",IFERROR(GETPIVOTDATA("Sales Amount",'Top Customers'!$A$3,"Customer_name",'Top Customers'!A296),""))</f>
        <v>36287</v>
      </c>
      <c r="C294" t="str">
        <f t="shared" si="16"/>
        <v>Regular</v>
      </c>
      <c r="D294">
        <f t="shared" si="17"/>
        <v>63713</v>
      </c>
      <c r="E294" s="6">
        <f t="shared" si="18"/>
        <v>6.3375692609835119E-4</v>
      </c>
      <c r="F294" s="5">
        <f ca="1">TODAY()-GETPIVOTDATA("LastPurchaseDate",MaxDate!$A$3,"Customer_name",MaxDate!A296)</f>
        <v>52</v>
      </c>
      <c r="G294" t="str">
        <f t="shared" ca="1" si="19"/>
        <v>Active</v>
      </c>
      <c r="H294" s="13">
        <f>RANK(B294,Customer_Tiers[Total_Sales])</f>
        <v>293</v>
      </c>
    </row>
    <row r="295" spans="1:8">
      <c r="A295" t="str">
        <f>'Top Customers'!A297</f>
        <v>DEEPU KUMMANODE</v>
      </c>
      <c r="B295" s="5">
        <f>IF(A295="","",IFERROR(GETPIVOTDATA("Sales Amount",'Top Customers'!$A$3,"Customer_name",'Top Customers'!A297),""))</f>
        <v>36130</v>
      </c>
      <c r="C295" t="str">
        <f t="shared" si="16"/>
        <v>Regular</v>
      </c>
      <c r="D295">
        <f t="shared" si="17"/>
        <v>63870</v>
      </c>
      <c r="E295" s="6">
        <f t="shared" si="18"/>
        <v>6.3101490175361498E-4</v>
      </c>
      <c r="F295" s="5">
        <f ca="1">TODAY()-GETPIVOTDATA("LastPurchaseDate",MaxDate!$A$3,"Customer_name",MaxDate!A297)</f>
        <v>9</v>
      </c>
      <c r="G295" t="str">
        <f t="shared" ca="1" si="19"/>
        <v>Active</v>
      </c>
      <c r="H295" s="13">
        <f>RANK(B295,Customer_Tiers[Total_Sales])</f>
        <v>294</v>
      </c>
    </row>
    <row r="296" spans="1:8">
      <c r="A296" t="str">
        <f>'Top Customers'!A298</f>
        <v>FAROOQ N P</v>
      </c>
      <c r="B296" s="5">
        <f>IF(A296="","",IFERROR(GETPIVOTDATA("Sales Amount",'Top Customers'!$A$3,"Customer_name",'Top Customers'!A298),""))</f>
        <v>36130</v>
      </c>
      <c r="C296" t="str">
        <f t="shared" si="16"/>
        <v>Regular</v>
      </c>
      <c r="D296">
        <f t="shared" si="17"/>
        <v>63870</v>
      </c>
      <c r="E296" s="6">
        <f t="shared" si="18"/>
        <v>6.3101490175361498E-4</v>
      </c>
      <c r="F296" s="5">
        <f ca="1">TODAY()-GETPIVOTDATA("LastPurchaseDate",MaxDate!$A$3,"Customer_name",MaxDate!A298)</f>
        <v>212</v>
      </c>
      <c r="G296" t="str">
        <f t="shared" ca="1" si="19"/>
        <v>Inactive</v>
      </c>
      <c r="H296" s="13">
        <f>RANK(B296,Customer_Tiers[Total_Sales])</f>
        <v>294</v>
      </c>
    </row>
    <row r="297" spans="1:8">
      <c r="A297" t="str">
        <f>'Top Customers'!A299</f>
        <v>YOHANNAN MECHANGARA</v>
      </c>
      <c r="B297" s="5">
        <f>IF(A297="","",IFERROR(GETPIVOTDATA("Sales Amount",'Top Customers'!$A$3,"Customer_name",'Top Customers'!A299),""))</f>
        <v>36112</v>
      </c>
      <c r="C297" t="str">
        <f t="shared" si="16"/>
        <v>Regular</v>
      </c>
      <c r="D297">
        <f t="shared" si="17"/>
        <v>63888</v>
      </c>
      <c r="E297" s="6">
        <f t="shared" si="18"/>
        <v>6.3070052953574716E-4</v>
      </c>
      <c r="F297" s="5">
        <f ca="1">TODAY()-GETPIVOTDATA("LastPurchaseDate",MaxDate!$A$3,"Customer_name",MaxDate!A299)</f>
        <v>302</v>
      </c>
      <c r="G297" t="str">
        <f t="shared" ca="1" si="19"/>
        <v>Inactive</v>
      </c>
      <c r="H297" s="13">
        <f>RANK(B297,Customer_Tiers[Total_Sales])</f>
        <v>296</v>
      </c>
    </row>
    <row r="298" spans="1:8">
      <c r="A298" t="str">
        <f>'Top Customers'!A300</f>
        <v>YUSAF , VALAMBOOR</v>
      </c>
      <c r="B298" s="5">
        <f>IF(A298="","",IFERROR(GETPIVOTDATA("Sales Amount",'Top Customers'!$A$3,"Customer_name",'Top Customers'!A300),""))</f>
        <v>35772</v>
      </c>
      <c r="C298" t="str">
        <f t="shared" si="16"/>
        <v>Regular</v>
      </c>
      <c r="D298">
        <f t="shared" si="17"/>
        <v>64228</v>
      </c>
      <c r="E298" s="6">
        <f t="shared" si="18"/>
        <v>6.2476238764268797E-4</v>
      </c>
      <c r="F298" s="5">
        <f ca="1">TODAY()-GETPIVOTDATA("LastPurchaseDate",MaxDate!$A$3,"Customer_name",MaxDate!A300)</f>
        <v>10</v>
      </c>
      <c r="G298" t="str">
        <f t="shared" ca="1" si="19"/>
        <v>Active</v>
      </c>
      <c r="H298" s="13">
        <f>RANK(B298,Customer_Tiers[Total_Sales])</f>
        <v>297</v>
      </c>
    </row>
    <row r="299" spans="1:8">
      <c r="A299" t="str">
        <f>'Top Customers'!A301</f>
        <v>AVARACHAN NJATTUMKALA</v>
      </c>
      <c r="B299" s="5">
        <f>IF(A299="","",IFERROR(GETPIVOTDATA("Sales Amount",'Top Customers'!$A$3,"Customer_name",'Top Customers'!A301),""))</f>
        <v>35608</v>
      </c>
      <c r="C299" t="str">
        <f t="shared" si="16"/>
        <v>Regular</v>
      </c>
      <c r="D299">
        <f t="shared" si="17"/>
        <v>64392</v>
      </c>
      <c r="E299" s="6">
        <f t="shared" si="18"/>
        <v>6.2189810743544765E-4</v>
      </c>
      <c r="F299" s="5">
        <f ca="1">TODAY()-GETPIVOTDATA("LastPurchaseDate",MaxDate!$A$3,"Customer_name",MaxDate!A301)</f>
        <v>256</v>
      </c>
      <c r="G299" t="str">
        <f t="shared" ca="1" si="19"/>
        <v>Inactive</v>
      </c>
      <c r="H299" s="13">
        <f>RANK(B299,Customer_Tiers[Total_Sales])</f>
        <v>298</v>
      </c>
    </row>
    <row r="300" spans="1:8">
      <c r="A300" t="str">
        <f>'Top Customers'!A302</f>
        <v>ANEESH P PAULOSE</v>
      </c>
      <c r="B300" s="5">
        <f>IF(A300="","",IFERROR(GETPIVOTDATA("Sales Amount",'Top Customers'!$A$3,"Customer_name",'Top Customers'!A302),""))</f>
        <v>35593</v>
      </c>
      <c r="C300" t="str">
        <f t="shared" si="16"/>
        <v>Regular</v>
      </c>
      <c r="D300">
        <f t="shared" si="17"/>
        <v>64407</v>
      </c>
      <c r="E300" s="6">
        <f t="shared" si="18"/>
        <v>6.2163613058722447E-4</v>
      </c>
      <c r="F300" s="5">
        <f ca="1">TODAY()-GETPIVOTDATA("LastPurchaseDate",MaxDate!$A$3,"Customer_name",MaxDate!A302)</f>
        <v>43</v>
      </c>
      <c r="G300" t="str">
        <f t="shared" ca="1" si="19"/>
        <v>Active</v>
      </c>
      <c r="H300" s="13">
        <f>RANK(B300,Customer_Tiers[Total_Sales])</f>
        <v>299</v>
      </c>
    </row>
    <row r="301" spans="1:8">
      <c r="A301" t="str">
        <f>'Top Customers'!A303</f>
        <v>A.K. ABDUL SALAM, CONTRACTOR</v>
      </c>
      <c r="B301" s="5">
        <f>IF(A301="","",IFERROR(GETPIVOTDATA("Sales Amount",'Top Customers'!$A$3,"Customer_name",'Top Customers'!A303),""))</f>
        <v>35524</v>
      </c>
      <c r="C301" t="str">
        <f t="shared" si="16"/>
        <v>Regular</v>
      </c>
      <c r="D301">
        <f t="shared" si="17"/>
        <v>64476</v>
      </c>
      <c r="E301" s="6">
        <f t="shared" si="18"/>
        <v>6.2043103708539775E-4</v>
      </c>
      <c r="F301" s="5">
        <f ca="1">TODAY()-GETPIVOTDATA("LastPurchaseDate",MaxDate!$A$3,"Customer_name",MaxDate!A303)</f>
        <v>69</v>
      </c>
      <c r="G301" t="str">
        <f t="shared" ca="1" si="19"/>
        <v>At Risk</v>
      </c>
      <c r="H301" s="13">
        <f>RANK(B301,Customer_Tiers[Total_Sales])</f>
        <v>300</v>
      </c>
    </row>
    <row r="302" spans="1:8">
      <c r="A302" t="str">
        <f>'Top Customers'!A304</f>
        <v>BABU , VALETH</v>
      </c>
      <c r="B302" s="5">
        <f>IF(A302="","",IFERROR(GETPIVOTDATA("Sales Amount",'Top Customers'!$A$3,"Customer_name",'Top Customers'!A304),""))</f>
        <v>35499</v>
      </c>
      <c r="C302" t="str">
        <f t="shared" si="16"/>
        <v>Regular</v>
      </c>
      <c r="D302">
        <f t="shared" si="17"/>
        <v>64501</v>
      </c>
      <c r="E302" s="6">
        <f t="shared" si="18"/>
        <v>6.1999440900502572E-4</v>
      </c>
      <c r="F302" s="5">
        <f ca="1">TODAY()-GETPIVOTDATA("LastPurchaseDate",MaxDate!$A$3,"Customer_name",MaxDate!A304)</f>
        <v>57</v>
      </c>
      <c r="G302" t="str">
        <f t="shared" ca="1" si="19"/>
        <v>Active</v>
      </c>
      <c r="H302" s="13">
        <f>RANK(B302,Customer_Tiers[Total_Sales])</f>
        <v>301</v>
      </c>
    </row>
    <row r="303" spans="1:8">
      <c r="A303" t="str">
        <f>'Top Customers'!A305</f>
        <v>ANOOP MORAKKALA</v>
      </c>
      <c r="B303" s="5">
        <f>IF(A303="","",IFERROR(GETPIVOTDATA("Sales Amount",'Top Customers'!$A$3,"Customer_name",'Top Customers'!A305),""))</f>
        <v>35375</v>
      </c>
      <c r="C303" t="str">
        <f t="shared" si="16"/>
        <v>Regular</v>
      </c>
      <c r="D303">
        <f t="shared" si="17"/>
        <v>64625</v>
      </c>
      <c r="E303" s="6">
        <f t="shared" si="18"/>
        <v>6.178287337263806E-4</v>
      </c>
      <c r="F303" s="5">
        <f ca="1">TODAY()-GETPIVOTDATA("LastPurchaseDate",MaxDate!$A$3,"Customer_name",MaxDate!A305)</f>
        <v>325</v>
      </c>
      <c r="G303" t="str">
        <f t="shared" ca="1" si="19"/>
        <v>Inactive</v>
      </c>
      <c r="H303" s="13">
        <f>RANK(B303,Customer_Tiers[Total_Sales])</f>
        <v>302</v>
      </c>
    </row>
    <row r="304" spans="1:8">
      <c r="A304" t="str">
        <f>'Top Customers'!A306</f>
        <v>SURESH BABU</v>
      </c>
      <c r="B304" s="5">
        <f>IF(A304="","",IFERROR(GETPIVOTDATA("Sales Amount",'Top Customers'!$A$3,"Customer_name",'Top Customers'!A306),""))</f>
        <v>35340</v>
      </c>
      <c r="C304" t="str">
        <f t="shared" si="16"/>
        <v>Regular</v>
      </c>
      <c r="D304">
        <f t="shared" si="17"/>
        <v>64660</v>
      </c>
      <c r="E304" s="6">
        <f t="shared" si="18"/>
        <v>6.1721745441385982E-4</v>
      </c>
      <c r="F304" s="5">
        <f ca="1">TODAY()-GETPIVOTDATA("LastPurchaseDate",MaxDate!$A$3,"Customer_name",MaxDate!A306)</f>
        <v>179</v>
      </c>
      <c r="G304" t="str">
        <f t="shared" ca="1" si="19"/>
        <v>Inactive</v>
      </c>
      <c r="H304" s="13">
        <f>RANK(B304,Customer_Tiers[Total_Sales])</f>
        <v>303</v>
      </c>
    </row>
    <row r="305" spans="1:8">
      <c r="A305" t="str">
        <f>'Top Customers'!A307</f>
        <v>SANOJ RAVINDRA</v>
      </c>
      <c r="B305" s="5">
        <f>IF(A305="","",IFERROR(GETPIVOTDATA("Sales Amount",'Top Customers'!$A$3,"Customer_name",'Top Customers'!A307),""))</f>
        <v>35280</v>
      </c>
      <c r="C305" t="str">
        <f t="shared" si="16"/>
        <v>Regular</v>
      </c>
      <c r="D305">
        <f t="shared" si="17"/>
        <v>64720</v>
      </c>
      <c r="E305" s="6">
        <f t="shared" si="18"/>
        <v>6.16169547020967E-4</v>
      </c>
      <c r="F305" s="5">
        <f ca="1">TODAY()-GETPIVOTDATA("LastPurchaseDate",MaxDate!$A$3,"Customer_name",MaxDate!A307)</f>
        <v>57</v>
      </c>
      <c r="G305" t="str">
        <f t="shared" ca="1" si="19"/>
        <v>Active</v>
      </c>
      <c r="H305" s="13">
        <f>RANK(B305,Customer_Tiers[Total_Sales])</f>
        <v>304</v>
      </c>
    </row>
    <row r="306" spans="1:8">
      <c r="A306" t="str">
        <f>'Top Customers'!A308</f>
        <v>BENNY KSEB</v>
      </c>
      <c r="B306" s="5">
        <f>IF(A306="","",IFERROR(GETPIVOTDATA("Sales Amount",'Top Customers'!$A$3,"Customer_name",'Top Customers'!A308),""))</f>
        <v>35129</v>
      </c>
      <c r="C306" t="str">
        <f t="shared" si="16"/>
        <v>Regular</v>
      </c>
      <c r="D306">
        <f t="shared" si="17"/>
        <v>64871</v>
      </c>
      <c r="E306" s="6">
        <f t="shared" si="18"/>
        <v>6.1353231341552017E-4</v>
      </c>
      <c r="F306" s="5">
        <f ca="1">TODAY()-GETPIVOTDATA("LastPurchaseDate",MaxDate!$A$3,"Customer_name",MaxDate!A308)</f>
        <v>115</v>
      </c>
      <c r="G306" t="str">
        <f t="shared" ca="1" si="19"/>
        <v>At Risk</v>
      </c>
      <c r="H306" s="13">
        <f>RANK(B306,Customer_Tiers[Total_Sales])</f>
        <v>305</v>
      </c>
    </row>
    <row r="307" spans="1:8">
      <c r="A307" t="str">
        <f>'Top Customers'!A309</f>
        <v>SHANKARA NARAYANAN</v>
      </c>
      <c r="B307" s="5">
        <f>IF(A307="","",IFERROR(GETPIVOTDATA("Sales Amount",'Top Customers'!$A$3,"Customer_name",'Top Customers'!A309),""))</f>
        <v>34921</v>
      </c>
      <c r="C307" t="str">
        <f t="shared" si="16"/>
        <v>Regular</v>
      </c>
      <c r="D307">
        <f t="shared" si="17"/>
        <v>65079</v>
      </c>
      <c r="E307" s="6">
        <f t="shared" si="18"/>
        <v>6.0989956778682505E-4</v>
      </c>
      <c r="F307" s="5">
        <f ca="1">TODAY()-GETPIVOTDATA("LastPurchaseDate",MaxDate!$A$3,"Customer_name",MaxDate!A309)</f>
        <v>193</v>
      </c>
      <c r="G307" t="str">
        <f t="shared" ca="1" si="19"/>
        <v>Inactive</v>
      </c>
      <c r="H307" s="13">
        <f>RANK(B307,Customer_Tiers[Total_Sales])</f>
        <v>306</v>
      </c>
    </row>
    <row r="308" spans="1:8">
      <c r="A308" t="str">
        <f>'Top Customers'!A310</f>
        <v>KANNAN , SARARO</v>
      </c>
      <c r="B308" s="5">
        <f>IF(A308="","",IFERROR(GETPIVOTDATA("Sales Amount",'Top Customers'!$A$3,"Customer_name",'Top Customers'!A310),""))</f>
        <v>34803</v>
      </c>
      <c r="C308" t="str">
        <f t="shared" si="16"/>
        <v>Regular</v>
      </c>
      <c r="D308">
        <f t="shared" si="17"/>
        <v>65197</v>
      </c>
      <c r="E308" s="6">
        <f t="shared" si="18"/>
        <v>6.0783868324746921E-4</v>
      </c>
      <c r="F308" s="5">
        <f ca="1">TODAY()-GETPIVOTDATA("LastPurchaseDate",MaxDate!$A$3,"Customer_name",MaxDate!A310)</f>
        <v>8</v>
      </c>
      <c r="G308" t="str">
        <f t="shared" ca="1" si="19"/>
        <v>Active</v>
      </c>
      <c r="H308" s="13">
        <f>RANK(B308,Customer_Tiers[Total_Sales])</f>
        <v>307</v>
      </c>
    </row>
    <row r="309" spans="1:8">
      <c r="A309" t="str">
        <f>'Top Customers'!A311</f>
        <v>KURIAKOSE VILANGU</v>
      </c>
      <c r="B309" s="5">
        <f>IF(A309="","",IFERROR(GETPIVOTDATA("Sales Amount",'Top Customers'!$A$3,"Customer_name",'Top Customers'!A311),""))</f>
        <v>34652</v>
      </c>
      <c r="C309" t="str">
        <f t="shared" si="16"/>
        <v>Regular</v>
      </c>
      <c r="D309">
        <f t="shared" si="17"/>
        <v>65348</v>
      </c>
      <c r="E309" s="6">
        <f t="shared" si="18"/>
        <v>6.0520144964202238E-4</v>
      </c>
      <c r="F309" s="5">
        <f ca="1">TODAY()-GETPIVOTDATA("LastPurchaseDate",MaxDate!$A$3,"Customer_name",MaxDate!A311)</f>
        <v>8</v>
      </c>
      <c r="G309" t="str">
        <f t="shared" ca="1" si="19"/>
        <v>Active</v>
      </c>
      <c r="H309" s="13">
        <f>RANK(B309,Customer_Tiers[Total_Sales])</f>
        <v>308</v>
      </c>
    </row>
    <row r="310" spans="1:8">
      <c r="A310" t="str">
        <f>'Top Customers'!A312</f>
        <v>VASU KADAKKANAD</v>
      </c>
      <c r="B310" s="5">
        <f>IF(A310="","",IFERROR(GETPIVOTDATA("Sales Amount",'Top Customers'!$A$3,"Customer_name",'Top Customers'!A312),""))</f>
        <v>34545</v>
      </c>
      <c r="C310" t="str">
        <f t="shared" si="16"/>
        <v>Regular</v>
      </c>
      <c r="D310">
        <f t="shared" si="17"/>
        <v>65455</v>
      </c>
      <c r="E310" s="6">
        <f t="shared" si="18"/>
        <v>6.0333268145803024E-4</v>
      </c>
      <c r="F310" s="5">
        <f ca="1">TODAY()-GETPIVOTDATA("LastPurchaseDate",MaxDate!$A$3,"Customer_name",MaxDate!A312)</f>
        <v>156</v>
      </c>
      <c r="G310" t="str">
        <f t="shared" ca="1" si="19"/>
        <v>Inactive</v>
      </c>
      <c r="H310" s="13">
        <f>RANK(B310,Customer_Tiers[Total_Sales])</f>
        <v>309</v>
      </c>
    </row>
    <row r="311" spans="1:8">
      <c r="A311" t="str">
        <f>'Top Customers'!A313</f>
        <v>ATHUL M S</v>
      </c>
      <c r="B311" s="5">
        <f>IF(A311="","",IFERROR(GETPIVOTDATA("Sales Amount",'Top Customers'!$A$3,"Customer_name",'Top Customers'!A313),""))</f>
        <v>34403</v>
      </c>
      <c r="C311" t="str">
        <f t="shared" si="16"/>
        <v>Regular</v>
      </c>
      <c r="D311">
        <f t="shared" si="17"/>
        <v>65597</v>
      </c>
      <c r="E311" s="6">
        <f t="shared" si="18"/>
        <v>6.0085263396151721E-4</v>
      </c>
      <c r="F311" s="5">
        <f ca="1">TODAY()-GETPIVOTDATA("LastPurchaseDate",MaxDate!$A$3,"Customer_name",MaxDate!A313)</f>
        <v>88</v>
      </c>
      <c r="G311" t="str">
        <f t="shared" ca="1" si="19"/>
        <v>At Risk</v>
      </c>
      <c r="H311" s="13">
        <f>RANK(B311,Customer_Tiers[Total_Sales])</f>
        <v>310</v>
      </c>
    </row>
    <row r="312" spans="1:8">
      <c r="A312" t="str">
        <f>'Top Customers'!A314</f>
        <v>DHANEESH PATTIMATTOM</v>
      </c>
      <c r="B312" s="5">
        <f>IF(A312="","",IFERROR(GETPIVOTDATA("Sales Amount",'Top Customers'!$A$3,"Customer_name",'Top Customers'!A314),""))</f>
        <v>33921</v>
      </c>
      <c r="C312" t="str">
        <f t="shared" si="16"/>
        <v>Regular</v>
      </c>
      <c r="D312">
        <f t="shared" si="17"/>
        <v>66079</v>
      </c>
      <c r="E312" s="6">
        <f t="shared" si="18"/>
        <v>5.9243444457194509E-4</v>
      </c>
      <c r="F312" s="5">
        <f ca="1">TODAY()-GETPIVOTDATA("LastPurchaseDate",MaxDate!$A$3,"Customer_name",MaxDate!A314)</f>
        <v>124</v>
      </c>
      <c r="G312" t="str">
        <f t="shared" ca="1" si="19"/>
        <v>Inactive</v>
      </c>
      <c r="H312" s="13">
        <f>RANK(B312,Customer_Tiers[Total_Sales])</f>
        <v>311</v>
      </c>
    </row>
    <row r="313" spans="1:8">
      <c r="A313" t="str">
        <f>'Top Customers'!A315</f>
        <v>AJI MATHAI</v>
      </c>
      <c r="B313" s="5">
        <f>IF(A313="","",IFERROR(GETPIVOTDATA("Sales Amount",'Top Customers'!$A$3,"Customer_name",'Top Customers'!A315),""))</f>
        <v>33874</v>
      </c>
      <c r="C313" t="str">
        <f t="shared" si="16"/>
        <v>Regular</v>
      </c>
      <c r="D313">
        <f t="shared" si="17"/>
        <v>66126</v>
      </c>
      <c r="E313" s="6">
        <f t="shared" si="18"/>
        <v>5.9161358378084566E-4</v>
      </c>
      <c r="F313" s="5">
        <f ca="1">TODAY()-GETPIVOTDATA("LastPurchaseDate",MaxDate!$A$3,"Customer_name",MaxDate!A315)</f>
        <v>253</v>
      </c>
      <c r="G313" t="str">
        <f t="shared" ca="1" si="19"/>
        <v>Inactive</v>
      </c>
      <c r="H313" s="13">
        <f>RANK(B313,Customer_Tiers[Total_Sales])</f>
        <v>312</v>
      </c>
    </row>
    <row r="314" spans="1:8">
      <c r="A314" t="str">
        <f>'Top Customers'!A316</f>
        <v>BAIJU TRUSS PANCODE</v>
      </c>
      <c r="B314" s="5">
        <f>IF(A314="","",IFERROR(GETPIVOTDATA("Sales Amount",'Top Customers'!$A$3,"Customer_name",'Top Customers'!A316),""))</f>
        <v>33863</v>
      </c>
      <c r="C314" t="str">
        <f t="shared" si="16"/>
        <v>Regular</v>
      </c>
      <c r="D314">
        <f t="shared" si="17"/>
        <v>66137</v>
      </c>
      <c r="E314" s="6">
        <f t="shared" si="18"/>
        <v>5.9142146742548207E-4</v>
      </c>
      <c r="F314" s="5">
        <f ca="1">TODAY()-GETPIVOTDATA("LastPurchaseDate",MaxDate!$A$3,"Customer_name",MaxDate!A316)</f>
        <v>143</v>
      </c>
      <c r="G314" t="str">
        <f t="shared" ca="1" si="19"/>
        <v>Inactive</v>
      </c>
      <c r="H314" s="13">
        <f>RANK(B314,Customer_Tiers[Total_Sales])</f>
        <v>313</v>
      </c>
    </row>
    <row r="315" spans="1:8">
      <c r="A315" t="str">
        <f>'Top Customers'!A317</f>
        <v>SINESH.K</v>
      </c>
      <c r="B315" s="5">
        <f>IF(A315="","",IFERROR(GETPIVOTDATA("Sales Amount",'Top Customers'!$A$3,"Customer_name",'Top Customers'!A317),""))</f>
        <v>33856</v>
      </c>
      <c r="C315" t="str">
        <f t="shared" si="16"/>
        <v>Regular</v>
      </c>
      <c r="D315">
        <f t="shared" si="17"/>
        <v>66144</v>
      </c>
      <c r="E315" s="6">
        <f t="shared" si="18"/>
        <v>5.9129921156297785E-4</v>
      </c>
      <c r="F315" s="5">
        <f ca="1">TODAY()-GETPIVOTDATA("LastPurchaseDate",MaxDate!$A$3,"Customer_name",MaxDate!A317)</f>
        <v>251</v>
      </c>
      <c r="G315" t="str">
        <f t="shared" ca="1" si="19"/>
        <v>Inactive</v>
      </c>
      <c r="H315" s="13">
        <f>RANK(B315,Customer_Tiers[Total_Sales])</f>
        <v>314</v>
      </c>
    </row>
    <row r="316" spans="1:8">
      <c r="A316" t="str">
        <f>'Top Customers'!A318</f>
        <v>ABIN ALINCHUVADU</v>
      </c>
      <c r="B316" s="5">
        <f>IF(A316="","",IFERROR(GETPIVOTDATA("Sales Amount",'Top Customers'!$A$3,"Customer_name",'Top Customers'!A318),""))</f>
        <v>33673</v>
      </c>
      <c r="C316" t="str">
        <f t="shared" si="16"/>
        <v>Regular</v>
      </c>
      <c r="D316">
        <f t="shared" si="17"/>
        <v>66327</v>
      </c>
      <c r="E316" s="6">
        <f t="shared" si="18"/>
        <v>5.8810309401465487E-4</v>
      </c>
      <c r="F316" s="5">
        <f ca="1">TODAY()-GETPIVOTDATA("LastPurchaseDate",MaxDate!$A$3,"Customer_name",MaxDate!A318)</f>
        <v>246</v>
      </c>
      <c r="G316" t="str">
        <f t="shared" ca="1" si="19"/>
        <v>Inactive</v>
      </c>
      <c r="H316" s="13">
        <f>RANK(B316,Customer_Tiers[Total_Sales])</f>
        <v>315</v>
      </c>
    </row>
    <row r="317" spans="1:8">
      <c r="A317" t="str">
        <f>'Top Customers'!A319</f>
        <v>JIJO KUNNAKKAL</v>
      </c>
      <c r="B317" s="5">
        <f>IF(A317="","",IFERROR(GETPIVOTDATA("Sales Amount",'Top Customers'!$A$3,"Customer_name",'Top Customers'!A319),""))</f>
        <v>33513</v>
      </c>
      <c r="C317" t="str">
        <f t="shared" si="16"/>
        <v>Regular</v>
      </c>
      <c r="D317">
        <f t="shared" si="17"/>
        <v>66487</v>
      </c>
      <c r="E317" s="6">
        <f t="shared" si="18"/>
        <v>5.8530867430027402E-4</v>
      </c>
      <c r="F317" s="5">
        <f ca="1">TODAY()-GETPIVOTDATA("LastPurchaseDate",MaxDate!$A$3,"Customer_name",MaxDate!A319)</f>
        <v>325</v>
      </c>
      <c r="G317" t="str">
        <f t="shared" ca="1" si="19"/>
        <v>Inactive</v>
      </c>
      <c r="H317" s="13">
        <f>RANK(B317,Customer_Tiers[Total_Sales])</f>
        <v>316</v>
      </c>
    </row>
    <row r="318" spans="1:8">
      <c r="A318" t="str">
        <f>'Top Customers'!A320</f>
        <v>LEELA, K.KUMMANODE</v>
      </c>
      <c r="B318" s="5">
        <f>IF(A318="","",IFERROR(GETPIVOTDATA("Sales Amount",'Top Customers'!$A$3,"Customer_name",'Top Customers'!A320),""))</f>
        <v>33435</v>
      </c>
      <c r="C318" t="str">
        <f t="shared" si="16"/>
        <v>Regular</v>
      </c>
      <c r="D318">
        <f t="shared" si="17"/>
        <v>66565</v>
      </c>
      <c r="E318" s="6">
        <f t="shared" si="18"/>
        <v>5.8394639468951339E-4</v>
      </c>
      <c r="F318" s="5">
        <f ca="1">TODAY()-GETPIVOTDATA("LastPurchaseDate",MaxDate!$A$3,"Customer_name",MaxDate!A320)</f>
        <v>172</v>
      </c>
      <c r="G318" t="str">
        <f t="shared" ca="1" si="19"/>
        <v>Inactive</v>
      </c>
      <c r="H318" s="13">
        <f>RANK(B318,Customer_Tiers[Total_Sales])</f>
        <v>317</v>
      </c>
    </row>
    <row r="319" spans="1:8">
      <c r="A319" t="str">
        <f>'Top Customers'!A321</f>
        <v>LIJU,THATTAMUGAL</v>
      </c>
      <c r="B319" s="5">
        <f>IF(A319="","",IFERROR(GETPIVOTDATA("Sales Amount",'Top Customers'!$A$3,"Customer_name",'Top Customers'!A321),""))</f>
        <v>33257</v>
      </c>
      <c r="C319" t="str">
        <f t="shared" si="16"/>
        <v>Regular</v>
      </c>
      <c r="D319">
        <f t="shared" si="17"/>
        <v>66743</v>
      </c>
      <c r="E319" s="6">
        <f t="shared" si="18"/>
        <v>5.8083760275726474E-4</v>
      </c>
      <c r="F319" s="5">
        <f ca="1">TODAY()-GETPIVOTDATA("LastPurchaseDate",MaxDate!$A$3,"Customer_name",MaxDate!A321)</f>
        <v>88</v>
      </c>
      <c r="G319" t="str">
        <f t="shared" ca="1" si="19"/>
        <v>At Risk</v>
      </c>
      <c r="H319" s="13">
        <f>RANK(B319,Customer_Tiers[Total_Sales])</f>
        <v>318</v>
      </c>
    </row>
    <row r="320" spans="1:8">
      <c r="A320" t="str">
        <f>'Top Customers'!A322</f>
        <v>VINEETH.V</v>
      </c>
      <c r="B320" s="5">
        <f>IF(A320="","",IFERROR(GETPIVOTDATA("Sales Amount",'Top Customers'!$A$3,"Customer_name",'Top Customers'!A322),""))</f>
        <v>33232</v>
      </c>
      <c r="C320" t="str">
        <f t="shared" si="16"/>
        <v>Regular</v>
      </c>
      <c r="D320">
        <f t="shared" si="17"/>
        <v>66768</v>
      </c>
      <c r="E320" s="6">
        <f t="shared" si="18"/>
        <v>5.804009746768927E-4</v>
      </c>
      <c r="F320" s="5">
        <f ca="1">TODAY()-GETPIVOTDATA("LastPurchaseDate",MaxDate!$A$3,"Customer_name",MaxDate!A322)</f>
        <v>69</v>
      </c>
      <c r="G320" t="str">
        <f t="shared" ca="1" si="19"/>
        <v>At Risk</v>
      </c>
      <c r="H320" s="13">
        <f>RANK(B320,Customer_Tiers[Total_Sales])</f>
        <v>319</v>
      </c>
    </row>
    <row r="321" spans="1:8">
      <c r="A321" t="str">
        <f>'Top Customers'!A323</f>
        <v>DRONIMAGINATION PRIVATE LIMITED</v>
      </c>
      <c r="B321" s="5">
        <f>IF(A321="","",IFERROR(GETPIVOTDATA("Sales Amount",'Top Customers'!$A$3,"Customer_name",'Top Customers'!A323),""))</f>
        <v>33003</v>
      </c>
      <c r="C321" t="str">
        <f t="shared" si="16"/>
        <v>Regular</v>
      </c>
      <c r="D321">
        <f t="shared" si="17"/>
        <v>66997</v>
      </c>
      <c r="E321" s="6">
        <f t="shared" si="18"/>
        <v>5.7640146146068524E-4</v>
      </c>
      <c r="F321" s="5">
        <f ca="1">TODAY()-GETPIVOTDATA("LastPurchaseDate",MaxDate!$A$3,"Customer_name",MaxDate!A323)</f>
        <v>271</v>
      </c>
      <c r="G321" t="str">
        <f t="shared" ca="1" si="19"/>
        <v>Inactive</v>
      </c>
      <c r="H321" s="13">
        <f>RANK(B321,Customer_Tiers[Total_Sales])</f>
        <v>320</v>
      </c>
    </row>
    <row r="322" spans="1:8">
      <c r="A322" t="str">
        <f>'Top Customers'!A324</f>
        <v>ROYAL COLLECTIONS</v>
      </c>
      <c r="B322" s="5">
        <f>IF(A322="","",IFERROR(GETPIVOTDATA("Sales Amount",'Top Customers'!$A$3,"Customer_name",'Top Customers'!A324),""))</f>
        <v>32980</v>
      </c>
      <c r="C322" t="str">
        <f t="shared" ref="C322:C385" si="20">IF(B322&gt;=1000000,"Platinum",
 IF(B322&gt;=500000,"Gold",
 IF(B322&gt;=100000,"Silver","Regular")))</f>
        <v>Regular</v>
      </c>
      <c r="D322">
        <f t="shared" ref="D322:D385" si="21">IF(C322="Platinum",0,
 IF(C322="Gold",1000000-B322,
 IF(C322="Silver",500000-B322,
 IF(C322="Regular",100000-B322,0))))</f>
        <v>67020</v>
      </c>
      <c r="E322" s="6">
        <f t="shared" ref="E322:E385" si="22">B322/SUM(B:B)</f>
        <v>5.75999763626743E-4</v>
      </c>
      <c r="F322" s="5">
        <f ca="1">TODAY()-GETPIVOTDATA("LastPurchaseDate",MaxDate!$A$3,"Customer_name",MaxDate!A324)</f>
        <v>254</v>
      </c>
      <c r="G322" t="str">
        <f t="shared" ref="G322:G385" ca="1" si="23">IF(F322="","",
 IF(F322&lt;=60,"Active",
 IF(F322&lt;=120,"At Risk","Inactive")))</f>
        <v>Inactive</v>
      </c>
      <c r="H322" s="13">
        <f>RANK(B322,Customer_Tiers[Total_Sales])</f>
        <v>321</v>
      </c>
    </row>
    <row r="323" spans="1:8">
      <c r="A323" t="str">
        <f>'Top Customers'!A325</f>
        <v>ANOOP CHENGRA</v>
      </c>
      <c r="B323" s="5">
        <f>IF(A323="","",IFERROR(GETPIVOTDATA("Sales Amount",'Top Customers'!$A$3,"Customer_name",'Top Customers'!A325),""))</f>
        <v>32955</v>
      </c>
      <c r="C323" t="str">
        <f t="shared" si="20"/>
        <v>Regular</v>
      </c>
      <c r="D323">
        <f t="shared" si="21"/>
        <v>67045</v>
      </c>
      <c r="E323" s="6">
        <f t="shared" si="22"/>
        <v>5.7556313554637097E-4</v>
      </c>
      <c r="F323" s="5">
        <f ca="1">TODAY()-GETPIVOTDATA("LastPurchaseDate",MaxDate!$A$3,"Customer_name",MaxDate!A325)</f>
        <v>205</v>
      </c>
      <c r="G323" t="str">
        <f t="shared" ca="1" si="23"/>
        <v>Inactive</v>
      </c>
      <c r="H323" s="13">
        <f>RANK(B323,Customer_Tiers[Total_Sales])</f>
        <v>322</v>
      </c>
    </row>
    <row r="324" spans="1:8">
      <c r="A324" t="str">
        <f>'Top Customers'!A326</f>
        <v>ANJU ANTONY</v>
      </c>
      <c r="B324" s="5">
        <f>IF(A324="","",IFERROR(GETPIVOTDATA("Sales Amount",'Top Customers'!$A$3,"Customer_name",'Top Customers'!A326),""))</f>
        <v>32900</v>
      </c>
      <c r="C324" t="str">
        <f t="shared" si="20"/>
        <v>Regular</v>
      </c>
      <c r="D324">
        <f t="shared" si="21"/>
        <v>67100</v>
      </c>
      <c r="E324" s="6">
        <f t="shared" si="22"/>
        <v>5.7460255376955258E-4</v>
      </c>
      <c r="F324" s="5">
        <f ca="1">TODAY()-GETPIVOTDATA("LastPurchaseDate",MaxDate!$A$3,"Customer_name",MaxDate!A326)</f>
        <v>114</v>
      </c>
      <c r="G324" t="str">
        <f t="shared" ca="1" si="23"/>
        <v>At Risk</v>
      </c>
      <c r="H324" s="13">
        <f>RANK(B324,Customer_Tiers[Total_Sales])</f>
        <v>323</v>
      </c>
    </row>
    <row r="325" spans="1:8">
      <c r="A325" t="str">
        <f>'Top Customers'!A327</f>
        <v>CHAVARAMKUZHY BHAGAWATHI TEMPLE</v>
      </c>
      <c r="B325" s="5">
        <f>IF(A325="","",IFERROR(GETPIVOTDATA("Sales Amount",'Top Customers'!$A$3,"Customer_name",'Top Customers'!A327),""))</f>
        <v>32677</v>
      </c>
      <c r="C325" t="str">
        <f t="shared" si="20"/>
        <v>Regular</v>
      </c>
      <c r="D325">
        <f t="shared" si="21"/>
        <v>67323</v>
      </c>
      <c r="E325" s="6">
        <f t="shared" si="22"/>
        <v>5.7070783129263428E-4</v>
      </c>
      <c r="F325" s="5">
        <f ca="1">TODAY()-GETPIVOTDATA("LastPurchaseDate",MaxDate!$A$3,"Customer_name",MaxDate!A327)</f>
        <v>139</v>
      </c>
      <c r="G325" t="str">
        <f t="shared" ca="1" si="23"/>
        <v>Inactive</v>
      </c>
      <c r="H325" s="13">
        <f>RANK(B325,Customer_Tiers[Total_Sales])</f>
        <v>324</v>
      </c>
    </row>
    <row r="326" spans="1:8">
      <c r="A326" t="str">
        <f>'Top Customers'!A328</f>
        <v>RAMAKRISHNAN KUMMANODE</v>
      </c>
      <c r="B326" s="5">
        <f>IF(A326="","",IFERROR(GETPIVOTDATA("Sales Amount",'Top Customers'!$A$3,"Customer_name",'Top Customers'!A328),""))</f>
        <v>32650</v>
      </c>
      <c r="C326" t="str">
        <f t="shared" si="20"/>
        <v>Regular</v>
      </c>
      <c r="D326">
        <f t="shared" si="21"/>
        <v>67350</v>
      </c>
      <c r="E326" s="6">
        <f t="shared" si="22"/>
        <v>5.7023627296583256E-4</v>
      </c>
      <c r="F326" s="5">
        <f ca="1">TODAY()-GETPIVOTDATA("LastPurchaseDate",MaxDate!$A$3,"Customer_name",MaxDate!A328)</f>
        <v>164</v>
      </c>
      <c r="G326" t="str">
        <f t="shared" ca="1" si="23"/>
        <v>Inactive</v>
      </c>
      <c r="H326" s="13">
        <f>RANK(B326,Customer_Tiers[Total_Sales])</f>
        <v>325</v>
      </c>
    </row>
    <row r="327" spans="1:8">
      <c r="A327" t="str">
        <f>'Top Customers'!A329</f>
        <v>PRANAVAM HOTELS</v>
      </c>
      <c r="B327" s="5">
        <f>IF(A327="","",IFERROR(GETPIVOTDATA("Sales Amount",'Top Customers'!$A$3,"Customer_name",'Top Customers'!A329),""))</f>
        <v>32568</v>
      </c>
      <c r="C327" t="str">
        <f t="shared" si="20"/>
        <v>Regular</v>
      </c>
      <c r="D327">
        <f t="shared" si="21"/>
        <v>67432</v>
      </c>
      <c r="E327" s="6">
        <f t="shared" si="22"/>
        <v>5.6880413286221245E-4</v>
      </c>
      <c r="F327" s="5">
        <f ca="1">TODAY()-GETPIVOTDATA("LastPurchaseDate",MaxDate!$A$3,"Customer_name",MaxDate!A329)</f>
        <v>148</v>
      </c>
      <c r="G327" t="str">
        <f t="shared" ca="1" si="23"/>
        <v>Inactive</v>
      </c>
      <c r="H327" s="13">
        <f>RANK(B327,Customer_Tiers[Total_Sales])</f>
        <v>326</v>
      </c>
    </row>
    <row r="328" spans="1:8">
      <c r="A328" t="str">
        <f>'Top Customers'!A330</f>
        <v>YESSAR GREEN POWER SOLUTIONS</v>
      </c>
      <c r="B328" s="5">
        <f>IF(A328="","",IFERROR(GETPIVOTDATA("Sales Amount",'Top Customers'!$A$3,"Customer_name",'Top Customers'!A330),""))</f>
        <v>32177</v>
      </c>
      <c r="C328" t="str">
        <f t="shared" si="20"/>
        <v>Regular</v>
      </c>
      <c r="D328">
        <f t="shared" si="21"/>
        <v>67823</v>
      </c>
      <c r="E328" s="6">
        <f t="shared" si="22"/>
        <v>5.6197526968519435E-4</v>
      </c>
      <c r="F328" s="5">
        <f ca="1">TODAY()-GETPIVOTDATA("LastPurchaseDate",MaxDate!$A$3,"Customer_name",MaxDate!A330)</f>
        <v>200</v>
      </c>
      <c r="G328" t="str">
        <f t="shared" ca="1" si="23"/>
        <v>Inactive</v>
      </c>
      <c r="H328" s="13">
        <f>RANK(B328,Customer_Tiers[Total_Sales])</f>
        <v>327</v>
      </c>
    </row>
    <row r="329" spans="1:8">
      <c r="A329" t="str">
        <f>'Top Customers'!A331</f>
        <v>JAYESH, ERUMATHADATHIL</v>
      </c>
      <c r="B329" s="5">
        <f>IF(A329="","",IFERROR(GETPIVOTDATA("Sales Amount",'Top Customers'!$A$3,"Customer_name",'Top Customers'!A331),""))</f>
        <v>31867</v>
      </c>
      <c r="C329" t="str">
        <f t="shared" si="20"/>
        <v>Regular</v>
      </c>
      <c r="D329">
        <f t="shared" si="21"/>
        <v>68133</v>
      </c>
      <c r="E329" s="6">
        <f t="shared" si="22"/>
        <v>5.5656108148858152E-4</v>
      </c>
      <c r="F329" s="5">
        <f ca="1">TODAY()-GETPIVOTDATA("LastPurchaseDate",MaxDate!$A$3,"Customer_name",MaxDate!A331)</f>
        <v>86</v>
      </c>
      <c r="G329" t="str">
        <f t="shared" ca="1" si="23"/>
        <v>At Risk</v>
      </c>
      <c r="H329" s="13">
        <f>RANK(B329,Customer_Tiers[Total_Sales])</f>
        <v>328</v>
      </c>
    </row>
    <row r="330" spans="1:8">
      <c r="A330" t="str">
        <f>'Top Customers'!A332</f>
        <v>ELDHO VALAMBOOR</v>
      </c>
      <c r="B330" s="5">
        <f>IF(A330="","",IFERROR(GETPIVOTDATA("Sales Amount",'Top Customers'!$A$3,"Customer_name",'Top Customers'!A332),""))</f>
        <v>31661</v>
      </c>
      <c r="C330" t="str">
        <f t="shared" si="20"/>
        <v>Regular</v>
      </c>
      <c r="D330">
        <f t="shared" si="21"/>
        <v>68339</v>
      </c>
      <c r="E330" s="6">
        <f t="shared" si="22"/>
        <v>5.5296326610631619E-4</v>
      </c>
      <c r="F330" s="5">
        <f ca="1">TODAY()-GETPIVOTDATA("LastPurchaseDate",MaxDate!$A$3,"Customer_name",MaxDate!A332)</f>
        <v>82</v>
      </c>
      <c r="G330" t="str">
        <f t="shared" ca="1" si="23"/>
        <v>At Risk</v>
      </c>
      <c r="H330" s="13">
        <f>RANK(B330,Customer_Tiers[Total_Sales])</f>
        <v>329</v>
      </c>
    </row>
    <row r="331" spans="1:8">
      <c r="A331" t="str">
        <f>'Top Customers'!A333</f>
        <v>AUGUSTINE AIRAPURAM</v>
      </c>
      <c r="B331" s="5">
        <f>IF(A331="","",IFERROR(GETPIVOTDATA("Sales Amount",'Top Customers'!$A$3,"Customer_name",'Top Customers'!A333),""))</f>
        <v>31600</v>
      </c>
      <c r="C331" t="str">
        <f t="shared" si="20"/>
        <v>Regular</v>
      </c>
      <c r="D331">
        <f t="shared" si="21"/>
        <v>68400</v>
      </c>
      <c r="E331" s="6">
        <f t="shared" si="22"/>
        <v>5.5189789359020853E-4</v>
      </c>
      <c r="F331" s="5">
        <f ca="1">TODAY()-GETPIVOTDATA("LastPurchaseDate",MaxDate!$A$3,"Customer_name",MaxDate!A333)</f>
        <v>292</v>
      </c>
      <c r="G331" t="str">
        <f t="shared" ca="1" si="23"/>
        <v>Inactive</v>
      </c>
      <c r="H331" s="13">
        <f>RANK(B331,Customer_Tiers[Total_Sales])</f>
        <v>330</v>
      </c>
    </row>
    <row r="332" spans="1:8">
      <c r="A332" t="str">
        <f>'Top Customers'!A334</f>
        <v>SOLAMAN , CHOORAKKODU</v>
      </c>
      <c r="B332" s="5">
        <f>IF(A332="","",IFERROR(GETPIVOTDATA("Sales Amount",'Top Customers'!$A$3,"Customer_name",'Top Customers'!A334),""))</f>
        <v>31164</v>
      </c>
      <c r="C332" t="str">
        <f t="shared" si="20"/>
        <v>Regular</v>
      </c>
      <c r="D332">
        <f t="shared" si="21"/>
        <v>68836</v>
      </c>
      <c r="E332" s="6">
        <f t="shared" si="22"/>
        <v>5.442830998685209E-4</v>
      </c>
      <c r="F332" s="5">
        <f ca="1">TODAY()-GETPIVOTDATA("LastPurchaseDate",MaxDate!$A$3,"Customer_name",MaxDate!A334)</f>
        <v>283</v>
      </c>
      <c r="G332" t="str">
        <f t="shared" ca="1" si="23"/>
        <v>Inactive</v>
      </c>
      <c r="H332" s="13">
        <f>RANK(B332,Customer_Tiers[Total_Sales])</f>
        <v>331</v>
      </c>
    </row>
    <row r="333" spans="1:8">
      <c r="A333" t="str">
        <f>'Top Customers'!A335</f>
        <v>BABU MAZHUVANNOOR</v>
      </c>
      <c r="B333" s="5">
        <f>IF(A333="","",IFERROR(GETPIVOTDATA("Sales Amount",'Top Customers'!$A$3,"Customer_name",'Top Customers'!A335),""))</f>
        <v>30750</v>
      </c>
      <c r="C333" t="str">
        <f t="shared" si="20"/>
        <v>Regular</v>
      </c>
      <c r="D333">
        <f t="shared" si="21"/>
        <v>69250</v>
      </c>
      <c r="E333" s="6">
        <f t="shared" si="22"/>
        <v>5.3705253885756056E-4</v>
      </c>
      <c r="F333" s="5">
        <f ca="1">TODAY()-GETPIVOTDATA("LastPurchaseDate",MaxDate!$A$3,"Customer_name",MaxDate!A335)</f>
        <v>236</v>
      </c>
      <c r="G333" t="str">
        <f t="shared" ca="1" si="23"/>
        <v>Inactive</v>
      </c>
      <c r="H333" s="13">
        <f>RANK(B333,Customer_Tiers[Total_Sales])</f>
        <v>332</v>
      </c>
    </row>
    <row r="334" spans="1:8">
      <c r="A334" t="str">
        <f>'Top Customers'!A336</f>
        <v>SANAL KOLANKUDY</v>
      </c>
      <c r="B334" s="5">
        <f>IF(A334="","",IFERROR(GETPIVOTDATA("Sales Amount",'Top Customers'!$A$3,"Customer_name",'Top Customers'!A336),""))</f>
        <v>30686</v>
      </c>
      <c r="C334" t="str">
        <f t="shared" si="20"/>
        <v>Regular</v>
      </c>
      <c r="D334">
        <f t="shared" si="21"/>
        <v>69314</v>
      </c>
      <c r="E334" s="6">
        <f t="shared" si="22"/>
        <v>5.3593477097180816E-4</v>
      </c>
      <c r="F334" s="5">
        <f ca="1">TODAY()-GETPIVOTDATA("LastPurchaseDate",MaxDate!$A$3,"Customer_name",MaxDate!A336)</f>
        <v>34</v>
      </c>
      <c r="G334" t="str">
        <f t="shared" ca="1" si="23"/>
        <v>Active</v>
      </c>
      <c r="H334" s="13">
        <f>RANK(B334,Customer_Tiers[Total_Sales])</f>
        <v>333</v>
      </c>
    </row>
    <row r="335" spans="1:8">
      <c r="A335" t="str">
        <f>'Top Customers'!A337</f>
        <v>SHAJI IRAPURAM</v>
      </c>
      <c r="B335" s="5">
        <f>IF(A335="","",IFERROR(GETPIVOTDATA("Sales Amount",'Top Customers'!$A$3,"Customer_name",'Top Customers'!A337),""))</f>
        <v>30453</v>
      </c>
      <c r="C335" t="str">
        <f t="shared" si="20"/>
        <v>Regular</v>
      </c>
      <c r="D335">
        <f t="shared" si="21"/>
        <v>69547</v>
      </c>
      <c r="E335" s="6">
        <f t="shared" si="22"/>
        <v>5.3186539726274122E-4</v>
      </c>
      <c r="F335" s="5">
        <f ca="1">TODAY()-GETPIVOTDATA("LastPurchaseDate",MaxDate!$A$3,"Customer_name",MaxDate!A337)</f>
        <v>162</v>
      </c>
      <c r="G335" t="str">
        <f t="shared" ca="1" si="23"/>
        <v>Inactive</v>
      </c>
      <c r="H335" s="13">
        <f>RANK(B335,Customer_Tiers[Total_Sales])</f>
        <v>334</v>
      </c>
    </row>
    <row r="336" spans="1:8">
      <c r="A336" t="str">
        <f>'Top Customers'!A338</f>
        <v>ELDHO ALIAS</v>
      </c>
      <c r="B336" s="5">
        <f>IF(A336="","",IFERROR(GETPIVOTDATA("Sales Amount",'Top Customers'!$A$3,"Customer_name",'Top Customers'!A338),""))</f>
        <v>30291</v>
      </c>
      <c r="C336" t="str">
        <f t="shared" si="20"/>
        <v>Regular</v>
      </c>
      <c r="D336">
        <f t="shared" si="21"/>
        <v>69709</v>
      </c>
      <c r="E336" s="6">
        <f t="shared" si="22"/>
        <v>5.2903604730193058E-4</v>
      </c>
      <c r="F336" s="5">
        <f ca="1">TODAY()-GETPIVOTDATA("LastPurchaseDate",MaxDate!$A$3,"Customer_name",MaxDate!A338)</f>
        <v>96</v>
      </c>
      <c r="G336" t="str">
        <f t="shared" ca="1" si="23"/>
        <v>At Risk</v>
      </c>
      <c r="H336" s="13">
        <f>RANK(B336,Customer_Tiers[Total_Sales])</f>
        <v>335</v>
      </c>
    </row>
    <row r="337" spans="1:8">
      <c r="A337" t="str">
        <f>'Top Customers'!A339</f>
        <v>DAUGHTERS OF ST. MARY OF LEUCA</v>
      </c>
      <c r="B337" s="5">
        <f>IF(A337="","",IFERROR(GETPIVOTDATA("Sales Amount",'Top Customers'!$A$3,"Customer_name",'Top Customers'!A339),""))</f>
        <v>30058</v>
      </c>
      <c r="C337" t="str">
        <f t="shared" si="20"/>
        <v>Regular</v>
      </c>
      <c r="D337">
        <f t="shared" si="21"/>
        <v>69942</v>
      </c>
      <c r="E337" s="6">
        <f t="shared" si="22"/>
        <v>5.2496667359286354E-4</v>
      </c>
      <c r="F337" s="5">
        <f ca="1">TODAY()-GETPIVOTDATA("LastPurchaseDate",MaxDate!$A$3,"Customer_name",MaxDate!A339)</f>
        <v>3</v>
      </c>
      <c r="G337" t="str">
        <f t="shared" ca="1" si="23"/>
        <v>Active</v>
      </c>
      <c r="H337" s="13">
        <f>RANK(B337,Customer_Tiers[Total_Sales])</f>
        <v>336</v>
      </c>
    </row>
    <row r="338" spans="1:8">
      <c r="A338" t="str">
        <f>'Top Customers'!A340</f>
        <v>MASTERFIX ENGINEERING SOLUTIONS</v>
      </c>
      <c r="B338" s="5">
        <f>IF(A338="","",IFERROR(GETPIVOTDATA("Sales Amount",'Top Customers'!$A$3,"Customer_name",'Top Customers'!A340),""))</f>
        <v>30000</v>
      </c>
      <c r="C338" t="str">
        <f t="shared" si="20"/>
        <v>Regular</v>
      </c>
      <c r="D338">
        <f t="shared" si="21"/>
        <v>70000</v>
      </c>
      <c r="E338" s="6">
        <f t="shared" si="22"/>
        <v>5.2395369644640051E-4</v>
      </c>
      <c r="F338" s="5">
        <f ca="1">TODAY()-GETPIVOTDATA("LastPurchaseDate",MaxDate!$A$3,"Customer_name",MaxDate!A340)</f>
        <v>92</v>
      </c>
      <c r="G338" t="str">
        <f t="shared" ca="1" si="23"/>
        <v>At Risk</v>
      </c>
      <c r="H338" s="13">
        <f>RANK(B338,Customer_Tiers[Total_Sales])</f>
        <v>337</v>
      </c>
    </row>
    <row r="339" spans="1:8">
      <c r="A339" t="str">
        <f>'Top Customers'!A341</f>
        <v>ULLAS , DAUBLEPALAM</v>
      </c>
      <c r="B339" s="5">
        <f>IF(A339="","",IFERROR(GETPIVOTDATA("Sales Amount",'Top Customers'!$A$3,"Customer_name",'Top Customers'!A341),""))</f>
        <v>29877</v>
      </c>
      <c r="C339" t="str">
        <f t="shared" si="20"/>
        <v>Regular</v>
      </c>
      <c r="D339">
        <f t="shared" si="21"/>
        <v>70123</v>
      </c>
      <c r="E339" s="6">
        <f t="shared" si="22"/>
        <v>5.2180548629097024E-4</v>
      </c>
      <c r="F339" s="5">
        <f ca="1">TODAY()-GETPIVOTDATA("LastPurchaseDate",MaxDate!$A$3,"Customer_name",MaxDate!A341)</f>
        <v>18</v>
      </c>
      <c r="G339" t="str">
        <f t="shared" ca="1" si="23"/>
        <v>Active</v>
      </c>
      <c r="H339" s="13">
        <f>RANK(B339,Customer_Tiers[Total_Sales])</f>
        <v>338</v>
      </c>
    </row>
    <row r="340" spans="1:8">
      <c r="A340" t="str">
        <f>'Top Customers'!A342</f>
        <v>KURIAKOSE KIZHAKKAMBALAM</v>
      </c>
      <c r="B340" s="5">
        <f>IF(A340="","",IFERROR(GETPIVOTDATA("Sales Amount",'Top Customers'!$A$3,"Customer_name",'Top Customers'!A342),""))</f>
        <v>29781</v>
      </c>
      <c r="C340" t="str">
        <f t="shared" si="20"/>
        <v>Regular</v>
      </c>
      <c r="D340">
        <f t="shared" si="21"/>
        <v>70219</v>
      </c>
      <c r="E340" s="6">
        <f t="shared" si="22"/>
        <v>5.201288344623418E-4</v>
      </c>
      <c r="F340" s="5">
        <f ca="1">TODAY()-GETPIVOTDATA("LastPurchaseDate",MaxDate!$A$3,"Customer_name",MaxDate!A342)</f>
        <v>289</v>
      </c>
      <c r="G340" t="str">
        <f t="shared" ca="1" si="23"/>
        <v>Inactive</v>
      </c>
      <c r="H340" s="13">
        <f>RANK(B340,Customer_Tiers[Total_Sales])</f>
        <v>339</v>
      </c>
    </row>
    <row r="341" spans="1:8">
      <c r="A341" t="str">
        <f>'Top Customers'!A343</f>
        <v>BASIL KADAYIRUPPU</v>
      </c>
      <c r="B341" s="5">
        <f>IF(A341="","",IFERROR(GETPIVOTDATA("Sales Amount",'Top Customers'!$A$3,"Customer_name",'Top Customers'!A343),""))</f>
        <v>29765</v>
      </c>
      <c r="C341" t="str">
        <f t="shared" si="20"/>
        <v>Regular</v>
      </c>
      <c r="D341">
        <f t="shared" si="21"/>
        <v>70235</v>
      </c>
      <c r="E341" s="6">
        <f t="shared" si="22"/>
        <v>5.1984939249090367E-4</v>
      </c>
      <c r="F341" s="5">
        <f ca="1">TODAY()-GETPIVOTDATA("LastPurchaseDate",MaxDate!$A$3,"Customer_name",MaxDate!A343)</f>
        <v>39</v>
      </c>
      <c r="G341" t="str">
        <f t="shared" ca="1" si="23"/>
        <v>Active</v>
      </c>
      <c r="H341" s="13">
        <f>RANK(B341,Customer_Tiers[Total_Sales])</f>
        <v>340</v>
      </c>
    </row>
    <row r="342" spans="1:8">
      <c r="A342" t="str">
        <f>'Top Customers'!A344</f>
        <v>SIJU PETER</v>
      </c>
      <c r="B342" s="5">
        <f>IF(A342="","",IFERROR(GETPIVOTDATA("Sales Amount",'Top Customers'!$A$3,"Customer_name",'Top Customers'!A344),""))</f>
        <v>29750</v>
      </c>
      <c r="C342" t="str">
        <f t="shared" si="20"/>
        <v>Regular</v>
      </c>
      <c r="D342">
        <f t="shared" si="21"/>
        <v>70250</v>
      </c>
      <c r="E342" s="6">
        <f t="shared" si="22"/>
        <v>5.195874156426805E-4</v>
      </c>
      <c r="F342" s="5">
        <f ca="1">TODAY()-GETPIVOTDATA("LastPurchaseDate",MaxDate!$A$3,"Customer_name",MaxDate!A344)</f>
        <v>62</v>
      </c>
      <c r="G342" t="str">
        <f t="shared" ca="1" si="23"/>
        <v>At Risk</v>
      </c>
      <c r="H342" s="13">
        <f>RANK(B342,Customer_Tiers[Total_Sales])</f>
        <v>341</v>
      </c>
    </row>
    <row r="343" spans="1:8">
      <c r="A343" t="str">
        <f>'Top Customers'!A345</f>
        <v>HASSAN MUNDEKUDY</v>
      </c>
      <c r="B343" s="5">
        <f>IF(A343="","",IFERROR(GETPIVOTDATA("Sales Amount",'Top Customers'!$A$3,"Customer_name",'Top Customers'!A345),""))</f>
        <v>29695</v>
      </c>
      <c r="C343" t="str">
        <f t="shared" si="20"/>
        <v>Regular</v>
      </c>
      <c r="D343">
        <f t="shared" si="21"/>
        <v>70305</v>
      </c>
      <c r="E343" s="6">
        <f t="shared" si="22"/>
        <v>5.1862683386586211E-4</v>
      </c>
      <c r="F343" s="5">
        <f ca="1">TODAY()-GETPIVOTDATA("LastPurchaseDate",MaxDate!$A$3,"Customer_name",MaxDate!A345)</f>
        <v>171</v>
      </c>
      <c r="G343" t="str">
        <f t="shared" ca="1" si="23"/>
        <v>Inactive</v>
      </c>
      <c r="H343" s="13">
        <f>RANK(B343,Customer_Tiers[Total_Sales])</f>
        <v>342</v>
      </c>
    </row>
    <row r="344" spans="1:8">
      <c r="A344" t="str">
        <f>'Top Customers'!A346</f>
        <v>ELDHOSE , MANGALATHUNADA</v>
      </c>
      <c r="B344" s="5">
        <f>IF(A344="","",IFERROR(GETPIVOTDATA("Sales Amount",'Top Customers'!$A$3,"Customer_name",'Top Customers'!A346),""))</f>
        <v>29694</v>
      </c>
      <c r="C344" t="str">
        <f t="shared" si="20"/>
        <v>Regular</v>
      </c>
      <c r="D344">
        <f t="shared" si="21"/>
        <v>70306</v>
      </c>
      <c r="E344" s="6">
        <f t="shared" si="22"/>
        <v>5.1860936874264726E-4</v>
      </c>
      <c r="F344" s="5">
        <f ca="1">TODAY()-GETPIVOTDATA("LastPurchaseDate",MaxDate!$A$3,"Customer_name",MaxDate!A346)</f>
        <v>96</v>
      </c>
      <c r="G344" t="str">
        <f t="shared" ca="1" si="23"/>
        <v>At Risk</v>
      </c>
      <c r="H344" s="13">
        <f>RANK(B344,Customer_Tiers[Total_Sales])</f>
        <v>343</v>
      </c>
    </row>
    <row r="345" spans="1:8">
      <c r="A345" t="str">
        <f>'Top Customers'!A347</f>
        <v>AYISHA CONSTRUCTIONS</v>
      </c>
      <c r="B345" s="5">
        <f>IF(A345="","",IFERROR(GETPIVOTDATA("Sales Amount",'Top Customers'!$A$3,"Customer_name",'Top Customers'!A347),""))</f>
        <v>29594</v>
      </c>
      <c r="C345" t="str">
        <f t="shared" si="20"/>
        <v>Regular</v>
      </c>
      <c r="D345">
        <f t="shared" si="21"/>
        <v>70406</v>
      </c>
      <c r="E345" s="6">
        <f t="shared" si="22"/>
        <v>5.1686285642115924E-4</v>
      </c>
      <c r="F345" s="5">
        <f ca="1">TODAY()-GETPIVOTDATA("LastPurchaseDate",MaxDate!$A$3,"Customer_name",MaxDate!A347)</f>
        <v>36</v>
      </c>
      <c r="G345" t="str">
        <f t="shared" ca="1" si="23"/>
        <v>Active</v>
      </c>
      <c r="H345" s="13">
        <f>RANK(B345,Customer_Tiers[Total_Sales])</f>
        <v>344</v>
      </c>
    </row>
    <row r="346" spans="1:8">
      <c r="A346" t="str">
        <f>'Top Customers'!A348</f>
        <v>M S TECH ENGINEERING INDUSTRIES</v>
      </c>
      <c r="B346" s="5">
        <f>IF(A346="","",IFERROR(GETPIVOTDATA("Sales Amount",'Top Customers'!$A$3,"Customer_name",'Top Customers'!A348),""))</f>
        <v>29498</v>
      </c>
      <c r="C346" t="str">
        <f t="shared" si="20"/>
        <v>Regular</v>
      </c>
      <c r="D346">
        <f t="shared" si="21"/>
        <v>70502</v>
      </c>
      <c r="E346" s="6">
        <f t="shared" si="22"/>
        <v>5.1518620459253079E-4</v>
      </c>
      <c r="F346" s="5">
        <f ca="1">TODAY()-GETPIVOTDATA("LastPurchaseDate",MaxDate!$A$3,"Customer_name",MaxDate!A348)</f>
        <v>208</v>
      </c>
      <c r="G346" t="str">
        <f t="shared" ca="1" si="23"/>
        <v>Inactive</v>
      </c>
      <c r="H346" s="13">
        <f>RANK(B346,Customer_Tiers[Total_Sales])</f>
        <v>345</v>
      </c>
    </row>
    <row r="347" spans="1:8">
      <c r="A347" t="str">
        <f>'Top Customers'!A349</f>
        <v>AJESH PAREKKATTIL</v>
      </c>
      <c r="B347" s="5">
        <f>IF(A347="","",IFERROR(GETPIVOTDATA("Sales Amount",'Top Customers'!$A$3,"Customer_name",'Top Customers'!A349),""))</f>
        <v>29200</v>
      </c>
      <c r="C347" t="str">
        <f t="shared" si="20"/>
        <v>Regular</v>
      </c>
      <c r="D347">
        <f t="shared" si="21"/>
        <v>70800</v>
      </c>
      <c r="E347" s="6">
        <f t="shared" si="22"/>
        <v>5.099815978744965E-4</v>
      </c>
      <c r="F347" s="5">
        <f ca="1">TODAY()-GETPIVOTDATA("LastPurchaseDate",MaxDate!$A$3,"Customer_name",MaxDate!A349)</f>
        <v>143</v>
      </c>
      <c r="G347" t="str">
        <f t="shared" ca="1" si="23"/>
        <v>Inactive</v>
      </c>
      <c r="H347" s="13">
        <f>RANK(B347,Customer_Tiers[Total_Sales])</f>
        <v>346</v>
      </c>
    </row>
    <row r="348" spans="1:8">
      <c r="A348" t="str">
        <f>'Top Customers'!A350</f>
        <v>SUSEELAN KOLENCHERY</v>
      </c>
      <c r="B348" s="5">
        <f>IF(A348="","",IFERROR(GETPIVOTDATA("Sales Amount",'Top Customers'!$A$3,"Customer_name",'Top Customers'!A350),""))</f>
        <v>29173</v>
      </c>
      <c r="C348" t="str">
        <f t="shared" si="20"/>
        <v>Regular</v>
      </c>
      <c r="D348">
        <f t="shared" si="21"/>
        <v>70827</v>
      </c>
      <c r="E348" s="6">
        <f t="shared" si="22"/>
        <v>5.0951003954769478E-4</v>
      </c>
      <c r="F348" s="5">
        <f ca="1">TODAY()-GETPIVOTDATA("LastPurchaseDate",MaxDate!$A$3,"Customer_name",MaxDate!A350)</f>
        <v>123</v>
      </c>
      <c r="G348" t="str">
        <f t="shared" ca="1" si="23"/>
        <v>Inactive</v>
      </c>
      <c r="H348" s="13">
        <f>RANK(B348,Customer_Tiers[Total_Sales])</f>
        <v>347</v>
      </c>
    </row>
    <row r="349" spans="1:8">
      <c r="A349" t="str">
        <f>'Top Customers'!A351</f>
        <v>AJESH PAZHAMPILLY</v>
      </c>
      <c r="B349" s="5">
        <f>IF(A349="","",IFERROR(GETPIVOTDATA("Sales Amount",'Top Customers'!$A$3,"Customer_name",'Top Customers'!A351),""))</f>
        <v>29134</v>
      </c>
      <c r="C349" t="str">
        <f t="shared" si="20"/>
        <v>Regular</v>
      </c>
      <c r="D349">
        <f t="shared" si="21"/>
        <v>70866</v>
      </c>
      <c r="E349" s="6">
        <f t="shared" si="22"/>
        <v>5.0882889974231441E-4</v>
      </c>
      <c r="F349" s="5">
        <f ca="1">TODAY()-GETPIVOTDATA("LastPurchaseDate",MaxDate!$A$3,"Customer_name",MaxDate!A351)</f>
        <v>50</v>
      </c>
      <c r="G349" t="str">
        <f t="shared" ca="1" si="23"/>
        <v>Active</v>
      </c>
      <c r="H349" s="13">
        <f>RANK(B349,Customer_Tiers[Total_Sales])</f>
        <v>348</v>
      </c>
    </row>
    <row r="350" spans="1:8">
      <c r="A350" t="str">
        <f>'Top Customers'!A352</f>
        <v>ELDHO , PATTIMATTAM</v>
      </c>
      <c r="B350" s="5">
        <f>IF(A350="","",IFERROR(GETPIVOTDATA("Sales Amount",'Top Customers'!$A$3,"Customer_name",'Top Customers'!A352),""))</f>
        <v>29132</v>
      </c>
      <c r="C350" t="str">
        <f t="shared" si="20"/>
        <v>Regular</v>
      </c>
      <c r="D350">
        <f t="shared" si="21"/>
        <v>70868</v>
      </c>
      <c r="E350" s="6">
        <f t="shared" si="22"/>
        <v>5.0879396949588462E-4</v>
      </c>
      <c r="F350" s="5">
        <f ca="1">TODAY()-GETPIVOTDATA("LastPurchaseDate",MaxDate!$A$3,"Customer_name",MaxDate!A352)</f>
        <v>6</v>
      </c>
      <c r="G350" t="str">
        <f t="shared" ca="1" si="23"/>
        <v>Active</v>
      </c>
      <c r="H350" s="13">
        <f>RANK(B350,Customer_Tiers[Total_Sales])</f>
        <v>349</v>
      </c>
    </row>
    <row r="351" spans="1:8">
      <c r="A351" t="str">
        <f>'Top Customers'!A353</f>
        <v>MIDHUN MANGALATHUNADA</v>
      </c>
      <c r="B351" s="5">
        <f>IF(A351="","",IFERROR(GETPIVOTDATA("Sales Amount",'Top Customers'!$A$3,"Customer_name",'Top Customers'!A353),""))</f>
        <v>28986</v>
      </c>
      <c r="C351" t="str">
        <f t="shared" si="20"/>
        <v>Regular</v>
      </c>
      <c r="D351">
        <f t="shared" si="21"/>
        <v>71014</v>
      </c>
      <c r="E351" s="6">
        <f t="shared" si="22"/>
        <v>5.0624406150651222E-4</v>
      </c>
      <c r="F351" s="5">
        <f ca="1">TODAY()-GETPIVOTDATA("LastPurchaseDate",MaxDate!$A$3,"Customer_name",MaxDate!A353)</f>
        <v>167</v>
      </c>
      <c r="G351" t="str">
        <f t="shared" ca="1" si="23"/>
        <v>Inactive</v>
      </c>
      <c r="H351" s="13">
        <f>RANK(B351,Customer_Tiers[Total_Sales])</f>
        <v>350</v>
      </c>
    </row>
    <row r="352" spans="1:8">
      <c r="A352" t="str">
        <f>'Top Customers'!A354</f>
        <v>SHAJI AMBALATHUMKUDY</v>
      </c>
      <c r="B352" s="5">
        <f>IF(A352="","",IFERROR(GETPIVOTDATA("Sales Amount",'Top Customers'!$A$3,"Customer_name",'Top Customers'!A354),""))</f>
        <v>28975</v>
      </c>
      <c r="C352" t="str">
        <f t="shared" si="20"/>
        <v>Regular</v>
      </c>
      <c r="D352">
        <f t="shared" si="21"/>
        <v>71025</v>
      </c>
      <c r="E352" s="6">
        <f t="shared" si="22"/>
        <v>5.0605194515114852E-4</v>
      </c>
      <c r="F352" s="5">
        <f ca="1">TODAY()-GETPIVOTDATA("LastPurchaseDate",MaxDate!$A$3,"Customer_name",MaxDate!A354)</f>
        <v>27</v>
      </c>
      <c r="G352" t="str">
        <f t="shared" ca="1" si="23"/>
        <v>Active</v>
      </c>
      <c r="H352" s="13">
        <f>RANK(B352,Customer_Tiers[Total_Sales])</f>
        <v>351</v>
      </c>
    </row>
    <row r="353" spans="1:8">
      <c r="A353" t="str">
        <f>'Top Customers'!A355</f>
        <v>KUNJUMUHAMMAD THANDAKKALA</v>
      </c>
      <c r="B353" s="5">
        <f>IF(A353="","",IFERROR(GETPIVOTDATA("Sales Amount",'Top Customers'!$A$3,"Customer_name",'Top Customers'!A355),""))</f>
        <v>28855</v>
      </c>
      <c r="C353" t="str">
        <f t="shared" si="20"/>
        <v>Regular</v>
      </c>
      <c r="D353">
        <f t="shared" si="21"/>
        <v>71145</v>
      </c>
      <c r="E353" s="6">
        <f t="shared" si="22"/>
        <v>5.0395613036536288E-4</v>
      </c>
      <c r="F353" s="5">
        <f ca="1">TODAY()-GETPIVOTDATA("LastPurchaseDate",MaxDate!$A$3,"Customer_name",MaxDate!A355)</f>
        <v>216</v>
      </c>
      <c r="G353" t="str">
        <f t="shared" ca="1" si="23"/>
        <v>Inactive</v>
      </c>
      <c r="H353" s="13">
        <f>RANK(B353,Customer_Tiers[Total_Sales])</f>
        <v>352</v>
      </c>
    </row>
    <row r="354" spans="1:8">
      <c r="A354" t="str">
        <f>'Top Customers'!A356</f>
        <v>JINTO , VALAMBOOR</v>
      </c>
      <c r="B354" s="5">
        <f>IF(A354="","",IFERROR(GETPIVOTDATA("Sales Amount",'Top Customers'!$A$3,"Customer_name",'Top Customers'!A356),""))</f>
        <v>28787</v>
      </c>
      <c r="C354" t="str">
        <f t="shared" si="20"/>
        <v>Regular</v>
      </c>
      <c r="D354">
        <f t="shared" si="21"/>
        <v>71213</v>
      </c>
      <c r="E354" s="6">
        <f t="shared" si="22"/>
        <v>5.0276850198675111E-4</v>
      </c>
      <c r="F354" s="5">
        <f ca="1">TODAY()-GETPIVOTDATA("LastPurchaseDate",MaxDate!$A$3,"Customer_name",MaxDate!A356)</f>
        <v>146</v>
      </c>
      <c r="G354" t="str">
        <f t="shared" ca="1" si="23"/>
        <v>Inactive</v>
      </c>
      <c r="H354" s="13">
        <f>RANK(B354,Customer_Tiers[Total_Sales])</f>
        <v>353</v>
      </c>
    </row>
    <row r="355" spans="1:8">
      <c r="A355" t="str">
        <f>'Top Customers'!A357</f>
        <v>SHINOY TRUSS , AKKAMBARA</v>
      </c>
      <c r="B355" s="5">
        <f>IF(A355="","",IFERROR(GETPIVOTDATA("Sales Amount",'Top Customers'!$A$3,"Customer_name",'Top Customers'!A357),""))</f>
        <v>28743</v>
      </c>
      <c r="C355" t="str">
        <f t="shared" si="20"/>
        <v>Regular</v>
      </c>
      <c r="D355">
        <f t="shared" si="21"/>
        <v>71257</v>
      </c>
      <c r="E355" s="6">
        <f t="shared" si="22"/>
        <v>5.0200003656529631E-4</v>
      </c>
      <c r="F355" s="5">
        <f ca="1">TODAY()-GETPIVOTDATA("LastPurchaseDate",MaxDate!$A$3,"Customer_name",MaxDate!A357)</f>
        <v>186</v>
      </c>
      <c r="G355" t="str">
        <f t="shared" ca="1" si="23"/>
        <v>Inactive</v>
      </c>
      <c r="H355" s="13">
        <f>RANK(B355,Customer_Tiers[Total_Sales])</f>
        <v>354</v>
      </c>
    </row>
    <row r="356" spans="1:8">
      <c r="A356" t="str">
        <f>'Top Customers'!A358</f>
        <v>BASHEER KALAPPURACKAL</v>
      </c>
      <c r="B356" s="5">
        <f>IF(A356="","",IFERROR(GETPIVOTDATA("Sales Amount",'Top Customers'!$A$3,"Customer_name",'Top Customers'!A358),""))</f>
        <v>28525</v>
      </c>
      <c r="C356" t="str">
        <f t="shared" si="20"/>
        <v>Regular</v>
      </c>
      <c r="D356">
        <f t="shared" si="21"/>
        <v>71475</v>
      </c>
      <c r="E356" s="6">
        <f t="shared" si="22"/>
        <v>4.9819263970445244E-4</v>
      </c>
      <c r="F356" s="5">
        <f ca="1">TODAY()-GETPIVOTDATA("LastPurchaseDate",MaxDate!$A$3,"Customer_name",MaxDate!A358)</f>
        <v>81</v>
      </c>
      <c r="G356" t="str">
        <f t="shared" ca="1" si="23"/>
        <v>At Risk</v>
      </c>
      <c r="H356" s="13">
        <f>RANK(B356,Customer_Tiers[Total_Sales])</f>
        <v>355</v>
      </c>
    </row>
    <row r="357" spans="1:8">
      <c r="A357" t="str">
        <f>'Top Customers'!A359</f>
        <v>SAJI THANKAPPAN ,VALAMBOOR</v>
      </c>
      <c r="B357" s="5">
        <f>IF(A357="","",IFERROR(GETPIVOTDATA("Sales Amount",'Top Customers'!$A$3,"Customer_name",'Top Customers'!A359),""))</f>
        <v>28500</v>
      </c>
      <c r="C357" t="str">
        <f t="shared" si="20"/>
        <v>Regular</v>
      </c>
      <c r="D357">
        <f t="shared" si="21"/>
        <v>71500</v>
      </c>
      <c r="E357" s="6">
        <f t="shared" si="22"/>
        <v>4.9775601162408052E-4</v>
      </c>
      <c r="F357" s="5">
        <f ca="1">TODAY()-GETPIVOTDATA("LastPurchaseDate",MaxDate!$A$3,"Customer_name",MaxDate!A359)</f>
        <v>97</v>
      </c>
      <c r="G357" t="str">
        <f t="shared" ca="1" si="23"/>
        <v>At Risk</v>
      </c>
      <c r="H357" s="13">
        <f>RANK(B357,Customer_Tiers[Total_Sales])</f>
        <v>356</v>
      </c>
    </row>
    <row r="358" spans="1:8">
      <c r="A358" t="str">
        <f>'Top Customers'!A360</f>
        <v>ABDULKHADER KOTTALIKUDY</v>
      </c>
      <c r="B358" s="5">
        <f>IF(A358="","",IFERROR(GETPIVOTDATA("Sales Amount",'Top Customers'!$A$3,"Customer_name",'Top Customers'!A360),""))</f>
        <v>28407</v>
      </c>
      <c r="C358" t="str">
        <f t="shared" si="20"/>
        <v>Regular</v>
      </c>
      <c r="D358">
        <f t="shared" si="21"/>
        <v>71593</v>
      </c>
      <c r="E358" s="6">
        <f t="shared" si="22"/>
        <v>4.961317551650966E-4</v>
      </c>
      <c r="F358" s="5">
        <f ca="1">TODAY()-GETPIVOTDATA("LastPurchaseDate",MaxDate!$A$3,"Customer_name",MaxDate!A360)</f>
        <v>44</v>
      </c>
      <c r="G358" t="str">
        <f t="shared" ca="1" si="23"/>
        <v>Active</v>
      </c>
      <c r="H358" s="13">
        <f>RANK(B358,Customer_Tiers[Total_Sales])</f>
        <v>357</v>
      </c>
    </row>
    <row r="359" spans="1:8">
      <c r="A359" t="str">
        <f>'Top Customers'!A361</f>
        <v>ELDHOSE KANDANALI</v>
      </c>
      <c r="B359" s="5">
        <f>IF(A359="","",IFERROR(GETPIVOTDATA("Sales Amount",'Top Customers'!$A$3,"Customer_name",'Top Customers'!A361),""))</f>
        <v>28407</v>
      </c>
      <c r="C359" t="str">
        <f t="shared" si="20"/>
        <v>Regular</v>
      </c>
      <c r="D359">
        <f t="shared" si="21"/>
        <v>71593</v>
      </c>
      <c r="E359" s="6">
        <f t="shared" si="22"/>
        <v>4.961317551650966E-4</v>
      </c>
      <c r="F359" s="5">
        <f ca="1">TODAY()-GETPIVOTDATA("LastPurchaseDate",MaxDate!$A$3,"Customer_name",MaxDate!A361)</f>
        <v>3</v>
      </c>
      <c r="G359" t="str">
        <f t="shared" ca="1" si="23"/>
        <v>Active</v>
      </c>
      <c r="H359" s="13">
        <f>RANK(B359,Customer_Tiers[Total_Sales])</f>
        <v>357</v>
      </c>
    </row>
    <row r="360" spans="1:8">
      <c r="A360" t="str">
        <f>'Top Customers'!A362</f>
        <v>ELITE INDUSTIRES</v>
      </c>
      <c r="B360" s="5">
        <f>IF(A360="","",IFERROR(GETPIVOTDATA("Sales Amount",'Top Customers'!$A$3,"Customer_name",'Top Customers'!A362),""))</f>
        <v>28057</v>
      </c>
      <c r="C360" t="str">
        <f t="shared" si="20"/>
        <v>Regular</v>
      </c>
      <c r="D360">
        <f t="shared" si="21"/>
        <v>71943</v>
      </c>
      <c r="E360" s="6">
        <f t="shared" si="22"/>
        <v>4.9001896203988867E-4</v>
      </c>
      <c r="F360" s="5">
        <f ca="1">TODAY()-GETPIVOTDATA("LastPurchaseDate",MaxDate!$A$3,"Customer_name",MaxDate!A362)</f>
        <v>291</v>
      </c>
      <c r="G360" t="str">
        <f t="shared" ca="1" si="23"/>
        <v>Inactive</v>
      </c>
      <c r="H360" s="13">
        <f>RANK(B360,Customer_Tiers[Total_Sales])</f>
        <v>359</v>
      </c>
    </row>
    <row r="361" spans="1:8">
      <c r="A361" t="str">
        <f>'Top Customers'!A363</f>
        <v>BASIL TRUSS</v>
      </c>
      <c r="B361" s="5">
        <f>IF(A361="","",IFERROR(GETPIVOTDATA("Sales Amount",'Top Customers'!$A$3,"Customer_name",'Top Customers'!A363),""))</f>
        <v>28007</v>
      </c>
      <c r="C361" t="str">
        <f t="shared" si="20"/>
        <v>Regular</v>
      </c>
      <c r="D361">
        <f t="shared" si="21"/>
        <v>71993</v>
      </c>
      <c r="E361" s="6">
        <f t="shared" si="22"/>
        <v>4.891457058791446E-4</v>
      </c>
      <c r="F361" s="5">
        <f ca="1">TODAY()-GETPIVOTDATA("LastPurchaseDate",MaxDate!$A$3,"Customer_name",MaxDate!A363)</f>
        <v>73</v>
      </c>
      <c r="G361" t="str">
        <f t="shared" ca="1" si="23"/>
        <v>At Risk</v>
      </c>
      <c r="H361" s="13">
        <f>RANK(B361,Customer_Tiers[Total_Sales])</f>
        <v>360</v>
      </c>
    </row>
    <row r="362" spans="1:8">
      <c r="A362" t="str">
        <f>'Top Customers'!A364</f>
        <v>MELETH POULOSE JOLLY</v>
      </c>
      <c r="B362" s="5">
        <f>IF(A362="","",IFERROR(GETPIVOTDATA("Sales Amount",'Top Customers'!$A$3,"Customer_name",'Top Customers'!A364),""))</f>
        <v>28000</v>
      </c>
      <c r="C362" t="str">
        <f t="shared" si="20"/>
        <v>Regular</v>
      </c>
      <c r="D362">
        <f t="shared" si="21"/>
        <v>72000</v>
      </c>
      <c r="E362" s="6">
        <f t="shared" si="22"/>
        <v>4.8902345001664049E-4</v>
      </c>
      <c r="F362" s="5">
        <f ca="1">TODAY()-GETPIVOTDATA("LastPurchaseDate",MaxDate!$A$3,"Customer_name",MaxDate!A364)</f>
        <v>191</v>
      </c>
      <c r="G362" t="str">
        <f t="shared" ca="1" si="23"/>
        <v>Inactive</v>
      </c>
      <c r="H362" s="13">
        <f>RANK(B362,Customer_Tiers[Total_Sales])</f>
        <v>361</v>
      </c>
    </row>
    <row r="363" spans="1:8">
      <c r="A363" t="str">
        <f>'Top Customers'!A365</f>
        <v>SIVAKUMAR KUMMANODE</v>
      </c>
      <c r="B363" s="5">
        <f>IF(A363="","",IFERROR(GETPIVOTDATA("Sales Amount",'Top Customers'!$A$3,"Customer_name",'Top Customers'!A365),""))</f>
        <v>27911</v>
      </c>
      <c r="C363" t="str">
        <f t="shared" si="20"/>
        <v>Regular</v>
      </c>
      <c r="D363">
        <f t="shared" si="21"/>
        <v>72089</v>
      </c>
      <c r="E363" s="6">
        <f t="shared" si="22"/>
        <v>4.8746905405051616E-4</v>
      </c>
      <c r="F363" s="5">
        <f ca="1">TODAY()-GETPIVOTDATA("LastPurchaseDate",MaxDate!$A$3,"Customer_name",MaxDate!A365)</f>
        <v>143</v>
      </c>
      <c r="G363" t="str">
        <f t="shared" ca="1" si="23"/>
        <v>Inactive</v>
      </c>
      <c r="H363" s="13">
        <f>RANK(B363,Customer_Tiers[Total_Sales])</f>
        <v>362</v>
      </c>
    </row>
    <row r="364" spans="1:8">
      <c r="A364" t="str">
        <f>'Top Customers'!A366</f>
        <v>SIBI ALIAS</v>
      </c>
      <c r="B364" s="5">
        <f>IF(A364="","",IFERROR(GETPIVOTDATA("Sales Amount",'Top Customers'!$A$3,"Customer_name",'Top Customers'!A366),""))</f>
        <v>27832</v>
      </c>
      <c r="C364" t="str">
        <f t="shared" si="20"/>
        <v>Regular</v>
      </c>
      <c r="D364">
        <f t="shared" si="21"/>
        <v>72168</v>
      </c>
      <c r="E364" s="6">
        <f t="shared" si="22"/>
        <v>4.8608930931654063E-4</v>
      </c>
      <c r="F364" s="5">
        <f ca="1">TODAY()-GETPIVOTDATA("LastPurchaseDate",MaxDate!$A$3,"Customer_name",MaxDate!A366)</f>
        <v>13</v>
      </c>
      <c r="G364" t="str">
        <f t="shared" ca="1" si="23"/>
        <v>Active</v>
      </c>
      <c r="H364" s="13">
        <f>RANK(B364,Customer_Tiers[Total_Sales])</f>
        <v>363</v>
      </c>
    </row>
    <row r="365" spans="1:8">
      <c r="A365" t="str">
        <f>'Top Customers'!A367</f>
        <v>ASHRAF BAKERY</v>
      </c>
      <c r="B365" s="5">
        <f>IF(A365="","",IFERROR(GETPIVOTDATA("Sales Amount",'Top Customers'!$A$3,"Customer_name",'Top Customers'!A367),""))</f>
        <v>27804</v>
      </c>
      <c r="C365" t="str">
        <f t="shared" si="20"/>
        <v>Regular</v>
      </c>
      <c r="D365">
        <f t="shared" si="21"/>
        <v>72196</v>
      </c>
      <c r="E365" s="6">
        <f t="shared" si="22"/>
        <v>4.8560028586652401E-4</v>
      </c>
      <c r="F365" s="5">
        <f ca="1">TODAY()-GETPIVOTDATA("LastPurchaseDate",MaxDate!$A$3,"Customer_name",MaxDate!A367)</f>
        <v>10</v>
      </c>
      <c r="G365" t="str">
        <f t="shared" ca="1" si="23"/>
        <v>Active</v>
      </c>
      <c r="H365" s="13">
        <f>RANK(B365,Customer_Tiers[Total_Sales])</f>
        <v>364</v>
      </c>
    </row>
    <row r="366" spans="1:8">
      <c r="A366" t="str">
        <f>'Top Customers'!A368</f>
        <v>ESSA INNOVATIONS</v>
      </c>
      <c r="B366" s="5">
        <f>IF(A366="","",IFERROR(GETPIVOTDATA("Sales Amount",'Top Customers'!$A$3,"Customer_name",'Top Customers'!A368),""))</f>
        <v>27797</v>
      </c>
      <c r="C366" t="str">
        <f t="shared" si="20"/>
        <v>Regular</v>
      </c>
      <c r="D366">
        <f t="shared" si="21"/>
        <v>72203</v>
      </c>
      <c r="E366" s="6">
        <f t="shared" si="22"/>
        <v>4.8547803000401985E-4</v>
      </c>
      <c r="F366" s="5">
        <f ca="1">TODAY()-GETPIVOTDATA("LastPurchaseDate",MaxDate!$A$3,"Customer_name",MaxDate!A368)</f>
        <v>244</v>
      </c>
      <c r="G366" t="str">
        <f t="shared" ca="1" si="23"/>
        <v>Inactive</v>
      </c>
      <c r="H366" s="13">
        <f>RANK(B366,Customer_Tiers[Total_Sales])</f>
        <v>365</v>
      </c>
    </row>
    <row r="367" spans="1:8">
      <c r="A367" t="str">
        <f>'Top Customers'!A369</f>
        <v>HARI PRASAD</v>
      </c>
      <c r="B367" s="5">
        <f>IF(A367="","",IFERROR(GETPIVOTDATA("Sales Amount",'Top Customers'!$A$3,"Customer_name",'Top Customers'!A369),""))</f>
        <v>27786</v>
      </c>
      <c r="C367" t="str">
        <f t="shared" si="20"/>
        <v>Regular</v>
      </c>
      <c r="D367">
        <f t="shared" si="21"/>
        <v>72214</v>
      </c>
      <c r="E367" s="6">
        <f t="shared" si="22"/>
        <v>4.8528591364865615E-4</v>
      </c>
      <c r="F367" s="5">
        <f ca="1">TODAY()-GETPIVOTDATA("LastPurchaseDate",MaxDate!$A$3,"Customer_name",MaxDate!A369)</f>
        <v>229</v>
      </c>
      <c r="G367" t="str">
        <f t="shared" ca="1" si="23"/>
        <v>Inactive</v>
      </c>
      <c r="H367" s="13">
        <f>RANK(B367,Customer_Tiers[Total_Sales])</f>
        <v>366</v>
      </c>
    </row>
    <row r="368" spans="1:8">
      <c r="A368" t="str">
        <f>'Top Customers'!A370</f>
        <v>KERALA STEELS</v>
      </c>
      <c r="B368" s="5">
        <f>IF(A368="","",IFERROR(GETPIVOTDATA("Sales Amount",'Top Customers'!$A$3,"Customer_name",'Top Customers'!A370),""))</f>
        <v>27473</v>
      </c>
      <c r="C368" t="str">
        <f t="shared" si="20"/>
        <v>Regular</v>
      </c>
      <c r="D368">
        <f t="shared" si="21"/>
        <v>72527</v>
      </c>
      <c r="E368" s="6">
        <f t="shared" si="22"/>
        <v>4.7981933008239873E-4</v>
      </c>
      <c r="F368" s="5">
        <f ca="1">TODAY()-GETPIVOTDATA("LastPurchaseDate",MaxDate!$A$3,"Customer_name",MaxDate!A370)</f>
        <v>174</v>
      </c>
      <c r="G368" t="str">
        <f t="shared" ca="1" si="23"/>
        <v>Inactive</v>
      </c>
      <c r="H368" s="13">
        <f>RANK(B368,Customer_Tiers[Total_Sales])</f>
        <v>367</v>
      </c>
    </row>
    <row r="369" spans="1:8">
      <c r="A369" t="str">
        <f>'Top Customers'!A371</f>
        <v>BOLDTECH INTERIORS &amp; DEVELOPERS LLP</v>
      </c>
      <c r="B369" s="5">
        <f>IF(A369="","",IFERROR(GETPIVOTDATA("Sales Amount",'Top Customers'!$A$3,"Customer_name",'Top Customers'!A371),""))</f>
        <v>27330</v>
      </c>
      <c r="C369" t="str">
        <f t="shared" si="20"/>
        <v>Regular</v>
      </c>
      <c r="D369">
        <f t="shared" si="21"/>
        <v>72670</v>
      </c>
      <c r="E369" s="6">
        <f t="shared" si="22"/>
        <v>4.7732181746267086E-4</v>
      </c>
      <c r="F369" s="5">
        <f ca="1">TODAY()-GETPIVOTDATA("LastPurchaseDate",MaxDate!$A$3,"Customer_name",MaxDate!A371)</f>
        <v>34</v>
      </c>
      <c r="G369" t="str">
        <f t="shared" ca="1" si="23"/>
        <v>Active</v>
      </c>
      <c r="H369" s="13">
        <f>RANK(B369,Customer_Tiers[Total_Sales])</f>
        <v>368</v>
      </c>
    </row>
    <row r="370" spans="1:8">
      <c r="A370" t="str">
        <f>'Top Customers'!A372</f>
        <v>ELDHO PAUL, AKKAMBARA</v>
      </c>
      <c r="B370" s="5">
        <f>IF(A370="","",IFERROR(GETPIVOTDATA("Sales Amount",'Top Customers'!$A$3,"Customer_name",'Top Customers'!A372),""))</f>
        <v>27330</v>
      </c>
      <c r="C370" t="str">
        <f t="shared" si="20"/>
        <v>Regular</v>
      </c>
      <c r="D370">
        <f t="shared" si="21"/>
        <v>72670</v>
      </c>
      <c r="E370" s="6">
        <f t="shared" si="22"/>
        <v>4.7732181746267086E-4</v>
      </c>
      <c r="F370" s="5">
        <f ca="1">TODAY()-GETPIVOTDATA("LastPurchaseDate",MaxDate!$A$3,"Customer_name",MaxDate!A372)</f>
        <v>52</v>
      </c>
      <c r="G370" t="str">
        <f t="shared" ca="1" si="23"/>
        <v>Active</v>
      </c>
      <c r="H370" s="13">
        <f>RANK(B370,Customer_Tiers[Total_Sales])</f>
        <v>368</v>
      </c>
    </row>
    <row r="371" spans="1:8">
      <c r="A371" t="str">
        <f>'Top Customers'!A373</f>
        <v>RAMAKRISHNAN EDATHIKKARA</v>
      </c>
      <c r="B371" s="5">
        <f>IF(A371="","",IFERROR(GETPIVOTDATA("Sales Amount",'Top Customers'!$A$3,"Customer_name",'Top Customers'!A373),""))</f>
        <v>27315</v>
      </c>
      <c r="C371" t="str">
        <f t="shared" si="20"/>
        <v>Regular</v>
      </c>
      <c r="D371">
        <f t="shared" si="21"/>
        <v>72685</v>
      </c>
      <c r="E371" s="6">
        <f t="shared" si="22"/>
        <v>4.7705984061444768E-4</v>
      </c>
      <c r="F371" s="5">
        <f ca="1">TODAY()-GETPIVOTDATA("LastPurchaseDate",MaxDate!$A$3,"Customer_name",MaxDate!A373)</f>
        <v>125</v>
      </c>
      <c r="G371" t="str">
        <f t="shared" ca="1" si="23"/>
        <v>Inactive</v>
      </c>
      <c r="H371" s="13">
        <f>RANK(B371,Customer_Tiers[Total_Sales])</f>
        <v>370</v>
      </c>
    </row>
    <row r="372" spans="1:8">
      <c r="A372" t="str">
        <f>'Top Customers'!A374</f>
        <v>ELDHO KANDANALY</v>
      </c>
      <c r="B372" s="5">
        <f>IF(A372="","",IFERROR(GETPIVOTDATA("Sales Amount",'Top Customers'!$A$3,"Customer_name",'Top Customers'!A374),""))</f>
        <v>27298</v>
      </c>
      <c r="C372" t="str">
        <f t="shared" si="20"/>
        <v>Regular</v>
      </c>
      <c r="D372">
        <f t="shared" si="21"/>
        <v>72702</v>
      </c>
      <c r="E372" s="6">
        <f t="shared" si="22"/>
        <v>4.7676293351979471E-4</v>
      </c>
      <c r="F372" s="5">
        <f ca="1">TODAY()-GETPIVOTDATA("LastPurchaseDate",MaxDate!$A$3,"Customer_name",MaxDate!A374)</f>
        <v>16</v>
      </c>
      <c r="G372" t="str">
        <f t="shared" ca="1" si="23"/>
        <v>Active</v>
      </c>
      <c r="H372" s="13">
        <f>RANK(B372,Customer_Tiers[Total_Sales])</f>
        <v>371</v>
      </c>
    </row>
    <row r="373" spans="1:8">
      <c r="A373" t="str">
        <f>'Top Customers'!A375</f>
        <v>SURENDRAN K C</v>
      </c>
      <c r="B373" s="5">
        <f>IF(A373="","",IFERROR(GETPIVOTDATA("Sales Amount",'Top Customers'!$A$3,"Customer_name",'Top Customers'!A375),""))</f>
        <v>27191</v>
      </c>
      <c r="C373" t="str">
        <f t="shared" si="20"/>
        <v>Regular</v>
      </c>
      <c r="D373">
        <f t="shared" si="21"/>
        <v>72809</v>
      </c>
      <c r="E373" s="6">
        <f t="shared" si="22"/>
        <v>4.7489416533580257E-4</v>
      </c>
      <c r="F373" s="5">
        <f ca="1">TODAY()-GETPIVOTDATA("LastPurchaseDate",MaxDate!$A$3,"Customer_name",MaxDate!A375)</f>
        <v>190</v>
      </c>
      <c r="G373" t="str">
        <f t="shared" ca="1" si="23"/>
        <v>Inactive</v>
      </c>
      <c r="H373" s="13">
        <f>RANK(B373,Customer_Tiers[Total_Sales])</f>
        <v>372</v>
      </c>
    </row>
    <row r="374" spans="1:8">
      <c r="A374" t="str">
        <f>'Top Customers'!A376</f>
        <v>MAHESH VALAMBOOR</v>
      </c>
      <c r="B374" s="5">
        <f>IF(A374="","",IFERROR(GETPIVOTDATA("Sales Amount",'Top Customers'!$A$3,"Customer_name",'Top Customers'!A376),""))</f>
        <v>27162</v>
      </c>
      <c r="C374" t="str">
        <f t="shared" si="20"/>
        <v>Regular</v>
      </c>
      <c r="D374">
        <f t="shared" si="21"/>
        <v>72838</v>
      </c>
      <c r="E374" s="6">
        <f t="shared" si="22"/>
        <v>4.7438767676257106E-4</v>
      </c>
      <c r="F374" s="5">
        <f ca="1">TODAY()-GETPIVOTDATA("LastPurchaseDate",MaxDate!$A$3,"Customer_name",MaxDate!A376)</f>
        <v>139</v>
      </c>
      <c r="G374" t="str">
        <f t="shared" ca="1" si="23"/>
        <v>Inactive</v>
      </c>
      <c r="H374" s="13">
        <f>RANK(B374,Customer_Tiers[Total_Sales])</f>
        <v>373</v>
      </c>
    </row>
    <row r="375" spans="1:8">
      <c r="A375" t="str">
        <f>'Top Customers'!A377</f>
        <v>JOBY JOSEPH</v>
      </c>
      <c r="B375" s="5">
        <f>IF(A375="","",IFERROR(GETPIVOTDATA("Sales Amount",'Top Customers'!$A$3,"Customer_name",'Top Customers'!A377),""))</f>
        <v>27151</v>
      </c>
      <c r="C375" t="str">
        <f t="shared" si="20"/>
        <v>Regular</v>
      </c>
      <c r="D375">
        <f t="shared" si="21"/>
        <v>72849</v>
      </c>
      <c r="E375" s="6">
        <f t="shared" si="22"/>
        <v>4.7419556040720736E-4</v>
      </c>
      <c r="F375" s="5">
        <f ca="1">TODAY()-GETPIVOTDATA("LastPurchaseDate",MaxDate!$A$3,"Customer_name",MaxDate!A377)</f>
        <v>162</v>
      </c>
      <c r="G375" t="str">
        <f t="shared" ca="1" si="23"/>
        <v>Inactive</v>
      </c>
      <c r="H375" s="13">
        <f>RANK(B375,Customer_Tiers[Total_Sales])</f>
        <v>374</v>
      </c>
    </row>
    <row r="376" spans="1:8">
      <c r="A376" t="str">
        <f>'Top Customers'!A378</f>
        <v>SOMARAJAN</v>
      </c>
      <c r="B376" s="5">
        <f>IF(A376="","",IFERROR(GETPIVOTDATA("Sales Amount",'Top Customers'!$A$3,"Customer_name",'Top Customers'!A378),""))</f>
        <v>27130</v>
      </c>
      <c r="C376" t="str">
        <f t="shared" si="20"/>
        <v>Regular</v>
      </c>
      <c r="D376">
        <f t="shared" si="21"/>
        <v>72870</v>
      </c>
      <c r="E376" s="6">
        <f t="shared" si="22"/>
        <v>4.7382879281969485E-4</v>
      </c>
      <c r="F376" s="5">
        <f ca="1">TODAY()-GETPIVOTDATA("LastPurchaseDate",MaxDate!$A$3,"Customer_name",MaxDate!A378)</f>
        <v>123</v>
      </c>
      <c r="G376" t="str">
        <f t="shared" ca="1" si="23"/>
        <v>Inactive</v>
      </c>
      <c r="H376" s="13">
        <f>RANK(B376,Customer_Tiers[Total_Sales])</f>
        <v>375</v>
      </c>
    </row>
    <row r="377" spans="1:8">
      <c r="A377" t="str">
        <f>'Top Customers'!A379</f>
        <v>VELAYUDHAN VEMPILLY</v>
      </c>
      <c r="B377" s="5">
        <f>IF(A377="","",IFERROR(GETPIVOTDATA("Sales Amount",'Top Customers'!$A$3,"Customer_name",'Top Customers'!A379),""))</f>
        <v>27011</v>
      </c>
      <c r="C377" t="str">
        <f t="shared" si="20"/>
        <v>Regular</v>
      </c>
      <c r="D377">
        <f t="shared" si="21"/>
        <v>72989</v>
      </c>
      <c r="E377" s="6">
        <f t="shared" si="22"/>
        <v>4.7175044315712417E-4</v>
      </c>
      <c r="F377" s="5">
        <f ca="1">TODAY()-GETPIVOTDATA("LastPurchaseDate",MaxDate!$A$3,"Customer_name",MaxDate!A379)</f>
        <v>162</v>
      </c>
      <c r="G377" t="str">
        <f t="shared" ca="1" si="23"/>
        <v>Inactive</v>
      </c>
      <c r="H377" s="13">
        <f>RANK(B377,Customer_Tiers[Total_Sales])</f>
        <v>376</v>
      </c>
    </row>
    <row r="378" spans="1:8">
      <c r="A378" t="str">
        <f>'Top Customers'!A380</f>
        <v>PAREETH DOUBLEPALM</v>
      </c>
      <c r="B378" s="5">
        <f>IF(A378="","",IFERROR(GETPIVOTDATA("Sales Amount",'Top Customers'!$A$3,"Customer_name",'Top Customers'!A380),""))</f>
        <v>27000</v>
      </c>
      <c r="C378" t="str">
        <f t="shared" si="20"/>
        <v>Regular</v>
      </c>
      <c r="D378">
        <f t="shared" si="21"/>
        <v>73000</v>
      </c>
      <c r="E378" s="6">
        <f t="shared" si="22"/>
        <v>4.7155832680176047E-4</v>
      </c>
      <c r="F378" s="5">
        <f ca="1">TODAY()-GETPIVOTDATA("LastPurchaseDate",MaxDate!$A$3,"Customer_name",MaxDate!A380)</f>
        <v>272</v>
      </c>
      <c r="G378" t="str">
        <f t="shared" ca="1" si="23"/>
        <v>Inactive</v>
      </c>
      <c r="H378" s="13">
        <f>RANK(B378,Customer_Tiers[Total_Sales])</f>
        <v>377</v>
      </c>
    </row>
    <row r="379" spans="1:8">
      <c r="A379" t="str">
        <f>'Top Customers'!A381</f>
        <v>RAFEEQ KUMMANODE</v>
      </c>
      <c r="B379" s="5">
        <f>IF(A379="","",IFERROR(GETPIVOTDATA("Sales Amount",'Top Customers'!$A$3,"Customer_name",'Top Customers'!A381),""))</f>
        <v>26960</v>
      </c>
      <c r="C379" t="str">
        <f t="shared" si="20"/>
        <v>Regular</v>
      </c>
      <c r="D379">
        <f t="shared" si="21"/>
        <v>73040</v>
      </c>
      <c r="E379" s="6">
        <f t="shared" si="22"/>
        <v>4.7085972187316526E-4</v>
      </c>
      <c r="F379" s="5">
        <f ca="1">TODAY()-GETPIVOTDATA("LastPurchaseDate",MaxDate!$A$3,"Customer_name",MaxDate!A381)</f>
        <v>22</v>
      </c>
      <c r="G379" t="str">
        <f t="shared" ca="1" si="23"/>
        <v>Active</v>
      </c>
      <c r="H379" s="13">
        <f>RANK(B379,Customer_Tiers[Total_Sales])</f>
        <v>378</v>
      </c>
    </row>
    <row r="380" spans="1:8">
      <c r="A380" t="str">
        <f>'Top Customers'!A382</f>
        <v>SREEKUMAR KILIKULAM</v>
      </c>
      <c r="B380" s="5">
        <f>IF(A380="","",IFERROR(GETPIVOTDATA("Sales Amount",'Top Customers'!$A$3,"Customer_name",'Top Customers'!A382),""))</f>
        <v>26665</v>
      </c>
      <c r="C380" t="str">
        <f t="shared" si="20"/>
        <v>Regular</v>
      </c>
      <c r="D380">
        <f t="shared" si="21"/>
        <v>73335</v>
      </c>
      <c r="E380" s="6">
        <f t="shared" si="22"/>
        <v>4.6570751052477566E-4</v>
      </c>
      <c r="F380" s="5">
        <f ca="1">TODAY()-GETPIVOTDATA("LastPurchaseDate",MaxDate!$A$3,"Customer_name",MaxDate!A382)</f>
        <v>101</v>
      </c>
      <c r="G380" t="str">
        <f t="shared" ca="1" si="23"/>
        <v>At Risk</v>
      </c>
      <c r="H380" s="13">
        <f>RANK(B380,Customer_Tiers[Total_Sales])</f>
        <v>379</v>
      </c>
    </row>
    <row r="381" spans="1:8">
      <c r="A381" t="str">
        <f>'Top Customers'!A383</f>
        <v>THAMPI , PATTIMATTAM</v>
      </c>
      <c r="B381" s="5">
        <f>IF(A381="","",IFERROR(GETPIVOTDATA("Sales Amount",'Top Customers'!$A$3,"Customer_name",'Top Customers'!A383),""))</f>
        <v>26420</v>
      </c>
      <c r="C381" t="str">
        <f t="shared" si="20"/>
        <v>Regular</v>
      </c>
      <c r="D381">
        <f t="shared" si="21"/>
        <v>73580</v>
      </c>
      <c r="E381" s="6">
        <f t="shared" si="22"/>
        <v>4.6142855533713007E-4</v>
      </c>
      <c r="F381" s="5">
        <f ca="1">TODAY()-GETPIVOTDATA("LastPurchaseDate",MaxDate!$A$3,"Customer_name",MaxDate!A383)</f>
        <v>124</v>
      </c>
      <c r="G381" t="str">
        <f t="shared" ca="1" si="23"/>
        <v>Inactive</v>
      </c>
      <c r="H381" s="13">
        <f>RANK(B381,Customer_Tiers[Total_Sales])</f>
        <v>380</v>
      </c>
    </row>
    <row r="382" spans="1:8">
      <c r="A382" t="str">
        <f>'Top Customers'!A384</f>
        <v>ELDHOSE PANTHANAMOLAYIL</v>
      </c>
      <c r="B382" s="5">
        <f>IF(A382="","",IFERROR(GETPIVOTDATA("Sales Amount",'Top Customers'!$A$3,"Customer_name",'Top Customers'!A384),""))</f>
        <v>26272</v>
      </c>
      <c r="C382" t="str">
        <f t="shared" si="20"/>
        <v>Regular</v>
      </c>
      <c r="D382">
        <f t="shared" si="21"/>
        <v>73728</v>
      </c>
      <c r="E382" s="6">
        <f t="shared" si="22"/>
        <v>4.5884371710132782E-4</v>
      </c>
      <c r="F382" s="5">
        <f ca="1">TODAY()-GETPIVOTDATA("LastPurchaseDate",MaxDate!$A$3,"Customer_name",MaxDate!A384)</f>
        <v>151</v>
      </c>
      <c r="G382" t="str">
        <f t="shared" ca="1" si="23"/>
        <v>Inactive</v>
      </c>
      <c r="H382" s="13">
        <f>RANK(B382,Customer_Tiers[Total_Sales])</f>
        <v>381</v>
      </c>
    </row>
    <row r="383" spans="1:8">
      <c r="A383" t="str">
        <f>'Top Customers'!A385</f>
        <v>SUKUMARAN CHENGARA</v>
      </c>
      <c r="B383" s="5">
        <f>IF(A383="","",IFERROR(GETPIVOTDATA("Sales Amount",'Top Customers'!$A$3,"Customer_name",'Top Customers'!A385),""))</f>
        <v>26156</v>
      </c>
      <c r="C383" t="str">
        <f t="shared" si="20"/>
        <v>Regular</v>
      </c>
      <c r="D383">
        <f t="shared" si="21"/>
        <v>73844</v>
      </c>
      <c r="E383" s="6">
        <f t="shared" si="22"/>
        <v>4.5681776280840172E-4</v>
      </c>
      <c r="F383" s="5">
        <f ca="1">TODAY()-GETPIVOTDATA("LastPurchaseDate",MaxDate!$A$3,"Customer_name",MaxDate!A385)</f>
        <v>291</v>
      </c>
      <c r="G383" t="str">
        <f t="shared" ca="1" si="23"/>
        <v>Inactive</v>
      </c>
      <c r="H383" s="13">
        <f>RANK(B383,Customer_Tiers[Total_Sales])</f>
        <v>382</v>
      </c>
    </row>
    <row r="384" spans="1:8">
      <c r="A384" t="str">
        <f>'Top Customers'!A386</f>
        <v>MAITHEEN TRUSS</v>
      </c>
      <c r="B384" s="5">
        <f>IF(A384="","",IFERROR(GETPIVOTDATA("Sales Amount",'Top Customers'!$A$3,"Customer_name",'Top Customers'!A386),""))</f>
        <v>26154</v>
      </c>
      <c r="C384" t="str">
        <f t="shared" si="20"/>
        <v>Regular</v>
      </c>
      <c r="D384">
        <f t="shared" si="21"/>
        <v>73846</v>
      </c>
      <c r="E384" s="6">
        <f t="shared" si="22"/>
        <v>4.5678283256197198E-4</v>
      </c>
      <c r="F384" s="5">
        <f ca="1">TODAY()-GETPIVOTDATA("LastPurchaseDate",MaxDate!$A$3,"Customer_name",MaxDate!A386)</f>
        <v>153</v>
      </c>
      <c r="G384" t="str">
        <f t="shared" ca="1" si="23"/>
        <v>Inactive</v>
      </c>
      <c r="H384" s="13">
        <f>RANK(B384,Customer_Tiers[Total_Sales])</f>
        <v>383</v>
      </c>
    </row>
    <row r="385" spans="1:8">
      <c r="A385" t="str">
        <f>'Top Customers'!A387</f>
        <v>RENJITH TRUSS PATTIMATTOM</v>
      </c>
      <c r="B385" s="5">
        <f>IF(A385="","",IFERROR(GETPIVOTDATA("Sales Amount",'Top Customers'!$A$3,"Customer_name",'Top Customers'!A387),""))</f>
        <v>26050</v>
      </c>
      <c r="C385" t="str">
        <f t="shared" si="20"/>
        <v>Regular</v>
      </c>
      <c r="D385">
        <f t="shared" si="21"/>
        <v>73950</v>
      </c>
      <c r="E385" s="6">
        <f t="shared" si="22"/>
        <v>4.5496645974762447E-4</v>
      </c>
      <c r="F385" s="5">
        <f ca="1">TODAY()-GETPIVOTDATA("LastPurchaseDate",MaxDate!$A$3,"Customer_name",MaxDate!A387)</f>
        <v>318</v>
      </c>
      <c r="G385" t="str">
        <f t="shared" ca="1" si="23"/>
        <v>Inactive</v>
      </c>
      <c r="H385" s="13">
        <f>RANK(B385,Customer_Tiers[Total_Sales])</f>
        <v>384</v>
      </c>
    </row>
    <row r="386" spans="1:8">
      <c r="A386" t="str">
        <f>'Top Customers'!A388</f>
        <v>VIJAYAMMA KILIKULAM</v>
      </c>
      <c r="B386" s="5">
        <f>IF(A386="","",IFERROR(GETPIVOTDATA("Sales Amount",'Top Customers'!$A$3,"Customer_name",'Top Customers'!A388),""))</f>
        <v>26004</v>
      </c>
      <c r="C386" t="str">
        <f t="shared" ref="C386:C449" si="24">IF(B386&gt;=1000000,"Platinum",
 IF(B386&gt;=500000,"Gold",
 IF(B386&gt;=100000,"Silver","Regular")))</f>
        <v>Regular</v>
      </c>
      <c r="D386">
        <f t="shared" ref="D386:D449" si="25">IF(C386="Platinum",0,
 IF(C386="Gold",1000000-B386,
 IF(C386="Silver",500000-B386,
 IF(C386="Regular",100000-B386,0))))</f>
        <v>73996</v>
      </c>
      <c r="E386" s="6">
        <f t="shared" ref="E386:E449" si="26">B386/SUM(B:B)</f>
        <v>4.5416306407973999E-4</v>
      </c>
      <c r="F386" s="5">
        <f ca="1">TODAY()-GETPIVOTDATA("LastPurchaseDate",MaxDate!$A$3,"Customer_name",MaxDate!A388)</f>
        <v>291</v>
      </c>
      <c r="G386" t="str">
        <f t="shared" ref="G386:G449" ca="1" si="27">IF(F386="","",
 IF(F386&lt;=60,"Active",
 IF(F386&lt;=120,"At Risk","Inactive")))</f>
        <v>Inactive</v>
      </c>
      <c r="H386" s="13">
        <f>RANK(B386,Customer_Tiers[Total_Sales])</f>
        <v>385</v>
      </c>
    </row>
    <row r="387" spans="1:8">
      <c r="A387" t="str">
        <f>'Top Customers'!A389</f>
        <v>ST.THOMAS CHURCH</v>
      </c>
      <c r="B387" s="5">
        <f>IF(A387="","",IFERROR(GETPIVOTDATA("Sales Amount",'Top Customers'!$A$3,"Customer_name",'Top Customers'!A389),""))</f>
        <v>25994</v>
      </c>
      <c r="C387" t="str">
        <f t="shared" si="24"/>
        <v>Regular</v>
      </c>
      <c r="D387">
        <f t="shared" si="25"/>
        <v>74006</v>
      </c>
      <c r="E387" s="6">
        <f t="shared" si="26"/>
        <v>4.5398841284759119E-4</v>
      </c>
      <c r="F387" s="5">
        <f ca="1">TODAY()-GETPIVOTDATA("LastPurchaseDate",MaxDate!$A$3,"Customer_name",MaxDate!A389)</f>
        <v>62</v>
      </c>
      <c r="G387" t="str">
        <f t="shared" ca="1" si="27"/>
        <v>At Risk</v>
      </c>
      <c r="H387" s="13">
        <f>RANK(B387,Customer_Tiers[Total_Sales])</f>
        <v>386</v>
      </c>
    </row>
    <row r="388" spans="1:8">
      <c r="A388" t="str">
        <f>'Top Customers'!A390</f>
        <v>SUNIL KILIKULAM</v>
      </c>
      <c r="B388" s="5">
        <f>IF(A388="","",IFERROR(GETPIVOTDATA("Sales Amount",'Top Customers'!$A$3,"Customer_name",'Top Customers'!A390),""))</f>
        <v>25940</v>
      </c>
      <c r="C388" t="str">
        <f t="shared" si="24"/>
        <v>Regular</v>
      </c>
      <c r="D388">
        <f t="shared" si="25"/>
        <v>74060</v>
      </c>
      <c r="E388" s="6">
        <f t="shared" si="26"/>
        <v>4.5304529619398764E-4</v>
      </c>
      <c r="F388" s="5">
        <f ca="1">TODAY()-GETPIVOTDATA("LastPurchaseDate",MaxDate!$A$3,"Customer_name",MaxDate!A390)</f>
        <v>9</v>
      </c>
      <c r="G388" t="str">
        <f t="shared" ca="1" si="27"/>
        <v>Active</v>
      </c>
      <c r="H388" s="13">
        <f>RANK(B388,Customer_Tiers[Total_Sales])</f>
        <v>387</v>
      </c>
    </row>
    <row r="389" spans="1:8">
      <c r="A389" t="str">
        <f>'Top Customers'!A391</f>
        <v>BIJU , NJARALLOOR</v>
      </c>
      <c r="B389" s="5">
        <f>IF(A389="","",IFERROR(GETPIVOTDATA("Sales Amount",'Top Customers'!$A$3,"Customer_name",'Top Customers'!A391),""))</f>
        <v>25764</v>
      </c>
      <c r="C389" t="str">
        <f t="shared" si="24"/>
        <v>Regular</v>
      </c>
      <c r="D389">
        <f t="shared" si="25"/>
        <v>74236</v>
      </c>
      <c r="E389" s="6">
        <f t="shared" si="26"/>
        <v>4.4997143450816878E-4</v>
      </c>
      <c r="F389" s="5">
        <f ca="1">TODAY()-GETPIVOTDATA("LastPurchaseDate",MaxDate!$A$3,"Customer_name",MaxDate!A391)</f>
        <v>106</v>
      </c>
      <c r="G389" t="str">
        <f t="shared" ca="1" si="27"/>
        <v>At Risk</v>
      </c>
      <c r="H389" s="13">
        <f>RANK(B389,Customer_Tiers[Total_Sales])</f>
        <v>388</v>
      </c>
    </row>
    <row r="390" spans="1:8">
      <c r="A390" t="str">
        <f>'Top Customers'!A392</f>
        <v>ARADHANA ,CHOORAKODE</v>
      </c>
      <c r="B390" s="5">
        <f>IF(A390="","",IFERROR(GETPIVOTDATA("Sales Amount",'Top Customers'!$A$3,"Customer_name",'Top Customers'!A392),""))</f>
        <v>25626</v>
      </c>
      <c r="C390" t="str">
        <f t="shared" si="24"/>
        <v>Regular</v>
      </c>
      <c r="D390">
        <f t="shared" si="25"/>
        <v>74374</v>
      </c>
      <c r="E390" s="6">
        <f t="shared" si="26"/>
        <v>4.4756124750451533E-4</v>
      </c>
      <c r="F390" s="5">
        <f ca="1">TODAY()-GETPIVOTDATA("LastPurchaseDate",MaxDate!$A$3,"Customer_name",MaxDate!A392)</f>
        <v>19</v>
      </c>
      <c r="G390" t="str">
        <f t="shared" ca="1" si="27"/>
        <v>Active</v>
      </c>
      <c r="H390" s="13">
        <f>RANK(B390,Customer_Tiers[Total_Sales])</f>
        <v>389</v>
      </c>
    </row>
    <row r="391" spans="1:8">
      <c r="A391" t="str">
        <f>'Top Customers'!A393</f>
        <v>AKASH FLAVOURFAV</v>
      </c>
      <c r="B391" s="5">
        <f>IF(A391="","",IFERROR(GETPIVOTDATA("Sales Amount",'Top Customers'!$A$3,"Customer_name",'Top Customers'!A393),""))</f>
        <v>25590</v>
      </c>
      <c r="C391" t="str">
        <f t="shared" si="24"/>
        <v>Regular</v>
      </c>
      <c r="D391">
        <f t="shared" si="25"/>
        <v>74410</v>
      </c>
      <c r="E391" s="6">
        <f t="shared" si="26"/>
        <v>4.4693250306877965E-4</v>
      </c>
      <c r="F391" s="5">
        <f ca="1">TODAY()-GETPIVOTDATA("LastPurchaseDate",MaxDate!$A$3,"Customer_name",MaxDate!A393)</f>
        <v>320</v>
      </c>
      <c r="G391" t="str">
        <f t="shared" ca="1" si="27"/>
        <v>Inactive</v>
      </c>
      <c r="H391" s="13">
        <f>RANK(B391,Customer_Tiers[Total_Sales])</f>
        <v>390</v>
      </c>
    </row>
    <row r="392" spans="1:8">
      <c r="A392" t="str">
        <f>'Top Customers'!A394</f>
        <v>SUNIL DOUBLEPALAM</v>
      </c>
      <c r="B392" s="5">
        <f>IF(A392="","",IFERROR(GETPIVOTDATA("Sales Amount",'Top Customers'!$A$3,"Customer_name",'Top Customers'!A394),""))</f>
        <v>25434</v>
      </c>
      <c r="C392" t="str">
        <f t="shared" si="24"/>
        <v>Regular</v>
      </c>
      <c r="D392">
        <f t="shared" si="25"/>
        <v>74566</v>
      </c>
      <c r="E392" s="6">
        <f t="shared" si="26"/>
        <v>4.4420794384725834E-4</v>
      </c>
      <c r="F392" s="5">
        <f ca="1">TODAY()-GETPIVOTDATA("LastPurchaseDate",MaxDate!$A$3,"Customer_name",MaxDate!A394)</f>
        <v>93</v>
      </c>
      <c r="G392" t="str">
        <f t="shared" ca="1" si="27"/>
        <v>At Risk</v>
      </c>
      <c r="H392" s="13">
        <f>RANK(B392,Customer_Tiers[Total_Sales])</f>
        <v>391</v>
      </c>
    </row>
    <row r="393" spans="1:8">
      <c r="A393" t="str">
        <f>'Top Customers'!A395</f>
        <v>SUKUMARAN THOTTATHIKUDY</v>
      </c>
      <c r="B393" s="5">
        <f>IF(A393="","",IFERROR(GETPIVOTDATA("Sales Amount",'Top Customers'!$A$3,"Customer_name",'Top Customers'!A395),""))</f>
        <v>25388</v>
      </c>
      <c r="C393" t="str">
        <f t="shared" si="24"/>
        <v>Regular</v>
      </c>
      <c r="D393">
        <f t="shared" si="25"/>
        <v>74612</v>
      </c>
      <c r="E393" s="6">
        <f t="shared" si="26"/>
        <v>4.4340454817937385E-4</v>
      </c>
      <c r="F393" s="5">
        <f ca="1">TODAY()-GETPIVOTDATA("LastPurchaseDate",MaxDate!$A$3,"Customer_name",MaxDate!A395)</f>
        <v>29</v>
      </c>
      <c r="G393" t="str">
        <f t="shared" ca="1" si="27"/>
        <v>Active</v>
      </c>
      <c r="H393" s="13">
        <f>RANK(B393,Customer_Tiers[Total_Sales])</f>
        <v>392</v>
      </c>
    </row>
    <row r="394" spans="1:8">
      <c r="A394" t="str">
        <f>'Top Customers'!A396</f>
        <v>VELAYUDHAN K K</v>
      </c>
      <c r="B394" s="5">
        <f>IF(A394="","",IFERROR(GETPIVOTDATA("Sales Amount",'Top Customers'!$A$3,"Customer_name",'Top Customers'!A396),""))</f>
        <v>25357</v>
      </c>
      <c r="C394" t="str">
        <f t="shared" si="24"/>
        <v>Regular</v>
      </c>
      <c r="D394">
        <f t="shared" si="25"/>
        <v>74643</v>
      </c>
      <c r="E394" s="6">
        <f t="shared" si="26"/>
        <v>4.428631293597126E-4</v>
      </c>
      <c r="F394" s="5">
        <f ca="1">TODAY()-GETPIVOTDATA("LastPurchaseDate",MaxDate!$A$3,"Customer_name",MaxDate!A396)</f>
        <v>318</v>
      </c>
      <c r="G394" t="str">
        <f t="shared" ca="1" si="27"/>
        <v>Inactive</v>
      </c>
      <c r="H394" s="13">
        <f>RANK(B394,Customer_Tiers[Total_Sales])</f>
        <v>393</v>
      </c>
    </row>
    <row r="395" spans="1:8">
      <c r="A395" t="str">
        <f>'Top Customers'!A397</f>
        <v>SREEJITH MAZHUVANNOOR</v>
      </c>
      <c r="B395" s="5">
        <f>IF(A395="","",IFERROR(GETPIVOTDATA("Sales Amount",'Top Customers'!$A$3,"Customer_name",'Top Customers'!A397),""))</f>
        <v>25320</v>
      </c>
      <c r="C395" t="str">
        <f t="shared" si="24"/>
        <v>Regular</v>
      </c>
      <c r="D395">
        <f t="shared" si="25"/>
        <v>74680</v>
      </c>
      <c r="E395" s="6">
        <f t="shared" si="26"/>
        <v>4.4221691980076203E-4</v>
      </c>
      <c r="F395" s="5">
        <f ca="1">TODAY()-GETPIVOTDATA("LastPurchaseDate",MaxDate!$A$3,"Customer_name",MaxDate!A397)</f>
        <v>81</v>
      </c>
      <c r="G395" t="str">
        <f t="shared" ca="1" si="27"/>
        <v>At Risk</v>
      </c>
      <c r="H395" s="13">
        <f>RANK(B395,Customer_Tiers[Total_Sales])</f>
        <v>394</v>
      </c>
    </row>
    <row r="396" spans="1:8">
      <c r="A396" t="str">
        <f>'Top Customers'!A398</f>
        <v>SAJAN PAUL</v>
      </c>
      <c r="B396" s="5">
        <f>IF(A396="","",IFERROR(GETPIVOTDATA("Sales Amount",'Top Customers'!$A$3,"Customer_name",'Top Customers'!A398),""))</f>
        <v>25290</v>
      </c>
      <c r="C396" t="str">
        <f t="shared" si="24"/>
        <v>Regular</v>
      </c>
      <c r="D396">
        <f t="shared" si="25"/>
        <v>74710</v>
      </c>
      <c r="E396" s="6">
        <f t="shared" si="26"/>
        <v>4.4169296610431562E-4</v>
      </c>
      <c r="F396" s="5">
        <f ca="1">TODAY()-GETPIVOTDATA("LastPurchaseDate",MaxDate!$A$3,"Customer_name",MaxDate!A398)</f>
        <v>55</v>
      </c>
      <c r="G396" t="str">
        <f t="shared" ca="1" si="27"/>
        <v>Active</v>
      </c>
      <c r="H396" s="13">
        <f>RANK(B396,Customer_Tiers[Total_Sales])</f>
        <v>395</v>
      </c>
    </row>
    <row r="397" spans="1:8">
      <c r="A397" t="str">
        <f>'Top Customers'!A399</f>
        <v>N S S KARAYOGAM VALMBOOR</v>
      </c>
      <c r="B397" s="5">
        <f>IF(A397="","",IFERROR(GETPIVOTDATA("Sales Amount",'Top Customers'!$A$3,"Customer_name",'Top Customers'!A399),""))</f>
        <v>25275</v>
      </c>
      <c r="C397" t="str">
        <f t="shared" si="24"/>
        <v>Regular</v>
      </c>
      <c r="D397">
        <f t="shared" si="25"/>
        <v>74725</v>
      </c>
      <c r="E397" s="6">
        <f t="shared" si="26"/>
        <v>4.4143098925609244E-4</v>
      </c>
      <c r="F397" s="5">
        <f ca="1">TODAY()-GETPIVOTDATA("LastPurchaseDate",MaxDate!$A$3,"Customer_name",MaxDate!A399)</f>
        <v>249</v>
      </c>
      <c r="G397" t="str">
        <f t="shared" ca="1" si="27"/>
        <v>Inactive</v>
      </c>
      <c r="H397" s="13">
        <f>RANK(B397,Customer_Tiers[Total_Sales])</f>
        <v>396</v>
      </c>
    </row>
    <row r="398" spans="1:8">
      <c r="A398" t="str">
        <f>'Top Customers'!A400</f>
        <v>MOHANAN KIZHAKKAMBALAM</v>
      </c>
      <c r="B398" s="5">
        <f>IF(A398="","",IFERROR(GETPIVOTDATA("Sales Amount",'Top Customers'!$A$3,"Customer_name",'Top Customers'!A400),""))</f>
        <v>25252</v>
      </c>
      <c r="C398" t="str">
        <f t="shared" si="24"/>
        <v>Regular</v>
      </c>
      <c r="D398">
        <f t="shared" si="25"/>
        <v>74748</v>
      </c>
      <c r="E398" s="6">
        <f t="shared" si="26"/>
        <v>4.410292914221502E-4</v>
      </c>
      <c r="F398" s="5">
        <f ca="1">TODAY()-GETPIVOTDATA("LastPurchaseDate",MaxDate!$A$3,"Customer_name",MaxDate!A400)</f>
        <v>249</v>
      </c>
      <c r="G398" t="str">
        <f t="shared" ca="1" si="27"/>
        <v>Inactive</v>
      </c>
      <c r="H398" s="13">
        <f>RANK(B398,Customer_Tiers[Total_Sales])</f>
        <v>397</v>
      </c>
    </row>
    <row r="399" spans="1:8">
      <c r="A399" t="str">
        <f>'Top Customers'!A401</f>
        <v>CLASSIC INDUSTRIES</v>
      </c>
      <c r="B399" s="5">
        <f>IF(A399="","",IFERROR(GETPIVOTDATA("Sales Amount",'Top Customers'!$A$3,"Customer_name",'Top Customers'!A401),""))</f>
        <v>25243</v>
      </c>
      <c r="C399" t="str">
        <f t="shared" si="24"/>
        <v>Regular</v>
      </c>
      <c r="D399">
        <f t="shared" si="25"/>
        <v>74757</v>
      </c>
      <c r="E399" s="6">
        <f t="shared" si="26"/>
        <v>4.4087210531321629E-4</v>
      </c>
      <c r="F399" s="5">
        <f ca="1">TODAY()-GETPIVOTDATA("LastPurchaseDate",MaxDate!$A$3,"Customer_name",MaxDate!A401)</f>
        <v>41</v>
      </c>
      <c r="G399" t="str">
        <f t="shared" ca="1" si="27"/>
        <v>Active</v>
      </c>
      <c r="H399" s="13">
        <f>RANK(B399,Customer_Tiers[Total_Sales])</f>
        <v>398</v>
      </c>
    </row>
    <row r="400" spans="1:8">
      <c r="A400" t="str">
        <f>'Top Customers'!A402</f>
        <v>KAREEM KAVUNGAPARAMBU</v>
      </c>
      <c r="B400" s="5">
        <f>IF(A400="","",IFERROR(GETPIVOTDATA("Sales Amount",'Top Customers'!$A$3,"Customer_name",'Top Customers'!A402),""))</f>
        <v>25160</v>
      </c>
      <c r="C400" t="str">
        <f t="shared" si="24"/>
        <v>Regular</v>
      </c>
      <c r="D400">
        <f t="shared" si="25"/>
        <v>74840</v>
      </c>
      <c r="E400" s="6">
        <f t="shared" si="26"/>
        <v>4.3942250008638124E-4</v>
      </c>
      <c r="F400" s="5">
        <f ca="1">TODAY()-GETPIVOTDATA("LastPurchaseDate",MaxDate!$A$3,"Customer_name",MaxDate!A402)</f>
        <v>179</v>
      </c>
      <c r="G400" t="str">
        <f t="shared" ca="1" si="27"/>
        <v>Inactive</v>
      </c>
      <c r="H400" s="13">
        <f>RANK(B400,Customer_Tiers[Total_Sales])</f>
        <v>399</v>
      </c>
    </row>
    <row r="401" spans="1:8">
      <c r="A401" t="str">
        <f>'Top Customers'!A403</f>
        <v>S R GROUP OF COMPANIES</v>
      </c>
      <c r="B401" s="5">
        <f>IF(A401="","",IFERROR(GETPIVOTDATA("Sales Amount",'Top Customers'!$A$3,"Customer_name",'Top Customers'!A403),""))</f>
        <v>25070</v>
      </c>
      <c r="C401" t="str">
        <f t="shared" si="24"/>
        <v>Regular</v>
      </c>
      <c r="D401">
        <f t="shared" si="25"/>
        <v>74930</v>
      </c>
      <c r="E401" s="6">
        <f t="shared" si="26"/>
        <v>4.3785063899704201E-4</v>
      </c>
      <c r="F401" s="5">
        <f ca="1">TODAY()-GETPIVOTDATA("LastPurchaseDate",MaxDate!$A$3,"Customer_name",MaxDate!A403)</f>
        <v>328</v>
      </c>
      <c r="G401" t="str">
        <f t="shared" ca="1" si="27"/>
        <v>Inactive</v>
      </c>
      <c r="H401" s="13">
        <f>RANK(B401,Customer_Tiers[Total_Sales])</f>
        <v>400</v>
      </c>
    </row>
    <row r="402" spans="1:8">
      <c r="A402" t="str">
        <f>'Top Customers'!A404</f>
        <v>SAJEEV K K</v>
      </c>
      <c r="B402" s="5">
        <f>IF(A402="","",IFERROR(GETPIVOTDATA("Sales Amount",'Top Customers'!$A$3,"Customer_name",'Top Customers'!A404),""))</f>
        <v>24830</v>
      </c>
      <c r="C402" t="str">
        <f t="shared" si="24"/>
        <v>Regular</v>
      </c>
      <c r="D402">
        <f t="shared" si="25"/>
        <v>75170</v>
      </c>
      <c r="E402" s="6">
        <f t="shared" si="26"/>
        <v>4.3365900942547085E-4</v>
      </c>
      <c r="F402" s="5">
        <f ca="1">TODAY()-GETPIVOTDATA("LastPurchaseDate",MaxDate!$A$3,"Customer_name",MaxDate!A404)</f>
        <v>311</v>
      </c>
      <c r="G402" t="str">
        <f t="shared" ca="1" si="27"/>
        <v>Inactive</v>
      </c>
      <c r="H402" s="13">
        <f>RANK(B402,Customer_Tiers[Total_Sales])</f>
        <v>401</v>
      </c>
    </row>
    <row r="403" spans="1:8">
      <c r="A403" t="str">
        <f>'Top Customers'!A405</f>
        <v>SUNNY MANGALATHUNADA</v>
      </c>
      <c r="B403" s="5">
        <f>IF(A403="","",IFERROR(GETPIVOTDATA("Sales Amount",'Top Customers'!$A$3,"Customer_name",'Top Customers'!A405),""))</f>
        <v>24799</v>
      </c>
      <c r="C403" t="str">
        <f t="shared" si="24"/>
        <v>Regular</v>
      </c>
      <c r="D403">
        <f t="shared" si="25"/>
        <v>75201</v>
      </c>
      <c r="E403" s="6">
        <f t="shared" si="26"/>
        <v>4.3311759060580955E-4</v>
      </c>
      <c r="F403" s="5">
        <f ca="1">TODAY()-GETPIVOTDATA("LastPurchaseDate",MaxDate!$A$3,"Customer_name",MaxDate!A405)</f>
        <v>153</v>
      </c>
      <c r="G403" t="str">
        <f t="shared" ca="1" si="27"/>
        <v>Inactive</v>
      </c>
      <c r="H403" s="13">
        <f>RANK(B403,Customer_Tiers[Total_Sales])</f>
        <v>402</v>
      </c>
    </row>
    <row r="404" spans="1:8">
      <c r="A404" t="str">
        <f>'Top Customers'!A406</f>
        <v>MIDHUN VALAMBOOR</v>
      </c>
      <c r="B404" s="5">
        <f>IF(A404="","",IFERROR(GETPIVOTDATA("Sales Amount",'Top Customers'!$A$3,"Customer_name",'Top Customers'!A406),""))</f>
        <v>24636</v>
      </c>
      <c r="C404" t="str">
        <f t="shared" si="24"/>
        <v>Regular</v>
      </c>
      <c r="D404">
        <f t="shared" si="25"/>
        <v>75364</v>
      </c>
      <c r="E404" s="6">
        <f t="shared" si="26"/>
        <v>4.3027077552178412E-4</v>
      </c>
      <c r="F404" s="5">
        <f ca="1">TODAY()-GETPIVOTDATA("LastPurchaseDate",MaxDate!$A$3,"Customer_name",MaxDate!A406)</f>
        <v>297</v>
      </c>
      <c r="G404" t="str">
        <f t="shared" ca="1" si="27"/>
        <v>Inactive</v>
      </c>
      <c r="H404" s="13">
        <f>RANK(B404,Customer_Tiers[Total_Sales])</f>
        <v>403</v>
      </c>
    </row>
    <row r="405" spans="1:8">
      <c r="A405" t="str">
        <f>'Top Customers'!A407</f>
        <v>VARGHESE THATTAMUGAL</v>
      </c>
      <c r="B405" s="5">
        <f>IF(A405="","",IFERROR(GETPIVOTDATA("Sales Amount",'Top Customers'!$A$3,"Customer_name",'Top Customers'!A407),""))</f>
        <v>24547</v>
      </c>
      <c r="C405" t="str">
        <f t="shared" si="24"/>
        <v>Regular</v>
      </c>
      <c r="D405">
        <f t="shared" si="25"/>
        <v>75453</v>
      </c>
      <c r="E405" s="6">
        <f t="shared" si="26"/>
        <v>4.2871637955565979E-4</v>
      </c>
      <c r="F405" s="5">
        <f ca="1">TODAY()-GETPIVOTDATA("LastPurchaseDate",MaxDate!$A$3,"Customer_name",MaxDate!A407)</f>
        <v>51</v>
      </c>
      <c r="G405" t="str">
        <f t="shared" ca="1" si="27"/>
        <v>Active</v>
      </c>
      <c r="H405" s="13">
        <f>RANK(B405,Customer_Tiers[Total_Sales])</f>
        <v>404</v>
      </c>
    </row>
    <row r="406" spans="1:8">
      <c r="A406" t="str">
        <f>'Top Customers'!A408</f>
        <v>IMPERIAL EXTRACTS</v>
      </c>
      <c r="B406" s="5">
        <f>IF(A406="","",IFERROR(GETPIVOTDATA("Sales Amount",'Top Customers'!$A$3,"Customer_name",'Top Customers'!A408),""))</f>
        <v>24530</v>
      </c>
      <c r="C406" t="str">
        <f t="shared" si="24"/>
        <v>Regular</v>
      </c>
      <c r="D406">
        <f t="shared" si="25"/>
        <v>75470</v>
      </c>
      <c r="E406" s="6">
        <f t="shared" si="26"/>
        <v>4.2841947246100682E-4</v>
      </c>
      <c r="F406" s="5">
        <f ca="1">TODAY()-GETPIVOTDATA("LastPurchaseDate",MaxDate!$A$3,"Customer_name",MaxDate!A408)</f>
        <v>260</v>
      </c>
      <c r="G406" t="str">
        <f t="shared" ca="1" si="27"/>
        <v>Inactive</v>
      </c>
      <c r="H406" s="13">
        <f>RANK(B406,Customer_Tiers[Total_Sales])</f>
        <v>405</v>
      </c>
    </row>
    <row r="407" spans="1:8">
      <c r="A407" t="str">
        <f>'Top Customers'!A409</f>
        <v>SABU OILICKAL</v>
      </c>
      <c r="B407" s="5">
        <f>IF(A407="","",IFERROR(GETPIVOTDATA("Sales Amount",'Top Customers'!$A$3,"Customer_name",'Top Customers'!A409),""))</f>
        <v>24395</v>
      </c>
      <c r="C407" t="str">
        <f t="shared" si="24"/>
        <v>Regular</v>
      </c>
      <c r="D407">
        <f t="shared" si="25"/>
        <v>75605</v>
      </c>
      <c r="E407" s="6">
        <f t="shared" si="26"/>
        <v>4.2606168082699801E-4</v>
      </c>
      <c r="F407" s="5">
        <f ca="1">TODAY()-GETPIVOTDATA("LastPurchaseDate",MaxDate!$A$3,"Customer_name",MaxDate!A409)</f>
        <v>5</v>
      </c>
      <c r="G407" t="str">
        <f t="shared" ca="1" si="27"/>
        <v>Active</v>
      </c>
      <c r="H407" s="13">
        <f>RANK(B407,Customer_Tiers[Total_Sales])</f>
        <v>406</v>
      </c>
    </row>
    <row r="408" spans="1:8">
      <c r="A408" t="str">
        <f>'Top Customers'!A410</f>
        <v>BUILDWARE ZONE</v>
      </c>
      <c r="B408" s="5">
        <f>IF(A408="","",IFERROR(GETPIVOTDATA("Sales Amount",'Top Customers'!$A$3,"Customer_name",'Top Customers'!A410),""))</f>
        <v>24297</v>
      </c>
      <c r="C408" t="str">
        <f t="shared" si="24"/>
        <v>Regular</v>
      </c>
      <c r="D408">
        <f t="shared" si="25"/>
        <v>75703</v>
      </c>
      <c r="E408" s="6">
        <f t="shared" si="26"/>
        <v>4.2435009875193977E-4</v>
      </c>
      <c r="F408" s="5">
        <f ca="1">TODAY()-GETPIVOTDATA("LastPurchaseDate",MaxDate!$A$3,"Customer_name",MaxDate!A410)</f>
        <v>94</v>
      </c>
      <c r="G408" t="str">
        <f t="shared" ca="1" si="27"/>
        <v>At Risk</v>
      </c>
      <c r="H408" s="13">
        <f>RANK(B408,Customer_Tiers[Total_Sales])</f>
        <v>407</v>
      </c>
    </row>
    <row r="409" spans="1:8">
      <c r="A409" t="str">
        <f>'Top Customers'!A411</f>
        <v>JACOB MAZHUVANNOOR</v>
      </c>
      <c r="B409" s="5">
        <f>IF(A409="","",IFERROR(GETPIVOTDATA("Sales Amount",'Top Customers'!$A$3,"Customer_name",'Top Customers'!A411),""))</f>
        <v>24267</v>
      </c>
      <c r="C409" t="str">
        <f t="shared" si="24"/>
        <v>Regular</v>
      </c>
      <c r="D409">
        <f t="shared" si="25"/>
        <v>75733</v>
      </c>
      <c r="E409" s="6">
        <f t="shared" si="26"/>
        <v>4.2382614505549336E-4</v>
      </c>
      <c r="F409" s="5">
        <f ca="1">TODAY()-GETPIVOTDATA("LastPurchaseDate",MaxDate!$A$3,"Customer_name",MaxDate!A411)</f>
        <v>221</v>
      </c>
      <c r="G409" t="str">
        <f t="shared" ca="1" si="27"/>
        <v>Inactive</v>
      </c>
      <c r="H409" s="13">
        <f>RANK(B409,Customer_Tiers[Total_Sales])</f>
        <v>408</v>
      </c>
    </row>
    <row r="410" spans="1:8">
      <c r="A410" t="str">
        <f>'Top Customers'!A412</f>
        <v>BENNY 9847361933</v>
      </c>
      <c r="B410" s="5">
        <f>IF(A410="","",IFERROR(GETPIVOTDATA("Sales Amount",'Top Customers'!$A$3,"Customer_name",'Top Customers'!A412),""))</f>
        <v>24252</v>
      </c>
      <c r="C410" t="str">
        <f t="shared" si="24"/>
        <v>Regular</v>
      </c>
      <c r="D410">
        <f t="shared" si="25"/>
        <v>75748</v>
      </c>
      <c r="E410" s="6">
        <f t="shared" si="26"/>
        <v>4.2356416820727019E-4</v>
      </c>
      <c r="F410" s="5">
        <f ca="1">TODAY()-GETPIVOTDATA("LastPurchaseDate",MaxDate!$A$3,"Customer_name",MaxDate!A412)</f>
        <v>157</v>
      </c>
      <c r="G410" t="str">
        <f t="shared" ca="1" si="27"/>
        <v>Inactive</v>
      </c>
      <c r="H410" s="13">
        <f>RANK(B410,Customer_Tiers[Total_Sales])</f>
        <v>409</v>
      </c>
    </row>
    <row r="411" spans="1:8">
      <c r="A411" t="str">
        <f>'Top Customers'!A413</f>
        <v>SANOJ VALAMBOOR</v>
      </c>
      <c r="B411" s="5">
        <f>IF(A411="","",IFERROR(GETPIVOTDATA("Sales Amount",'Top Customers'!$A$3,"Customer_name",'Top Customers'!A413),""))</f>
        <v>24134</v>
      </c>
      <c r="C411" t="str">
        <f t="shared" si="24"/>
        <v>Regular</v>
      </c>
      <c r="D411">
        <f t="shared" si="25"/>
        <v>75866</v>
      </c>
      <c r="E411" s="6">
        <f t="shared" si="26"/>
        <v>4.2150328366791435E-4</v>
      </c>
      <c r="F411" s="5">
        <f ca="1">TODAY()-GETPIVOTDATA("LastPurchaseDate",MaxDate!$A$3,"Customer_name",MaxDate!A413)</f>
        <v>254</v>
      </c>
      <c r="G411" t="str">
        <f t="shared" ca="1" si="27"/>
        <v>Inactive</v>
      </c>
      <c r="H411" s="13">
        <f>RANK(B411,Customer_Tiers[Total_Sales])</f>
        <v>410</v>
      </c>
    </row>
    <row r="412" spans="1:8">
      <c r="A412" t="str">
        <f>'Top Customers'!A414</f>
        <v>AJIL PATTIMATTOM</v>
      </c>
      <c r="B412" s="5">
        <f>IF(A412="","",IFERROR(GETPIVOTDATA("Sales Amount",'Top Customers'!$A$3,"Customer_name",'Top Customers'!A414),""))</f>
        <v>24064</v>
      </c>
      <c r="C412" t="str">
        <f t="shared" si="24"/>
        <v>Regular</v>
      </c>
      <c r="D412">
        <f t="shared" si="25"/>
        <v>75936</v>
      </c>
      <c r="E412" s="6">
        <f t="shared" si="26"/>
        <v>4.2028072504287273E-4</v>
      </c>
      <c r="F412" s="5">
        <f ca="1">TODAY()-GETPIVOTDATA("LastPurchaseDate",MaxDate!$A$3,"Customer_name",MaxDate!A414)</f>
        <v>50</v>
      </c>
      <c r="G412" t="str">
        <f t="shared" ca="1" si="27"/>
        <v>Active</v>
      </c>
      <c r="H412" s="13">
        <f>RANK(B412,Customer_Tiers[Total_Sales])</f>
        <v>411</v>
      </c>
    </row>
    <row r="413" spans="1:8">
      <c r="A413" t="str">
        <f>'Top Customers'!A415</f>
        <v>SIVASAKTHI CABLES</v>
      </c>
      <c r="B413" s="5">
        <f>IF(A413="","",IFERROR(GETPIVOTDATA("Sales Amount",'Top Customers'!$A$3,"Customer_name",'Top Customers'!A415),""))</f>
        <v>23945</v>
      </c>
      <c r="C413" t="str">
        <f t="shared" si="24"/>
        <v>Regular</v>
      </c>
      <c r="D413">
        <f t="shared" si="25"/>
        <v>76055</v>
      </c>
      <c r="E413" s="6">
        <f t="shared" si="26"/>
        <v>4.1820237538030199E-4</v>
      </c>
      <c r="F413" s="5">
        <f ca="1">TODAY()-GETPIVOTDATA("LastPurchaseDate",MaxDate!$A$3,"Customer_name",MaxDate!A415)</f>
        <v>54</v>
      </c>
      <c r="G413" t="str">
        <f t="shared" ca="1" si="27"/>
        <v>Active</v>
      </c>
      <c r="H413" s="13">
        <f>RANK(B413,Customer_Tiers[Total_Sales])</f>
        <v>412</v>
      </c>
    </row>
    <row r="414" spans="1:8">
      <c r="A414" t="str">
        <f>'Top Customers'!A416</f>
        <v>KANDANADAN TRADERS</v>
      </c>
      <c r="B414" s="5">
        <f>IF(A414="","",IFERROR(GETPIVOTDATA("Sales Amount",'Top Customers'!$A$3,"Customer_name",'Top Customers'!A416),""))</f>
        <v>23790</v>
      </c>
      <c r="C414" t="str">
        <f t="shared" si="24"/>
        <v>Regular</v>
      </c>
      <c r="D414">
        <f t="shared" si="25"/>
        <v>76210</v>
      </c>
      <c r="E414" s="6">
        <f t="shared" si="26"/>
        <v>4.1549528128199563E-4</v>
      </c>
      <c r="F414" s="5">
        <f ca="1">TODAY()-GETPIVOTDATA("LastPurchaseDate",MaxDate!$A$3,"Customer_name",MaxDate!A416)</f>
        <v>326</v>
      </c>
      <c r="G414" t="str">
        <f t="shared" ca="1" si="27"/>
        <v>Inactive</v>
      </c>
      <c r="H414" s="13">
        <f>RANK(B414,Customer_Tiers[Total_Sales])</f>
        <v>413</v>
      </c>
    </row>
    <row r="415" spans="1:8">
      <c r="A415" t="str">
        <f>'Top Customers'!A417</f>
        <v>ELJO PAUL</v>
      </c>
      <c r="B415" s="5">
        <f>IF(A415="","",IFERROR(GETPIVOTDATA("Sales Amount",'Top Customers'!$A$3,"Customer_name",'Top Customers'!A417),""))</f>
        <v>23673</v>
      </c>
      <c r="C415" t="str">
        <f t="shared" si="24"/>
        <v>Regular</v>
      </c>
      <c r="D415">
        <f t="shared" si="25"/>
        <v>76327</v>
      </c>
      <c r="E415" s="6">
        <f t="shared" si="26"/>
        <v>4.1345186186585463E-4</v>
      </c>
      <c r="F415" s="5">
        <f ca="1">TODAY()-GETPIVOTDATA("LastPurchaseDate",MaxDate!$A$3,"Customer_name",MaxDate!A417)</f>
        <v>31</v>
      </c>
      <c r="G415" t="str">
        <f t="shared" ca="1" si="27"/>
        <v>Active</v>
      </c>
      <c r="H415" s="13">
        <f>RANK(B415,Customer_Tiers[Total_Sales])</f>
        <v>414</v>
      </c>
    </row>
    <row r="416" spans="1:8">
      <c r="A416" t="str">
        <f>'Top Customers'!A418</f>
        <v>BHASKARAN PATTIMATTOM</v>
      </c>
      <c r="B416" s="5">
        <f>IF(A416="","",IFERROR(GETPIVOTDATA("Sales Amount",'Top Customers'!$A$3,"Customer_name",'Top Customers'!A418),""))</f>
        <v>23642</v>
      </c>
      <c r="C416" t="str">
        <f t="shared" si="24"/>
        <v>Regular</v>
      </c>
      <c r="D416">
        <f t="shared" si="25"/>
        <v>76358</v>
      </c>
      <c r="E416" s="6">
        <f t="shared" si="26"/>
        <v>4.1291044304619338E-4</v>
      </c>
      <c r="F416" s="5">
        <f ca="1">TODAY()-GETPIVOTDATA("LastPurchaseDate",MaxDate!$A$3,"Customer_name",MaxDate!A418)</f>
        <v>40</v>
      </c>
      <c r="G416" t="str">
        <f t="shared" ca="1" si="27"/>
        <v>Active</v>
      </c>
      <c r="H416" s="13">
        <f>RANK(B416,Customer_Tiers[Total_Sales])</f>
        <v>415</v>
      </c>
    </row>
    <row r="417" spans="1:8">
      <c r="A417" t="str">
        <f>'Top Customers'!A419</f>
        <v>GOPALAKRISHNAN MAZHUVANNOOR</v>
      </c>
      <c r="B417" s="5">
        <f>IF(A417="","",IFERROR(GETPIVOTDATA("Sales Amount",'Top Customers'!$A$3,"Customer_name",'Top Customers'!A419),""))</f>
        <v>23593</v>
      </c>
      <c r="C417" t="str">
        <f t="shared" si="24"/>
        <v>Regular</v>
      </c>
      <c r="D417">
        <f t="shared" si="25"/>
        <v>76407</v>
      </c>
      <c r="E417" s="6">
        <f t="shared" si="26"/>
        <v>4.1205465200866426E-4</v>
      </c>
      <c r="F417" s="5">
        <f ca="1">TODAY()-GETPIVOTDATA("LastPurchaseDate",MaxDate!$A$3,"Customer_name",MaxDate!A419)</f>
        <v>158</v>
      </c>
      <c r="G417" t="str">
        <f t="shared" ca="1" si="27"/>
        <v>Inactive</v>
      </c>
      <c r="H417" s="13">
        <f>RANK(B417,Customer_Tiers[Total_Sales])</f>
        <v>416</v>
      </c>
    </row>
    <row r="418" spans="1:8">
      <c r="A418" t="str">
        <f>'Top Customers'!A420</f>
        <v>AJAYKOSH VALAMBOOR</v>
      </c>
      <c r="B418" s="5">
        <f>IF(A418="","",IFERROR(GETPIVOTDATA("Sales Amount",'Top Customers'!$A$3,"Customer_name",'Top Customers'!A420),""))</f>
        <v>23574</v>
      </c>
      <c r="C418" t="str">
        <f t="shared" si="24"/>
        <v>Regular</v>
      </c>
      <c r="D418">
        <f t="shared" si="25"/>
        <v>76426</v>
      </c>
      <c r="E418" s="6">
        <f t="shared" si="26"/>
        <v>4.1172281466758155E-4</v>
      </c>
      <c r="F418" s="5">
        <f ca="1">TODAY()-GETPIVOTDATA("LastPurchaseDate",MaxDate!$A$3,"Customer_name",MaxDate!A420)</f>
        <v>251</v>
      </c>
      <c r="G418" t="str">
        <f t="shared" ca="1" si="27"/>
        <v>Inactive</v>
      </c>
      <c r="H418" s="13">
        <f>RANK(B418,Customer_Tiers[Total_Sales])</f>
        <v>417</v>
      </c>
    </row>
    <row r="419" spans="1:8">
      <c r="A419" t="str">
        <f>'Top Customers'!A421</f>
        <v>UMMER COCHIN SALOON</v>
      </c>
      <c r="B419" s="5">
        <f>IF(A419="","",IFERROR(GETPIVOTDATA("Sales Amount",'Top Customers'!$A$3,"Customer_name",'Top Customers'!A421),""))</f>
        <v>23304</v>
      </c>
      <c r="C419" t="str">
        <f t="shared" si="24"/>
        <v>Regular</v>
      </c>
      <c r="D419">
        <f t="shared" si="25"/>
        <v>76696</v>
      </c>
      <c r="E419" s="6">
        <f t="shared" si="26"/>
        <v>4.0700723139956393E-4</v>
      </c>
      <c r="F419" s="5">
        <f ca="1">TODAY()-GETPIVOTDATA("LastPurchaseDate",MaxDate!$A$3,"Customer_name",MaxDate!A421)</f>
        <v>186</v>
      </c>
      <c r="G419" t="str">
        <f t="shared" ca="1" si="27"/>
        <v>Inactive</v>
      </c>
      <c r="H419" s="13">
        <f>RANK(B419,Customer_Tiers[Total_Sales])</f>
        <v>418</v>
      </c>
    </row>
    <row r="420" spans="1:8">
      <c r="A420" t="str">
        <f>'Top Customers'!A422</f>
        <v>HAREESH VALAMBOOR KURIZ</v>
      </c>
      <c r="B420" s="5">
        <f>IF(A420="","",IFERROR(GETPIVOTDATA("Sales Amount",'Top Customers'!$A$3,"Customer_name",'Top Customers'!A422),""))</f>
        <v>23160</v>
      </c>
      <c r="C420" t="str">
        <f t="shared" si="24"/>
        <v>Regular</v>
      </c>
      <c r="D420">
        <f t="shared" si="25"/>
        <v>76840</v>
      </c>
      <c r="E420" s="6">
        <f t="shared" si="26"/>
        <v>4.0449225365662121E-4</v>
      </c>
      <c r="F420" s="5">
        <f ca="1">TODAY()-GETPIVOTDATA("LastPurchaseDate",MaxDate!$A$3,"Customer_name",MaxDate!A422)</f>
        <v>10</v>
      </c>
      <c r="G420" t="str">
        <f t="shared" ca="1" si="27"/>
        <v>Active</v>
      </c>
      <c r="H420" s="13">
        <f>RANK(B420,Customer_Tiers[Total_Sales])</f>
        <v>419</v>
      </c>
    </row>
    <row r="421" spans="1:8">
      <c r="A421" t="str">
        <f>'Top Customers'!A423</f>
        <v>JOMET MAZHUVANNOOR</v>
      </c>
      <c r="B421" s="5">
        <f>IF(A421="","",IFERROR(GETPIVOTDATA("Sales Amount",'Top Customers'!$A$3,"Customer_name",'Top Customers'!A423),""))</f>
        <v>23160</v>
      </c>
      <c r="C421" t="str">
        <f t="shared" si="24"/>
        <v>Regular</v>
      </c>
      <c r="D421">
        <f t="shared" si="25"/>
        <v>76840</v>
      </c>
      <c r="E421" s="6">
        <f t="shared" si="26"/>
        <v>4.0449225365662121E-4</v>
      </c>
      <c r="F421" s="5">
        <f ca="1">TODAY()-GETPIVOTDATA("LastPurchaseDate",MaxDate!$A$3,"Customer_name",MaxDate!A423)</f>
        <v>19</v>
      </c>
      <c r="G421" t="str">
        <f t="shared" ca="1" si="27"/>
        <v>Active</v>
      </c>
      <c r="H421" s="13">
        <f>RANK(B421,Customer_Tiers[Total_Sales])</f>
        <v>419</v>
      </c>
    </row>
    <row r="422" spans="1:8">
      <c r="A422" t="str">
        <f>'Top Customers'!A424</f>
        <v>PAPPACHAN , KUZHIKKADU</v>
      </c>
      <c r="B422" s="5">
        <f>IF(A422="","",IFERROR(GETPIVOTDATA("Sales Amount",'Top Customers'!$A$3,"Customer_name",'Top Customers'!A424),""))</f>
        <v>23144</v>
      </c>
      <c r="C422" t="str">
        <f t="shared" si="24"/>
        <v>Regular</v>
      </c>
      <c r="D422">
        <f t="shared" si="25"/>
        <v>76856</v>
      </c>
      <c r="E422" s="6">
        <f t="shared" si="26"/>
        <v>4.0421281168518314E-4</v>
      </c>
      <c r="F422" s="5">
        <f ca="1">TODAY()-GETPIVOTDATA("LastPurchaseDate",MaxDate!$A$3,"Customer_name",MaxDate!A424)</f>
        <v>73</v>
      </c>
      <c r="G422" t="str">
        <f t="shared" ca="1" si="27"/>
        <v>At Risk</v>
      </c>
      <c r="H422" s="13">
        <f>RANK(B422,Customer_Tiers[Total_Sales])</f>
        <v>421</v>
      </c>
    </row>
    <row r="423" spans="1:8">
      <c r="A423" t="str">
        <f>'Top Customers'!A425</f>
        <v>ILLIYAS MEPRATHUPADY</v>
      </c>
      <c r="B423" s="5">
        <f>IF(A423="","",IFERROR(GETPIVOTDATA("Sales Amount",'Top Customers'!$A$3,"Customer_name",'Top Customers'!A425),""))</f>
        <v>23120</v>
      </c>
      <c r="C423" t="str">
        <f t="shared" si="24"/>
        <v>Regular</v>
      </c>
      <c r="D423">
        <f t="shared" si="25"/>
        <v>76880</v>
      </c>
      <c r="E423" s="6">
        <f t="shared" si="26"/>
        <v>4.03793648728026E-4</v>
      </c>
      <c r="F423" s="5">
        <f ca="1">TODAY()-GETPIVOTDATA("LastPurchaseDate",MaxDate!$A$3,"Customer_name",MaxDate!A425)</f>
        <v>262</v>
      </c>
      <c r="G423" t="str">
        <f t="shared" ca="1" si="27"/>
        <v>Inactive</v>
      </c>
      <c r="H423" s="13">
        <f>RANK(B423,Customer_Tiers[Total_Sales])</f>
        <v>422</v>
      </c>
    </row>
    <row r="424" spans="1:8">
      <c r="A424" t="str">
        <f>'Top Customers'!A426</f>
        <v>SLEEBA PAREPPEDIKA</v>
      </c>
      <c r="B424" s="5">
        <f>IF(A424="","",IFERROR(GETPIVOTDATA("Sales Amount",'Top Customers'!$A$3,"Customer_name",'Top Customers'!A426),""))</f>
        <v>23052</v>
      </c>
      <c r="C424" t="str">
        <f t="shared" si="24"/>
        <v>Regular</v>
      </c>
      <c r="D424">
        <f t="shared" si="25"/>
        <v>76948</v>
      </c>
      <c r="E424" s="6">
        <f t="shared" si="26"/>
        <v>4.0260602034941417E-4</v>
      </c>
      <c r="F424" s="5">
        <f ca="1">TODAY()-GETPIVOTDATA("LastPurchaseDate",MaxDate!$A$3,"Customer_name",MaxDate!A426)</f>
        <v>197</v>
      </c>
      <c r="G424" t="str">
        <f t="shared" ca="1" si="27"/>
        <v>Inactive</v>
      </c>
      <c r="H424" s="13">
        <f>RANK(B424,Customer_Tiers[Total_Sales])</f>
        <v>423</v>
      </c>
    </row>
    <row r="425" spans="1:8">
      <c r="A425" t="str">
        <f>'Top Customers'!A427</f>
        <v>GOPALAKRISHNAN KADAYIRUPPU</v>
      </c>
      <c r="B425" s="5">
        <f>IF(A425="","",IFERROR(GETPIVOTDATA("Sales Amount",'Top Customers'!$A$3,"Customer_name",'Top Customers'!A427),""))</f>
        <v>22924</v>
      </c>
      <c r="C425" t="str">
        <f t="shared" si="24"/>
        <v>Regular</v>
      </c>
      <c r="D425">
        <f t="shared" si="25"/>
        <v>77076</v>
      </c>
      <c r="E425" s="6">
        <f t="shared" si="26"/>
        <v>4.0037048457790953E-4</v>
      </c>
      <c r="F425" s="5">
        <f ca="1">TODAY()-GETPIVOTDATA("LastPurchaseDate",MaxDate!$A$3,"Customer_name",MaxDate!A427)</f>
        <v>243</v>
      </c>
      <c r="G425" t="str">
        <f t="shared" ca="1" si="27"/>
        <v>Inactive</v>
      </c>
      <c r="H425" s="13">
        <f>RANK(B425,Customer_Tiers[Total_Sales])</f>
        <v>424</v>
      </c>
    </row>
    <row r="426" spans="1:8">
      <c r="A426" t="str">
        <f>'Top Customers'!A428</f>
        <v>AJAYAN VALAMBOOR</v>
      </c>
      <c r="B426" s="5">
        <f>IF(A426="","",IFERROR(GETPIVOTDATA("Sales Amount",'Top Customers'!$A$3,"Customer_name",'Top Customers'!A428),""))</f>
        <v>22917</v>
      </c>
      <c r="C426" t="str">
        <f t="shared" si="24"/>
        <v>Regular</v>
      </c>
      <c r="D426">
        <f t="shared" si="25"/>
        <v>77083</v>
      </c>
      <c r="E426" s="6">
        <f t="shared" si="26"/>
        <v>4.0024822871540536E-4</v>
      </c>
      <c r="F426" s="5">
        <f ca="1">TODAY()-GETPIVOTDATA("LastPurchaseDate",MaxDate!$A$3,"Customer_name",MaxDate!A428)</f>
        <v>61</v>
      </c>
      <c r="G426" t="str">
        <f t="shared" ca="1" si="27"/>
        <v>At Risk</v>
      </c>
      <c r="H426" s="13">
        <f>RANK(B426,Customer_Tiers[Total_Sales])</f>
        <v>425</v>
      </c>
    </row>
    <row r="427" spans="1:8">
      <c r="A427" t="str">
        <f>'Top Customers'!A429</f>
        <v>MANI KADAYIRUPPU</v>
      </c>
      <c r="B427" s="5">
        <f>IF(A427="","",IFERROR(GETPIVOTDATA("Sales Amount",'Top Customers'!$A$3,"Customer_name",'Top Customers'!A429),""))</f>
        <v>22910</v>
      </c>
      <c r="C427" t="str">
        <f t="shared" si="24"/>
        <v>Regular</v>
      </c>
      <c r="D427">
        <f t="shared" si="25"/>
        <v>77090</v>
      </c>
      <c r="E427" s="6">
        <f t="shared" si="26"/>
        <v>4.0012597285290119E-4</v>
      </c>
      <c r="F427" s="5">
        <f ca="1">TODAY()-GETPIVOTDATA("LastPurchaseDate",MaxDate!$A$3,"Customer_name",MaxDate!A429)</f>
        <v>159</v>
      </c>
      <c r="G427" t="str">
        <f t="shared" ca="1" si="27"/>
        <v>Inactive</v>
      </c>
      <c r="H427" s="13">
        <f>RANK(B427,Customer_Tiers[Total_Sales])</f>
        <v>426</v>
      </c>
    </row>
    <row r="428" spans="1:8">
      <c r="A428" t="str">
        <f>'Top Customers'!A430</f>
        <v>O.K MEETHEEN KUNJU</v>
      </c>
      <c r="B428" s="5">
        <f>IF(A428="","",IFERROR(GETPIVOTDATA("Sales Amount",'Top Customers'!$A$3,"Customer_name",'Top Customers'!A430),""))</f>
        <v>22843</v>
      </c>
      <c r="C428" t="str">
        <f t="shared" si="24"/>
        <v>Regular</v>
      </c>
      <c r="D428">
        <f t="shared" si="25"/>
        <v>77157</v>
      </c>
      <c r="E428" s="6">
        <f t="shared" si="26"/>
        <v>3.9895580959750426E-4</v>
      </c>
      <c r="F428" s="5">
        <f ca="1">TODAY()-GETPIVOTDATA("LastPurchaseDate",MaxDate!$A$3,"Customer_name",MaxDate!A430)</f>
        <v>145</v>
      </c>
      <c r="G428" t="str">
        <f t="shared" ca="1" si="27"/>
        <v>Inactive</v>
      </c>
      <c r="H428" s="13">
        <f>RANK(B428,Customer_Tiers[Total_Sales])</f>
        <v>427</v>
      </c>
    </row>
    <row r="429" spans="1:8">
      <c r="A429" t="str">
        <f>'Top Customers'!A431</f>
        <v>SREEJITH KOCHIKKA</v>
      </c>
      <c r="B429" s="5">
        <f>IF(A429="","",IFERROR(GETPIVOTDATA("Sales Amount",'Top Customers'!$A$3,"Customer_name",'Top Customers'!A431),""))</f>
        <v>22682</v>
      </c>
      <c r="C429" t="str">
        <f t="shared" si="24"/>
        <v>Regular</v>
      </c>
      <c r="D429">
        <f t="shared" si="25"/>
        <v>77318</v>
      </c>
      <c r="E429" s="6">
        <f t="shared" si="26"/>
        <v>3.9614392475990857E-4</v>
      </c>
      <c r="F429" s="5">
        <f ca="1">TODAY()-GETPIVOTDATA("LastPurchaseDate",MaxDate!$A$3,"Customer_name",MaxDate!A431)</f>
        <v>132</v>
      </c>
      <c r="G429" t="str">
        <f t="shared" ca="1" si="27"/>
        <v>Inactive</v>
      </c>
      <c r="H429" s="13">
        <f>RANK(B429,Customer_Tiers[Total_Sales])</f>
        <v>428</v>
      </c>
    </row>
    <row r="430" spans="1:8">
      <c r="A430" t="str">
        <f>'Top Customers'!A432</f>
        <v>DAS ARACKAPPADY</v>
      </c>
      <c r="B430" s="5">
        <f>IF(A430="","",IFERROR(GETPIVOTDATA("Sales Amount",'Top Customers'!$A$3,"Customer_name",'Top Customers'!A432),""))</f>
        <v>22600</v>
      </c>
      <c r="C430" t="str">
        <f t="shared" si="24"/>
        <v>Regular</v>
      </c>
      <c r="D430">
        <f t="shared" si="25"/>
        <v>77400</v>
      </c>
      <c r="E430" s="6">
        <f t="shared" si="26"/>
        <v>3.9471178465628841E-4</v>
      </c>
      <c r="F430" s="5">
        <f ca="1">TODAY()-GETPIVOTDATA("LastPurchaseDate",MaxDate!$A$3,"Customer_name",MaxDate!A432)</f>
        <v>215</v>
      </c>
      <c r="G430" t="str">
        <f t="shared" ca="1" si="27"/>
        <v>Inactive</v>
      </c>
      <c r="H430" s="13">
        <f>RANK(B430,Customer_Tiers[Total_Sales])</f>
        <v>429</v>
      </c>
    </row>
    <row r="431" spans="1:8">
      <c r="A431" t="str">
        <f>'Top Customers'!A433</f>
        <v>PRAMOJ NJARALLOOR</v>
      </c>
      <c r="B431" s="5">
        <f>IF(A431="","",IFERROR(GETPIVOTDATA("Sales Amount",'Top Customers'!$A$3,"Customer_name",'Top Customers'!A433),""))</f>
        <v>22250</v>
      </c>
      <c r="C431" t="str">
        <f t="shared" si="24"/>
        <v>Regular</v>
      </c>
      <c r="D431">
        <f t="shared" si="25"/>
        <v>77750</v>
      </c>
      <c r="E431" s="6">
        <f t="shared" si="26"/>
        <v>3.8859899153108037E-4</v>
      </c>
      <c r="F431" s="5">
        <f ca="1">TODAY()-GETPIVOTDATA("LastPurchaseDate",MaxDate!$A$3,"Customer_name",MaxDate!A433)</f>
        <v>184</v>
      </c>
      <c r="G431" t="str">
        <f t="shared" ca="1" si="27"/>
        <v>Inactive</v>
      </c>
      <c r="H431" s="13">
        <f>RANK(B431,Customer_Tiers[Total_Sales])</f>
        <v>430</v>
      </c>
    </row>
    <row r="432" spans="1:8">
      <c r="A432" t="str">
        <f>'Top Customers'!A434</f>
        <v>LAIJU KADAYIRUPPU</v>
      </c>
      <c r="B432" s="5">
        <f>IF(A432="","",IFERROR(GETPIVOTDATA("Sales Amount",'Top Customers'!$A$3,"Customer_name",'Top Customers'!A434),""))</f>
        <v>22237</v>
      </c>
      <c r="C432" t="str">
        <f t="shared" si="24"/>
        <v>Regular</v>
      </c>
      <c r="D432">
        <f t="shared" si="25"/>
        <v>77763</v>
      </c>
      <c r="E432" s="6">
        <f t="shared" si="26"/>
        <v>3.8837194492928693E-4</v>
      </c>
      <c r="F432" s="5">
        <f ca="1">TODAY()-GETPIVOTDATA("LastPurchaseDate",MaxDate!$A$3,"Customer_name",MaxDate!A434)</f>
        <v>188</v>
      </c>
      <c r="G432" t="str">
        <f t="shared" ca="1" si="27"/>
        <v>Inactive</v>
      </c>
      <c r="H432" s="13">
        <f>RANK(B432,Customer_Tiers[Total_Sales])</f>
        <v>431</v>
      </c>
    </row>
    <row r="433" spans="1:8">
      <c r="A433" t="str">
        <f>'Top Customers'!A435</f>
        <v>HEAVEN PAPER PRODUCTS</v>
      </c>
      <c r="B433" s="5">
        <f>IF(A433="","",IFERROR(GETPIVOTDATA("Sales Amount",'Top Customers'!$A$3,"Customer_name",'Top Customers'!A435),""))</f>
        <v>22186</v>
      </c>
      <c r="C433" t="str">
        <f t="shared" si="24"/>
        <v>Regular</v>
      </c>
      <c r="D433">
        <f t="shared" si="25"/>
        <v>77814</v>
      </c>
      <c r="E433" s="6">
        <f t="shared" si="26"/>
        <v>3.8748122364532807E-4</v>
      </c>
      <c r="F433" s="5">
        <f ca="1">TODAY()-GETPIVOTDATA("LastPurchaseDate",MaxDate!$A$3,"Customer_name",MaxDate!A435)</f>
        <v>41</v>
      </c>
      <c r="G433" t="str">
        <f t="shared" ca="1" si="27"/>
        <v>Active</v>
      </c>
      <c r="H433" s="13">
        <f>RANK(B433,Customer_Tiers[Total_Sales])</f>
        <v>432</v>
      </c>
    </row>
    <row r="434" spans="1:8">
      <c r="A434" t="str">
        <f>'Top Customers'!A436</f>
        <v>MILMA SHOPPE</v>
      </c>
      <c r="B434" s="5">
        <f>IF(A434="","",IFERROR(GETPIVOTDATA("Sales Amount",'Top Customers'!$A$3,"Customer_name",'Top Customers'!A436),""))</f>
        <v>22185</v>
      </c>
      <c r="C434" t="str">
        <f t="shared" si="24"/>
        <v>Regular</v>
      </c>
      <c r="D434">
        <f t="shared" si="25"/>
        <v>77815</v>
      </c>
      <c r="E434" s="6">
        <f t="shared" si="26"/>
        <v>3.8746375852211318E-4</v>
      </c>
      <c r="F434" s="5">
        <f ca="1">TODAY()-GETPIVOTDATA("LastPurchaseDate",MaxDate!$A$3,"Customer_name",MaxDate!A436)</f>
        <v>312</v>
      </c>
      <c r="G434" t="str">
        <f t="shared" ca="1" si="27"/>
        <v>Inactive</v>
      </c>
      <c r="H434" s="13">
        <f>RANK(B434,Customer_Tiers[Total_Sales])</f>
        <v>433</v>
      </c>
    </row>
    <row r="435" spans="1:8">
      <c r="A435" t="str">
        <f>'Top Customers'!A437</f>
        <v>EMIYA FAB</v>
      </c>
      <c r="B435" s="5">
        <f>IF(A435="","",IFERROR(GETPIVOTDATA("Sales Amount",'Top Customers'!$A$3,"Customer_name",'Top Customers'!A437),""))</f>
        <v>22143</v>
      </c>
      <c r="C435" t="str">
        <f t="shared" si="24"/>
        <v>Regular</v>
      </c>
      <c r="D435">
        <f t="shared" si="25"/>
        <v>77857</v>
      </c>
      <c r="E435" s="6">
        <f t="shared" si="26"/>
        <v>3.8673022334708823E-4</v>
      </c>
      <c r="F435" s="5">
        <f ca="1">TODAY()-GETPIVOTDATA("LastPurchaseDate",MaxDate!$A$3,"Customer_name",MaxDate!A437)</f>
        <v>162</v>
      </c>
      <c r="G435" t="str">
        <f t="shared" ca="1" si="27"/>
        <v>Inactive</v>
      </c>
      <c r="H435" s="13">
        <f>RANK(B435,Customer_Tiers[Total_Sales])</f>
        <v>434</v>
      </c>
    </row>
    <row r="436" spans="1:8">
      <c r="A436" t="str">
        <f>'Top Customers'!A438</f>
        <v>ASHTAMI PRINTERS</v>
      </c>
      <c r="B436" s="5">
        <f>IF(A436="","",IFERROR(GETPIVOTDATA("Sales Amount",'Top Customers'!$A$3,"Customer_name",'Top Customers'!A438),""))</f>
        <v>22046</v>
      </c>
      <c r="C436" t="str">
        <f t="shared" si="24"/>
        <v>Regular</v>
      </c>
      <c r="D436">
        <f t="shared" si="25"/>
        <v>77954</v>
      </c>
      <c r="E436" s="6">
        <f t="shared" si="26"/>
        <v>3.8503610639524489E-4</v>
      </c>
      <c r="F436" s="5">
        <f ca="1">TODAY()-GETPIVOTDATA("LastPurchaseDate",MaxDate!$A$3,"Customer_name",MaxDate!A438)</f>
        <v>88</v>
      </c>
      <c r="G436" t="str">
        <f t="shared" ca="1" si="27"/>
        <v>At Risk</v>
      </c>
      <c r="H436" s="13">
        <f>RANK(B436,Customer_Tiers[Total_Sales])</f>
        <v>435</v>
      </c>
    </row>
    <row r="437" spans="1:8">
      <c r="A437" t="str">
        <f>'Top Customers'!A439</f>
        <v>RASHEED CHELAKULAM</v>
      </c>
      <c r="B437" s="5">
        <f>IF(A437="","",IFERROR(GETPIVOTDATA("Sales Amount",'Top Customers'!$A$3,"Customer_name",'Top Customers'!A439),""))</f>
        <v>21982</v>
      </c>
      <c r="C437" t="str">
        <f t="shared" si="24"/>
        <v>Regular</v>
      </c>
      <c r="D437">
        <f t="shared" si="25"/>
        <v>78018</v>
      </c>
      <c r="E437" s="6">
        <f t="shared" si="26"/>
        <v>3.8391833850949254E-4</v>
      </c>
      <c r="F437" s="5">
        <f ca="1">TODAY()-GETPIVOTDATA("LastPurchaseDate",MaxDate!$A$3,"Customer_name",MaxDate!A439)</f>
        <v>136</v>
      </c>
      <c r="G437" t="str">
        <f t="shared" ca="1" si="27"/>
        <v>Inactive</v>
      </c>
      <c r="H437" s="13">
        <f>RANK(B437,Customer_Tiers[Total_Sales])</f>
        <v>436</v>
      </c>
    </row>
    <row r="438" spans="1:8">
      <c r="A438" t="str">
        <f>'Top Customers'!A440</f>
        <v>SIVAN MAZHUVANNOOR</v>
      </c>
      <c r="B438" s="5">
        <f>IF(A438="","",IFERROR(GETPIVOTDATA("Sales Amount",'Top Customers'!$A$3,"Customer_name",'Top Customers'!A440),""))</f>
        <v>21807</v>
      </c>
      <c r="C438" t="str">
        <f t="shared" si="24"/>
        <v>Regular</v>
      </c>
      <c r="D438">
        <f t="shared" si="25"/>
        <v>78193</v>
      </c>
      <c r="E438" s="6">
        <f t="shared" si="26"/>
        <v>3.8086194194688851E-4</v>
      </c>
      <c r="F438" s="5">
        <f ca="1">TODAY()-GETPIVOTDATA("LastPurchaseDate",MaxDate!$A$3,"Customer_name",MaxDate!A440)</f>
        <v>62</v>
      </c>
      <c r="G438" t="str">
        <f t="shared" ca="1" si="27"/>
        <v>At Risk</v>
      </c>
      <c r="H438" s="13">
        <f>RANK(B438,Customer_Tiers[Total_Sales])</f>
        <v>437</v>
      </c>
    </row>
    <row r="439" spans="1:8">
      <c r="A439" t="str">
        <f>'Top Customers'!A441</f>
        <v>JOLLY ABRAHAM (QULITY PULINCHODE)</v>
      </c>
      <c r="B439" s="5">
        <f>IF(A439="","",IFERROR(GETPIVOTDATA("Sales Amount",'Top Customers'!$A$3,"Customer_name",'Top Customers'!A441),""))</f>
        <v>21450</v>
      </c>
      <c r="C439" t="str">
        <f t="shared" si="24"/>
        <v>Regular</v>
      </c>
      <c r="D439">
        <f t="shared" si="25"/>
        <v>78550</v>
      </c>
      <c r="E439" s="6">
        <f t="shared" si="26"/>
        <v>3.7462689295917636E-4</v>
      </c>
      <c r="F439" s="5">
        <f ca="1">TODAY()-GETPIVOTDATA("LastPurchaseDate",MaxDate!$A$3,"Customer_name",MaxDate!A441)</f>
        <v>165</v>
      </c>
      <c r="G439" t="str">
        <f t="shared" ca="1" si="27"/>
        <v>Inactive</v>
      </c>
      <c r="H439" s="13">
        <f>RANK(B439,Customer_Tiers[Total_Sales])</f>
        <v>438</v>
      </c>
    </row>
    <row r="440" spans="1:8">
      <c r="A440" t="str">
        <f>'Top Customers'!A442</f>
        <v>RATHEESH MANGALATHUNADA</v>
      </c>
      <c r="B440" s="5">
        <f>IF(A440="","",IFERROR(GETPIVOTDATA("Sales Amount",'Top Customers'!$A$3,"Customer_name",'Top Customers'!A442),""))</f>
        <v>21443</v>
      </c>
      <c r="C440" t="str">
        <f t="shared" si="24"/>
        <v>Regular</v>
      </c>
      <c r="D440">
        <f t="shared" si="25"/>
        <v>78557</v>
      </c>
      <c r="E440" s="6">
        <f t="shared" si="26"/>
        <v>3.7450463709667219E-4</v>
      </c>
      <c r="F440" s="5">
        <f ca="1">TODAY()-GETPIVOTDATA("LastPurchaseDate",MaxDate!$A$3,"Customer_name",MaxDate!A442)</f>
        <v>234</v>
      </c>
      <c r="G440" t="str">
        <f t="shared" ca="1" si="27"/>
        <v>Inactive</v>
      </c>
      <c r="H440" s="13">
        <f>RANK(B440,Customer_Tiers[Total_Sales])</f>
        <v>439</v>
      </c>
    </row>
    <row r="441" spans="1:8">
      <c r="A441" t="str">
        <f>'Top Customers'!A443</f>
        <v>VISHNU NJARALLOOR</v>
      </c>
      <c r="B441" s="5">
        <f>IF(A441="","",IFERROR(GETPIVOTDATA("Sales Amount",'Top Customers'!$A$3,"Customer_name",'Top Customers'!A443),""))</f>
        <v>21433</v>
      </c>
      <c r="C441" t="str">
        <f t="shared" si="24"/>
        <v>Regular</v>
      </c>
      <c r="D441">
        <f t="shared" si="25"/>
        <v>78567</v>
      </c>
      <c r="E441" s="6">
        <f t="shared" si="26"/>
        <v>3.7432998586452339E-4</v>
      </c>
      <c r="F441" s="5">
        <f ca="1">TODAY()-GETPIVOTDATA("LastPurchaseDate",MaxDate!$A$3,"Customer_name",MaxDate!A443)</f>
        <v>43</v>
      </c>
      <c r="G441" t="str">
        <f t="shared" ca="1" si="27"/>
        <v>Active</v>
      </c>
      <c r="H441" s="13">
        <f>RANK(B441,Customer_Tiers[Total_Sales])</f>
        <v>440</v>
      </c>
    </row>
    <row r="442" spans="1:8">
      <c r="A442" t="str">
        <f>'Top Customers'!A444</f>
        <v>SREEKANTH VALMBOOR</v>
      </c>
      <c r="B442" s="5">
        <f>IF(A442="","",IFERROR(GETPIVOTDATA("Sales Amount",'Top Customers'!$A$3,"Customer_name",'Top Customers'!A444),""))</f>
        <v>21328</v>
      </c>
      <c r="C442" t="str">
        <f t="shared" si="24"/>
        <v>Regular</v>
      </c>
      <c r="D442">
        <f t="shared" si="25"/>
        <v>78672</v>
      </c>
      <c r="E442" s="6">
        <f t="shared" si="26"/>
        <v>3.7249614792696098E-4</v>
      </c>
      <c r="F442" s="5">
        <f ca="1">TODAY()-GETPIVOTDATA("LastPurchaseDate",MaxDate!$A$3,"Customer_name",MaxDate!A444)</f>
        <v>328</v>
      </c>
      <c r="G442" t="str">
        <f t="shared" ca="1" si="27"/>
        <v>Inactive</v>
      </c>
      <c r="H442" s="13">
        <f>RANK(B442,Customer_Tiers[Total_Sales])</f>
        <v>441</v>
      </c>
    </row>
    <row r="443" spans="1:8">
      <c r="A443" t="str">
        <f>'Top Customers'!A445</f>
        <v>KURIAKOSE POTTAKKAN</v>
      </c>
      <c r="B443" s="5">
        <f>IF(A443="","",IFERROR(GETPIVOTDATA("Sales Amount",'Top Customers'!$A$3,"Customer_name",'Top Customers'!A445),""))</f>
        <v>21298</v>
      </c>
      <c r="C443" t="str">
        <f t="shared" si="24"/>
        <v>Regular</v>
      </c>
      <c r="D443">
        <f t="shared" si="25"/>
        <v>78702</v>
      </c>
      <c r="E443" s="6">
        <f t="shared" si="26"/>
        <v>3.7197219423051463E-4</v>
      </c>
      <c r="F443" s="5">
        <f ca="1">TODAY()-GETPIVOTDATA("LastPurchaseDate",MaxDate!$A$3,"Customer_name",MaxDate!A445)</f>
        <v>113</v>
      </c>
      <c r="G443" t="str">
        <f t="shared" ca="1" si="27"/>
        <v>At Risk</v>
      </c>
      <c r="H443" s="13">
        <f>RANK(B443,Customer_Tiers[Total_Sales])</f>
        <v>442</v>
      </c>
    </row>
    <row r="444" spans="1:8">
      <c r="A444" t="str">
        <f>'Top Customers'!A446</f>
        <v>MASJID AMAN CHELAKULAM</v>
      </c>
      <c r="B444" s="5">
        <f>IF(A444="","",IFERROR(GETPIVOTDATA("Sales Amount",'Top Customers'!$A$3,"Customer_name",'Top Customers'!A446),""))</f>
        <v>21291</v>
      </c>
      <c r="C444" t="str">
        <f t="shared" si="24"/>
        <v>Regular</v>
      </c>
      <c r="D444">
        <f t="shared" si="25"/>
        <v>78709</v>
      </c>
      <c r="E444" s="6">
        <f t="shared" si="26"/>
        <v>3.7184993836801046E-4</v>
      </c>
      <c r="F444" s="5">
        <f ca="1">TODAY()-GETPIVOTDATA("LastPurchaseDate",MaxDate!$A$3,"Customer_name",MaxDate!A446)</f>
        <v>240</v>
      </c>
      <c r="G444" t="str">
        <f t="shared" ca="1" si="27"/>
        <v>Inactive</v>
      </c>
      <c r="H444" s="13">
        <f>RANK(B444,Customer_Tiers[Total_Sales])</f>
        <v>443</v>
      </c>
    </row>
    <row r="445" spans="1:8">
      <c r="A445" t="str">
        <f>'Top Customers'!A447</f>
        <v>BASHEER PADAKKAM</v>
      </c>
      <c r="B445" s="5">
        <f>IF(A445="","",IFERROR(GETPIVOTDATA("Sales Amount",'Top Customers'!$A$3,"Customer_name",'Top Customers'!A447),""))</f>
        <v>21286</v>
      </c>
      <c r="C445" t="str">
        <f t="shared" si="24"/>
        <v>Regular</v>
      </c>
      <c r="D445">
        <f t="shared" si="25"/>
        <v>78714</v>
      </c>
      <c r="E445" s="6">
        <f t="shared" si="26"/>
        <v>3.7176261275193603E-4</v>
      </c>
      <c r="F445" s="5">
        <f ca="1">TODAY()-GETPIVOTDATA("LastPurchaseDate",MaxDate!$A$3,"Customer_name",MaxDate!A447)</f>
        <v>75</v>
      </c>
      <c r="G445" t="str">
        <f t="shared" ca="1" si="27"/>
        <v>At Risk</v>
      </c>
      <c r="H445" s="13">
        <f>RANK(B445,Customer_Tiers[Total_Sales])</f>
        <v>444</v>
      </c>
    </row>
    <row r="446" spans="1:8">
      <c r="A446" t="str">
        <f>'Top Customers'!A448</f>
        <v>SHAJI PARAKKAL</v>
      </c>
      <c r="B446" s="5">
        <f>IF(A446="","",IFERROR(GETPIVOTDATA("Sales Amount",'Top Customers'!$A$3,"Customer_name",'Top Customers'!A448),""))</f>
        <v>21267</v>
      </c>
      <c r="C446" t="str">
        <f t="shared" si="24"/>
        <v>Regular</v>
      </c>
      <c r="D446">
        <f t="shared" si="25"/>
        <v>78733</v>
      </c>
      <c r="E446" s="6">
        <f t="shared" si="26"/>
        <v>3.7143077541085332E-4</v>
      </c>
      <c r="F446" s="5">
        <f ca="1">TODAY()-GETPIVOTDATA("LastPurchaseDate",MaxDate!$A$3,"Customer_name",MaxDate!A448)</f>
        <v>125</v>
      </c>
      <c r="G446" t="str">
        <f t="shared" ca="1" si="27"/>
        <v>Inactive</v>
      </c>
      <c r="H446" s="13">
        <f>RANK(B446,Customer_Tiers[Total_Sales])</f>
        <v>445</v>
      </c>
    </row>
    <row r="447" spans="1:8">
      <c r="A447" t="str">
        <f>'Top Customers'!A449</f>
        <v>SUMITH PANCODE</v>
      </c>
      <c r="B447" s="5">
        <f>IF(A447="","",IFERROR(GETPIVOTDATA("Sales Amount",'Top Customers'!$A$3,"Customer_name",'Top Customers'!A449),""))</f>
        <v>21266</v>
      </c>
      <c r="C447" t="str">
        <f t="shared" si="24"/>
        <v>Regular</v>
      </c>
      <c r="D447">
        <f t="shared" si="25"/>
        <v>78734</v>
      </c>
      <c r="E447" s="6">
        <f t="shared" si="26"/>
        <v>3.7141331028763843E-4</v>
      </c>
      <c r="F447" s="5">
        <f ca="1">TODAY()-GETPIVOTDATA("LastPurchaseDate",MaxDate!$A$3,"Customer_name",MaxDate!A449)</f>
        <v>214</v>
      </c>
      <c r="G447" t="str">
        <f t="shared" ca="1" si="27"/>
        <v>Inactive</v>
      </c>
      <c r="H447" s="13">
        <f>RANK(B447,Customer_Tiers[Total_Sales])</f>
        <v>446</v>
      </c>
    </row>
    <row r="448" spans="1:8">
      <c r="A448" t="str">
        <f>'Top Customers'!A450</f>
        <v>ANSAR ONAKKARA</v>
      </c>
      <c r="B448" s="5">
        <f>IF(A448="","",IFERROR(GETPIVOTDATA("Sales Amount",'Top Customers'!$A$3,"Customer_name",'Top Customers'!A450),""))</f>
        <v>21173</v>
      </c>
      <c r="C448" t="str">
        <f t="shared" si="24"/>
        <v>Regular</v>
      </c>
      <c r="D448">
        <f t="shared" si="25"/>
        <v>78827</v>
      </c>
      <c r="E448" s="6">
        <f t="shared" si="26"/>
        <v>3.6978905382865462E-4</v>
      </c>
      <c r="F448" s="5">
        <f ca="1">TODAY()-GETPIVOTDATA("LastPurchaseDate",MaxDate!$A$3,"Customer_name",MaxDate!A450)</f>
        <v>174</v>
      </c>
      <c r="G448" t="str">
        <f t="shared" ca="1" si="27"/>
        <v>Inactive</v>
      </c>
      <c r="H448" s="13">
        <f>RANK(B448,Customer_Tiers[Total_Sales])</f>
        <v>447</v>
      </c>
    </row>
    <row r="449" spans="1:8">
      <c r="A449" t="str">
        <f>'Top Customers'!A451</f>
        <v>SUKUMARAN CHAYKOTH</v>
      </c>
      <c r="B449" s="5">
        <f>IF(A449="","",IFERROR(GETPIVOTDATA("Sales Amount",'Top Customers'!$A$3,"Customer_name",'Top Customers'!A451),""))</f>
        <v>21052</v>
      </c>
      <c r="C449" t="str">
        <f t="shared" si="24"/>
        <v>Regular</v>
      </c>
      <c r="D449">
        <f t="shared" si="25"/>
        <v>78948</v>
      </c>
      <c r="E449" s="6">
        <f t="shared" si="26"/>
        <v>3.6767577391965414E-4</v>
      </c>
      <c r="F449" s="5">
        <f ca="1">TODAY()-GETPIVOTDATA("LastPurchaseDate",MaxDate!$A$3,"Customer_name",MaxDate!A451)</f>
        <v>232</v>
      </c>
      <c r="G449" t="str">
        <f t="shared" ca="1" si="27"/>
        <v>Inactive</v>
      </c>
      <c r="H449" s="13">
        <f>RANK(B449,Customer_Tiers[Total_Sales])</f>
        <v>448</v>
      </c>
    </row>
    <row r="450" spans="1:8">
      <c r="A450" t="str">
        <f>'Top Customers'!A452</f>
        <v>VIJAYAN EZHIPPURAM</v>
      </c>
      <c r="B450" s="5">
        <f>IF(A450="","",IFERROR(GETPIVOTDATA("Sales Amount",'Top Customers'!$A$3,"Customer_name",'Top Customers'!A452),""))</f>
        <v>21015</v>
      </c>
      <c r="C450" t="str">
        <f t="shared" ref="C450:C513" si="28">IF(B450&gt;=1000000,"Platinum",
 IF(B450&gt;=500000,"Gold",
 IF(B450&gt;=100000,"Silver","Regular")))</f>
        <v>Regular</v>
      </c>
      <c r="D450">
        <f t="shared" ref="D450:D513" si="29">IF(C450="Platinum",0,
 IF(C450="Gold",1000000-B450,
 IF(C450="Silver",500000-B450,
 IF(C450="Regular",100000-B450,0))))</f>
        <v>78985</v>
      </c>
      <c r="E450" s="6">
        <f t="shared" ref="E450:E513" si="30">B450/SUM(B:B)</f>
        <v>3.6702956436070357E-4</v>
      </c>
      <c r="F450" s="5">
        <f ca="1">TODAY()-GETPIVOTDATA("LastPurchaseDate",MaxDate!$A$3,"Customer_name",MaxDate!A452)</f>
        <v>16</v>
      </c>
      <c r="G450" t="str">
        <f t="shared" ref="G450:G513" ca="1" si="31">IF(F450="","",
 IF(F450&lt;=60,"Active",
 IF(F450&lt;=120,"At Risk","Inactive")))</f>
        <v>Active</v>
      </c>
      <c r="H450" s="13">
        <f>RANK(B450,Customer_Tiers[Total_Sales])</f>
        <v>449</v>
      </c>
    </row>
    <row r="451" spans="1:8">
      <c r="A451" t="str">
        <f>'Top Customers'!A453</f>
        <v>NIYAS APE</v>
      </c>
      <c r="B451" s="5">
        <f>IF(A451="","",IFERROR(GETPIVOTDATA("Sales Amount",'Top Customers'!$A$3,"Customer_name",'Top Customers'!A453),""))</f>
        <v>20976</v>
      </c>
      <c r="C451" t="str">
        <f t="shared" si="28"/>
        <v>Regular</v>
      </c>
      <c r="D451">
        <f t="shared" si="29"/>
        <v>79024</v>
      </c>
      <c r="E451" s="6">
        <f t="shared" si="30"/>
        <v>3.6634842455532325E-4</v>
      </c>
      <c r="F451" s="5">
        <f ca="1">TODAY()-GETPIVOTDATA("LastPurchaseDate",MaxDate!$A$3,"Customer_name",MaxDate!A453)</f>
        <v>11</v>
      </c>
      <c r="G451" t="str">
        <f t="shared" ca="1" si="31"/>
        <v>Active</v>
      </c>
      <c r="H451" s="13">
        <f>RANK(B451,Customer_Tiers[Total_Sales])</f>
        <v>450</v>
      </c>
    </row>
    <row r="452" spans="1:8">
      <c r="A452" t="str">
        <f>'Top Customers'!A454</f>
        <v>BINIL MANGALATHNADA</v>
      </c>
      <c r="B452" s="5">
        <f>IF(A452="","",IFERROR(GETPIVOTDATA("Sales Amount",'Top Customers'!$A$3,"Customer_name",'Top Customers'!A454),""))</f>
        <v>20804</v>
      </c>
      <c r="C452" t="str">
        <f t="shared" si="28"/>
        <v>Regular</v>
      </c>
      <c r="D452">
        <f t="shared" si="29"/>
        <v>79196</v>
      </c>
      <c r="E452" s="6">
        <f t="shared" si="30"/>
        <v>3.6334442336236387E-4</v>
      </c>
      <c r="F452" s="5">
        <f ca="1">TODAY()-GETPIVOTDATA("LastPurchaseDate",MaxDate!$A$3,"Customer_name",MaxDate!A454)</f>
        <v>36</v>
      </c>
      <c r="G452" t="str">
        <f t="shared" ca="1" si="31"/>
        <v>Active</v>
      </c>
      <c r="H452" s="13">
        <f>RANK(B452,Customer_Tiers[Total_Sales])</f>
        <v>451</v>
      </c>
    </row>
    <row r="453" spans="1:8">
      <c r="A453" t="str">
        <f>'Top Customers'!A455</f>
        <v>SHAJI VALETHUPADY</v>
      </c>
      <c r="B453" s="5">
        <f>IF(A453="","",IFERROR(GETPIVOTDATA("Sales Amount",'Top Customers'!$A$3,"Customer_name",'Top Customers'!A455),""))</f>
        <v>20785</v>
      </c>
      <c r="C453" t="str">
        <f t="shared" si="28"/>
        <v>Regular</v>
      </c>
      <c r="D453">
        <f t="shared" si="29"/>
        <v>79215</v>
      </c>
      <c r="E453" s="6">
        <f t="shared" si="30"/>
        <v>3.6301258602128116E-4</v>
      </c>
      <c r="F453" s="5">
        <f ca="1">TODAY()-GETPIVOTDATA("LastPurchaseDate",MaxDate!$A$3,"Customer_name",MaxDate!A455)</f>
        <v>272</v>
      </c>
      <c r="G453" t="str">
        <f t="shared" ca="1" si="31"/>
        <v>Inactive</v>
      </c>
      <c r="H453" s="13">
        <f>RANK(B453,Customer_Tiers[Total_Sales])</f>
        <v>452</v>
      </c>
    </row>
    <row r="454" spans="1:8">
      <c r="A454" t="str">
        <f>'Top Customers'!A456</f>
        <v>NAREEKUZHY  TRADERS</v>
      </c>
      <c r="B454" s="5">
        <f>IF(A454="","",IFERROR(GETPIVOTDATA("Sales Amount",'Top Customers'!$A$3,"Customer_name",'Top Customers'!A456),""))</f>
        <v>20703</v>
      </c>
      <c r="C454" t="str">
        <f t="shared" si="28"/>
        <v>Regular</v>
      </c>
      <c r="D454">
        <f t="shared" si="29"/>
        <v>79297</v>
      </c>
      <c r="E454" s="6">
        <f t="shared" si="30"/>
        <v>3.61580445917661E-4</v>
      </c>
      <c r="F454" s="5">
        <f ca="1">TODAY()-GETPIVOTDATA("LastPurchaseDate",MaxDate!$A$3,"Customer_name",MaxDate!A456)</f>
        <v>12</v>
      </c>
      <c r="G454" t="str">
        <f t="shared" ca="1" si="31"/>
        <v>Active</v>
      </c>
      <c r="H454" s="13">
        <f>RANK(B454,Customer_Tiers[Total_Sales])</f>
        <v>453</v>
      </c>
    </row>
    <row r="455" spans="1:8">
      <c r="A455" t="str">
        <f>'Top Customers'!A457</f>
        <v>AKHIL KILIKULAM</v>
      </c>
      <c r="B455" s="5">
        <f>IF(A455="","",IFERROR(GETPIVOTDATA("Sales Amount",'Top Customers'!$A$3,"Customer_name",'Top Customers'!A457),""))</f>
        <v>20677</v>
      </c>
      <c r="C455" t="str">
        <f t="shared" si="28"/>
        <v>Regular</v>
      </c>
      <c r="D455">
        <f t="shared" si="29"/>
        <v>79323</v>
      </c>
      <c r="E455" s="6">
        <f t="shared" si="30"/>
        <v>3.6112635271407412E-4</v>
      </c>
      <c r="F455" s="5">
        <f ca="1">TODAY()-GETPIVOTDATA("LastPurchaseDate",MaxDate!$A$3,"Customer_name",MaxDate!A457)</f>
        <v>281</v>
      </c>
      <c r="G455" t="str">
        <f t="shared" ca="1" si="31"/>
        <v>Inactive</v>
      </c>
      <c r="H455" s="13">
        <f>RANK(B455,Customer_Tiers[Total_Sales])</f>
        <v>454</v>
      </c>
    </row>
    <row r="456" spans="1:8">
      <c r="A456" t="str">
        <f>'Top Customers'!A458</f>
        <v>GEETHA PATTIMATTOM</v>
      </c>
      <c r="B456" s="5">
        <f>IF(A456="","",IFERROR(GETPIVOTDATA("Sales Amount",'Top Customers'!$A$3,"Customer_name",'Top Customers'!A458),""))</f>
        <v>20617</v>
      </c>
      <c r="C456" t="str">
        <f t="shared" si="28"/>
        <v>Regular</v>
      </c>
      <c r="D456">
        <f t="shared" si="29"/>
        <v>79383</v>
      </c>
      <c r="E456" s="6">
        <f t="shared" si="30"/>
        <v>3.600784453211813E-4</v>
      </c>
      <c r="F456" s="5">
        <f ca="1">TODAY()-GETPIVOTDATA("LastPurchaseDate",MaxDate!$A$3,"Customer_name",MaxDate!A458)</f>
        <v>234</v>
      </c>
      <c r="G456" t="str">
        <f t="shared" ca="1" si="31"/>
        <v>Inactive</v>
      </c>
      <c r="H456" s="13">
        <f>RANK(B456,Customer_Tiers[Total_Sales])</f>
        <v>455</v>
      </c>
    </row>
    <row r="457" spans="1:8">
      <c r="A457" t="str">
        <f>'Top Customers'!A459</f>
        <v>BENNY VALAMBOOR</v>
      </c>
      <c r="B457" s="5">
        <f>IF(A457="","",IFERROR(GETPIVOTDATA("Sales Amount",'Top Customers'!$A$3,"Customer_name",'Top Customers'!A459),""))</f>
        <v>20512</v>
      </c>
      <c r="C457" t="str">
        <f t="shared" si="28"/>
        <v>Regular</v>
      </c>
      <c r="D457">
        <f t="shared" si="29"/>
        <v>79488</v>
      </c>
      <c r="E457" s="6">
        <f t="shared" si="30"/>
        <v>3.582446073836189E-4</v>
      </c>
      <c r="F457" s="5">
        <f ca="1">TODAY()-GETPIVOTDATA("LastPurchaseDate",MaxDate!$A$3,"Customer_name",MaxDate!A459)</f>
        <v>110</v>
      </c>
      <c r="G457" t="str">
        <f t="shared" ca="1" si="31"/>
        <v>At Risk</v>
      </c>
      <c r="H457" s="13">
        <f>RANK(B457,Customer_Tiers[Total_Sales])</f>
        <v>456</v>
      </c>
    </row>
    <row r="458" spans="1:8">
      <c r="A458" t="str">
        <f>'Top Customers'!A460</f>
        <v>JABIR VATHIMATTOM</v>
      </c>
      <c r="B458" s="5">
        <f>IF(A458="","",IFERROR(GETPIVOTDATA("Sales Amount",'Top Customers'!$A$3,"Customer_name",'Top Customers'!A460),""))</f>
        <v>20390</v>
      </c>
      <c r="C458" t="str">
        <f t="shared" si="28"/>
        <v>Regular</v>
      </c>
      <c r="D458">
        <f t="shared" si="29"/>
        <v>79610</v>
      </c>
      <c r="E458" s="6">
        <f t="shared" si="30"/>
        <v>3.5611386235140358E-4</v>
      </c>
      <c r="F458" s="5">
        <f ca="1">TODAY()-GETPIVOTDATA("LastPurchaseDate",MaxDate!$A$3,"Customer_name",MaxDate!A460)</f>
        <v>318</v>
      </c>
      <c r="G458" t="str">
        <f t="shared" ca="1" si="31"/>
        <v>Inactive</v>
      </c>
      <c r="H458" s="13">
        <f>RANK(B458,Customer_Tiers[Total_Sales])</f>
        <v>457</v>
      </c>
    </row>
    <row r="459" spans="1:8">
      <c r="A459" t="str">
        <f>'Top Customers'!A461</f>
        <v>SARAVANAN</v>
      </c>
      <c r="B459" s="5">
        <f>IF(A459="","",IFERROR(GETPIVOTDATA("Sales Amount",'Top Customers'!$A$3,"Customer_name",'Top Customers'!A461),""))</f>
        <v>20380</v>
      </c>
      <c r="C459" t="str">
        <f t="shared" si="28"/>
        <v>Regular</v>
      </c>
      <c r="D459">
        <f t="shared" si="29"/>
        <v>79620</v>
      </c>
      <c r="E459" s="6">
        <f t="shared" si="30"/>
        <v>3.5593921111925478E-4</v>
      </c>
      <c r="F459" s="5">
        <f ca="1">TODAY()-GETPIVOTDATA("LastPurchaseDate",MaxDate!$A$3,"Customer_name",MaxDate!A461)</f>
        <v>138</v>
      </c>
      <c r="G459" t="str">
        <f t="shared" ca="1" si="31"/>
        <v>Inactive</v>
      </c>
      <c r="H459" s="13">
        <f>RANK(B459,Customer_Tiers[Total_Sales])</f>
        <v>458</v>
      </c>
    </row>
    <row r="460" spans="1:8">
      <c r="A460" t="str">
        <f>'Top Customers'!A462</f>
        <v>SHIBU , MOONELIMUGAL</v>
      </c>
      <c r="B460" s="5">
        <f>IF(A460="","",IFERROR(GETPIVOTDATA("Sales Amount",'Top Customers'!$A$3,"Customer_name",'Top Customers'!A462),""))</f>
        <v>20373</v>
      </c>
      <c r="C460" t="str">
        <f t="shared" si="28"/>
        <v>Regular</v>
      </c>
      <c r="D460">
        <f t="shared" si="29"/>
        <v>79627</v>
      </c>
      <c r="E460" s="6">
        <f t="shared" si="30"/>
        <v>3.5581695525675061E-4</v>
      </c>
      <c r="F460" s="5">
        <f ca="1">TODAY()-GETPIVOTDATA("LastPurchaseDate",MaxDate!$A$3,"Customer_name",MaxDate!A462)</f>
        <v>225</v>
      </c>
      <c r="G460" t="str">
        <f t="shared" ca="1" si="31"/>
        <v>Inactive</v>
      </c>
      <c r="H460" s="13">
        <f>RANK(B460,Customer_Tiers[Total_Sales])</f>
        <v>459</v>
      </c>
    </row>
    <row r="461" spans="1:8">
      <c r="A461" t="str">
        <f>'Top Customers'!A463</f>
        <v>JOHN STAGE , KOLENCHERY</v>
      </c>
      <c r="B461" s="5">
        <f>IF(A461="","",IFERROR(GETPIVOTDATA("Sales Amount",'Top Customers'!$A$3,"Customer_name",'Top Customers'!A463),""))</f>
        <v>20266</v>
      </c>
      <c r="C461" t="str">
        <f t="shared" si="28"/>
        <v>Regular</v>
      </c>
      <c r="D461">
        <f t="shared" si="29"/>
        <v>79734</v>
      </c>
      <c r="E461" s="6">
        <f t="shared" si="30"/>
        <v>3.5394818707275841E-4</v>
      </c>
      <c r="F461" s="5">
        <f ca="1">TODAY()-GETPIVOTDATA("LastPurchaseDate",MaxDate!$A$3,"Customer_name",MaxDate!A463)</f>
        <v>1</v>
      </c>
      <c r="G461" t="str">
        <f t="shared" ca="1" si="31"/>
        <v>Active</v>
      </c>
      <c r="H461" s="13">
        <f>RANK(B461,Customer_Tiers[Total_Sales])</f>
        <v>460</v>
      </c>
    </row>
    <row r="462" spans="1:8">
      <c r="A462" t="str">
        <f>'Top Customers'!A464</f>
        <v>ECO POWER SOLUTIONS</v>
      </c>
      <c r="B462" s="5">
        <f>IF(A462="","",IFERROR(GETPIVOTDATA("Sales Amount",'Top Customers'!$A$3,"Customer_name",'Top Customers'!A464),""))</f>
        <v>20215</v>
      </c>
      <c r="C462" t="str">
        <f t="shared" si="28"/>
        <v>Regular</v>
      </c>
      <c r="D462">
        <f t="shared" si="29"/>
        <v>79785</v>
      </c>
      <c r="E462" s="6">
        <f t="shared" si="30"/>
        <v>3.5305746578879956E-4</v>
      </c>
      <c r="F462" s="5">
        <f ca="1">TODAY()-GETPIVOTDATA("LastPurchaseDate",MaxDate!$A$3,"Customer_name",MaxDate!A464)</f>
        <v>117</v>
      </c>
      <c r="G462" t="str">
        <f t="shared" ca="1" si="31"/>
        <v>At Risk</v>
      </c>
      <c r="H462" s="13">
        <f>RANK(B462,Customer_Tiers[Total_Sales])</f>
        <v>461</v>
      </c>
    </row>
    <row r="463" spans="1:8">
      <c r="A463" t="str">
        <f>'Top Customers'!A465</f>
        <v>SOLARGATE</v>
      </c>
      <c r="B463" s="5">
        <f>IF(A463="","",IFERROR(GETPIVOTDATA("Sales Amount",'Top Customers'!$A$3,"Customer_name",'Top Customers'!A465),""))</f>
        <v>20164</v>
      </c>
      <c r="C463" t="str">
        <f t="shared" si="28"/>
        <v>Regular</v>
      </c>
      <c r="D463">
        <f t="shared" si="29"/>
        <v>79836</v>
      </c>
      <c r="E463" s="6">
        <f t="shared" si="30"/>
        <v>3.5216674450484065E-4</v>
      </c>
      <c r="F463" s="5">
        <f ca="1">TODAY()-GETPIVOTDATA("LastPurchaseDate",MaxDate!$A$3,"Customer_name",MaxDate!A465)</f>
        <v>44</v>
      </c>
      <c r="G463" t="str">
        <f t="shared" ca="1" si="31"/>
        <v>Active</v>
      </c>
      <c r="H463" s="13">
        <f>RANK(B463,Customer_Tiers[Total_Sales])</f>
        <v>462</v>
      </c>
    </row>
    <row r="464" spans="1:8">
      <c r="A464" t="str">
        <f>'Top Customers'!A466</f>
        <v>BENZ KADAYIRUPPU</v>
      </c>
      <c r="B464" s="5">
        <f>IF(A464="","",IFERROR(GETPIVOTDATA("Sales Amount",'Top Customers'!$A$3,"Customer_name",'Top Customers'!A466),""))</f>
        <v>20133</v>
      </c>
      <c r="C464" t="str">
        <f t="shared" si="28"/>
        <v>Regular</v>
      </c>
      <c r="D464">
        <f t="shared" si="29"/>
        <v>79867</v>
      </c>
      <c r="E464" s="6">
        <f t="shared" si="30"/>
        <v>3.516253256851794E-4</v>
      </c>
      <c r="F464" s="5">
        <f ca="1">TODAY()-GETPIVOTDATA("LastPurchaseDate",MaxDate!$A$3,"Customer_name",MaxDate!A466)</f>
        <v>191</v>
      </c>
      <c r="G464" t="str">
        <f t="shared" ca="1" si="31"/>
        <v>Inactive</v>
      </c>
      <c r="H464" s="13">
        <f>RANK(B464,Customer_Tiers[Total_Sales])</f>
        <v>463</v>
      </c>
    </row>
    <row r="465" spans="1:8">
      <c r="A465" t="str">
        <f>'Top Customers'!A467</f>
        <v>RAMAN TRUSS</v>
      </c>
      <c r="B465" s="5">
        <f>IF(A465="","",IFERROR(GETPIVOTDATA("Sales Amount",'Top Customers'!$A$3,"Customer_name",'Top Customers'!A467),""))</f>
        <v>20121</v>
      </c>
      <c r="C465" t="str">
        <f t="shared" si="28"/>
        <v>Regular</v>
      </c>
      <c r="D465">
        <f t="shared" si="29"/>
        <v>79879</v>
      </c>
      <c r="E465" s="6">
        <f t="shared" si="30"/>
        <v>3.5141574420660085E-4</v>
      </c>
      <c r="F465" s="5">
        <f ca="1">TODAY()-GETPIVOTDATA("LastPurchaseDate",MaxDate!$A$3,"Customer_name",MaxDate!A467)</f>
        <v>76</v>
      </c>
      <c r="G465" t="str">
        <f t="shared" ca="1" si="31"/>
        <v>At Risk</v>
      </c>
      <c r="H465" s="13">
        <f>RANK(B465,Customer_Tiers[Total_Sales])</f>
        <v>464</v>
      </c>
    </row>
    <row r="466" spans="1:8">
      <c r="A466" t="str">
        <f>'Top Customers'!A468</f>
        <v>KUTTY</v>
      </c>
      <c r="B466" s="5">
        <f>IF(A466="","",IFERROR(GETPIVOTDATA("Sales Amount",'Top Customers'!$A$3,"Customer_name",'Top Customers'!A468),""))</f>
        <v>20037</v>
      </c>
      <c r="C466" t="str">
        <f t="shared" si="28"/>
        <v>Regular</v>
      </c>
      <c r="D466">
        <f t="shared" si="29"/>
        <v>79963</v>
      </c>
      <c r="E466" s="6">
        <f t="shared" si="30"/>
        <v>3.499486738565509E-4</v>
      </c>
      <c r="F466" s="5">
        <f ca="1">TODAY()-GETPIVOTDATA("LastPurchaseDate",MaxDate!$A$3,"Customer_name",MaxDate!A468)</f>
        <v>211</v>
      </c>
      <c r="G466" t="str">
        <f t="shared" ca="1" si="31"/>
        <v>Inactive</v>
      </c>
      <c r="H466" s="13">
        <f>RANK(B466,Customer_Tiers[Total_Sales])</f>
        <v>465</v>
      </c>
    </row>
    <row r="467" spans="1:8">
      <c r="A467" t="str">
        <f>'Top Customers'!A469</f>
        <v>AJEESH KUNNAKKAL</v>
      </c>
      <c r="B467" s="5">
        <f>IF(A467="","",IFERROR(GETPIVOTDATA("Sales Amount",'Top Customers'!$A$3,"Customer_name",'Top Customers'!A469),""))</f>
        <v>20003</v>
      </c>
      <c r="C467" t="str">
        <f t="shared" si="28"/>
        <v>Regular</v>
      </c>
      <c r="D467">
        <f t="shared" si="29"/>
        <v>79997</v>
      </c>
      <c r="E467" s="6">
        <f t="shared" si="30"/>
        <v>3.4935485966724501E-4</v>
      </c>
      <c r="F467" s="5">
        <f ca="1">TODAY()-GETPIVOTDATA("LastPurchaseDate",MaxDate!$A$3,"Customer_name",MaxDate!A469)</f>
        <v>185</v>
      </c>
      <c r="G467" t="str">
        <f t="shared" ca="1" si="31"/>
        <v>Inactive</v>
      </c>
      <c r="H467" s="13">
        <f>RANK(B467,Customer_Tiers[Total_Sales])</f>
        <v>466</v>
      </c>
    </row>
    <row r="468" spans="1:8">
      <c r="A468" t="str">
        <f>'Top Customers'!A470</f>
        <v>KESAVAN , KOLANKUDY</v>
      </c>
      <c r="B468" s="5">
        <f>IF(A468="","",IFERROR(GETPIVOTDATA("Sales Amount",'Top Customers'!$A$3,"Customer_name",'Top Customers'!A470),""))</f>
        <v>19954</v>
      </c>
      <c r="C468" t="str">
        <f t="shared" si="28"/>
        <v>Regular</v>
      </c>
      <c r="D468">
        <f t="shared" si="29"/>
        <v>80046</v>
      </c>
      <c r="E468" s="6">
        <f t="shared" si="30"/>
        <v>3.4849906862971584E-4</v>
      </c>
      <c r="F468" s="5">
        <f ca="1">TODAY()-GETPIVOTDATA("LastPurchaseDate",MaxDate!$A$3,"Customer_name",MaxDate!A470)</f>
        <v>172</v>
      </c>
      <c r="G468" t="str">
        <f t="shared" ca="1" si="31"/>
        <v>Inactive</v>
      </c>
      <c r="H468" s="13">
        <f>RANK(B468,Customer_Tiers[Total_Sales])</f>
        <v>467</v>
      </c>
    </row>
    <row r="469" spans="1:8">
      <c r="A469" t="str">
        <f>'Top Customers'!A471</f>
        <v>SIDHIQUE , HITECH</v>
      </c>
      <c r="B469" s="5">
        <f>IF(A469="","",IFERROR(GETPIVOTDATA("Sales Amount",'Top Customers'!$A$3,"Customer_name",'Top Customers'!A471),""))</f>
        <v>19949</v>
      </c>
      <c r="C469" t="str">
        <f t="shared" si="28"/>
        <v>Regular</v>
      </c>
      <c r="D469">
        <f t="shared" si="29"/>
        <v>80051</v>
      </c>
      <c r="E469" s="6">
        <f t="shared" si="30"/>
        <v>3.4841174301364147E-4</v>
      </c>
      <c r="F469" s="5">
        <f ca="1">TODAY()-GETPIVOTDATA("LastPurchaseDate",MaxDate!$A$3,"Customer_name",MaxDate!A471)</f>
        <v>82</v>
      </c>
      <c r="G469" t="str">
        <f t="shared" ca="1" si="31"/>
        <v>At Risk</v>
      </c>
      <c r="H469" s="13">
        <f>RANK(B469,Customer_Tiers[Total_Sales])</f>
        <v>468</v>
      </c>
    </row>
    <row r="470" spans="1:8">
      <c r="A470" t="str">
        <f>'Top Customers'!A472</f>
        <v>VIJAY VARGHESE</v>
      </c>
      <c r="B470" s="5">
        <f>IF(A470="","",IFERROR(GETPIVOTDATA("Sales Amount",'Top Customers'!$A$3,"Customer_name",'Top Customers'!A472),""))</f>
        <v>19867</v>
      </c>
      <c r="C470" t="str">
        <f t="shared" si="28"/>
        <v>Regular</v>
      </c>
      <c r="D470">
        <f t="shared" si="29"/>
        <v>80133</v>
      </c>
      <c r="E470" s="6">
        <f t="shared" si="30"/>
        <v>3.4697960291002131E-4</v>
      </c>
      <c r="F470" s="5">
        <f ca="1">TODAY()-GETPIVOTDATA("LastPurchaseDate",MaxDate!$A$3,"Customer_name",MaxDate!A472)</f>
        <v>214</v>
      </c>
      <c r="G470" t="str">
        <f t="shared" ca="1" si="31"/>
        <v>Inactive</v>
      </c>
      <c r="H470" s="13">
        <f>RANK(B470,Customer_Tiers[Total_Sales])</f>
        <v>469</v>
      </c>
    </row>
    <row r="471" spans="1:8">
      <c r="A471" t="str">
        <f>'Top Customers'!A473</f>
        <v>KAKKANATTU CONTRACTORS</v>
      </c>
      <c r="B471" s="5">
        <f>IF(A471="","",IFERROR(GETPIVOTDATA("Sales Amount",'Top Customers'!$A$3,"Customer_name",'Top Customers'!A473),""))</f>
        <v>19800</v>
      </c>
      <c r="C471" t="str">
        <f t="shared" si="28"/>
        <v>Regular</v>
      </c>
      <c r="D471">
        <f t="shared" si="29"/>
        <v>80200</v>
      </c>
      <c r="E471" s="6">
        <f t="shared" si="30"/>
        <v>3.4580943965462432E-4</v>
      </c>
      <c r="F471" s="5">
        <f ca="1">TODAY()-GETPIVOTDATA("LastPurchaseDate",MaxDate!$A$3,"Customer_name",MaxDate!A473)</f>
        <v>303</v>
      </c>
      <c r="G471" t="str">
        <f t="shared" ca="1" si="31"/>
        <v>Inactive</v>
      </c>
      <c r="H471" s="13">
        <f>RANK(B471,Customer_Tiers[Total_Sales])</f>
        <v>470</v>
      </c>
    </row>
    <row r="472" spans="1:8">
      <c r="A472" t="str">
        <f>'Top Customers'!A474</f>
        <v>JAYABHARATH LIBRARY</v>
      </c>
      <c r="B472" s="5">
        <f>IF(A472="","",IFERROR(GETPIVOTDATA("Sales Amount",'Top Customers'!$A$3,"Customer_name",'Top Customers'!A474),""))</f>
        <v>19650</v>
      </c>
      <c r="C472" t="str">
        <f t="shared" si="28"/>
        <v>Regular</v>
      </c>
      <c r="D472">
        <f t="shared" si="29"/>
        <v>80350</v>
      </c>
      <c r="E472" s="6">
        <f t="shared" si="30"/>
        <v>3.4318967117239233E-4</v>
      </c>
      <c r="F472" s="5">
        <f ca="1">TODAY()-GETPIVOTDATA("LastPurchaseDate",MaxDate!$A$3,"Customer_name",MaxDate!A474)</f>
        <v>103</v>
      </c>
      <c r="G472" t="str">
        <f t="shared" ca="1" si="31"/>
        <v>At Risk</v>
      </c>
      <c r="H472" s="13">
        <f>RANK(B472,Customer_Tiers[Total_Sales])</f>
        <v>471</v>
      </c>
    </row>
    <row r="473" spans="1:8">
      <c r="A473" t="str">
        <f>'Top Customers'!A475</f>
        <v>ARJUN CHENGARA</v>
      </c>
      <c r="B473" s="5">
        <f>IF(A473="","",IFERROR(GETPIVOTDATA("Sales Amount",'Top Customers'!$A$3,"Customer_name",'Top Customers'!A475),""))</f>
        <v>19391</v>
      </c>
      <c r="C473" t="str">
        <f t="shared" si="28"/>
        <v>Regular</v>
      </c>
      <c r="D473">
        <f t="shared" si="29"/>
        <v>80609</v>
      </c>
      <c r="E473" s="6">
        <f t="shared" si="30"/>
        <v>3.3866620425973841E-4</v>
      </c>
      <c r="F473" s="5">
        <f ca="1">TODAY()-GETPIVOTDATA("LastPurchaseDate",MaxDate!$A$3,"Customer_name",MaxDate!A475)</f>
        <v>86</v>
      </c>
      <c r="G473" t="str">
        <f t="shared" ca="1" si="31"/>
        <v>At Risk</v>
      </c>
      <c r="H473" s="13">
        <f>RANK(B473,Customer_Tiers[Total_Sales])</f>
        <v>472</v>
      </c>
    </row>
    <row r="474" spans="1:8">
      <c r="A474" t="str">
        <f>'Top Customers'!A476</f>
        <v>RAMACHANDRAN  M G</v>
      </c>
      <c r="B474" s="5">
        <f>IF(A474="","",IFERROR(GETPIVOTDATA("Sales Amount",'Top Customers'!$A$3,"Customer_name",'Top Customers'!A476),""))</f>
        <v>19031</v>
      </c>
      <c r="C474" t="str">
        <f t="shared" si="28"/>
        <v>Regular</v>
      </c>
      <c r="D474">
        <f t="shared" si="29"/>
        <v>80969</v>
      </c>
      <c r="E474" s="6">
        <f t="shared" si="30"/>
        <v>3.3237875990238161E-4</v>
      </c>
      <c r="F474" s="5">
        <f ca="1">TODAY()-GETPIVOTDATA("LastPurchaseDate",MaxDate!$A$3,"Customer_name",MaxDate!A476)</f>
        <v>11</v>
      </c>
      <c r="G474" t="str">
        <f t="shared" ca="1" si="31"/>
        <v>Active</v>
      </c>
      <c r="H474" s="13">
        <f>RANK(B474,Customer_Tiers[Total_Sales])</f>
        <v>473</v>
      </c>
    </row>
    <row r="475" spans="1:8">
      <c r="A475" t="str">
        <f>'Top Customers'!A477</f>
        <v>BETA SOLAR SYSTEMS</v>
      </c>
      <c r="B475" s="5">
        <f>IF(A475="","",IFERROR(GETPIVOTDATA("Sales Amount",'Top Customers'!$A$3,"Customer_name",'Top Customers'!A477),""))</f>
        <v>18855</v>
      </c>
      <c r="C475" t="str">
        <f t="shared" si="28"/>
        <v>Regular</v>
      </c>
      <c r="D475">
        <f t="shared" si="29"/>
        <v>81145</v>
      </c>
      <c r="E475" s="6">
        <f t="shared" si="30"/>
        <v>3.2930489821656275E-4</v>
      </c>
      <c r="F475" s="5">
        <f ca="1">TODAY()-GETPIVOTDATA("LastPurchaseDate",MaxDate!$A$3,"Customer_name",MaxDate!A477)</f>
        <v>117</v>
      </c>
      <c r="G475" t="str">
        <f t="shared" ca="1" si="31"/>
        <v>At Risk</v>
      </c>
      <c r="H475" s="13">
        <f>RANK(B475,Customer_Tiers[Total_Sales])</f>
        <v>474</v>
      </c>
    </row>
    <row r="476" spans="1:8">
      <c r="A476" t="str">
        <f>'Top Customers'!A478</f>
        <v>MUTHU KOTHELY</v>
      </c>
      <c r="B476" s="5">
        <f>IF(A476="","",IFERROR(GETPIVOTDATA("Sales Amount",'Top Customers'!$A$3,"Customer_name",'Top Customers'!A478),""))</f>
        <v>18843</v>
      </c>
      <c r="C476" t="str">
        <f t="shared" si="28"/>
        <v>Regular</v>
      </c>
      <c r="D476">
        <f t="shared" si="29"/>
        <v>81157</v>
      </c>
      <c r="E476" s="6">
        <f t="shared" si="30"/>
        <v>3.2909531673798415E-4</v>
      </c>
      <c r="F476" s="5">
        <f ca="1">TODAY()-GETPIVOTDATA("LastPurchaseDate",MaxDate!$A$3,"Customer_name",MaxDate!A478)</f>
        <v>209</v>
      </c>
      <c r="G476" t="str">
        <f t="shared" ca="1" si="31"/>
        <v>Inactive</v>
      </c>
      <c r="H476" s="13">
        <f>RANK(B476,Customer_Tiers[Total_Sales])</f>
        <v>475</v>
      </c>
    </row>
    <row r="477" spans="1:8">
      <c r="A477" t="str">
        <f>'Top Customers'!A479</f>
        <v>RENJITH CHENGARA</v>
      </c>
      <c r="B477" s="5">
        <f>IF(A477="","",IFERROR(GETPIVOTDATA("Sales Amount",'Top Customers'!$A$3,"Customer_name",'Top Customers'!A479),""))</f>
        <v>18827</v>
      </c>
      <c r="C477" t="str">
        <f t="shared" si="28"/>
        <v>Regular</v>
      </c>
      <c r="D477">
        <f t="shared" si="29"/>
        <v>81173</v>
      </c>
      <c r="E477" s="6">
        <f t="shared" si="30"/>
        <v>3.2881587476654608E-4</v>
      </c>
      <c r="F477" s="5">
        <f ca="1">TODAY()-GETPIVOTDATA("LastPurchaseDate",MaxDate!$A$3,"Customer_name",MaxDate!A479)</f>
        <v>2</v>
      </c>
      <c r="G477" t="str">
        <f t="shared" ca="1" si="31"/>
        <v>Active</v>
      </c>
      <c r="H477" s="13">
        <f>RANK(B477,Customer_Tiers[Total_Sales])</f>
        <v>476</v>
      </c>
    </row>
    <row r="478" spans="1:8">
      <c r="A478" t="str">
        <f>'Top Customers'!A480</f>
        <v>SAJEEV KILIKULAM</v>
      </c>
      <c r="B478" s="5">
        <f>IF(A478="","",IFERROR(GETPIVOTDATA("Sales Amount",'Top Customers'!$A$3,"Customer_name",'Top Customers'!A480),""))</f>
        <v>18820</v>
      </c>
      <c r="C478" t="str">
        <f t="shared" si="28"/>
        <v>Regular</v>
      </c>
      <c r="D478">
        <f t="shared" si="29"/>
        <v>81180</v>
      </c>
      <c r="E478" s="6">
        <f t="shared" si="30"/>
        <v>3.2869361890404191E-4</v>
      </c>
      <c r="F478" s="5">
        <f ca="1">TODAY()-GETPIVOTDATA("LastPurchaseDate",MaxDate!$A$3,"Customer_name",MaxDate!A480)</f>
        <v>117</v>
      </c>
      <c r="G478" t="str">
        <f t="shared" ca="1" si="31"/>
        <v>At Risk</v>
      </c>
      <c r="H478" s="13">
        <f>RANK(B478,Customer_Tiers[Total_Sales])</f>
        <v>477</v>
      </c>
    </row>
    <row r="479" spans="1:8">
      <c r="A479" t="str">
        <f>'Top Customers'!A481</f>
        <v>KALESH , NANDANAM</v>
      </c>
      <c r="B479" s="5">
        <f>IF(A479="","",IFERROR(GETPIVOTDATA("Sales Amount",'Top Customers'!$A$3,"Customer_name",'Top Customers'!A481),""))</f>
        <v>18750</v>
      </c>
      <c r="C479" t="str">
        <f t="shared" si="28"/>
        <v>Regular</v>
      </c>
      <c r="D479">
        <f t="shared" si="29"/>
        <v>81250</v>
      </c>
      <c r="E479" s="6">
        <f t="shared" si="30"/>
        <v>3.2747106027900035E-4</v>
      </c>
      <c r="F479" s="5">
        <f ca="1">TODAY()-GETPIVOTDATA("LastPurchaseDate",MaxDate!$A$3,"Customer_name",MaxDate!A481)</f>
        <v>298</v>
      </c>
      <c r="G479" t="str">
        <f t="shared" ca="1" si="31"/>
        <v>Inactive</v>
      </c>
      <c r="H479" s="13">
        <f>RANK(B479,Customer_Tiers[Total_Sales])</f>
        <v>478</v>
      </c>
    </row>
    <row r="480" spans="1:8">
      <c r="A480" t="str">
        <f>'Top Customers'!A482</f>
        <v>JOSE VILANGU</v>
      </c>
      <c r="B480" s="5">
        <f>IF(A480="","",IFERROR(GETPIVOTDATA("Sales Amount",'Top Customers'!$A$3,"Customer_name",'Top Customers'!A482),""))</f>
        <v>18740</v>
      </c>
      <c r="C480" t="str">
        <f t="shared" si="28"/>
        <v>Regular</v>
      </c>
      <c r="D480">
        <f t="shared" si="29"/>
        <v>81260</v>
      </c>
      <c r="E480" s="6">
        <f t="shared" si="30"/>
        <v>3.2729640904685154E-4</v>
      </c>
      <c r="F480" s="5">
        <f ca="1">TODAY()-GETPIVOTDATA("LastPurchaseDate",MaxDate!$A$3,"Customer_name",MaxDate!A482)</f>
        <v>132</v>
      </c>
      <c r="G480" t="str">
        <f t="shared" ca="1" si="31"/>
        <v>Inactive</v>
      </c>
      <c r="H480" s="13">
        <f>RANK(B480,Customer_Tiers[Total_Sales])</f>
        <v>479</v>
      </c>
    </row>
    <row r="481" spans="1:8">
      <c r="A481" t="str">
        <f>'Top Customers'!A483</f>
        <v>SHYJAN VADAVUCODE</v>
      </c>
      <c r="B481" s="5">
        <f>IF(A481="","",IFERROR(GETPIVOTDATA("Sales Amount",'Top Customers'!$A$3,"Customer_name",'Top Customers'!A483),""))</f>
        <v>18631</v>
      </c>
      <c r="C481" t="str">
        <f t="shared" si="28"/>
        <v>Regular</v>
      </c>
      <c r="D481">
        <f t="shared" si="29"/>
        <v>81369</v>
      </c>
      <c r="E481" s="6">
        <f t="shared" si="30"/>
        <v>3.2539271061642961E-4</v>
      </c>
      <c r="F481" s="5">
        <f ca="1">TODAY()-GETPIVOTDATA("LastPurchaseDate",MaxDate!$A$3,"Customer_name",MaxDate!A483)</f>
        <v>289</v>
      </c>
      <c r="G481" t="str">
        <f t="shared" ca="1" si="31"/>
        <v>Inactive</v>
      </c>
      <c r="H481" s="13">
        <f>RANK(B481,Customer_Tiers[Total_Sales])</f>
        <v>480</v>
      </c>
    </row>
    <row r="482" spans="1:8">
      <c r="A482" t="str">
        <f>'Top Customers'!A484</f>
        <v>SREENI PATTIMATTOM</v>
      </c>
      <c r="B482" s="5">
        <f>IF(A482="","",IFERROR(GETPIVOTDATA("Sales Amount",'Top Customers'!$A$3,"Customer_name",'Top Customers'!A484),""))</f>
        <v>18622</v>
      </c>
      <c r="C482" t="str">
        <f t="shared" si="28"/>
        <v>Regular</v>
      </c>
      <c r="D482">
        <f t="shared" si="29"/>
        <v>81378</v>
      </c>
      <c r="E482" s="6">
        <f t="shared" si="30"/>
        <v>3.252355245074957E-4</v>
      </c>
      <c r="F482" s="5">
        <f ca="1">TODAY()-GETPIVOTDATA("LastPurchaseDate",MaxDate!$A$3,"Customer_name",MaxDate!A484)</f>
        <v>115</v>
      </c>
      <c r="G482" t="str">
        <f t="shared" ca="1" si="31"/>
        <v>At Risk</v>
      </c>
      <c r="H482" s="13">
        <f>RANK(B482,Customer_Tiers[Total_Sales])</f>
        <v>481</v>
      </c>
    </row>
    <row r="483" spans="1:8">
      <c r="A483" t="str">
        <f>'Top Customers'!A485</f>
        <v>PATTIMATTOM KUCS LTD</v>
      </c>
      <c r="B483" s="5">
        <f>IF(A483="","",IFERROR(GETPIVOTDATA("Sales Amount",'Top Customers'!$A$3,"Customer_name",'Top Customers'!A485),""))</f>
        <v>18610</v>
      </c>
      <c r="C483" t="str">
        <f t="shared" si="28"/>
        <v>Regular</v>
      </c>
      <c r="D483">
        <f t="shared" si="29"/>
        <v>81390</v>
      </c>
      <c r="E483" s="6">
        <f t="shared" si="30"/>
        <v>3.2502594302891711E-4</v>
      </c>
      <c r="F483" s="5">
        <f ca="1">TODAY()-GETPIVOTDATA("LastPurchaseDate",MaxDate!$A$3,"Customer_name",MaxDate!A485)</f>
        <v>156</v>
      </c>
      <c r="G483" t="str">
        <f t="shared" ca="1" si="31"/>
        <v>Inactive</v>
      </c>
      <c r="H483" s="13">
        <f>RANK(B483,Customer_Tiers[Total_Sales])</f>
        <v>482</v>
      </c>
    </row>
    <row r="484" spans="1:8">
      <c r="A484" t="str">
        <f>'Top Customers'!A486</f>
        <v>MINI NJARALLOOR</v>
      </c>
      <c r="B484" s="5">
        <f>IF(A484="","",IFERROR(GETPIVOTDATA("Sales Amount",'Top Customers'!$A$3,"Customer_name",'Top Customers'!A486),""))</f>
        <v>18531</v>
      </c>
      <c r="C484" t="str">
        <f t="shared" si="28"/>
        <v>Regular</v>
      </c>
      <c r="D484">
        <f t="shared" si="29"/>
        <v>81469</v>
      </c>
      <c r="E484" s="6">
        <f t="shared" si="30"/>
        <v>3.2364619829494158E-4</v>
      </c>
      <c r="F484" s="5">
        <f ca="1">TODAY()-GETPIVOTDATA("LastPurchaseDate",MaxDate!$A$3,"Customer_name",MaxDate!A486)</f>
        <v>192</v>
      </c>
      <c r="G484" t="str">
        <f t="shared" ca="1" si="31"/>
        <v>Inactive</v>
      </c>
      <c r="H484" s="13">
        <f>RANK(B484,Customer_Tiers[Total_Sales])</f>
        <v>483</v>
      </c>
    </row>
    <row r="485" spans="1:8">
      <c r="A485" t="str">
        <f>'Top Customers'!A487</f>
        <v>NAVAS THANDAKKALA (CATERING)</v>
      </c>
      <c r="B485" s="5">
        <f>IF(A485="","",IFERROR(GETPIVOTDATA("Sales Amount",'Top Customers'!$A$3,"Customer_name",'Top Customers'!A487),""))</f>
        <v>18520</v>
      </c>
      <c r="C485" t="str">
        <f t="shared" si="28"/>
        <v>Regular</v>
      </c>
      <c r="D485">
        <f t="shared" si="29"/>
        <v>81480</v>
      </c>
      <c r="E485" s="6">
        <f t="shared" si="30"/>
        <v>3.2345408193957794E-4</v>
      </c>
      <c r="F485" s="5">
        <f ca="1">TODAY()-GETPIVOTDATA("LastPurchaseDate",MaxDate!$A$3,"Customer_name",MaxDate!A487)</f>
        <v>144</v>
      </c>
      <c r="G485" t="str">
        <f t="shared" ca="1" si="31"/>
        <v>Inactive</v>
      </c>
      <c r="H485" s="13">
        <f>RANK(B485,Customer_Tiers[Total_Sales])</f>
        <v>484</v>
      </c>
    </row>
    <row r="486" spans="1:8">
      <c r="A486" t="str">
        <f>'Top Customers'!A488</f>
        <v>ANIL , CHOORAKKODU</v>
      </c>
      <c r="B486" s="5">
        <f>IF(A486="","",IFERROR(GETPIVOTDATA("Sales Amount",'Top Customers'!$A$3,"Customer_name",'Top Customers'!A488),""))</f>
        <v>18496</v>
      </c>
      <c r="C486" t="str">
        <f t="shared" si="28"/>
        <v>Regular</v>
      </c>
      <c r="D486">
        <f t="shared" si="29"/>
        <v>81504</v>
      </c>
      <c r="E486" s="6">
        <f t="shared" si="30"/>
        <v>3.230349189824208E-4</v>
      </c>
      <c r="F486" s="5">
        <f ca="1">TODAY()-GETPIVOTDATA("LastPurchaseDate",MaxDate!$A$3,"Customer_name",MaxDate!A488)</f>
        <v>2</v>
      </c>
      <c r="G486" t="str">
        <f t="shared" ca="1" si="31"/>
        <v>Active</v>
      </c>
      <c r="H486" s="13">
        <f>RANK(B486,Customer_Tiers[Total_Sales])</f>
        <v>485</v>
      </c>
    </row>
    <row r="487" spans="1:8">
      <c r="A487" t="str">
        <f>'Top Customers'!A489</f>
        <v>KURIAKOSE PAREPEEDIKA</v>
      </c>
      <c r="B487" s="5">
        <f>IF(A487="","",IFERROR(GETPIVOTDATA("Sales Amount",'Top Customers'!$A$3,"Customer_name",'Top Customers'!A489),""))</f>
        <v>18486</v>
      </c>
      <c r="C487" t="str">
        <f t="shared" si="28"/>
        <v>Regular</v>
      </c>
      <c r="D487">
        <f t="shared" si="29"/>
        <v>81514</v>
      </c>
      <c r="E487" s="6">
        <f t="shared" si="30"/>
        <v>3.22860267750272E-4</v>
      </c>
      <c r="F487" s="5">
        <f ca="1">TODAY()-GETPIVOTDATA("LastPurchaseDate",MaxDate!$A$3,"Customer_name",MaxDate!A489)</f>
        <v>148</v>
      </c>
      <c r="G487" t="str">
        <f t="shared" ca="1" si="31"/>
        <v>Inactive</v>
      </c>
      <c r="H487" s="13">
        <f>RANK(B487,Customer_Tiers[Total_Sales])</f>
        <v>486</v>
      </c>
    </row>
    <row r="488" spans="1:8">
      <c r="A488" t="str">
        <f>'Top Customers'!A490</f>
        <v>Paul Peter</v>
      </c>
      <c r="B488" s="5">
        <f>IF(A488="","",IFERROR(GETPIVOTDATA("Sales Amount",'Top Customers'!$A$3,"Customer_name",'Top Customers'!A490),""))</f>
        <v>18238</v>
      </c>
      <c r="C488" t="str">
        <f t="shared" si="28"/>
        <v>Regular</v>
      </c>
      <c r="D488">
        <f t="shared" si="29"/>
        <v>81762</v>
      </c>
      <c r="E488" s="6">
        <f t="shared" si="30"/>
        <v>3.1852891719298177E-4</v>
      </c>
      <c r="F488" s="5">
        <f ca="1">TODAY()-GETPIVOTDATA("LastPurchaseDate",MaxDate!$A$3,"Customer_name",MaxDate!A490)</f>
        <v>3</v>
      </c>
      <c r="G488" t="str">
        <f t="shared" ca="1" si="31"/>
        <v>Active</v>
      </c>
      <c r="H488" s="13">
        <f>RANK(B488,Customer_Tiers[Total_Sales])</f>
        <v>487</v>
      </c>
    </row>
    <row r="489" spans="1:8">
      <c r="A489" t="str">
        <f>'Top Customers'!A491</f>
        <v>PERUMKULATHIL ALIAS BABY</v>
      </c>
      <c r="B489" s="5">
        <f>IF(A489="","",IFERROR(GETPIVOTDATA("Sales Amount",'Top Customers'!$A$3,"Customer_name",'Top Customers'!A491),""))</f>
        <v>18182</v>
      </c>
      <c r="C489" t="str">
        <f t="shared" si="28"/>
        <v>Regular</v>
      </c>
      <c r="D489">
        <f t="shared" si="29"/>
        <v>81818</v>
      </c>
      <c r="E489" s="6">
        <f t="shared" si="30"/>
        <v>3.1755087029294849E-4</v>
      </c>
      <c r="F489" s="5">
        <f ca="1">TODAY()-GETPIVOTDATA("LastPurchaseDate",MaxDate!$A$3,"Customer_name",MaxDate!A491)</f>
        <v>4</v>
      </c>
      <c r="G489" t="str">
        <f t="shared" ca="1" si="31"/>
        <v>Active</v>
      </c>
      <c r="H489" s="13">
        <f>RANK(B489,Customer_Tiers[Total_Sales])</f>
        <v>488</v>
      </c>
    </row>
    <row r="490" spans="1:8">
      <c r="A490" t="str">
        <f>'Top Customers'!A492</f>
        <v>UNIQUE ENTERPRISES</v>
      </c>
      <c r="B490" s="5">
        <f>IF(A490="","",IFERROR(GETPIVOTDATA("Sales Amount",'Top Customers'!$A$3,"Customer_name",'Top Customers'!A492),""))</f>
        <v>18085</v>
      </c>
      <c r="C490" t="str">
        <f t="shared" si="28"/>
        <v>Regular</v>
      </c>
      <c r="D490">
        <f t="shared" si="29"/>
        <v>81915</v>
      </c>
      <c r="E490" s="6">
        <f t="shared" si="30"/>
        <v>3.1585675334110509E-4</v>
      </c>
      <c r="F490" s="5">
        <f ca="1">TODAY()-GETPIVOTDATA("LastPurchaseDate",MaxDate!$A$3,"Customer_name",MaxDate!A492)</f>
        <v>222</v>
      </c>
      <c r="G490" t="str">
        <f t="shared" ca="1" si="31"/>
        <v>Inactive</v>
      </c>
      <c r="H490" s="13">
        <f>RANK(B490,Customer_Tiers[Total_Sales])</f>
        <v>489</v>
      </c>
    </row>
    <row r="491" spans="1:8">
      <c r="A491" t="str">
        <f>'Top Customers'!A493</f>
        <v>DAISY VARGHESE</v>
      </c>
      <c r="B491" s="5">
        <f>IF(A491="","",IFERROR(GETPIVOTDATA("Sales Amount",'Top Customers'!$A$3,"Customer_name",'Top Customers'!A493),""))</f>
        <v>18020</v>
      </c>
      <c r="C491" t="str">
        <f t="shared" si="28"/>
        <v>Regular</v>
      </c>
      <c r="D491">
        <f t="shared" si="29"/>
        <v>81980</v>
      </c>
      <c r="E491" s="6">
        <f t="shared" si="30"/>
        <v>3.147215203321379E-4</v>
      </c>
      <c r="F491" s="5">
        <f ca="1">TODAY()-GETPIVOTDATA("LastPurchaseDate",MaxDate!$A$3,"Customer_name",MaxDate!A493)</f>
        <v>218</v>
      </c>
      <c r="G491" t="str">
        <f t="shared" ca="1" si="31"/>
        <v>Inactive</v>
      </c>
      <c r="H491" s="13">
        <f>RANK(B491,Customer_Tiers[Total_Sales])</f>
        <v>490</v>
      </c>
    </row>
    <row r="492" spans="1:8">
      <c r="A492" t="str">
        <f>'Top Customers'!A494</f>
        <v>MANI , AIRAPURAM</v>
      </c>
      <c r="B492" s="5">
        <f>IF(A492="","",IFERROR(GETPIVOTDATA("Sales Amount",'Top Customers'!$A$3,"Customer_name",'Top Customers'!A494),""))</f>
        <v>17951</v>
      </c>
      <c r="C492" t="str">
        <f t="shared" si="28"/>
        <v>Regular</v>
      </c>
      <c r="D492">
        <f t="shared" si="29"/>
        <v>82049</v>
      </c>
      <c r="E492" s="6">
        <f t="shared" si="30"/>
        <v>3.1351642683031118E-4</v>
      </c>
      <c r="F492" s="5">
        <f ca="1">TODAY()-GETPIVOTDATA("LastPurchaseDate",MaxDate!$A$3,"Customer_name",MaxDate!A494)</f>
        <v>24</v>
      </c>
      <c r="G492" t="str">
        <f t="shared" ca="1" si="31"/>
        <v>Active</v>
      </c>
      <c r="H492" s="13">
        <f>RANK(B492,Customer_Tiers[Total_Sales])</f>
        <v>491</v>
      </c>
    </row>
    <row r="493" spans="1:8">
      <c r="A493" t="str">
        <f>'Top Customers'!A495</f>
        <v>RENEESH KUMMANODE</v>
      </c>
      <c r="B493" s="5">
        <f>IF(A493="","",IFERROR(GETPIVOTDATA("Sales Amount",'Top Customers'!$A$3,"Customer_name",'Top Customers'!A495),""))</f>
        <v>17886</v>
      </c>
      <c r="C493" t="str">
        <f t="shared" si="28"/>
        <v>Regular</v>
      </c>
      <c r="D493">
        <f t="shared" si="29"/>
        <v>82114</v>
      </c>
      <c r="E493" s="6">
        <f t="shared" si="30"/>
        <v>3.1238119382134399E-4</v>
      </c>
      <c r="F493" s="5">
        <f ca="1">TODAY()-GETPIVOTDATA("LastPurchaseDate",MaxDate!$A$3,"Customer_name",MaxDate!A495)</f>
        <v>97</v>
      </c>
      <c r="G493" t="str">
        <f t="shared" ca="1" si="31"/>
        <v>At Risk</v>
      </c>
      <c r="H493" s="13">
        <f>RANK(B493,Customer_Tiers[Total_Sales])</f>
        <v>492</v>
      </c>
    </row>
    <row r="494" spans="1:8">
      <c r="A494" t="str">
        <f>'Top Customers'!A496</f>
        <v>JOSEPH CHACKO</v>
      </c>
      <c r="B494" s="5">
        <f>IF(A494="","",IFERROR(GETPIVOTDATA("Sales Amount",'Top Customers'!$A$3,"Customer_name",'Top Customers'!A496),""))</f>
        <v>17795</v>
      </c>
      <c r="C494" t="str">
        <f t="shared" si="28"/>
        <v>Regular</v>
      </c>
      <c r="D494">
        <f t="shared" si="29"/>
        <v>82205</v>
      </c>
      <c r="E494" s="6">
        <f t="shared" si="30"/>
        <v>3.1079186760878992E-4</v>
      </c>
      <c r="F494" s="5">
        <f ca="1">TODAY()-GETPIVOTDATA("LastPurchaseDate",MaxDate!$A$3,"Customer_name",MaxDate!A496)</f>
        <v>232</v>
      </c>
      <c r="G494" t="str">
        <f t="shared" ca="1" si="31"/>
        <v>Inactive</v>
      </c>
      <c r="H494" s="13">
        <f>RANK(B494,Customer_Tiers[Total_Sales])</f>
        <v>493</v>
      </c>
    </row>
    <row r="495" spans="1:8">
      <c r="A495" t="str">
        <f>'Top Customers'!A497</f>
        <v>SAMAD PATTIMATTOM</v>
      </c>
      <c r="B495" s="5">
        <f>IF(A495="","",IFERROR(GETPIVOTDATA("Sales Amount",'Top Customers'!$A$3,"Customer_name",'Top Customers'!A497),""))</f>
        <v>17755</v>
      </c>
      <c r="C495" t="str">
        <f t="shared" si="28"/>
        <v>Regular</v>
      </c>
      <c r="D495">
        <f t="shared" si="29"/>
        <v>82245</v>
      </c>
      <c r="E495" s="6">
        <f t="shared" si="30"/>
        <v>3.1009326268019471E-4</v>
      </c>
      <c r="F495" s="5">
        <f ca="1">TODAY()-GETPIVOTDATA("LastPurchaseDate",MaxDate!$A$3,"Customer_name",MaxDate!A497)</f>
        <v>4</v>
      </c>
      <c r="G495" t="str">
        <f t="shared" ca="1" si="31"/>
        <v>Active</v>
      </c>
      <c r="H495" s="13">
        <f>RANK(B495,Customer_Tiers[Total_Sales])</f>
        <v>494</v>
      </c>
    </row>
    <row r="496" spans="1:8">
      <c r="A496" t="str">
        <f>'Top Customers'!A498</f>
        <v>LENIN VALAMBORR</v>
      </c>
      <c r="B496" s="5">
        <f>IF(A496="","",IFERROR(GETPIVOTDATA("Sales Amount",'Top Customers'!$A$3,"Customer_name",'Top Customers'!A498),""))</f>
        <v>17663</v>
      </c>
      <c r="C496" t="str">
        <f t="shared" si="28"/>
        <v>Regular</v>
      </c>
      <c r="D496">
        <f t="shared" si="29"/>
        <v>82337</v>
      </c>
      <c r="E496" s="6">
        <f t="shared" si="30"/>
        <v>3.0848647134442574E-4</v>
      </c>
      <c r="F496" s="5">
        <f ca="1">TODAY()-GETPIVOTDATA("LastPurchaseDate",MaxDate!$A$3,"Customer_name",MaxDate!A498)</f>
        <v>101</v>
      </c>
      <c r="G496" t="str">
        <f t="shared" ca="1" si="31"/>
        <v>At Risk</v>
      </c>
      <c r="H496" s="13">
        <f>RANK(B496,Customer_Tiers[Total_Sales])</f>
        <v>495</v>
      </c>
    </row>
    <row r="497" spans="1:8">
      <c r="A497" t="str">
        <f>'Top Customers'!A499</f>
        <v>MOITHEEN NJATTUMKALA</v>
      </c>
      <c r="B497" s="5">
        <f>IF(A497="","",IFERROR(GETPIVOTDATA("Sales Amount",'Top Customers'!$A$3,"Customer_name",'Top Customers'!A499),""))</f>
        <v>17638</v>
      </c>
      <c r="C497" t="str">
        <f t="shared" si="28"/>
        <v>Regular</v>
      </c>
      <c r="D497">
        <f t="shared" si="29"/>
        <v>82362</v>
      </c>
      <c r="E497" s="6">
        <f t="shared" si="30"/>
        <v>3.0804984326405376E-4</v>
      </c>
      <c r="F497" s="5">
        <f ca="1">TODAY()-GETPIVOTDATA("LastPurchaseDate",MaxDate!$A$3,"Customer_name",MaxDate!A499)</f>
        <v>234</v>
      </c>
      <c r="G497" t="str">
        <f t="shared" ca="1" si="31"/>
        <v>Inactive</v>
      </c>
      <c r="H497" s="13">
        <f>RANK(B497,Customer_Tiers[Total_Sales])</f>
        <v>496</v>
      </c>
    </row>
    <row r="498" spans="1:8">
      <c r="A498" t="str">
        <f>'Top Customers'!A500</f>
        <v>OLIVE INDUSTRIES</v>
      </c>
      <c r="B498" s="5">
        <f>IF(A498="","",IFERROR(GETPIVOTDATA("Sales Amount",'Top Customers'!$A$3,"Customer_name",'Top Customers'!A500),""))</f>
        <v>17617</v>
      </c>
      <c r="C498" t="str">
        <f t="shared" si="28"/>
        <v>Regular</v>
      </c>
      <c r="D498">
        <f t="shared" si="29"/>
        <v>82383</v>
      </c>
      <c r="E498" s="6">
        <f t="shared" si="30"/>
        <v>3.0768307567654126E-4</v>
      </c>
      <c r="F498" s="5">
        <f ca="1">TODAY()-GETPIVOTDATA("LastPurchaseDate",MaxDate!$A$3,"Customer_name",MaxDate!A500)</f>
        <v>232</v>
      </c>
      <c r="G498" t="str">
        <f t="shared" ca="1" si="31"/>
        <v>Inactive</v>
      </c>
      <c r="H498" s="13">
        <f>RANK(B498,Customer_Tiers[Total_Sales])</f>
        <v>497</v>
      </c>
    </row>
    <row r="499" spans="1:8">
      <c r="A499" t="str">
        <f>'Top Customers'!A501</f>
        <v>SNOWLAND COOLCONCEPTS AND INSULATIONS (P) LTD</v>
      </c>
      <c r="B499" s="5">
        <f>IF(A499="","",IFERROR(GETPIVOTDATA("Sales Amount",'Top Customers'!$A$3,"Customer_name",'Top Customers'!A501),""))</f>
        <v>17468</v>
      </c>
      <c r="C499" t="str">
        <f t="shared" si="28"/>
        <v>Regular</v>
      </c>
      <c r="D499">
        <f t="shared" si="29"/>
        <v>82532</v>
      </c>
      <c r="E499" s="6">
        <f t="shared" si="30"/>
        <v>3.0508077231752417E-4</v>
      </c>
      <c r="F499" s="5">
        <f ca="1">TODAY()-GETPIVOTDATA("LastPurchaseDate",MaxDate!$A$3,"Customer_name",MaxDate!A501)</f>
        <v>29</v>
      </c>
      <c r="G499" t="str">
        <f t="shared" ca="1" si="31"/>
        <v>Active</v>
      </c>
      <c r="H499" s="13">
        <f>RANK(B499,Customer_Tiers[Total_Sales])</f>
        <v>498</v>
      </c>
    </row>
    <row r="500" spans="1:8">
      <c r="A500" t="str">
        <f>'Top Customers'!A502</f>
        <v>JOY VARGHSESE MANGALATHUNADA</v>
      </c>
      <c r="B500" s="5">
        <f>IF(A500="","",IFERROR(GETPIVOTDATA("Sales Amount",'Top Customers'!$A$3,"Customer_name",'Top Customers'!A502),""))</f>
        <v>17440</v>
      </c>
      <c r="C500" t="str">
        <f t="shared" si="28"/>
        <v>Regular</v>
      </c>
      <c r="D500">
        <f t="shared" si="29"/>
        <v>82560</v>
      </c>
      <c r="E500" s="6">
        <f t="shared" si="30"/>
        <v>3.045917488675075E-4</v>
      </c>
      <c r="F500" s="5">
        <f ca="1">TODAY()-GETPIVOTDATA("LastPurchaseDate",MaxDate!$A$3,"Customer_name",MaxDate!A502)</f>
        <v>8</v>
      </c>
      <c r="G500" t="str">
        <f t="shared" ca="1" si="31"/>
        <v>Active</v>
      </c>
      <c r="H500" s="13">
        <f>RANK(B500,Customer_Tiers[Total_Sales])</f>
        <v>499</v>
      </c>
    </row>
    <row r="501" spans="1:8">
      <c r="A501" t="str">
        <f>'Top Customers'!A503</f>
        <v>SULAIMAN ,MANAKKAPADY</v>
      </c>
      <c r="B501" s="5">
        <f>IF(A501="","",IFERROR(GETPIVOTDATA("Sales Amount",'Top Customers'!$A$3,"Customer_name",'Top Customers'!A503),""))</f>
        <v>17308</v>
      </c>
      <c r="C501" t="str">
        <f t="shared" si="28"/>
        <v>Regular</v>
      </c>
      <c r="D501">
        <f t="shared" si="29"/>
        <v>82692</v>
      </c>
      <c r="E501" s="6">
        <f t="shared" si="30"/>
        <v>3.0228635260314332E-4</v>
      </c>
      <c r="F501" s="5">
        <f ca="1">TODAY()-GETPIVOTDATA("LastPurchaseDate",MaxDate!$A$3,"Customer_name",MaxDate!A503)</f>
        <v>80</v>
      </c>
      <c r="G501" t="str">
        <f t="shared" ca="1" si="31"/>
        <v>At Risk</v>
      </c>
      <c r="H501" s="13">
        <f>RANK(B501,Customer_Tiers[Total_Sales])</f>
        <v>500</v>
      </c>
    </row>
    <row r="502" spans="1:8">
      <c r="A502" t="str">
        <f>'Top Customers'!A504</f>
        <v>ANEESH KUNNAKKAL</v>
      </c>
      <c r="B502" s="5">
        <f>IF(A502="","",IFERROR(GETPIVOTDATA("Sales Amount",'Top Customers'!$A$3,"Customer_name",'Top Customers'!A504),""))</f>
        <v>17098</v>
      </c>
      <c r="C502" t="str">
        <f t="shared" si="28"/>
        <v>Regular</v>
      </c>
      <c r="D502">
        <f t="shared" si="29"/>
        <v>82902</v>
      </c>
      <c r="E502" s="6">
        <f t="shared" si="30"/>
        <v>2.9861867672801852E-4</v>
      </c>
      <c r="F502" s="5">
        <f ca="1">TODAY()-GETPIVOTDATA("LastPurchaseDate",MaxDate!$A$3,"Customer_name",MaxDate!A504)</f>
        <v>153</v>
      </c>
      <c r="G502" t="str">
        <f t="shared" ca="1" si="31"/>
        <v>Inactive</v>
      </c>
      <c r="H502" s="13">
        <f>RANK(B502,Customer_Tiers[Total_Sales])</f>
        <v>501</v>
      </c>
    </row>
    <row r="503" spans="1:8">
      <c r="A503" t="str">
        <f>'Top Customers'!A505</f>
        <v>ASWIN THATTAMUGAL</v>
      </c>
      <c r="B503" s="5">
        <f>IF(A503="","",IFERROR(GETPIVOTDATA("Sales Amount",'Top Customers'!$A$3,"Customer_name",'Top Customers'!A505),""))</f>
        <v>17054</v>
      </c>
      <c r="C503" t="str">
        <f t="shared" si="28"/>
        <v>Regular</v>
      </c>
      <c r="D503">
        <f t="shared" si="29"/>
        <v>82946</v>
      </c>
      <c r="E503" s="6">
        <f t="shared" si="30"/>
        <v>2.9785021130656383E-4</v>
      </c>
      <c r="F503" s="5">
        <f ca="1">TODAY()-GETPIVOTDATA("LastPurchaseDate",MaxDate!$A$3,"Customer_name",MaxDate!A505)</f>
        <v>142</v>
      </c>
      <c r="G503" t="str">
        <f t="shared" ca="1" si="31"/>
        <v>Inactive</v>
      </c>
      <c r="H503" s="13">
        <f>RANK(B503,Customer_Tiers[Total_Sales])</f>
        <v>502</v>
      </c>
    </row>
    <row r="504" spans="1:8">
      <c r="A504" t="str">
        <f>'Top Customers'!A506</f>
        <v>BABU PATHROSE</v>
      </c>
      <c r="B504" s="5">
        <f>IF(A504="","",IFERROR(GETPIVOTDATA("Sales Amount",'Top Customers'!$A$3,"Customer_name",'Top Customers'!A506),""))</f>
        <v>17005</v>
      </c>
      <c r="C504" t="str">
        <f t="shared" si="28"/>
        <v>Regular</v>
      </c>
      <c r="D504">
        <f t="shared" si="29"/>
        <v>82995</v>
      </c>
      <c r="E504" s="6">
        <f t="shared" si="30"/>
        <v>2.9699442026903471E-4</v>
      </c>
      <c r="F504" s="5">
        <f ca="1">TODAY()-GETPIVOTDATA("LastPurchaseDate",MaxDate!$A$3,"Customer_name",MaxDate!A506)</f>
        <v>108</v>
      </c>
      <c r="G504" t="str">
        <f t="shared" ca="1" si="31"/>
        <v>At Risk</v>
      </c>
      <c r="H504" s="13">
        <f>RANK(B504,Customer_Tiers[Total_Sales])</f>
        <v>503</v>
      </c>
    </row>
    <row r="505" spans="1:8">
      <c r="A505" t="str">
        <f>'Top Customers'!A507</f>
        <v>JOY TRUSS</v>
      </c>
      <c r="B505" s="5">
        <f>IF(A505="","",IFERROR(GETPIVOTDATA("Sales Amount",'Top Customers'!$A$3,"Customer_name",'Top Customers'!A507),""))</f>
        <v>16982</v>
      </c>
      <c r="C505" t="str">
        <f t="shared" si="28"/>
        <v>Regular</v>
      </c>
      <c r="D505">
        <f t="shared" si="29"/>
        <v>83018</v>
      </c>
      <c r="E505" s="6">
        <f t="shared" si="30"/>
        <v>2.9659272243509247E-4</v>
      </c>
      <c r="F505" s="5">
        <f ca="1">TODAY()-GETPIVOTDATA("LastPurchaseDate",MaxDate!$A$3,"Customer_name",MaxDate!A507)</f>
        <v>192</v>
      </c>
      <c r="G505" t="str">
        <f t="shared" ca="1" si="31"/>
        <v>Inactive</v>
      </c>
      <c r="H505" s="13">
        <f>RANK(B505,Customer_Tiers[Total_Sales])</f>
        <v>504</v>
      </c>
    </row>
    <row r="506" spans="1:8">
      <c r="A506" t="str">
        <f>'Top Customers'!A508</f>
        <v>BIJU TRUSS VALAMBOOR</v>
      </c>
      <c r="B506" s="5">
        <f>IF(A506="","",IFERROR(GETPIVOTDATA("Sales Amount",'Top Customers'!$A$3,"Customer_name",'Top Customers'!A508),""))</f>
        <v>16836</v>
      </c>
      <c r="C506" t="str">
        <f t="shared" si="28"/>
        <v>Regular</v>
      </c>
      <c r="D506">
        <f t="shared" si="29"/>
        <v>83164</v>
      </c>
      <c r="E506" s="6">
        <f t="shared" si="30"/>
        <v>2.9404281444571996E-4</v>
      </c>
      <c r="F506" s="5">
        <f ca="1">TODAY()-GETPIVOTDATA("LastPurchaseDate",MaxDate!$A$3,"Customer_name",MaxDate!A508)</f>
        <v>253</v>
      </c>
      <c r="G506" t="str">
        <f t="shared" ca="1" si="31"/>
        <v>Inactive</v>
      </c>
      <c r="H506" s="13">
        <f>RANK(B506,Customer_Tiers[Total_Sales])</f>
        <v>505</v>
      </c>
    </row>
    <row r="507" spans="1:8">
      <c r="A507" t="str">
        <f>'Top Customers'!A509</f>
        <v>RAMAKRISHNAN</v>
      </c>
      <c r="B507" s="5">
        <f>IF(A507="","",IFERROR(GETPIVOTDATA("Sales Amount",'Top Customers'!$A$3,"Customer_name",'Top Customers'!A509),""))</f>
        <v>16831</v>
      </c>
      <c r="C507" t="str">
        <f t="shared" si="28"/>
        <v>Regular</v>
      </c>
      <c r="D507">
        <f t="shared" si="29"/>
        <v>83169</v>
      </c>
      <c r="E507" s="6">
        <f t="shared" si="30"/>
        <v>2.9395548882964559E-4</v>
      </c>
      <c r="F507" s="5">
        <f ca="1">TODAY()-GETPIVOTDATA("LastPurchaseDate",MaxDate!$A$3,"Customer_name",MaxDate!A509)</f>
        <v>232</v>
      </c>
      <c r="G507" t="str">
        <f t="shared" ca="1" si="31"/>
        <v>Inactive</v>
      </c>
      <c r="H507" s="13">
        <f>RANK(B507,Customer_Tiers[Total_Sales])</f>
        <v>506</v>
      </c>
    </row>
    <row r="508" spans="1:8">
      <c r="A508" t="str">
        <f>'Top Customers'!A510</f>
        <v>JOHNY PERUMANI</v>
      </c>
      <c r="B508" s="5">
        <f>IF(A508="","",IFERROR(GETPIVOTDATA("Sales Amount",'Top Customers'!$A$3,"Customer_name",'Top Customers'!A510),""))</f>
        <v>16777</v>
      </c>
      <c r="C508" t="str">
        <f t="shared" si="28"/>
        <v>Regular</v>
      </c>
      <c r="D508">
        <f t="shared" si="29"/>
        <v>83223</v>
      </c>
      <c r="E508" s="6">
        <f t="shared" si="30"/>
        <v>2.9301237217604204E-4</v>
      </c>
      <c r="F508" s="5">
        <f ca="1">TODAY()-GETPIVOTDATA("LastPurchaseDate",MaxDate!$A$3,"Customer_name",MaxDate!A510)</f>
        <v>198</v>
      </c>
      <c r="G508" t="str">
        <f t="shared" ca="1" si="31"/>
        <v>Inactive</v>
      </c>
      <c r="H508" s="13">
        <f>RANK(B508,Customer_Tiers[Total_Sales])</f>
        <v>507</v>
      </c>
    </row>
    <row r="509" spans="1:8">
      <c r="A509" t="str">
        <f>'Top Customers'!A511</f>
        <v>NEWCREST VENTURES</v>
      </c>
      <c r="B509" s="5">
        <f>IF(A509="","",IFERROR(GETPIVOTDATA("Sales Amount",'Top Customers'!$A$3,"Customer_name",'Top Customers'!A511),""))</f>
        <v>16762</v>
      </c>
      <c r="C509" t="str">
        <f t="shared" si="28"/>
        <v>Regular</v>
      </c>
      <c r="D509">
        <f t="shared" si="29"/>
        <v>83238</v>
      </c>
      <c r="E509" s="6">
        <f t="shared" si="30"/>
        <v>2.9275039532781886E-4</v>
      </c>
      <c r="F509" s="5">
        <f ca="1">TODAY()-GETPIVOTDATA("LastPurchaseDate",MaxDate!$A$3,"Customer_name",MaxDate!A511)</f>
        <v>221</v>
      </c>
      <c r="G509" t="str">
        <f t="shared" ca="1" si="31"/>
        <v>Inactive</v>
      </c>
      <c r="H509" s="13">
        <f>RANK(B509,Customer_Tiers[Total_Sales])</f>
        <v>508</v>
      </c>
    </row>
    <row r="510" spans="1:8">
      <c r="A510" t="str">
        <f>'Top Customers'!A512</f>
        <v>SAJI , VALAMBOOR</v>
      </c>
      <c r="B510" s="5">
        <f>IF(A510="","",IFERROR(GETPIVOTDATA("Sales Amount",'Top Customers'!$A$3,"Customer_name",'Top Customers'!A512),""))</f>
        <v>16714</v>
      </c>
      <c r="C510" t="str">
        <f t="shared" si="28"/>
        <v>Regular</v>
      </c>
      <c r="D510">
        <f t="shared" si="29"/>
        <v>83286</v>
      </c>
      <c r="E510" s="6">
        <f t="shared" si="30"/>
        <v>2.9191206941350459E-4</v>
      </c>
      <c r="F510" s="5">
        <f ca="1">TODAY()-GETPIVOTDATA("LastPurchaseDate",MaxDate!$A$3,"Customer_name",MaxDate!A512)</f>
        <v>176</v>
      </c>
      <c r="G510" t="str">
        <f t="shared" ca="1" si="31"/>
        <v>Inactive</v>
      </c>
      <c r="H510" s="13">
        <f>RANK(B510,Customer_Tiers[Total_Sales])</f>
        <v>509</v>
      </c>
    </row>
    <row r="511" spans="1:8">
      <c r="A511" t="str">
        <f>'Top Customers'!A513</f>
        <v>KADMUR SOLUTIONS PRIVATE LIMITED</v>
      </c>
      <c r="B511" s="5">
        <f>IF(A511="","",IFERROR(GETPIVOTDATA("Sales Amount",'Top Customers'!$A$3,"Customer_name",'Top Customers'!A513),""))</f>
        <v>16655</v>
      </c>
      <c r="C511" t="str">
        <f t="shared" si="28"/>
        <v>Regular</v>
      </c>
      <c r="D511">
        <f t="shared" si="29"/>
        <v>83345</v>
      </c>
      <c r="E511" s="6">
        <f t="shared" si="30"/>
        <v>2.9088162714382667E-4</v>
      </c>
      <c r="F511" s="5">
        <f ca="1">TODAY()-GETPIVOTDATA("LastPurchaseDate",MaxDate!$A$3,"Customer_name",MaxDate!A513)</f>
        <v>43</v>
      </c>
      <c r="G511" t="str">
        <f t="shared" ca="1" si="31"/>
        <v>Active</v>
      </c>
      <c r="H511" s="13">
        <f>RANK(B511,Customer_Tiers[Total_Sales])</f>
        <v>510</v>
      </c>
    </row>
    <row r="512" spans="1:8">
      <c r="A512" t="str">
        <f>'Top Customers'!A514</f>
        <v>OH MY CAKE</v>
      </c>
      <c r="B512" s="5">
        <f>IF(A512="","",IFERROR(GETPIVOTDATA("Sales Amount",'Top Customers'!$A$3,"Customer_name",'Top Customers'!A514),""))</f>
        <v>16498</v>
      </c>
      <c r="C512" t="str">
        <f t="shared" si="28"/>
        <v>Regular</v>
      </c>
      <c r="D512">
        <f t="shared" si="29"/>
        <v>83502</v>
      </c>
      <c r="E512" s="6">
        <f t="shared" si="30"/>
        <v>2.8813960279909051E-4</v>
      </c>
      <c r="F512" s="5">
        <f ca="1">TODAY()-GETPIVOTDATA("LastPurchaseDate",MaxDate!$A$3,"Customer_name",MaxDate!A514)</f>
        <v>180</v>
      </c>
      <c r="G512" t="str">
        <f t="shared" ca="1" si="31"/>
        <v>Inactive</v>
      </c>
      <c r="H512" s="13">
        <f>RANK(B512,Customer_Tiers[Total_Sales])</f>
        <v>511</v>
      </c>
    </row>
    <row r="513" spans="1:8">
      <c r="A513" t="str">
        <f>'Top Customers'!A515</f>
        <v>PRABHAKARAN IRAPURAM</v>
      </c>
      <c r="B513" s="5">
        <f>IF(A513="","",IFERROR(GETPIVOTDATA("Sales Amount",'Top Customers'!$A$3,"Customer_name",'Top Customers'!A515),""))</f>
        <v>16454</v>
      </c>
      <c r="C513" t="str">
        <f t="shared" si="28"/>
        <v>Regular</v>
      </c>
      <c r="D513">
        <f t="shared" si="29"/>
        <v>83546</v>
      </c>
      <c r="E513" s="6">
        <f t="shared" si="30"/>
        <v>2.8737113737763582E-4</v>
      </c>
      <c r="F513" s="5">
        <f ca="1">TODAY()-GETPIVOTDATA("LastPurchaseDate",MaxDate!$A$3,"Customer_name",MaxDate!A515)</f>
        <v>4</v>
      </c>
      <c r="G513" t="str">
        <f t="shared" ca="1" si="31"/>
        <v>Active</v>
      </c>
      <c r="H513" s="13">
        <f>RANK(B513,Customer_Tiers[Total_Sales])</f>
        <v>512</v>
      </c>
    </row>
    <row r="514" spans="1:8">
      <c r="A514" t="str">
        <f>'Top Customers'!A516</f>
        <v>KURIAKOSE THATTAMUGAL</v>
      </c>
      <c r="B514" s="5">
        <f>IF(A514="","",IFERROR(GETPIVOTDATA("Sales Amount",'Top Customers'!$A$3,"Customer_name",'Top Customers'!A516),""))</f>
        <v>16437</v>
      </c>
      <c r="C514" t="str">
        <f t="shared" ref="C514:C577" si="32">IF(B514&gt;=1000000,"Platinum",
 IF(B514&gt;=500000,"Gold",
 IF(B514&gt;=100000,"Silver","Regular")))</f>
        <v>Regular</v>
      </c>
      <c r="D514">
        <f t="shared" ref="D514:D577" si="33">IF(C514="Platinum",0,
 IF(C514="Gold",1000000-B514,
 IF(C514="Silver",500000-B514,
 IF(C514="Regular",100000-B514,0))))</f>
        <v>83563</v>
      </c>
      <c r="E514" s="6">
        <f t="shared" ref="E514:E577" si="34">B514/SUM(B:B)</f>
        <v>2.8707423028298285E-4</v>
      </c>
      <c r="F514" s="5">
        <f ca="1">TODAY()-GETPIVOTDATA("LastPurchaseDate",MaxDate!$A$3,"Customer_name",MaxDate!A516)</f>
        <v>19</v>
      </c>
      <c r="G514" t="str">
        <f t="shared" ref="G514:G577" ca="1" si="35">IF(F514="","",
 IF(F514&lt;=60,"Active",
 IF(F514&lt;=120,"At Risk","Inactive")))</f>
        <v>Active</v>
      </c>
      <c r="H514" s="13">
        <f>RANK(B514,Customer_Tiers[Total_Sales])</f>
        <v>513</v>
      </c>
    </row>
    <row r="515" spans="1:8">
      <c r="A515" t="str">
        <f>'Top Customers'!A517</f>
        <v>Alex , Punchaputhussery</v>
      </c>
      <c r="B515" s="5">
        <f>IF(A515="","",IFERROR(GETPIVOTDATA("Sales Amount",'Top Customers'!$A$3,"Customer_name",'Top Customers'!A517),""))</f>
        <v>16352</v>
      </c>
      <c r="C515" t="str">
        <f t="shared" si="32"/>
        <v>Regular</v>
      </c>
      <c r="D515">
        <f t="shared" si="33"/>
        <v>83648</v>
      </c>
      <c r="E515" s="6">
        <f t="shared" si="34"/>
        <v>2.8558969480971805E-4</v>
      </c>
      <c r="F515" s="5">
        <f ca="1">TODAY()-GETPIVOTDATA("LastPurchaseDate",MaxDate!$A$3,"Customer_name",MaxDate!A517)</f>
        <v>142</v>
      </c>
      <c r="G515" t="str">
        <f t="shared" ca="1" si="35"/>
        <v>Inactive</v>
      </c>
      <c r="H515" s="13">
        <f>RANK(B515,Customer_Tiers[Total_Sales])</f>
        <v>514</v>
      </c>
    </row>
    <row r="516" spans="1:8">
      <c r="A516" t="str">
        <f>'Top Customers'!A518</f>
        <v>JOY VALAMBOOR</v>
      </c>
      <c r="B516" s="5">
        <f>IF(A516="","",IFERROR(GETPIVOTDATA("Sales Amount",'Top Customers'!$A$3,"Customer_name",'Top Customers'!A518),""))</f>
        <v>16310</v>
      </c>
      <c r="C516" t="str">
        <f t="shared" si="32"/>
        <v>Regular</v>
      </c>
      <c r="D516">
        <f t="shared" si="33"/>
        <v>83690</v>
      </c>
      <c r="E516" s="6">
        <f t="shared" si="34"/>
        <v>2.848561596346931E-4</v>
      </c>
      <c r="F516" s="5">
        <f ca="1">TODAY()-GETPIVOTDATA("LastPurchaseDate",MaxDate!$A$3,"Customer_name",MaxDate!A518)</f>
        <v>65</v>
      </c>
      <c r="G516" t="str">
        <f t="shared" ca="1" si="35"/>
        <v>At Risk</v>
      </c>
      <c r="H516" s="13">
        <f>RANK(B516,Customer_Tiers[Total_Sales])</f>
        <v>515</v>
      </c>
    </row>
    <row r="517" spans="1:8">
      <c r="A517" t="str">
        <f>'Top Customers'!A519</f>
        <v>ELDO PAPPARIL VARKEY</v>
      </c>
      <c r="B517" s="5">
        <f>IF(A517="","",IFERROR(GETPIVOTDATA("Sales Amount",'Top Customers'!$A$3,"Customer_name",'Top Customers'!A519),""))</f>
        <v>16215</v>
      </c>
      <c r="C517" t="str">
        <f t="shared" si="32"/>
        <v>Regular</v>
      </c>
      <c r="D517">
        <f t="shared" si="33"/>
        <v>83785</v>
      </c>
      <c r="E517" s="6">
        <f t="shared" si="34"/>
        <v>2.831969729292795E-4</v>
      </c>
      <c r="F517" s="5">
        <f ca="1">TODAY()-GETPIVOTDATA("LastPurchaseDate",MaxDate!$A$3,"Customer_name",MaxDate!A519)</f>
        <v>103</v>
      </c>
      <c r="G517" t="str">
        <f t="shared" ca="1" si="35"/>
        <v>At Risk</v>
      </c>
      <c r="H517" s="13">
        <f>RANK(B517,Customer_Tiers[Total_Sales])</f>
        <v>516</v>
      </c>
    </row>
    <row r="518" spans="1:8">
      <c r="A518" t="str">
        <f>'Top Customers'!A520</f>
        <v>KAITHAKKADU MAHAVISHNU TEMPLE</v>
      </c>
      <c r="B518" s="5">
        <f>IF(A518="","",IFERROR(GETPIVOTDATA("Sales Amount",'Top Customers'!$A$3,"Customer_name",'Top Customers'!A520),""))</f>
        <v>16152</v>
      </c>
      <c r="C518" t="str">
        <f t="shared" si="32"/>
        <v>Regular</v>
      </c>
      <c r="D518">
        <f t="shared" si="33"/>
        <v>83848</v>
      </c>
      <c r="E518" s="6">
        <f t="shared" si="34"/>
        <v>2.8209667016674205E-4</v>
      </c>
      <c r="F518" s="5">
        <f ca="1">TODAY()-GETPIVOTDATA("LastPurchaseDate",MaxDate!$A$3,"Customer_name",MaxDate!A520)</f>
        <v>209</v>
      </c>
      <c r="G518" t="str">
        <f t="shared" ca="1" si="35"/>
        <v>Inactive</v>
      </c>
      <c r="H518" s="13">
        <f>RANK(B518,Customer_Tiers[Total_Sales])</f>
        <v>517</v>
      </c>
    </row>
    <row r="519" spans="1:8">
      <c r="A519" t="str">
        <f>'Top Customers'!A521</f>
        <v>RATHEESH VEMBILLY</v>
      </c>
      <c r="B519" s="5">
        <f>IF(A519="","",IFERROR(GETPIVOTDATA("Sales Amount",'Top Customers'!$A$3,"Customer_name",'Top Customers'!A521),""))</f>
        <v>16110</v>
      </c>
      <c r="C519" t="str">
        <f t="shared" si="32"/>
        <v>Regular</v>
      </c>
      <c r="D519">
        <f t="shared" si="33"/>
        <v>83890</v>
      </c>
      <c r="E519" s="6">
        <f t="shared" si="34"/>
        <v>2.813631349917171E-4</v>
      </c>
      <c r="F519" s="5">
        <f ca="1">TODAY()-GETPIVOTDATA("LastPurchaseDate",MaxDate!$A$3,"Customer_name",MaxDate!A521)</f>
        <v>162</v>
      </c>
      <c r="G519" t="str">
        <f t="shared" ca="1" si="35"/>
        <v>Inactive</v>
      </c>
      <c r="H519" s="13">
        <f>RANK(B519,Customer_Tiers[Total_Sales])</f>
        <v>518</v>
      </c>
    </row>
    <row r="520" spans="1:8">
      <c r="A520" t="str">
        <f>'Top Customers'!A522</f>
        <v>WVA CONSULTING ENGINEERIS PVT LTD</v>
      </c>
      <c r="B520" s="5">
        <f>IF(A520="","",IFERROR(GETPIVOTDATA("Sales Amount",'Top Customers'!$A$3,"Customer_name",'Top Customers'!A522),""))</f>
        <v>15990</v>
      </c>
      <c r="C520" t="str">
        <f t="shared" si="32"/>
        <v>Regular</v>
      </c>
      <c r="D520">
        <f t="shared" si="33"/>
        <v>84010</v>
      </c>
      <c r="E520" s="6">
        <f t="shared" si="34"/>
        <v>2.7926732020593147E-4</v>
      </c>
      <c r="F520" s="5">
        <f ca="1">TODAY()-GETPIVOTDATA("LastPurchaseDate",MaxDate!$A$3,"Customer_name",MaxDate!A522)</f>
        <v>205</v>
      </c>
      <c r="G520" t="str">
        <f t="shared" ca="1" si="35"/>
        <v>Inactive</v>
      </c>
      <c r="H520" s="13">
        <f>RANK(B520,Customer_Tiers[Total_Sales])</f>
        <v>519</v>
      </c>
    </row>
    <row r="521" spans="1:8">
      <c r="A521" t="str">
        <f>'Top Customers'!A523</f>
        <v>SAMAD PERINGALA</v>
      </c>
      <c r="B521" s="5">
        <f>IF(A521="","",IFERROR(GETPIVOTDATA("Sales Amount",'Top Customers'!$A$3,"Customer_name",'Top Customers'!A523),""))</f>
        <v>15927</v>
      </c>
      <c r="C521" t="str">
        <f t="shared" si="32"/>
        <v>Regular</v>
      </c>
      <c r="D521">
        <f t="shared" si="33"/>
        <v>84073</v>
      </c>
      <c r="E521" s="6">
        <f t="shared" si="34"/>
        <v>2.7816701744339401E-4</v>
      </c>
      <c r="F521" s="5">
        <f ca="1">TODAY()-GETPIVOTDATA("LastPurchaseDate",MaxDate!$A$3,"Customer_name",MaxDate!A523)</f>
        <v>99</v>
      </c>
      <c r="G521" t="str">
        <f t="shared" ca="1" si="35"/>
        <v>At Risk</v>
      </c>
      <c r="H521" s="13">
        <f>RANK(B521,Customer_Tiers[Total_Sales])</f>
        <v>520</v>
      </c>
    </row>
    <row r="522" spans="1:8">
      <c r="A522" t="str">
        <f>'Top Customers'!A524</f>
        <v>ABBAS ATHANI</v>
      </c>
      <c r="B522" s="5">
        <f>IF(A522="","",IFERROR(GETPIVOTDATA("Sales Amount",'Top Customers'!$A$3,"Customer_name",'Top Customers'!A524),""))</f>
        <v>15915</v>
      </c>
      <c r="C522" t="str">
        <f t="shared" si="32"/>
        <v>Regular</v>
      </c>
      <c r="D522">
        <f t="shared" si="33"/>
        <v>84085</v>
      </c>
      <c r="E522" s="6">
        <f t="shared" si="34"/>
        <v>2.7795743596481547E-4</v>
      </c>
      <c r="F522" s="5">
        <f ca="1">TODAY()-GETPIVOTDATA("LastPurchaseDate",MaxDate!$A$3,"Customer_name",MaxDate!A524)</f>
        <v>11</v>
      </c>
      <c r="G522" t="str">
        <f t="shared" ca="1" si="35"/>
        <v>Active</v>
      </c>
      <c r="H522" s="13">
        <f>RANK(B522,Customer_Tiers[Total_Sales])</f>
        <v>521</v>
      </c>
    </row>
    <row r="523" spans="1:8">
      <c r="A523" t="str">
        <f>'Top Customers'!A525</f>
        <v>ABBAS RATION KADA ATHANI</v>
      </c>
      <c r="B523" s="5">
        <f>IF(A523="","",IFERROR(GETPIVOTDATA("Sales Amount",'Top Customers'!$A$3,"Customer_name",'Top Customers'!A525),""))</f>
        <v>15874</v>
      </c>
      <c r="C523" t="str">
        <f t="shared" si="32"/>
        <v>Regular</v>
      </c>
      <c r="D523">
        <f t="shared" si="33"/>
        <v>84126</v>
      </c>
      <c r="E523" s="6">
        <f t="shared" si="34"/>
        <v>2.7724136591300542E-4</v>
      </c>
      <c r="F523" s="5">
        <f ca="1">TODAY()-GETPIVOTDATA("LastPurchaseDate",MaxDate!$A$3,"Customer_name",MaxDate!A525)</f>
        <v>24</v>
      </c>
      <c r="G523" t="str">
        <f t="shared" ca="1" si="35"/>
        <v>Active</v>
      </c>
      <c r="H523" s="13">
        <f>RANK(B523,Customer_Tiers[Total_Sales])</f>
        <v>522</v>
      </c>
    </row>
    <row r="524" spans="1:8">
      <c r="A524" t="str">
        <f>'Top Customers'!A526</f>
        <v>GULF ENGINEERING CONTRACTORS</v>
      </c>
      <c r="B524" s="5">
        <f>IF(A524="","",IFERROR(GETPIVOTDATA("Sales Amount",'Top Customers'!$A$3,"Customer_name",'Top Customers'!A526),""))</f>
        <v>15821</v>
      </c>
      <c r="C524" t="str">
        <f t="shared" si="32"/>
        <v>Regular</v>
      </c>
      <c r="D524">
        <f t="shared" si="33"/>
        <v>84179</v>
      </c>
      <c r="E524" s="6">
        <f t="shared" si="34"/>
        <v>2.7631571438261677E-4</v>
      </c>
      <c r="F524" s="5">
        <f ca="1">TODAY()-GETPIVOTDATA("LastPurchaseDate",MaxDate!$A$3,"Customer_name",MaxDate!A526)</f>
        <v>6</v>
      </c>
      <c r="G524" t="str">
        <f t="shared" ca="1" si="35"/>
        <v>Active</v>
      </c>
      <c r="H524" s="13">
        <f>RANK(B524,Customer_Tiers[Total_Sales])</f>
        <v>523</v>
      </c>
    </row>
    <row r="525" spans="1:8">
      <c r="A525" t="str">
        <f>'Top Customers'!A527</f>
        <v>SREEKAUSTHUBHAM TEMPLE ARCHITECTURE &amp; SCULPTURER</v>
      </c>
      <c r="B525" s="5">
        <f>IF(A525="","",IFERROR(GETPIVOTDATA("Sales Amount",'Top Customers'!$A$3,"Customer_name",'Top Customers'!A527),""))</f>
        <v>15806</v>
      </c>
      <c r="C525" t="str">
        <f t="shared" si="32"/>
        <v>Regular</v>
      </c>
      <c r="D525">
        <f t="shared" si="33"/>
        <v>84194</v>
      </c>
      <c r="E525" s="6">
        <f t="shared" si="34"/>
        <v>2.7605373753439354E-4</v>
      </c>
      <c r="F525" s="5">
        <f ca="1">TODAY()-GETPIVOTDATA("LastPurchaseDate",MaxDate!$A$3,"Customer_name",MaxDate!A527)</f>
        <v>48</v>
      </c>
      <c r="G525" t="str">
        <f t="shared" ca="1" si="35"/>
        <v>Active</v>
      </c>
      <c r="H525" s="13">
        <f>RANK(B525,Customer_Tiers[Total_Sales])</f>
        <v>524</v>
      </c>
    </row>
    <row r="526" spans="1:8">
      <c r="A526" t="str">
        <f>'Top Customers'!A528</f>
        <v>SUNIL THATTAMUGAL</v>
      </c>
      <c r="B526" s="5">
        <f>IF(A526="","",IFERROR(GETPIVOTDATA("Sales Amount",'Top Customers'!$A$3,"Customer_name",'Top Customers'!A528),""))</f>
        <v>15790</v>
      </c>
      <c r="C526" t="str">
        <f t="shared" si="32"/>
        <v>Regular</v>
      </c>
      <c r="D526">
        <f t="shared" si="33"/>
        <v>84210</v>
      </c>
      <c r="E526" s="6">
        <f t="shared" si="34"/>
        <v>2.7577429556295546E-4</v>
      </c>
      <c r="F526" s="5">
        <f ca="1">TODAY()-GETPIVOTDATA("LastPurchaseDate",MaxDate!$A$3,"Customer_name",MaxDate!A528)</f>
        <v>15</v>
      </c>
      <c r="G526" t="str">
        <f t="shared" ca="1" si="35"/>
        <v>Active</v>
      </c>
      <c r="H526" s="13">
        <f>RANK(B526,Customer_Tiers[Total_Sales])</f>
        <v>525</v>
      </c>
    </row>
    <row r="527" spans="1:8">
      <c r="A527" t="str">
        <f>'Top Customers'!A529</f>
        <v>SHAJI APE</v>
      </c>
      <c r="B527" s="5">
        <f>IF(A527="","",IFERROR(GETPIVOTDATA("Sales Amount",'Top Customers'!$A$3,"Customer_name",'Top Customers'!A529),""))</f>
        <v>15726</v>
      </c>
      <c r="C527" t="str">
        <f t="shared" si="32"/>
        <v>Regular</v>
      </c>
      <c r="D527">
        <f t="shared" si="33"/>
        <v>84274</v>
      </c>
      <c r="E527" s="6">
        <f t="shared" si="34"/>
        <v>2.7465652767720317E-4</v>
      </c>
      <c r="F527" s="5">
        <f ca="1">TODAY()-GETPIVOTDATA("LastPurchaseDate",MaxDate!$A$3,"Customer_name",MaxDate!A529)</f>
        <v>41</v>
      </c>
      <c r="G527" t="str">
        <f t="shared" ca="1" si="35"/>
        <v>Active</v>
      </c>
      <c r="H527" s="13">
        <f>RANK(B527,Customer_Tiers[Total_Sales])</f>
        <v>526</v>
      </c>
    </row>
    <row r="528" spans="1:8">
      <c r="A528" t="str">
        <f>'Top Customers'!A530</f>
        <v>KUTTAI PALLIKKARA</v>
      </c>
      <c r="B528" s="5">
        <f>IF(A528="","",IFERROR(GETPIVOTDATA("Sales Amount",'Top Customers'!$A$3,"Customer_name",'Top Customers'!A530),""))</f>
        <v>15715</v>
      </c>
      <c r="C528" t="str">
        <f t="shared" si="32"/>
        <v>Regular</v>
      </c>
      <c r="D528">
        <f t="shared" si="33"/>
        <v>84285</v>
      </c>
      <c r="E528" s="6">
        <f t="shared" si="34"/>
        <v>2.7446441132183947E-4</v>
      </c>
      <c r="F528" s="5">
        <f ca="1">TODAY()-GETPIVOTDATA("LastPurchaseDate",MaxDate!$A$3,"Customer_name",MaxDate!A530)</f>
        <v>124</v>
      </c>
      <c r="G528" t="str">
        <f t="shared" ca="1" si="35"/>
        <v>Inactive</v>
      </c>
      <c r="H528" s="13">
        <f>RANK(B528,Customer_Tiers[Total_Sales])</f>
        <v>527</v>
      </c>
    </row>
    <row r="529" spans="1:8">
      <c r="A529" t="str">
        <f>'Top Customers'!A531</f>
        <v>AYYANKAVU TEMPLE</v>
      </c>
      <c r="B529" s="5">
        <f>IF(A529="","",IFERROR(GETPIVOTDATA("Sales Amount",'Top Customers'!$A$3,"Customer_name",'Top Customers'!A531),""))</f>
        <v>15672</v>
      </c>
      <c r="C529" t="str">
        <f t="shared" si="32"/>
        <v>Regular</v>
      </c>
      <c r="D529">
        <f t="shared" si="33"/>
        <v>84328</v>
      </c>
      <c r="E529" s="6">
        <f t="shared" si="34"/>
        <v>2.7371341102359962E-4</v>
      </c>
      <c r="F529" s="5">
        <f ca="1">TODAY()-GETPIVOTDATA("LastPurchaseDate",MaxDate!$A$3,"Customer_name",MaxDate!A531)</f>
        <v>228</v>
      </c>
      <c r="G529" t="str">
        <f t="shared" ca="1" si="35"/>
        <v>Inactive</v>
      </c>
      <c r="H529" s="13">
        <f>RANK(B529,Customer_Tiers[Total_Sales])</f>
        <v>528</v>
      </c>
    </row>
    <row r="530" spans="1:8">
      <c r="A530" t="str">
        <f>'Top Customers'!A532</f>
        <v>SAJITH KOLAMKUDY</v>
      </c>
      <c r="B530" s="5">
        <f>IF(A530="","",IFERROR(GETPIVOTDATA("Sales Amount",'Top Customers'!$A$3,"Customer_name",'Top Customers'!A532),""))</f>
        <v>15652</v>
      </c>
      <c r="C530" t="str">
        <f t="shared" si="32"/>
        <v>Regular</v>
      </c>
      <c r="D530">
        <f t="shared" si="33"/>
        <v>84348</v>
      </c>
      <c r="E530" s="6">
        <f t="shared" si="34"/>
        <v>2.7336410855930202E-4</v>
      </c>
      <c r="F530" s="5">
        <f ca="1">TODAY()-GETPIVOTDATA("LastPurchaseDate",MaxDate!$A$3,"Customer_name",MaxDate!A532)</f>
        <v>11</v>
      </c>
      <c r="G530" t="str">
        <f t="shared" ca="1" si="35"/>
        <v>Active</v>
      </c>
      <c r="H530" s="13">
        <f>RANK(B530,Customer_Tiers[Total_Sales])</f>
        <v>529</v>
      </c>
    </row>
    <row r="531" spans="1:8">
      <c r="A531" t="str">
        <f>'Top Customers'!A533</f>
        <v>SALIM MUNDEKUDY</v>
      </c>
      <c r="B531" s="5">
        <f>IF(A531="","",IFERROR(GETPIVOTDATA("Sales Amount",'Top Customers'!$A$3,"Customer_name",'Top Customers'!A533),""))</f>
        <v>15582</v>
      </c>
      <c r="C531" t="str">
        <f t="shared" si="32"/>
        <v>Regular</v>
      </c>
      <c r="D531">
        <f t="shared" si="33"/>
        <v>84418</v>
      </c>
      <c r="E531" s="6">
        <f t="shared" si="34"/>
        <v>2.7214154993426045E-4</v>
      </c>
      <c r="F531" s="5">
        <f ca="1">TODAY()-GETPIVOTDATA("LastPurchaseDate",MaxDate!$A$3,"Customer_name",MaxDate!A533)</f>
        <v>3</v>
      </c>
      <c r="G531" t="str">
        <f t="shared" ca="1" si="35"/>
        <v>Active</v>
      </c>
      <c r="H531" s="13">
        <f>RANK(B531,Customer_Tiers[Total_Sales])</f>
        <v>530</v>
      </c>
    </row>
    <row r="532" spans="1:8">
      <c r="A532" t="str">
        <f>'Top Customers'!A534</f>
        <v>VETTIKKAL TEMPLE</v>
      </c>
      <c r="B532" s="5">
        <f>IF(A532="","",IFERROR(GETPIVOTDATA("Sales Amount",'Top Customers'!$A$3,"Customer_name",'Top Customers'!A534),""))</f>
        <v>15520</v>
      </c>
      <c r="C532" t="str">
        <f t="shared" si="32"/>
        <v>Regular</v>
      </c>
      <c r="D532">
        <f t="shared" si="33"/>
        <v>84480</v>
      </c>
      <c r="E532" s="6">
        <f t="shared" si="34"/>
        <v>2.710587122949379E-4</v>
      </c>
      <c r="F532" s="5">
        <f ca="1">TODAY()-GETPIVOTDATA("LastPurchaseDate",MaxDate!$A$3,"Customer_name",MaxDate!A534)</f>
        <v>22</v>
      </c>
      <c r="G532" t="str">
        <f t="shared" ca="1" si="35"/>
        <v>Active</v>
      </c>
      <c r="H532" s="13">
        <f>RANK(B532,Customer_Tiers[Total_Sales])</f>
        <v>531</v>
      </c>
    </row>
    <row r="533" spans="1:8">
      <c r="A533" t="str">
        <f>'Top Customers'!A535</f>
        <v>SB ENGINEERING WORKS</v>
      </c>
      <c r="B533" s="5">
        <f>IF(A533="","",IFERROR(GETPIVOTDATA("Sales Amount",'Top Customers'!$A$3,"Customer_name",'Top Customers'!A535),""))</f>
        <v>15500</v>
      </c>
      <c r="C533" t="str">
        <f t="shared" si="32"/>
        <v>Regular</v>
      </c>
      <c r="D533">
        <f t="shared" si="33"/>
        <v>84500</v>
      </c>
      <c r="E533" s="6">
        <f t="shared" si="34"/>
        <v>2.7070940983064029E-4</v>
      </c>
      <c r="F533" s="5">
        <f ca="1">TODAY()-GETPIVOTDATA("LastPurchaseDate",MaxDate!$A$3,"Customer_name",MaxDate!A535)</f>
        <v>24</v>
      </c>
      <c r="G533" t="str">
        <f t="shared" ca="1" si="35"/>
        <v>Active</v>
      </c>
      <c r="H533" s="13">
        <f>RANK(B533,Customer_Tiers[Total_Sales])</f>
        <v>532</v>
      </c>
    </row>
    <row r="534" spans="1:8">
      <c r="A534" t="str">
        <f>'Top Customers'!A536</f>
        <v>JOY MAMBAKKADAN</v>
      </c>
      <c r="B534" s="5">
        <f>IF(A534="","",IFERROR(GETPIVOTDATA("Sales Amount",'Top Customers'!$A$3,"Customer_name",'Top Customers'!A536),""))</f>
        <v>15480</v>
      </c>
      <c r="C534" t="str">
        <f t="shared" si="32"/>
        <v>Regular</v>
      </c>
      <c r="D534">
        <f t="shared" si="33"/>
        <v>84520</v>
      </c>
      <c r="E534" s="6">
        <f t="shared" si="34"/>
        <v>2.7036010736634268E-4</v>
      </c>
      <c r="F534" s="5">
        <f ca="1">TODAY()-GETPIVOTDATA("LastPurchaseDate",MaxDate!$A$3,"Customer_name",MaxDate!A536)</f>
        <v>326</v>
      </c>
      <c r="G534" t="str">
        <f t="shared" ca="1" si="35"/>
        <v>Inactive</v>
      </c>
      <c r="H534" s="13">
        <f>RANK(B534,Customer_Tiers[Total_Sales])</f>
        <v>533</v>
      </c>
    </row>
    <row r="535" spans="1:8">
      <c r="A535" t="str">
        <f>'Top Customers'!A537</f>
        <v>SARATH PATTIMATTOM</v>
      </c>
      <c r="B535" s="5">
        <f>IF(A535="","",IFERROR(GETPIVOTDATA("Sales Amount",'Top Customers'!$A$3,"Customer_name",'Top Customers'!A537),""))</f>
        <v>15458</v>
      </c>
      <c r="C535" t="str">
        <f t="shared" si="32"/>
        <v>Regular</v>
      </c>
      <c r="D535">
        <f t="shared" si="33"/>
        <v>84542</v>
      </c>
      <c r="E535" s="6">
        <f t="shared" si="34"/>
        <v>2.6997587465561529E-4</v>
      </c>
      <c r="F535" s="5">
        <f ca="1">TODAY()-GETPIVOTDATA("LastPurchaseDate",MaxDate!$A$3,"Customer_name",MaxDate!A537)</f>
        <v>260</v>
      </c>
      <c r="G535" t="str">
        <f t="shared" ca="1" si="35"/>
        <v>Inactive</v>
      </c>
      <c r="H535" s="13">
        <f>RANK(B535,Customer_Tiers[Total_Sales])</f>
        <v>534</v>
      </c>
    </row>
    <row r="536" spans="1:8">
      <c r="A536" t="str">
        <f>'Top Customers'!A538</f>
        <v>REJITH P S</v>
      </c>
      <c r="B536" s="5">
        <f>IF(A536="","",IFERROR(GETPIVOTDATA("Sales Amount",'Top Customers'!$A$3,"Customer_name",'Top Customers'!A538),""))</f>
        <v>15457</v>
      </c>
      <c r="C536" t="str">
        <f t="shared" si="32"/>
        <v>Regular</v>
      </c>
      <c r="D536">
        <f t="shared" si="33"/>
        <v>84543</v>
      </c>
      <c r="E536" s="6">
        <f t="shared" si="34"/>
        <v>2.6995840953240044E-4</v>
      </c>
      <c r="F536" s="5">
        <f ca="1">TODAY()-GETPIVOTDATA("LastPurchaseDate",MaxDate!$A$3,"Customer_name",MaxDate!A538)</f>
        <v>222</v>
      </c>
      <c r="G536" t="str">
        <f t="shared" ca="1" si="35"/>
        <v>Inactive</v>
      </c>
      <c r="H536" s="13">
        <f>RANK(B536,Customer_Tiers[Total_Sales])</f>
        <v>535</v>
      </c>
    </row>
    <row r="537" spans="1:8">
      <c r="A537" t="str">
        <f>'Top Customers'!A539</f>
        <v>HASSAN , THANDAKKALA</v>
      </c>
      <c r="B537" s="5">
        <f>IF(A537="","",IFERROR(GETPIVOTDATA("Sales Amount",'Top Customers'!$A$3,"Customer_name",'Top Customers'!A539),""))</f>
        <v>15415</v>
      </c>
      <c r="C537" t="str">
        <f t="shared" si="32"/>
        <v>Regular</v>
      </c>
      <c r="D537">
        <f t="shared" si="33"/>
        <v>84585</v>
      </c>
      <c r="E537" s="6">
        <f t="shared" si="34"/>
        <v>2.6922487435737549E-4</v>
      </c>
      <c r="F537" s="5">
        <f ca="1">TODAY()-GETPIVOTDATA("LastPurchaseDate",MaxDate!$A$3,"Customer_name",MaxDate!A539)</f>
        <v>310</v>
      </c>
      <c r="G537" t="str">
        <f t="shared" ca="1" si="35"/>
        <v>Inactive</v>
      </c>
      <c r="H537" s="13">
        <f>RANK(B537,Customer_Tiers[Total_Sales])</f>
        <v>536</v>
      </c>
    </row>
    <row r="538" spans="1:8">
      <c r="A538" t="str">
        <f>'Top Customers'!A540</f>
        <v>ST. GEORGE JACOBITE CHURCH</v>
      </c>
      <c r="B538" s="5">
        <f>IF(A538="","",IFERROR(GETPIVOTDATA("Sales Amount",'Top Customers'!$A$3,"Customer_name",'Top Customers'!A540),""))</f>
        <v>15366</v>
      </c>
      <c r="C538" t="str">
        <f t="shared" si="32"/>
        <v>Regular</v>
      </c>
      <c r="D538">
        <f t="shared" si="33"/>
        <v>84634</v>
      </c>
      <c r="E538" s="6">
        <f t="shared" si="34"/>
        <v>2.6836908331984632E-4</v>
      </c>
      <c r="F538" s="5">
        <f ca="1">TODAY()-GETPIVOTDATA("LastPurchaseDate",MaxDate!$A$3,"Customer_name",MaxDate!A540)</f>
        <v>192</v>
      </c>
      <c r="G538" t="str">
        <f t="shared" ca="1" si="35"/>
        <v>Inactive</v>
      </c>
      <c r="H538" s="13">
        <f>RANK(B538,Customer_Tiers[Total_Sales])</f>
        <v>537</v>
      </c>
    </row>
    <row r="539" spans="1:8">
      <c r="A539" t="str">
        <f>'Top Customers'!A541</f>
        <v>GOPI.V.K</v>
      </c>
      <c r="B539" s="5">
        <f>IF(A539="","",IFERROR(GETPIVOTDATA("Sales Amount",'Top Customers'!$A$3,"Customer_name",'Top Customers'!A541),""))</f>
        <v>15336</v>
      </c>
      <c r="C539" t="str">
        <f t="shared" si="32"/>
        <v>Regular</v>
      </c>
      <c r="D539">
        <f t="shared" si="33"/>
        <v>84664</v>
      </c>
      <c r="E539" s="6">
        <f t="shared" si="34"/>
        <v>2.6784512962339997E-4</v>
      </c>
      <c r="F539" s="5">
        <f ca="1">TODAY()-GETPIVOTDATA("LastPurchaseDate",MaxDate!$A$3,"Customer_name",MaxDate!A541)</f>
        <v>86</v>
      </c>
      <c r="G539" t="str">
        <f t="shared" ca="1" si="35"/>
        <v>At Risk</v>
      </c>
      <c r="H539" s="13">
        <f>RANK(B539,Customer_Tiers[Total_Sales])</f>
        <v>538</v>
      </c>
    </row>
    <row r="540" spans="1:8">
      <c r="A540" t="str">
        <f>'Top Customers'!A542</f>
        <v>JACOB T I</v>
      </c>
      <c r="B540" s="5">
        <f>IF(A540="","",IFERROR(GETPIVOTDATA("Sales Amount",'Top Customers'!$A$3,"Customer_name",'Top Customers'!A542),""))</f>
        <v>15307</v>
      </c>
      <c r="C540" t="str">
        <f t="shared" si="32"/>
        <v>Regular</v>
      </c>
      <c r="D540">
        <f t="shared" si="33"/>
        <v>84693</v>
      </c>
      <c r="E540" s="6">
        <f t="shared" si="34"/>
        <v>2.673386410501684E-4</v>
      </c>
      <c r="F540" s="5">
        <f ca="1">TODAY()-GETPIVOTDATA("LastPurchaseDate",MaxDate!$A$3,"Customer_name",MaxDate!A542)</f>
        <v>330</v>
      </c>
      <c r="G540" t="str">
        <f t="shared" ca="1" si="35"/>
        <v>Inactive</v>
      </c>
      <c r="H540" s="13">
        <f>RANK(B540,Customer_Tiers[Total_Sales])</f>
        <v>539</v>
      </c>
    </row>
    <row r="541" spans="1:8">
      <c r="A541" t="str">
        <f>'Top Customers'!A543</f>
        <v>RAVI M K</v>
      </c>
      <c r="B541" s="5">
        <f>IF(A541="","",IFERROR(GETPIVOTDATA("Sales Amount",'Top Customers'!$A$3,"Customer_name",'Top Customers'!A543),""))</f>
        <v>15296</v>
      </c>
      <c r="C541" t="str">
        <f t="shared" si="32"/>
        <v>Regular</v>
      </c>
      <c r="D541">
        <f t="shared" si="33"/>
        <v>84704</v>
      </c>
      <c r="E541" s="6">
        <f t="shared" si="34"/>
        <v>2.6714652469480476E-4</v>
      </c>
      <c r="F541" s="5">
        <f ca="1">TODAY()-GETPIVOTDATA("LastPurchaseDate",MaxDate!$A$3,"Customer_name",MaxDate!A543)</f>
        <v>286</v>
      </c>
      <c r="G541" t="str">
        <f t="shared" ca="1" si="35"/>
        <v>Inactive</v>
      </c>
      <c r="H541" s="13">
        <f>RANK(B541,Customer_Tiers[Total_Sales])</f>
        <v>540</v>
      </c>
    </row>
    <row r="542" spans="1:8">
      <c r="A542" t="str">
        <f>'Top Customers'!A544</f>
        <v>SASIDHARAN.P.G</v>
      </c>
      <c r="B542" s="5">
        <f>IF(A542="","",IFERROR(GETPIVOTDATA("Sales Amount",'Top Customers'!$A$3,"Customer_name",'Top Customers'!A544),""))</f>
        <v>15274</v>
      </c>
      <c r="C542" t="str">
        <f t="shared" si="32"/>
        <v>Regular</v>
      </c>
      <c r="D542">
        <f t="shared" si="33"/>
        <v>84726</v>
      </c>
      <c r="E542" s="6">
        <f t="shared" si="34"/>
        <v>2.6676229198407741E-4</v>
      </c>
      <c r="F542" s="5">
        <f ca="1">TODAY()-GETPIVOTDATA("LastPurchaseDate",MaxDate!$A$3,"Customer_name",MaxDate!A544)</f>
        <v>148</v>
      </c>
      <c r="G542" t="str">
        <f t="shared" ca="1" si="35"/>
        <v>Inactive</v>
      </c>
      <c r="H542" s="13">
        <f>RANK(B542,Customer_Tiers[Total_Sales])</f>
        <v>541</v>
      </c>
    </row>
    <row r="543" spans="1:8">
      <c r="A543" t="str">
        <f>'Top Customers'!A545</f>
        <v>RIA ENTERPRISES</v>
      </c>
      <c r="B543" s="5">
        <f>IF(A543="","",IFERROR(GETPIVOTDATA("Sales Amount",'Top Customers'!$A$3,"Customer_name",'Top Customers'!A545),""))</f>
        <v>15271</v>
      </c>
      <c r="C543" t="str">
        <f t="shared" si="32"/>
        <v>Regular</v>
      </c>
      <c r="D543">
        <f t="shared" si="33"/>
        <v>84729</v>
      </c>
      <c r="E543" s="6">
        <f t="shared" si="34"/>
        <v>2.6670989661443272E-4</v>
      </c>
      <c r="F543" s="5">
        <f ca="1">TODAY()-GETPIVOTDATA("LastPurchaseDate",MaxDate!$A$3,"Customer_name",MaxDate!A545)</f>
        <v>97</v>
      </c>
      <c r="G543" t="str">
        <f t="shared" ca="1" si="35"/>
        <v>At Risk</v>
      </c>
      <c r="H543" s="13">
        <f>RANK(B543,Customer_Tiers[Total_Sales])</f>
        <v>542</v>
      </c>
    </row>
    <row r="544" spans="1:8">
      <c r="A544" t="str">
        <f>'Top Customers'!A546</f>
        <v>MOHANAN CHEENIKUZY</v>
      </c>
      <c r="B544" s="5">
        <f>IF(A544="","",IFERROR(GETPIVOTDATA("Sales Amount",'Top Customers'!$A$3,"Customer_name",'Top Customers'!A546),""))</f>
        <v>15253</v>
      </c>
      <c r="C544" t="str">
        <f t="shared" si="32"/>
        <v>Regular</v>
      </c>
      <c r="D544">
        <f t="shared" si="33"/>
        <v>84747</v>
      </c>
      <c r="E544" s="6">
        <f t="shared" si="34"/>
        <v>2.6639552439656491E-4</v>
      </c>
      <c r="F544" s="5">
        <f ca="1">TODAY()-GETPIVOTDATA("LastPurchaseDate",MaxDate!$A$3,"Customer_name",MaxDate!A546)</f>
        <v>195</v>
      </c>
      <c r="G544" t="str">
        <f t="shared" ca="1" si="35"/>
        <v>Inactive</v>
      </c>
      <c r="H544" s="13">
        <f>RANK(B544,Customer_Tiers[Total_Sales])</f>
        <v>543</v>
      </c>
    </row>
    <row r="545" spans="1:8">
      <c r="A545" t="str">
        <f>'Top Customers'!A547</f>
        <v>SOJAN KUMMANOD</v>
      </c>
      <c r="B545" s="5">
        <f>IF(A545="","",IFERROR(GETPIVOTDATA("Sales Amount",'Top Customers'!$A$3,"Customer_name",'Top Customers'!A547),""))</f>
        <v>15217</v>
      </c>
      <c r="C545" t="str">
        <f t="shared" si="32"/>
        <v>Regular</v>
      </c>
      <c r="D545">
        <f t="shared" si="33"/>
        <v>84783</v>
      </c>
      <c r="E545" s="6">
        <f t="shared" si="34"/>
        <v>2.6576677996082923E-4</v>
      </c>
      <c r="F545" s="5">
        <f ca="1">TODAY()-GETPIVOTDATA("LastPurchaseDate",MaxDate!$A$3,"Customer_name",MaxDate!A547)</f>
        <v>230</v>
      </c>
      <c r="G545" t="str">
        <f t="shared" ca="1" si="35"/>
        <v>Inactive</v>
      </c>
      <c r="H545" s="13">
        <f>RANK(B545,Customer_Tiers[Total_Sales])</f>
        <v>544</v>
      </c>
    </row>
    <row r="546" spans="1:8">
      <c r="A546" t="str">
        <f>'Top Customers'!A548</f>
        <v>PERFUMES INDIA</v>
      </c>
      <c r="B546" s="5">
        <f>IF(A546="","",IFERROR(GETPIVOTDATA("Sales Amount",'Top Customers'!$A$3,"Customer_name",'Top Customers'!A548),""))</f>
        <v>14797</v>
      </c>
      <c r="C546" t="str">
        <f t="shared" si="32"/>
        <v>Regular</v>
      </c>
      <c r="D546">
        <f t="shared" si="33"/>
        <v>85203</v>
      </c>
      <c r="E546" s="6">
        <f t="shared" si="34"/>
        <v>2.5843142821057962E-4</v>
      </c>
      <c r="F546" s="5">
        <f ca="1">TODAY()-GETPIVOTDATA("LastPurchaseDate",MaxDate!$A$3,"Customer_name",MaxDate!A548)</f>
        <v>265</v>
      </c>
      <c r="G546" t="str">
        <f t="shared" ca="1" si="35"/>
        <v>Inactive</v>
      </c>
      <c r="H546" s="13">
        <f>RANK(B546,Customer_Tiers[Total_Sales])</f>
        <v>545</v>
      </c>
    </row>
    <row r="547" spans="1:8">
      <c r="A547" t="str">
        <f>'Top Customers'!A549</f>
        <v>RAJAN AIRAPURAM</v>
      </c>
      <c r="B547" s="5">
        <f>IF(A547="","",IFERROR(GETPIVOTDATA("Sales Amount",'Top Customers'!$A$3,"Customer_name",'Top Customers'!A549),""))</f>
        <v>14670</v>
      </c>
      <c r="C547" t="str">
        <f t="shared" si="32"/>
        <v>Regular</v>
      </c>
      <c r="D547">
        <f t="shared" si="33"/>
        <v>85330</v>
      </c>
      <c r="E547" s="6">
        <f t="shared" si="34"/>
        <v>2.5621335756228987E-4</v>
      </c>
      <c r="F547" s="5">
        <f ca="1">TODAY()-GETPIVOTDATA("LastPurchaseDate",MaxDate!$A$3,"Customer_name",MaxDate!A549)</f>
        <v>289</v>
      </c>
      <c r="G547" t="str">
        <f t="shared" ca="1" si="35"/>
        <v>Inactive</v>
      </c>
      <c r="H547" s="13">
        <f>RANK(B547,Customer_Tiers[Total_Sales])</f>
        <v>546</v>
      </c>
    </row>
    <row r="548" spans="1:8">
      <c r="A548" t="str">
        <f>'Top Customers'!A550</f>
        <v>ANOOP VALAMBOOR</v>
      </c>
      <c r="B548" s="5">
        <f>IF(A548="","",IFERROR(GETPIVOTDATA("Sales Amount",'Top Customers'!$A$3,"Customer_name",'Top Customers'!A550),""))</f>
        <v>14664</v>
      </c>
      <c r="C548" t="str">
        <f t="shared" si="32"/>
        <v>Regular</v>
      </c>
      <c r="D548">
        <f t="shared" si="33"/>
        <v>85336</v>
      </c>
      <c r="E548" s="6">
        <f t="shared" si="34"/>
        <v>2.561085668230006E-4</v>
      </c>
      <c r="F548" s="5">
        <f ca="1">TODAY()-GETPIVOTDATA("LastPurchaseDate",MaxDate!$A$3,"Customer_name",MaxDate!A550)</f>
        <v>163</v>
      </c>
      <c r="G548" t="str">
        <f t="shared" ca="1" si="35"/>
        <v>Inactive</v>
      </c>
      <c r="H548" s="13">
        <f>RANK(B548,Customer_Tiers[Total_Sales])</f>
        <v>547</v>
      </c>
    </row>
    <row r="549" spans="1:8">
      <c r="A549" t="str">
        <f>'Top Customers'!A551</f>
        <v>MUHAMMED EDASSERIKUDI</v>
      </c>
      <c r="B549" s="5">
        <f>IF(A549="","",IFERROR(GETPIVOTDATA("Sales Amount",'Top Customers'!$A$3,"Customer_name",'Top Customers'!A551),""))</f>
        <v>14650</v>
      </c>
      <c r="C549" t="str">
        <f t="shared" si="32"/>
        <v>Regular</v>
      </c>
      <c r="D549">
        <f t="shared" si="33"/>
        <v>85350</v>
      </c>
      <c r="E549" s="6">
        <f t="shared" si="34"/>
        <v>2.5586405509799226E-4</v>
      </c>
      <c r="F549" s="5">
        <f ca="1">TODAY()-GETPIVOTDATA("LastPurchaseDate",MaxDate!$A$3,"Customer_name",MaxDate!A551)</f>
        <v>48</v>
      </c>
      <c r="G549" t="str">
        <f t="shared" ca="1" si="35"/>
        <v>Active</v>
      </c>
      <c r="H549" s="13">
        <f>RANK(B549,Customer_Tiers[Total_Sales])</f>
        <v>548</v>
      </c>
    </row>
    <row r="550" spans="1:8">
      <c r="A550" t="str">
        <f>'Top Customers'!A552</f>
        <v>MEERESH, PATTIMATTOM</v>
      </c>
      <c r="B550" s="5">
        <f>IF(A550="","",IFERROR(GETPIVOTDATA("Sales Amount",'Top Customers'!$A$3,"Customer_name",'Top Customers'!A552),""))</f>
        <v>14643</v>
      </c>
      <c r="C550" t="str">
        <f t="shared" si="32"/>
        <v>Regular</v>
      </c>
      <c r="D550">
        <f t="shared" si="33"/>
        <v>85357</v>
      </c>
      <c r="E550" s="6">
        <f t="shared" si="34"/>
        <v>2.557417992354881E-4</v>
      </c>
      <c r="F550" s="5">
        <f ca="1">TODAY()-GETPIVOTDATA("LastPurchaseDate",MaxDate!$A$3,"Customer_name",MaxDate!A552)</f>
        <v>8</v>
      </c>
      <c r="G550" t="str">
        <f t="shared" ca="1" si="35"/>
        <v>Active</v>
      </c>
      <c r="H550" s="13">
        <f>RANK(B550,Customer_Tiers[Total_Sales])</f>
        <v>549</v>
      </c>
    </row>
    <row r="551" spans="1:8">
      <c r="A551" t="str">
        <f>'Top Customers'!A553</f>
        <v>SREENIVASAN DOUBLEPALAM</v>
      </c>
      <c r="B551" s="5">
        <f>IF(A551="","",IFERROR(GETPIVOTDATA("Sales Amount",'Top Customers'!$A$3,"Customer_name",'Top Customers'!A553),""))</f>
        <v>14555</v>
      </c>
      <c r="C551" t="str">
        <f t="shared" si="32"/>
        <v>Regular</v>
      </c>
      <c r="D551">
        <f t="shared" si="33"/>
        <v>85445</v>
      </c>
      <c r="E551" s="6">
        <f t="shared" si="34"/>
        <v>2.5420486839257866E-4</v>
      </c>
      <c r="F551" s="5">
        <f ca="1">TODAY()-GETPIVOTDATA("LastPurchaseDate",MaxDate!$A$3,"Customer_name",MaxDate!A553)</f>
        <v>134</v>
      </c>
      <c r="G551" t="str">
        <f t="shared" ca="1" si="35"/>
        <v>Inactive</v>
      </c>
      <c r="H551" s="13">
        <f>RANK(B551,Customer_Tiers[Total_Sales])</f>
        <v>550</v>
      </c>
    </row>
    <row r="552" spans="1:8">
      <c r="A552" t="str">
        <f>'Top Customers'!A554</f>
        <v>RAJESH KUMMANODE</v>
      </c>
      <c r="B552" s="5">
        <f>IF(A552="","",IFERROR(GETPIVOTDATA("Sales Amount",'Top Customers'!$A$3,"Customer_name",'Top Customers'!A554),""))</f>
        <v>14528</v>
      </c>
      <c r="C552" t="str">
        <f t="shared" si="32"/>
        <v>Regular</v>
      </c>
      <c r="D552">
        <f t="shared" si="33"/>
        <v>85472</v>
      </c>
      <c r="E552" s="6">
        <f t="shared" si="34"/>
        <v>2.5373331006577689E-4</v>
      </c>
      <c r="F552" s="5">
        <f ca="1">TODAY()-GETPIVOTDATA("LastPurchaseDate",MaxDate!$A$3,"Customer_name",MaxDate!A554)</f>
        <v>68</v>
      </c>
      <c r="G552" t="str">
        <f t="shared" ca="1" si="35"/>
        <v>At Risk</v>
      </c>
      <c r="H552" s="13">
        <f>RANK(B552,Customer_Tiers[Total_Sales])</f>
        <v>551</v>
      </c>
    </row>
    <row r="553" spans="1:8">
      <c r="A553" t="str">
        <f>'Top Customers'!A555</f>
        <v>ELIYAS MANNOOR</v>
      </c>
      <c r="B553" s="5">
        <f>IF(A553="","",IFERROR(GETPIVOTDATA("Sales Amount",'Top Customers'!$A$3,"Customer_name",'Top Customers'!A555),""))</f>
        <v>14486</v>
      </c>
      <c r="C553" t="str">
        <f t="shared" si="32"/>
        <v>Regular</v>
      </c>
      <c r="D553">
        <f t="shared" si="33"/>
        <v>85514</v>
      </c>
      <c r="E553" s="6">
        <f t="shared" si="34"/>
        <v>2.5299977489075194E-4</v>
      </c>
      <c r="F553" s="5">
        <f ca="1">TODAY()-GETPIVOTDATA("LastPurchaseDate",MaxDate!$A$3,"Customer_name",MaxDate!A555)</f>
        <v>220</v>
      </c>
      <c r="G553" t="str">
        <f t="shared" ca="1" si="35"/>
        <v>Inactive</v>
      </c>
      <c r="H553" s="13">
        <f>RANK(B553,Customer_Tiers[Total_Sales])</f>
        <v>552</v>
      </c>
    </row>
    <row r="554" spans="1:8">
      <c r="A554" t="str">
        <f>'Top Customers'!A556</f>
        <v>TIJO KANINAD</v>
      </c>
      <c r="B554" s="5">
        <f>IF(A554="","",IFERROR(GETPIVOTDATA("Sales Amount",'Top Customers'!$A$3,"Customer_name",'Top Customers'!A556),""))</f>
        <v>14477</v>
      </c>
      <c r="C554" t="str">
        <f t="shared" si="32"/>
        <v>Regular</v>
      </c>
      <c r="D554">
        <f t="shared" si="33"/>
        <v>85523</v>
      </c>
      <c r="E554" s="6">
        <f t="shared" si="34"/>
        <v>2.5284258878181804E-4</v>
      </c>
      <c r="F554" s="5">
        <f ca="1">TODAY()-GETPIVOTDATA("LastPurchaseDate",MaxDate!$A$3,"Customer_name",MaxDate!A556)</f>
        <v>108</v>
      </c>
      <c r="G554" t="str">
        <f t="shared" ca="1" si="35"/>
        <v>At Risk</v>
      </c>
      <c r="H554" s="13">
        <f>RANK(B554,Customer_Tiers[Total_Sales])</f>
        <v>553</v>
      </c>
    </row>
    <row r="555" spans="1:8">
      <c r="A555" t="str">
        <f>'Top Customers'!A557</f>
        <v>GURU PRASAD</v>
      </c>
      <c r="B555" s="5">
        <f>IF(A555="","",IFERROR(GETPIVOTDATA("Sales Amount",'Top Customers'!$A$3,"Customer_name",'Top Customers'!A557),""))</f>
        <v>14460</v>
      </c>
      <c r="C555" t="str">
        <f t="shared" si="32"/>
        <v>Regular</v>
      </c>
      <c r="D555">
        <f t="shared" si="33"/>
        <v>85540</v>
      </c>
      <c r="E555" s="6">
        <f t="shared" si="34"/>
        <v>2.5254568168716507E-4</v>
      </c>
      <c r="F555" s="5">
        <f ca="1">TODAY()-GETPIVOTDATA("LastPurchaseDate",MaxDate!$A$3,"Customer_name",MaxDate!A557)</f>
        <v>103</v>
      </c>
      <c r="G555" t="str">
        <f t="shared" ca="1" si="35"/>
        <v>At Risk</v>
      </c>
      <c r="H555" s="13">
        <f>RANK(B555,Customer_Tiers[Total_Sales])</f>
        <v>554</v>
      </c>
    </row>
    <row r="556" spans="1:8">
      <c r="A556" t="str">
        <f>'Top Customers'!A558</f>
        <v>BINU KIZHAKKAMBALAM</v>
      </c>
      <c r="B556" s="5">
        <f>IF(A556="","",IFERROR(GETPIVOTDATA("Sales Amount",'Top Customers'!$A$3,"Customer_name",'Top Customers'!A558),""))</f>
        <v>14430</v>
      </c>
      <c r="C556" t="str">
        <f t="shared" si="32"/>
        <v>Regular</v>
      </c>
      <c r="D556">
        <f t="shared" si="33"/>
        <v>85570</v>
      </c>
      <c r="E556" s="6">
        <f t="shared" si="34"/>
        <v>2.5202172799071866E-4</v>
      </c>
      <c r="F556" s="5">
        <f ca="1">TODAY()-GETPIVOTDATA("LastPurchaseDate",MaxDate!$A$3,"Customer_name",MaxDate!A558)</f>
        <v>106</v>
      </c>
      <c r="G556" t="str">
        <f t="shared" ca="1" si="35"/>
        <v>At Risk</v>
      </c>
      <c r="H556" s="13">
        <f>RANK(B556,Customer_Tiers[Total_Sales])</f>
        <v>555</v>
      </c>
    </row>
    <row r="557" spans="1:8">
      <c r="A557" t="str">
        <f>'Top Customers'!A559</f>
        <v>JEBY THATTAMUGAL</v>
      </c>
      <c r="B557" s="5">
        <f>IF(A557="","",IFERROR(GETPIVOTDATA("Sales Amount",'Top Customers'!$A$3,"Customer_name",'Top Customers'!A559),""))</f>
        <v>14405</v>
      </c>
      <c r="C557" t="str">
        <f t="shared" si="32"/>
        <v>Regular</v>
      </c>
      <c r="D557">
        <f t="shared" si="33"/>
        <v>85595</v>
      </c>
      <c r="E557" s="6">
        <f t="shared" si="34"/>
        <v>2.5158509991034668E-4</v>
      </c>
      <c r="F557" s="5">
        <f ca="1">TODAY()-GETPIVOTDATA("LastPurchaseDate",MaxDate!$A$3,"Customer_name",MaxDate!A559)</f>
        <v>93</v>
      </c>
      <c r="G557" t="str">
        <f t="shared" ca="1" si="35"/>
        <v>At Risk</v>
      </c>
      <c r="H557" s="13">
        <f>RANK(B557,Customer_Tiers[Total_Sales])</f>
        <v>556</v>
      </c>
    </row>
    <row r="558" spans="1:8">
      <c r="A558" t="str">
        <f>'Top Customers'!A560</f>
        <v>SEEGA SOLAR</v>
      </c>
      <c r="B558" s="5">
        <f>IF(A558="","",IFERROR(GETPIVOTDATA("Sales Amount",'Top Customers'!$A$3,"Customer_name",'Top Customers'!A560),""))</f>
        <v>14366</v>
      </c>
      <c r="C558" t="str">
        <f t="shared" si="32"/>
        <v>Regular</v>
      </c>
      <c r="D558">
        <f t="shared" si="33"/>
        <v>85634</v>
      </c>
      <c r="E558" s="6">
        <f t="shared" si="34"/>
        <v>2.5090396010496631E-4</v>
      </c>
      <c r="F558" s="5">
        <f ca="1">TODAY()-GETPIVOTDATA("LastPurchaseDate",MaxDate!$A$3,"Customer_name",MaxDate!A560)</f>
        <v>27</v>
      </c>
      <c r="G558" t="str">
        <f t="shared" ca="1" si="35"/>
        <v>Active</v>
      </c>
      <c r="H558" s="13">
        <f>RANK(B558,Customer_Tiers[Total_Sales])</f>
        <v>557</v>
      </c>
    </row>
    <row r="559" spans="1:8">
      <c r="A559" t="str">
        <f>'Top Customers'!A561</f>
        <v>JUSTIN PALLATH</v>
      </c>
      <c r="B559" s="5">
        <f>IF(A559="","",IFERROR(GETPIVOTDATA("Sales Amount",'Top Customers'!$A$3,"Customer_name",'Top Customers'!A561),""))</f>
        <v>14356</v>
      </c>
      <c r="C559" t="str">
        <f t="shared" si="32"/>
        <v>Regular</v>
      </c>
      <c r="D559">
        <f t="shared" si="33"/>
        <v>85644</v>
      </c>
      <c r="E559" s="6">
        <f t="shared" si="34"/>
        <v>2.507293088728175E-4</v>
      </c>
      <c r="F559" s="5">
        <f ca="1">TODAY()-GETPIVOTDATA("LastPurchaseDate",MaxDate!$A$3,"Customer_name",MaxDate!A561)</f>
        <v>305</v>
      </c>
      <c r="G559" t="str">
        <f t="shared" ca="1" si="35"/>
        <v>Inactive</v>
      </c>
      <c r="H559" s="13">
        <f>RANK(B559,Customer_Tiers[Total_Sales])</f>
        <v>558</v>
      </c>
    </row>
    <row r="560" spans="1:8">
      <c r="A560" t="str">
        <f>'Top Customers'!A562</f>
        <v>ELDHO MATHAI , ERAPPUMPARA</v>
      </c>
      <c r="B560" s="5">
        <f>IF(A560="","",IFERROR(GETPIVOTDATA("Sales Amount",'Top Customers'!$A$3,"Customer_name",'Top Customers'!A562),""))</f>
        <v>14320</v>
      </c>
      <c r="C560" t="str">
        <f t="shared" si="32"/>
        <v>Regular</v>
      </c>
      <c r="D560">
        <f t="shared" si="33"/>
        <v>85680</v>
      </c>
      <c r="E560" s="6">
        <f t="shared" si="34"/>
        <v>2.5010056443708183E-4</v>
      </c>
      <c r="F560" s="5">
        <f ca="1">TODAY()-GETPIVOTDATA("LastPurchaseDate",MaxDate!$A$3,"Customer_name",MaxDate!A562)</f>
        <v>30</v>
      </c>
      <c r="G560" t="str">
        <f t="shared" ca="1" si="35"/>
        <v>Active</v>
      </c>
      <c r="H560" s="13">
        <f>RANK(B560,Customer_Tiers[Total_Sales])</f>
        <v>559</v>
      </c>
    </row>
    <row r="561" spans="1:8">
      <c r="A561" t="str">
        <f>'Top Customers'!A563</f>
        <v>SAJI THANKAPPAN</v>
      </c>
      <c r="B561" s="5">
        <f>IF(A561="","",IFERROR(GETPIVOTDATA("Sales Amount",'Top Customers'!$A$3,"Customer_name",'Top Customers'!A563),""))</f>
        <v>14320</v>
      </c>
      <c r="C561" t="str">
        <f t="shared" si="32"/>
        <v>Regular</v>
      </c>
      <c r="D561">
        <f t="shared" si="33"/>
        <v>85680</v>
      </c>
      <c r="E561" s="6">
        <f t="shared" si="34"/>
        <v>2.5010056443708183E-4</v>
      </c>
      <c r="F561" s="5">
        <f ca="1">TODAY()-GETPIVOTDATA("LastPurchaseDate",MaxDate!$A$3,"Customer_name",MaxDate!A563)</f>
        <v>288</v>
      </c>
      <c r="G561" t="str">
        <f t="shared" ca="1" si="35"/>
        <v>Inactive</v>
      </c>
      <c r="H561" s="13">
        <f>RANK(B561,Customer_Tiers[Total_Sales])</f>
        <v>559</v>
      </c>
    </row>
    <row r="562" spans="1:8">
      <c r="A562" t="str">
        <f>'Top Customers'!A564</f>
        <v>UNNIKRISHNAN  KARTHA T K</v>
      </c>
      <c r="B562" s="5">
        <f>IF(A562="","",IFERROR(GETPIVOTDATA("Sales Amount",'Top Customers'!$A$3,"Customer_name",'Top Customers'!A564),""))</f>
        <v>14310</v>
      </c>
      <c r="C562" t="str">
        <f t="shared" si="32"/>
        <v>Regular</v>
      </c>
      <c r="D562">
        <f t="shared" si="33"/>
        <v>85690</v>
      </c>
      <c r="E562" s="6">
        <f t="shared" si="34"/>
        <v>2.4992591320493302E-4</v>
      </c>
      <c r="F562" s="5">
        <f ca="1">TODAY()-GETPIVOTDATA("LastPurchaseDate",MaxDate!$A$3,"Customer_name",MaxDate!A564)</f>
        <v>170</v>
      </c>
      <c r="G562" t="str">
        <f t="shared" ca="1" si="35"/>
        <v>Inactive</v>
      </c>
      <c r="H562" s="13">
        <f>RANK(B562,Customer_Tiers[Total_Sales])</f>
        <v>561</v>
      </c>
    </row>
    <row r="563" spans="1:8">
      <c r="A563" t="str">
        <f>'Top Customers'!A565</f>
        <v>SONA PATTIMATTOM</v>
      </c>
      <c r="B563" s="5">
        <f>IF(A563="","",IFERROR(GETPIVOTDATA("Sales Amount",'Top Customers'!$A$3,"Customer_name",'Top Customers'!A565),""))</f>
        <v>14213</v>
      </c>
      <c r="C563" t="str">
        <f t="shared" si="32"/>
        <v>Regular</v>
      </c>
      <c r="D563">
        <f t="shared" si="33"/>
        <v>85787</v>
      </c>
      <c r="E563" s="6">
        <f t="shared" si="34"/>
        <v>2.4823179625308968E-4</v>
      </c>
      <c r="F563" s="5">
        <f ca="1">TODAY()-GETPIVOTDATA("LastPurchaseDate",MaxDate!$A$3,"Customer_name",MaxDate!A565)</f>
        <v>269</v>
      </c>
      <c r="G563" t="str">
        <f t="shared" ca="1" si="35"/>
        <v>Inactive</v>
      </c>
      <c r="H563" s="13">
        <f>RANK(B563,Customer_Tiers[Total_Sales])</f>
        <v>562</v>
      </c>
    </row>
    <row r="564" spans="1:8">
      <c r="A564" t="str">
        <f>'Top Customers'!A566</f>
        <v>MANOJ KILIKULM</v>
      </c>
      <c r="B564" s="5">
        <f>IF(A564="","",IFERROR(GETPIVOTDATA("Sales Amount",'Top Customers'!$A$3,"Customer_name",'Top Customers'!A566),""))</f>
        <v>14193</v>
      </c>
      <c r="C564" t="str">
        <f t="shared" si="32"/>
        <v>Regular</v>
      </c>
      <c r="D564">
        <f t="shared" si="33"/>
        <v>85807</v>
      </c>
      <c r="E564" s="6">
        <f t="shared" si="34"/>
        <v>2.4788249378879208E-4</v>
      </c>
      <c r="F564" s="5">
        <f ca="1">TODAY()-GETPIVOTDATA("LastPurchaseDate",MaxDate!$A$3,"Customer_name",MaxDate!A566)</f>
        <v>214</v>
      </c>
      <c r="G564" t="str">
        <f t="shared" ca="1" si="35"/>
        <v>Inactive</v>
      </c>
      <c r="H564" s="13">
        <f>RANK(B564,Customer_Tiers[Total_Sales])</f>
        <v>563</v>
      </c>
    </row>
    <row r="565" spans="1:8">
      <c r="A565" t="str">
        <f>'Top Customers'!A567</f>
        <v>MATHAI PERUMANI</v>
      </c>
      <c r="B565" s="5">
        <f>IF(A565="","",IFERROR(GETPIVOTDATA("Sales Amount",'Top Customers'!$A$3,"Customer_name",'Top Customers'!A567),""))</f>
        <v>14180</v>
      </c>
      <c r="C565" t="str">
        <f t="shared" si="32"/>
        <v>Regular</v>
      </c>
      <c r="D565">
        <f t="shared" si="33"/>
        <v>85820</v>
      </c>
      <c r="E565" s="6">
        <f t="shared" si="34"/>
        <v>2.4765544718699864E-4</v>
      </c>
      <c r="F565" s="5">
        <f ca="1">TODAY()-GETPIVOTDATA("LastPurchaseDate",MaxDate!$A$3,"Customer_name",MaxDate!A567)</f>
        <v>268</v>
      </c>
      <c r="G565" t="str">
        <f t="shared" ca="1" si="35"/>
        <v>Inactive</v>
      </c>
      <c r="H565" s="13">
        <f>RANK(B565,Customer_Tiers[Total_Sales])</f>
        <v>564</v>
      </c>
    </row>
    <row r="566" spans="1:8">
      <c r="A566" t="str">
        <f>'Top Customers'!A568</f>
        <v>BASHEER PARAMKUDY</v>
      </c>
      <c r="B566" s="5">
        <f>IF(A566="","",IFERROR(GETPIVOTDATA("Sales Amount",'Top Customers'!$A$3,"Customer_name",'Top Customers'!A568),""))</f>
        <v>14129</v>
      </c>
      <c r="C566" t="str">
        <f t="shared" si="32"/>
        <v>Regular</v>
      </c>
      <c r="D566">
        <f t="shared" si="33"/>
        <v>85871</v>
      </c>
      <c r="E566" s="6">
        <f t="shared" si="34"/>
        <v>2.4676472590303978E-4</v>
      </c>
      <c r="F566" s="5">
        <f ca="1">TODAY()-GETPIVOTDATA("LastPurchaseDate",MaxDate!$A$3,"Customer_name",MaxDate!A568)</f>
        <v>278</v>
      </c>
      <c r="G566" t="str">
        <f t="shared" ca="1" si="35"/>
        <v>Inactive</v>
      </c>
      <c r="H566" s="13">
        <f>RANK(B566,Customer_Tiers[Total_Sales])</f>
        <v>565</v>
      </c>
    </row>
    <row r="567" spans="1:8">
      <c r="A567" t="str">
        <f>'Top Customers'!A569</f>
        <v>P V PAILY</v>
      </c>
      <c r="B567" s="5">
        <f>IF(A567="","",IFERROR(GETPIVOTDATA("Sales Amount",'Top Customers'!$A$3,"Customer_name",'Top Customers'!A569),""))</f>
        <v>14094</v>
      </c>
      <c r="C567" t="str">
        <f t="shared" si="32"/>
        <v>Regular</v>
      </c>
      <c r="D567">
        <f t="shared" si="33"/>
        <v>85906</v>
      </c>
      <c r="E567" s="6">
        <f t="shared" si="34"/>
        <v>2.4615344659051895E-4</v>
      </c>
      <c r="F567" s="5">
        <f ca="1">TODAY()-GETPIVOTDATA("LastPurchaseDate",MaxDate!$A$3,"Customer_name",MaxDate!A569)</f>
        <v>107</v>
      </c>
      <c r="G567" t="str">
        <f t="shared" ca="1" si="35"/>
        <v>At Risk</v>
      </c>
      <c r="H567" s="13">
        <f>RANK(B567,Customer_Tiers[Total_Sales])</f>
        <v>566</v>
      </c>
    </row>
    <row r="568" spans="1:8">
      <c r="A568" t="str">
        <f>'Top Customers'!A570</f>
        <v>SAJEEVAN VALAMBOOR</v>
      </c>
      <c r="B568" s="5">
        <f>IF(A568="","",IFERROR(GETPIVOTDATA("Sales Amount",'Top Customers'!$A$3,"Customer_name",'Top Customers'!A570),""))</f>
        <v>14000</v>
      </c>
      <c r="C568" t="str">
        <f t="shared" si="32"/>
        <v>Regular</v>
      </c>
      <c r="D568">
        <f t="shared" si="33"/>
        <v>86000</v>
      </c>
      <c r="E568" s="6">
        <f t="shared" si="34"/>
        <v>2.4451172500832024E-4</v>
      </c>
      <c r="F568" s="5">
        <f ca="1">TODAY()-GETPIVOTDATA("LastPurchaseDate",MaxDate!$A$3,"Customer_name",MaxDate!A570)</f>
        <v>309</v>
      </c>
      <c r="G568" t="str">
        <f t="shared" ca="1" si="35"/>
        <v>Inactive</v>
      </c>
      <c r="H568" s="13">
        <f>RANK(B568,Customer_Tiers[Total_Sales])</f>
        <v>567</v>
      </c>
    </row>
    <row r="569" spans="1:8">
      <c r="A569" t="str">
        <f>'Top Customers'!A571</f>
        <v>GOVT.U P SCHOOL NORTH MAZHUVANNOOR</v>
      </c>
      <c r="B569" s="5">
        <f>IF(A569="","",IFERROR(GETPIVOTDATA("Sales Amount",'Top Customers'!$A$3,"Customer_name",'Top Customers'!A571),""))</f>
        <v>13869</v>
      </c>
      <c r="C569" t="str">
        <f t="shared" si="32"/>
        <v>Regular</v>
      </c>
      <c r="D569">
        <f t="shared" si="33"/>
        <v>86131</v>
      </c>
      <c r="E569" s="6">
        <f t="shared" si="34"/>
        <v>2.4222379386717096E-4</v>
      </c>
      <c r="F569" s="5">
        <f ca="1">TODAY()-GETPIVOTDATA("LastPurchaseDate",MaxDate!$A$3,"Customer_name",MaxDate!A571)</f>
        <v>270</v>
      </c>
      <c r="G569" t="str">
        <f t="shared" ca="1" si="35"/>
        <v>Inactive</v>
      </c>
      <c r="H569" s="13">
        <f>RANK(B569,Customer_Tiers[Total_Sales])</f>
        <v>568</v>
      </c>
    </row>
    <row r="570" spans="1:8">
      <c r="A570" t="str">
        <f>'Top Customers'!A572</f>
        <v>COMPUTECH COMPUTERS</v>
      </c>
      <c r="B570" s="5">
        <f>IF(A570="","",IFERROR(GETPIVOTDATA("Sales Amount",'Top Customers'!$A$3,"Customer_name",'Top Customers'!A572),""))</f>
        <v>13770</v>
      </c>
      <c r="C570" t="str">
        <f t="shared" si="32"/>
        <v>Regular</v>
      </c>
      <c r="D570">
        <f t="shared" si="33"/>
        <v>86230</v>
      </c>
      <c r="E570" s="6">
        <f t="shared" si="34"/>
        <v>2.4049474666889783E-4</v>
      </c>
      <c r="F570" s="5">
        <f ca="1">TODAY()-GETPIVOTDATA("LastPurchaseDate",MaxDate!$A$3,"Customer_name",MaxDate!A572)</f>
        <v>2</v>
      </c>
      <c r="G570" t="str">
        <f t="shared" ca="1" si="35"/>
        <v>Active</v>
      </c>
      <c r="H570" s="13">
        <f>RANK(B570,Customer_Tiers[Total_Sales])</f>
        <v>569</v>
      </c>
    </row>
    <row r="571" spans="1:8">
      <c r="A571" t="str">
        <f>'Top Customers'!A573</f>
        <v>SURAJ KADAYATH</v>
      </c>
      <c r="B571" s="5">
        <f>IF(A571="","",IFERROR(GETPIVOTDATA("Sales Amount",'Top Customers'!$A$3,"Customer_name",'Top Customers'!A573),""))</f>
        <v>13697</v>
      </c>
      <c r="C571" t="str">
        <f t="shared" si="32"/>
        <v>Regular</v>
      </c>
      <c r="D571">
        <f t="shared" si="33"/>
        <v>86303</v>
      </c>
      <c r="E571" s="6">
        <f t="shared" si="34"/>
        <v>2.392197926742116E-4</v>
      </c>
      <c r="F571" s="5">
        <f ca="1">TODAY()-GETPIVOTDATA("LastPurchaseDate",MaxDate!$A$3,"Customer_name",MaxDate!A573)</f>
        <v>69</v>
      </c>
      <c r="G571" t="str">
        <f t="shared" ca="1" si="35"/>
        <v>At Risk</v>
      </c>
      <c r="H571" s="13">
        <f>RANK(B571,Customer_Tiers[Total_Sales])</f>
        <v>570</v>
      </c>
    </row>
    <row r="572" spans="1:8">
      <c r="A572" t="str">
        <f>'Top Customers'!A574</f>
        <v>VINOD EMBASSERY</v>
      </c>
      <c r="B572" s="5">
        <f>IF(A572="","",IFERROR(GETPIVOTDATA("Sales Amount",'Top Customers'!$A$3,"Customer_name",'Top Customers'!A574),""))</f>
        <v>13452</v>
      </c>
      <c r="C572" t="str">
        <f t="shared" si="32"/>
        <v>Regular</v>
      </c>
      <c r="D572">
        <f t="shared" si="33"/>
        <v>86548</v>
      </c>
      <c r="E572" s="6">
        <f t="shared" si="34"/>
        <v>2.3494083748656599E-4</v>
      </c>
      <c r="F572" s="5">
        <f ca="1">TODAY()-GETPIVOTDATA("LastPurchaseDate",MaxDate!$A$3,"Customer_name",MaxDate!A574)</f>
        <v>249</v>
      </c>
      <c r="G572" t="str">
        <f t="shared" ca="1" si="35"/>
        <v>Inactive</v>
      </c>
      <c r="H572" s="13">
        <f>RANK(B572,Customer_Tiers[Total_Sales])</f>
        <v>571</v>
      </c>
    </row>
    <row r="573" spans="1:8">
      <c r="A573" t="str">
        <f>'Top Customers'!A575</f>
        <v>NANDANAN , CHENGARA</v>
      </c>
      <c r="B573" s="5">
        <f>IF(A573="","",IFERROR(GETPIVOTDATA("Sales Amount",'Top Customers'!$A$3,"Customer_name",'Top Customers'!A575),""))</f>
        <v>13448</v>
      </c>
      <c r="C573" t="str">
        <f t="shared" si="32"/>
        <v>Regular</v>
      </c>
      <c r="D573">
        <f t="shared" si="33"/>
        <v>86552</v>
      </c>
      <c r="E573" s="6">
        <f t="shared" si="34"/>
        <v>2.3487097699370648E-4</v>
      </c>
      <c r="F573" s="5">
        <f ca="1">TODAY()-GETPIVOTDATA("LastPurchaseDate",MaxDate!$A$3,"Customer_name",MaxDate!A575)</f>
        <v>3</v>
      </c>
      <c r="G573" t="str">
        <f t="shared" ca="1" si="35"/>
        <v>Active</v>
      </c>
      <c r="H573" s="13">
        <f>RANK(B573,Customer_Tiers[Total_Sales])</f>
        <v>572</v>
      </c>
    </row>
    <row r="574" spans="1:8">
      <c r="A574" t="str">
        <f>'Top Customers'!A576</f>
        <v>BABU NJARALLOOR</v>
      </c>
      <c r="B574" s="5">
        <f>IF(A574="","",IFERROR(GETPIVOTDATA("Sales Amount",'Top Customers'!$A$3,"Customer_name",'Top Customers'!A576),""))</f>
        <v>13430</v>
      </c>
      <c r="C574" t="str">
        <f t="shared" si="32"/>
        <v>Regular</v>
      </c>
      <c r="D574">
        <f t="shared" si="33"/>
        <v>86570</v>
      </c>
      <c r="E574" s="6">
        <f t="shared" si="34"/>
        <v>2.3455660477583864E-4</v>
      </c>
      <c r="F574" s="5">
        <f ca="1">TODAY()-GETPIVOTDATA("LastPurchaseDate",MaxDate!$A$3,"Customer_name",MaxDate!A576)</f>
        <v>192</v>
      </c>
      <c r="G574" t="str">
        <f t="shared" ca="1" si="35"/>
        <v>Inactive</v>
      </c>
      <c r="H574" s="13">
        <f>RANK(B574,Customer_Tiers[Total_Sales])</f>
        <v>573</v>
      </c>
    </row>
    <row r="575" spans="1:8">
      <c r="A575" t="str">
        <f>'Top Customers'!A577</f>
        <v>SALIM PAINTER</v>
      </c>
      <c r="B575" s="5">
        <f>IF(A575="","",IFERROR(GETPIVOTDATA("Sales Amount",'Top Customers'!$A$3,"Customer_name",'Top Customers'!A577),""))</f>
        <v>13354</v>
      </c>
      <c r="C575" t="str">
        <f t="shared" si="32"/>
        <v>Regular</v>
      </c>
      <c r="D575">
        <f t="shared" si="33"/>
        <v>86646</v>
      </c>
      <c r="E575" s="6">
        <f t="shared" si="34"/>
        <v>2.3322925541150775E-4</v>
      </c>
      <c r="F575" s="5">
        <f ca="1">TODAY()-GETPIVOTDATA("LastPurchaseDate",MaxDate!$A$3,"Customer_name",MaxDate!A577)</f>
        <v>18</v>
      </c>
      <c r="G575" t="str">
        <f t="shared" ca="1" si="35"/>
        <v>Active</v>
      </c>
      <c r="H575" s="13">
        <f>RANK(B575,Customer_Tiers[Total_Sales])</f>
        <v>574</v>
      </c>
    </row>
    <row r="576" spans="1:8">
      <c r="A576" t="str">
        <f>'Top Customers'!A578</f>
        <v>HUSSAIN</v>
      </c>
      <c r="B576" s="5">
        <f>IF(A576="","",IFERROR(GETPIVOTDATA("Sales Amount",'Top Customers'!$A$3,"Customer_name",'Top Customers'!A578),""))</f>
        <v>13285</v>
      </c>
      <c r="C576" t="str">
        <f t="shared" si="32"/>
        <v>Regular</v>
      </c>
      <c r="D576">
        <f t="shared" si="33"/>
        <v>86715</v>
      </c>
      <c r="E576" s="6">
        <f t="shared" si="34"/>
        <v>2.3202416190968103E-4</v>
      </c>
      <c r="F576" s="5">
        <f ca="1">TODAY()-GETPIVOTDATA("LastPurchaseDate",MaxDate!$A$3,"Customer_name",MaxDate!A578)</f>
        <v>281</v>
      </c>
      <c r="G576" t="str">
        <f t="shared" ca="1" si="35"/>
        <v>Inactive</v>
      </c>
      <c r="H576" s="13">
        <f>RANK(B576,Customer_Tiers[Total_Sales])</f>
        <v>575</v>
      </c>
    </row>
    <row r="577" spans="1:8">
      <c r="A577" t="str">
        <f>'Top Customers'!A579</f>
        <v>RENJITH NJARALLOOR</v>
      </c>
      <c r="B577" s="5">
        <f>IF(A577="","",IFERROR(GETPIVOTDATA("Sales Amount",'Top Customers'!$A$3,"Customer_name",'Top Customers'!A579),""))</f>
        <v>13136</v>
      </c>
      <c r="C577" t="str">
        <f t="shared" si="32"/>
        <v>Regular</v>
      </c>
      <c r="D577">
        <f t="shared" si="33"/>
        <v>86864</v>
      </c>
      <c r="E577" s="6">
        <f t="shared" si="34"/>
        <v>2.2942185855066391E-4</v>
      </c>
      <c r="F577" s="5">
        <f ca="1">TODAY()-GETPIVOTDATA("LastPurchaseDate",MaxDate!$A$3,"Customer_name",MaxDate!A579)</f>
        <v>76</v>
      </c>
      <c r="G577" t="str">
        <f t="shared" ca="1" si="35"/>
        <v>At Risk</v>
      </c>
      <c r="H577" s="13">
        <f>RANK(B577,Customer_Tiers[Total_Sales])</f>
        <v>576</v>
      </c>
    </row>
    <row r="578" spans="1:8">
      <c r="A578" t="str">
        <f>'Top Customers'!A580</f>
        <v>JAYESH K JAMES, MAZHUVANNOOR</v>
      </c>
      <c r="B578" s="5">
        <f>IF(A578="","",IFERROR(GETPIVOTDATA("Sales Amount",'Top Customers'!$A$3,"Customer_name",'Top Customers'!A580),""))</f>
        <v>13090</v>
      </c>
      <c r="C578" t="str">
        <f t="shared" ref="C578:C641" si="36">IF(B578&gt;=1000000,"Platinum",
 IF(B578&gt;=500000,"Gold",
 IF(B578&gt;=100000,"Silver","Regular")))</f>
        <v>Regular</v>
      </c>
      <c r="D578">
        <f t="shared" ref="D578:D641" si="37">IF(C578="Platinum",0,
 IF(C578="Gold",1000000-B578,
 IF(C578="Silver",500000-B578,
 IF(C578="Regular",100000-B578,0))))</f>
        <v>86910</v>
      </c>
      <c r="E578" s="6">
        <f t="shared" ref="E578:E641" si="38">B578/SUM(B:B)</f>
        <v>2.2861846288277943E-4</v>
      </c>
      <c r="F578" s="5">
        <f ca="1">TODAY()-GETPIVOTDATA("LastPurchaseDate",MaxDate!$A$3,"Customer_name",MaxDate!A580)</f>
        <v>309</v>
      </c>
      <c r="G578" t="str">
        <f t="shared" ref="G578:G641" ca="1" si="39">IF(F578="","",
 IF(F578&lt;=60,"Active",
 IF(F578&lt;=120,"At Risk","Inactive")))</f>
        <v>Inactive</v>
      </c>
      <c r="H578" s="13">
        <f>RANK(B578,Customer_Tiers[Total_Sales])</f>
        <v>577</v>
      </c>
    </row>
    <row r="579" spans="1:8">
      <c r="A579" t="str">
        <f>'Top Customers'!A581</f>
        <v>SAMON K A</v>
      </c>
      <c r="B579" s="5">
        <f>IF(A579="","",IFERROR(GETPIVOTDATA("Sales Amount",'Top Customers'!$A$3,"Customer_name",'Top Customers'!A581),""))</f>
        <v>13090</v>
      </c>
      <c r="C579" t="str">
        <f t="shared" si="36"/>
        <v>Regular</v>
      </c>
      <c r="D579">
        <f t="shared" si="37"/>
        <v>86910</v>
      </c>
      <c r="E579" s="6">
        <f t="shared" si="38"/>
        <v>2.2861846288277943E-4</v>
      </c>
      <c r="F579" s="5">
        <f ca="1">TODAY()-GETPIVOTDATA("LastPurchaseDate",MaxDate!$A$3,"Customer_name",MaxDate!A581)</f>
        <v>174</v>
      </c>
      <c r="G579" t="str">
        <f t="shared" ca="1" si="39"/>
        <v>Inactive</v>
      </c>
      <c r="H579" s="13">
        <f>RANK(B579,Customer_Tiers[Total_Sales])</f>
        <v>577</v>
      </c>
    </row>
    <row r="580" spans="1:8">
      <c r="A580" t="str">
        <f>'Top Customers'!A582</f>
        <v>ALTHAF THATTAMUGAL</v>
      </c>
      <c r="B580" s="5">
        <f>IF(A580="","",IFERROR(GETPIVOTDATA("Sales Amount",'Top Customers'!$A$3,"Customer_name",'Top Customers'!A582),""))</f>
        <v>13081</v>
      </c>
      <c r="C580" t="str">
        <f t="shared" si="36"/>
        <v>Regular</v>
      </c>
      <c r="D580">
        <f t="shared" si="37"/>
        <v>86919</v>
      </c>
      <c r="E580" s="6">
        <f t="shared" si="38"/>
        <v>2.2846127677384549E-4</v>
      </c>
      <c r="F580" s="5">
        <f ca="1">TODAY()-GETPIVOTDATA("LastPurchaseDate",MaxDate!$A$3,"Customer_name",MaxDate!A582)</f>
        <v>167</v>
      </c>
      <c r="G580" t="str">
        <f t="shared" ca="1" si="39"/>
        <v>Inactive</v>
      </c>
      <c r="H580" s="13">
        <f>RANK(B580,Customer_Tiers[Total_Sales])</f>
        <v>579</v>
      </c>
    </row>
    <row r="581" spans="1:8">
      <c r="A581" t="str">
        <f>'Top Customers'!A583</f>
        <v>SABU VALAMBOOR</v>
      </c>
      <c r="B581" s="5">
        <f>IF(A581="","",IFERROR(GETPIVOTDATA("Sales Amount",'Top Customers'!$A$3,"Customer_name",'Top Customers'!A583),""))</f>
        <v>13075</v>
      </c>
      <c r="C581" t="str">
        <f t="shared" si="36"/>
        <v>Regular</v>
      </c>
      <c r="D581">
        <f t="shared" si="37"/>
        <v>86925</v>
      </c>
      <c r="E581" s="6">
        <f t="shared" si="38"/>
        <v>2.2835648603455622E-4</v>
      </c>
      <c r="F581" s="5">
        <f ca="1">TODAY()-GETPIVOTDATA("LastPurchaseDate",MaxDate!$A$3,"Customer_name",MaxDate!A583)</f>
        <v>5</v>
      </c>
      <c r="G581" t="str">
        <f t="shared" ca="1" si="39"/>
        <v>Active</v>
      </c>
      <c r="H581" s="13">
        <f>RANK(B581,Customer_Tiers[Total_Sales])</f>
        <v>580</v>
      </c>
    </row>
    <row r="582" spans="1:8">
      <c r="A582" t="str">
        <f>'Top Customers'!A584</f>
        <v>CHAKKAPPAN</v>
      </c>
      <c r="B582" s="5">
        <f>IF(A582="","",IFERROR(GETPIVOTDATA("Sales Amount",'Top Customers'!$A$3,"Customer_name",'Top Customers'!A584),""))</f>
        <v>13063</v>
      </c>
      <c r="C582" t="str">
        <f t="shared" si="36"/>
        <v>Regular</v>
      </c>
      <c r="D582">
        <f t="shared" si="37"/>
        <v>86937</v>
      </c>
      <c r="E582" s="6">
        <f t="shared" si="38"/>
        <v>2.2814690455597765E-4</v>
      </c>
      <c r="F582" s="5">
        <f ca="1">TODAY()-GETPIVOTDATA("LastPurchaseDate",MaxDate!$A$3,"Customer_name",MaxDate!A584)</f>
        <v>85</v>
      </c>
      <c r="G582" t="str">
        <f t="shared" ca="1" si="39"/>
        <v>At Risk</v>
      </c>
      <c r="H582" s="13">
        <f>RANK(B582,Customer_Tiers[Total_Sales])</f>
        <v>581</v>
      </c>
    </row>
    <row r="583" spans="1:8">
      <c r="A583" t="str">
        <f>'Top Customers'!A585</f>
        <v>EBY PUTHENPURAKKAL</v>
      </c>
      <c r="B583" s="5">
        <f>IF(A583="","",IFERROR(GETPIVOTDATA("Sales Amount",'Top Customers'!$A$3,"Customer_name",'Top Customers'!A585),""))</f>
        <v>13032</v>
      </c>
      <c r="C583" t="str">
        <f t="shared" si="36"/>
        <v>Regular</v>
      </c>
      <c r="D583">
        <f t="shared" si="37"/>
        <v>86968</v>
      </c>
      <c r="E583" s="6">
        <f t="shared" si="38"/>
        <v>2.2760548573631638E-4</v>
      </c>
      <c r="F583" s="5">
        <f ca="1">TODAY()-GETPIVOTDATA("LastPurchaseDate",MaxDate!$A$3,"Customer_name",MaxDate!A585)</f>
        <v>82</v>
      </c>
      <c r="G583" t="str">
        <f t="shared" ca="1" si="39"/>
        <v>At Risk</v>
      </c>
      <c r="H583" s="13">
        <f>RANK(B583,Customer_Tiers[Total_Sales])</f>
        <v>582</v>
      </c>
    </row>
    <row r="584" spans="1:8">
      <c r="A584" t="str">
        <f>'Top Customers'!A586</f>
        <v>JITHU PATTIMATTOM</v>
      </c>
      <c r="B584" s="5">
        <f>IF(A584="","",IFERROR(GETPIVOTDATA("Sales Amount",'Top Customers'!$A$3,"Customer_name",'Top Customers'!A586),""))</f>
        <v>12890</v>
      </c>
      <c r="C584" t="str">
        <f t="shared" si="36"/>
        <v>Regular</v>
      </c>
      <c r="D584">
        <f t="shared" si="37"/>
        <v>87110</v>
      </c>
      <c r="E584" s="6">
        <f t="shared" si="38"/>
        <v>2.2512543823980342E-4</v>
      </c>
      <c r="F584" s="5">
        <f ca="1">TODAY()-GETPIVOTDATA("LastPurchaseDate",MaxDate!$A$3,"Customer_name",MaxDate!A586)</f>
        <v>156</v>
      </c>
      <c r="G584" t="str">
        <f t="shared" ca="1" si="39"/>
        <v>Inactive</v>
      </c>
      <c r="H584" s="13">
        <f>RANK(B584,Customer_Tiers[Total_Sales])</f>
        <v>583</v>
      </c>
    </row>
    <row r="585" spans="1:8">
      <c r="A585" t="str">
        <f>'Top Customers'!A587</f>
        <v>CHOLLAPPILLY SPICES</v>
      </c>
      <c r="B585" s="5">
        <f>IF(A585="","",IFERROR(GETPIVOTDATA("Sales Amount",'Top Customers'!$A$3,"Customer_name",'Top Customers'!A587),""))</f>
        <v>12845</v>
      </c>
      <c r="C585" t="str">
        <f t="shared" si="36"/>
        <v>Regular</v>
      </c>
      <c r="D585">
        <f t="shared" si="37"/>
        <v>87155</v>
      </c>
      <c r="E585" s="6">
        <f t="shared" si="38"/>
        <v>2.2433950769513381E-4</v>
      </c>
      <c r="F585" s="5">
        <f ca="1">TODAY()-GETPIVOTDATA("LastPurchaseDate",MaxDate!$A$3,"Customer_name",MaxDate!A587)</f>
        <v>104</v>
      </c>
      <c r="G585" t="str">
        <f t="shared" ca="1" si="39"/>
        <v>At Risk</v>
      </c>
      <c r="H585" s="13">
        <f>RANK(B585,Customer_Tiers[Total_Sales])</f>
        <v>584</v>
      </c>
    </row>
    <row r="586" spans="1:8">
      <c r="A586" t="str">
        <f>'Top Customers'!A588</f>
        <v>NAVEEN PAULOSE</v>
      </c>
      <c r="B586" s="5">
        <f>IF(A586="","",IFERROR(GETPIVOTDATA("Sales Amount",'Top Customers'!$A$3,"Customer_name",'Top Customers'!A588),""))</f>
        <v>12838</v>
      </c>
      <c r="C586" t="str">
        <f t="shared" si="36"/>
        <v>Regular</v>
      </c>
      <c r="D586">
        <f t="shared" si="37"/>
        <v>87162</v>
      </c>
      <c r="E586" s="6">
        <f t="shared" si="38"/>
        <v>2.2421725183262967E-4</v>
      </c>
      <c r="F586" s="5">
        <f ca="1">TODAY()-GETPIVOTDATA("LastPurchaseDate",MaxDate!$A$3,"Customer_name",MaxDate!A588)</f>
        <v>92</v>
      </c>
      <c r="G586" t="str">
        <f t="shared" ca="1" si="39"/>
        <v>At Risk</v>
      </c>
      <c r="H586" s="13">
        <f>RANK(B586,Customer_Tiers[Total_Sales])</f>
        <v>585</v>
      </c>
    </row>
    <row r="587" spans="1:8">
      <c r="A587" t="str">
        <f>'Top Customers'!A589</f>
        <v>VARGHESE PAUL</v>
      </c>
      <c r="B587" s="5">
        <f>IF(A587="","",IFERROR(GETPIVOTDATA("Sales Amount",'Top Customers'!$A$3,"Customer_name",'Top Customers'!A589),""))</f>
        <v>12814</v>
      </c>
      <c r="C587" t="str">
        <f t="shared" si="36"/>
        <v>Regular</v>
      </c>
      <c r="D587">
        <f t="shared" si="37"/>
        <v>87186</v>
      </c>
      <c r="E587" s="6">
        <f t="shared" si="38"/>
        <v>2.2379808887547253E-4</v>
      </c>
      <c r="F587" s="5">
        <f ca="1">TODAY()-GETPIVOTDATA("LastPurchaseDate",MaxDate!$A$3,"Customer_name",MaxDate!A589)</f>
        <v>65</v>
      </c>
      <c r="G587" t="str">
        <f t="shared" ca="1" si="39"/>
        <v>At Risk</v>
      </c>
      <c r="H587" s="13">
        <f>RANK(B587,Customer_Tiers[Total_Sales])</f>
        <v>586</v>
      </c>
    </row>
    <row r="588" spans="1:8">
      <c r="A588" t="str">
        <f>'Top Customers'!A590</f>
        <v>SUBIRE ARAKKAPADY</v>
      </c>
      <c r="B588" s="5">
        <f>IF(A588="","",IFERROR(GETPIVOTDATA("Sales Amount",'Top Customers'!$A$3,"Customer_name",'Top Customers'!A590),""))</f>
        <v>12812</v>
      </c>
      <c r="C588" t="str">
        <f t="shared" si="36"/>
        <v>Regular</v>
      </c>
      <c r="D588">
        <f t="shared" si="37"/>
        <v>87188</v>
      </c>
      <c r="E588" s="6">
        <f t="shared" si="38"/>
        <v>2.237631586290428E-4</v>
      </c>
      <c r="F588" s="5">
        <f ca="1">TODAY()-GETPIVOTDATA("LastPurchaseDate",MaxDate!$A$3,"Customer_name",MaxDate!A590)</f>
        <v>214</v>
      </c>
      <c r="G588" t="str">
        <f t="shared" ca="1" si="39"/>
        <v>Inactive</v>
      </c>
      <c r="H588" s="13">
        <f>RANK(B588,Customer_Tiers[Total_Sales])</f>
        <v>587</v>
      </c>
    </row>
    <row r="589" spans="1:8">
      <c r="A589" t="str">
        <f>'Top Customers'!A591</f>
        <v>ANEESH  KILIKILAM</v>
      </c>
      <c r="B589" s="5">
        <f>IF(A589="","",IFERROR(GETPIVOTDATA("Sales Amount",'Top Customers'!$A$3,"Customer_name",'Top Customers'!A591),""))</f>
        <v>12790</v>
      </c>
      <c r="C589" t="str">
        <f t="shared" si="36"/>
        <v>Regular</v>
      </c>
      <c r="D589">
        <f t="shared" si="37"/>
        <v>87210</v>
      </c>
      <c r="E589" s="6">
        <f t="shared" si="38"/>
        <v>2.2337892591831542E-4</v>
      </c>
      <c r="F589" s="5">
        <f ca="1">TODAY()-GETPIVOTDATA("LastPurchaseDate",MaxDate!$A$3,"Customer_name",MaxDate!A591)</f>
        <v>327</v>
      </c>
      <c r="G589" t="str">
        <f t="shared" ca="1" si="39"/>
        <v>Inactive</v>
      </c>
      <c r="H589" s="13">
        <f>RANK(B589,Customer_Tiers[Total_Sales])</f>
        <v>588</v>
      </c>
    </row>
    <row r="590" spans="1:8">
      <c r="A590" t="str">
        <f>'Top Customers'!A592</f>
        <v>VYSALI JEWELLERY</v>
      </c>
      <c r="B590" s="5">
        <f>IF(A590="","",IFERROR(GETPIVOTDATA("Sales Amount",'Top Customers'!$A$3,"Customer_name",'Top Customers'!A592),""))</f>
        <v>12788</v>
      </c>
      <c r="C590" t="str">
        <f t="shared" si="36"/>
        <v>Regular</v>
      </c>
      <c r="D590">
        <f t="shared" si="37"/>
        <v>87212</v>
      </c>
      <c r="E590" s="6">
        <f t="shared" si="38"/>
        <v>2.2334399567188566E-4</v>
      </c>
      <c r="F590" s="5">
        <f ca="1">TODAY()-GETPIVOTDATA("LastPurchaseDate",MaxDate!$A$3,"Customer_name",MaxDate!A592)</f>
        <v>255</v>
      </c>
      <c r="G590" t="str">
        <f t="shared" ca="1" si="39"/>
        <v>Inactive</v>
      </c>
      <c r="H590" s="13">
        <f>RANK(B590,Customer_Tiers[Total_Sales])</f>
        <v>589</v>
      </c>
    </row>
    <row r="591" spans="1:8">
      <c r="A591" t="str">
        <f>'Top Customers'!A593</f>
        <v>BABY OTHARA</v>
      </c>
      <c r="B591" s="5">
        <f>IF(A591="","",IFERROR(GETPIVOTDATA("Sales Amount",'Top Customers'!$A$3,"Customer_name",'Top Customers'!A593),""))</f>
        <v>12760</v>
      </c>
      <c r="C591" t="str">
        <f t="shared" si="36"/>
        <v>Regular</v>
      </c>
      <c r="D591">
        <f t="shared" si="37"/>
        <v>87240</v>
      </c>
      <c r="E591" s="6">
        <f t="shared" si="38"/>
        <v>2.2285497222186902E-4</v>
      </c>
      <c r="F591" s="5">
        <f ca="1">TODAY()-GETPIVOTDATA("LastPurchaseDate",MaxDate!$A$3,"Customer_name",MaxDate!A593)</f>
        <v>31</v>
      </c>
      <c r="G591" t="str">
        <f t="shared" ca="1" si="39"/>
        <v>Active</v>
      </c>
      <c r="H591" s="13">
        <f>RANK(B591,Customer_Tiers[Total_Sales])</f>
        <v>590</v>
      </c>
    </row>
    <row r="592" spans="1:8">
      <c r="A592" t="str">
        <f>'Top Customers'!A594</f>
        <v>AJEESH KADAYIRYPPU</v>
      </c>
      <c r="B592" s="5">
        <f>IF(A592="","",IFERROR(GETPIVOTDATA("Sales Amount",'Top Customers'!$A$3,"Customer_name",'Top Customers'!A594),""))</f>
        <v>12594</v>
      </c>
      <c r="C592" t="str">
        <f t="shared" si="36"/>
        <v>Regular</v>
      </c>
      <c r="D592">
        <f t="shared" si="37"/>
        <v>87406</v>
      </c>
      <c r="E592" s="6">
        <f t="shared" si="38"/>
        <v>2.1995576176819893E-4</v>
      </c>
      <c r="F592" s="5">
        <f ca="1">TODAY()-GETPIVOTDATA("LastPurchaseDate",MaxDate!$A$3,"Customer_name",MaxDate!A594)</f>
        <v>151</v>
      </c>
      <c r="G592" t="str">
        <f t="shared" ca="1" si="39"/>
        <v>Inactive</v>
      </c>
      <c r="H592" s="13">
        <f>RANK(B592,Customer_Tiers[Total_Sales])</f>
        <v>591</v>
      </c>
    </row>
    <row r="593" spans="1:8">
      <c r="A593" t="str">
        <f>'Top Customers'!A595</f>
        <v>SAKKEER APE NEW AUTO</v>
      </c>
      <c r="B593" s="5">
        <f>IF(A593="","",IFERROR(GETPIVOTDATA("Sales Amount",'Top Customers'!$A$3,"Customer_name",'Top Customers'!A595),""))</f>
        <v>12513</v>
      </c>
      <c r="C593" t="str">
        <f t="shared" si="36"/>
        <v>Regular</v>
      </c>
      <c r="D593">
        <f t="shared" si="37"/>
        <v>87487</v>
      </c>
      <c r="E593" s="6">
        <f t="shared" si="38"/>
        <v>2.1854108678779366E-4</v>
      </c>
      <c r="F593" s="5">
        <f ca="1">TODAY()-GETPIVOTDATA("LastPurchaseDate",MaxDate!$A$3,"Customer_name",MaxDate!A595)</f>
        <v>155</v>
      </c>
      <c r="G593" t="str">
        <f t="shared" ca="1" si="39"/>
        <v>Inactive</v>
      </c>
      <c r="H593" s="13">
        <f>RANK(B593,Customer_Tiers[Total_Sales])</f>
        <v>592</v>
      </c>
    </row>
    <row r="594" spans="1:8">
      <c r="A594" t="str">
        <f>'Top Customers'!A596</f>
        <v>BREAKTHROUGH ENGINEERING</v>
      </c>
      <c r="B594" s="5">
        <f>IF(A594="","",IFERROR(GETPIVOTDATA("Sales Amount",'Top Customers'!$A$3,"Customer_name",'Top Customers'!A596),""))</f>
        <v>12389</v>
      </c>
      <c r="C594" t="str">
        <f t="shared" si="36"/>
        <v>Regular</v>
      </c>
      <c r="D594">
        <f t="shared" si="37"/>
        <v>87611</v>
      </c>
      <c r="E594" s="6">
        <f t="shared" si="38"/>
        <v>2.1637541150914852E-4</v>
      </c>
      <c r="F594" s="5">
        <f ca="1">TODAY()-GETPIVOTDATA("LastPurchaseDate",MaxDate!$A$3,"Customer_name",MaxDate!A596)</f>
        <v>38</v>
      </c>
      <c r="G594" t="str">
        <f t="shared" ca="1" si="39"/>
        <v>Active</v>
      </c>
      <c r="H594" s="13">
        <f>RANK(B594,Customer_Tiers[Total_Sales])</f>
        <v>593</v>
      </c>
    </row>
    <row r="595" spans="1:8">
      <c r="A595" t="str">
        <f>'Top Customers'!A597</f>
        <v>MADHUSUDHANAN</v>
      </c>
      <c r="B595" s="5">
        <f>IF(A595="","",IFERROR(GETPIVOTDATA("Sales Amount",'Top Customers'!$A$3,"Customer_name",'Top Customers'!A597),""))</f>
        <v>12326</v>
      </c>
      <c r="C595" t="str">
        <f t="shared" si="36"/>
        <v>Regular</v>
      </c>
      <c r="D595">
        <f t="shared" si="37"/>
        <v>87674</v>
      </c>
      <c r="E595" s="6">
        <f t="shared" si="38"/>
        <v>2.152751087466111E-4</v>
      </c>
      <c r="F595" s="5">
        <f ca="1">TODAY()-GETPIVOTDATA("LastPurchaseDate",MaxDate!$A$3,"Customer_name",MaxDate!A597)</f>
        <v>206</v>
      </c>
      <c r="G595" t="str">
        <f t="shared" ca="1" si="39"/>
        <v>Inactive</v>
      </c>
      <c r="H595" s="13">
        <f>RANK(B595,Customer_Tiers[Total_Sales])</f>
        <v>594</v>
      </c>
    </row>
    <row r="596" spans="1:8">
      <c r="A596" t="str">
        <f>'Top Customers'!A598</f>
        <v>NAZER CHELAKULAM</v>
      </c>
      <c r="B596" s="5">
        <f>IF(A596="","",IFERROR(GETPIVOTDATA("Sales Amount",'Top Customers'!$A$3,"Customer_name",'Top Customers'!A598),""))</f>
        <v>12287</v>
      </c>
      <c r="C596" t="str">
        <f t="shared" si="36"/>
        <v>Regular</v>
      </c>
      <c r="D596">
        <f t="shared" si="37"/>
        <v>87713</v>
      </c>
      <c r="E596" s="6">
        <f t="shared" si="38"/>
        <v>2.1459396894123078E-4</v>
      </c>
      <c r="F596" s="5">
        <f ca="1">TODAY()-GETPIVOTDATA("LastPurchaseDate",MaxDate!$A$3,"Customer_name",MaxDate!A598)</f>
        <v>225</v>
      </c>
      <c r="G596" t="str">
        <f t="shared" ca="1" si="39"/>
        <v>Inactive</v>
      </c>
      <c r="H596" s="13">
        <f>RANK(B596,Customer_Tiers[Total_Sales])</f>
        <v>595</v>
      </c>
    </row>
    <row r="597" spans="1:8">
      <c r="A597" t="str">
        <f>'Top Customers'!A599</f>
        <v>THAMPI KILIKULAM</v>
      </c>
      <c r="B597" s="5">
        <f>IF(A597="","",IFERROR(GETPIVOTDATA("Sales Amount",'Top Customers'!$A$3,"Customer_name",'Top Customers'!A599),""))</f>
        <v>12283</v>
      </c>
      <c r="C597" t="str">
        <f t="shared" si="36"/>
        <v>Regular</v>
      </c>
      <c r="D597">
        <f t="shared" si="37"/>
        <v>87717</v>
      </c>
      <c r="E597" s="6">
        <f t="shared" si="38"/>
        <v>2.1452410844837125E-4</v>
      </c>
      <c r="F597" s="5">
        <f ca="1">TODAY()-GETPIVOTDATA("LastPurchaseDate",MaxDate!$A$3,"Customer_name",MaxDate!A599)</f>
        <v>286</v>
      </c>
      <c r="G597" t="str">
        <f t="shared" ca="1" si="39"/>
        <v>Inactive</v>
      </c>
      <c r="H597" s="13">
        <f>RANK(B597,Customer_Tiers[Total_Sales])</f>
        <v>596</v>
      </c>
    </row>
    <row r="598" spans="1:8">
      <c r="A598" t="str">
        <f>'Top Customers'!A600</f>
        <v>SAJEEVAN (SIVASAKTHI)</v>
      </c>
      <c r="B598" s="5">
        <f>IF(A598="","",IFERROR(GETPIVOTDATA("Sales Amount",'Top Customers'!$A$3,"Customer_name",'Top Customers'!A600),""))</f>
        <v>12261</v>
      </c>
      <c r="C598" t="str">
        <f t="shared" si="36"/>
        <v>Regular</v>
      </c>
      <c r="D598">
        <f t="shared" si="37"/>
        <v>87739</v>
      </c>
      <c r="E598" s="6">
        <f t="shared" si="38"/>
        <v>2.141398757376439E-4</v>
      </c>
      <c r="F598" s="5">
        <f ca="1">TODAY()-GETPIVOTDATA("LastPurchaseDate",MaxDate!$A$3,"Customer_name",MaxDate!A600)</f>
        <v>71</v>
      </c>
      <c r="G598" t="str">
        <f t="shared" ca="1" si="39"/>
        <v>At Risk</v>
      </c>
      <c r="H598" s="13">
        <f>RANK(B598,Customer_Tiers[Total_Sales])</f>
        <v>597</v>
      </c>
    </row>
    <row r="599" spans="1:8">
      <c r="A599" t="str">
        <f>'Top Customers'!A601</f>
        <v>BABU P GOPAL</v>
      </c>
      <c r="B599" s="5">
        <f>IF(A599="","",IFERROR(GETPIVOTDATA("Sales Amount",'Top Customers'!$A$3,"Customer_name",'Top Customers'!A601),""))</f>
        <v>12254</v>
      </c>
      <c r="C599" t="str">
        <f t="shared" si="36"/>
        <v>Regular</v>
      </c>
      <c r="D599">
        <f t="shared" si="37"/>
        <v>87746</v>
      </c>
      <c r="E599" s="6">
        <f t="shared" si="38"/>
        <v>2.1401761987513974E-4</v>
      </c>
      <c r="F599" s="5">
        <f ca="1">TODAY()-GETPIVOTDATA("LastPurchaseDate",MaxDate!$A$3,"Customer_name",MaxDate!A601)</f>
        <v>207</v>
      </c>
      <c r="G599" t="str">
        <f t="shared" ca="1" si="39"/>
        <v>Inactive</v>
      </c>
      <c r="H599" s="13">
        <f>RANK(B599,Customer_Tiers[Total_Sales])</f>
        <v>598</v>
      </c>
    </row>
    <row r="600" spans="1:8">
      <c r="A600" t="str">
        <f>'Top Customers'!A602</f>
        <v>BASIL</v>
      </c>
      <c r="B600" s="5">
        <f>IF(A600="","",IFERROR(GETPIVOTDATA("Sales Amount",'Top Customers'!$A$3,"Customer_name",'Top Customers'!A602),""))</f>
        <v>12244</v>
      </c>
      <c r="C600" t="str">
        <f t="shared" si="36"/>
        <v>Regular</v>
      </c>
      <c r="D600">
        <f t="shared" si="37"/>
        <v>87756</v>
      </c>
      <c r="E600" s="6">
        <f t="shared" si="38"/>
        <v>2.1384296864299093E-4</v>
      </c>
      <c r="F600" s="5">
        <f ca="1">TODAY()-GETPIVOTDATA("LastPurchaseDate",MaxDate!$A$3,"Customer_name",MaxDate!A602)</f>
        <v>53</v>
      </c>
      <c r="G600" t="str">
        <f t="shared" ca="1" si="39"/>
        <v>Active</v>
      </c>
      <c r="H600" s="13">
        <f>RANK(B600,Customer_Tiers[Total_Sales])</f>
        <v>599</v>
      </c>
    </row>
    <row r="601" spans="1:8">
      <c r="A601" t="str">
        <f>'Top Customers'!A603</f>
        <v>ANTONY JOSEPH</v>
      </c>
      <c r="B601" s="5">
        <f>IF(A601="","",IFERROR(GETPIVOTDATA("Sales Amount",'Top Customers'!$A$3,"Customer_name",'Top Customers'!A603),""))</f>
        <v>12235</v>
      </c>
      <c r="C601" t="str">
        <f t="shared" si="36"/>
        <v>Regular</v>
      </c>
      <c r="D601">
        <f t="shared" si="37"/>
        <v>87765</v>
      </c>
      <c r="E601" s="6">
        <f t="shared" si="38"/>
        <v>2.13685782534057E-4</v>
      </c>
      <c r="F601" s="5">
        <f ca="1">TODAY()-GETPIVOTDATA("LastPurchaseDate",MaxDate!$A$3,"Customer_name",MaxDate!A603)</f>
        <v>240</v>
      </c>
      <c r="G601" t="str">
        <f t="shared" ca="1" si="39"/>
        <v>Inactive</v>
      </c>
      <c r="H601" s="13">
        <f>RANK(B601,Customer_Tiers[Total_Sales])</f>
        <v>600</v>
      </c>
    </row>
    <row r="602" spans="1:8">
      <c r="A602" t="str">
        <f>'Top Customers'!A604</f>
        <v>BIJU PANGODE</v>
      </c>
      <c r="B602" s="5">
        <f>IF(A602="","",IFERROR(GETPIVOTDATA("Sales Amount",'Top Customers'!$A$3,"Customer_name",'Top Customers'!A604),""))</f>
        <v>12164</v>
      </c>
      <c r="C602" t="str">
        <f t="shared" si="36"/>
        <v>Regular</v>
      </c>
      <c r="D602">
        <f t="shared" si="37"/>
        <v>87836</v>
      </c>
      <c r="E602" s="6">
        <f t="shared" si="38"/>
        <v>2.1244575878580054E-4</v>
      </c>
      <c r="F602" s="5">
        <f ca="1">TODAY()-GETPIVOTDATA("LastPurchaseDate",MaxDate!$A$3,"Customer_name",MaxDate!A604)</f>
        <v>37</v>
      </c>
      <c r="G602" t="str">
        <f t="shared" ca="1" si="39"/>
        <v>Active</v>
      </c>
      <c r="H602" s="13">
        <f>RANK(B602,Customer_Tiers[Total_Sales])</f>
        <v>601</v>
      </c>
    </row>
    <row r="603" spans="1:8">
      <c r="A603" t="str">
        <f>'Top Customers'!A605</f>
        <v>MANU VARGHESE</v>
      </c>
      <c r="B603" s="5">
        <f>IF(A603="","",IFERROR(GETPIVOTDATA("Sales Amount",'Top Customers'!$A$3,"Customer_name",'Top Customers'!A605),""))</f>
        <v>12118</v>
      </c>
      <c r="C603" t="str">
        <f t="shared" si="36"/>
        <v>Regular</v>
      </c>
      <c r="D603">
        <f t="shared" si="37"/>
        <v>87882</v>
      </c>
      <c r="E603" s="6">
        <f t="shared" si="38"/>
        <v>2.1164236311791606E-4</v>
      </c>
      <c r="F603" s="5">
        <f ca="1">TODAY()-GETPIVOTDATA("LastPurchaseDate",MaxDate!$A$3,"Customer_name",MaxDate!A605)</f>
        <v>179</v>
      </c>
      <c r="G603" t="str">
        <f t="shared" ca="1" si="39"/>
        <v>Inactive</v>
      </c>
      <c r="H603" s="13">
        <f>RANK(B603,Customer_Tiers[Total_Sales])</f>
        <v>602</v>
      </c>
    </row>
    <row r="604" spans="1:8">
      <c r="A604" t="str">
        <f>'Top Customers'!A606</f>
        <v>MARTIN ERAPPUMPARA</v>
      </c>
      <c r="B604" s="5">
        <f>IF(A604="","",IFERROR(GETPIVOTDATA("Sales Amount",'Top Customers'!$A$3,"Customer_name",'Top Customers'!A606),""))</f>
        <v>12090</v>
      </c>
      <c r="C604" t="str">
        <f t="shared" si="36"/>
        <v>Regular</v>
      </c>
      <c r="D604">
        <f t="shared" si="37"/>
        <v>87910</v>
      </c>
      <c r="E604" s="6">
        <f t="shared" si="38"/>
        <v>2.1115333966789941E-4</v>
      </c>
      <c r="F604" s="5">
        <f ca="1">TODAY()-GETPIVOTDATA("LastPurchaseDate",MaxDate!$A$3,"Customer_name",MaxDate!A606)</f>
        <v>69</v>
      </c>
      <c r="G604" t="str">
        <f t="shared" ca="1" si="39"/>
        <v>At Risk</v>
      </c>
      <c r="H604" s="13">
        <f>RANK(B604,Customer_Tiers[Total_Sales])</f>
        <v>603</v>
      </c>
    </row>
    <row r="605" spans="1:8">
      <c r="A605" t="str">
        <f>'Top Customers'!A607</f>
        <v>ALI TRUSS</v>
      </c>
      <c r="B605" s="5">
        <f>IF(A605="","",IFERROR(GETPIVOTDATA("Sales Amount",'Top Customers'!$A$3,"Customer_name",'Top Customers'!A607),""))</f>
        <v>12089.008</v>
      </c>
      <c r="C605" t="str">
        <f t="shared" si="36"/>
        <v>Regular</v>
      </c>
      <c r="D605">
        <f t="shared" si="37"/>
        <v>87910.991999999998</v>
      </c>
      <c r="E605" s="6">
        <f t="shared" si="38"/>
        <v>2.1113601426567025E-4</v>
      </c>
      <c r="F605" s="5">
        <f ca="1">TODAY()-GETPIVOTDATA("LastPurchaseDate",MaxDate!$A$3,"Customer_name",MaxDate!A607)</f>
        <v>47</v>
      </c>
      <c r="G605" t="str">
        <f t="shared" ca="1" si="39"/>
        <v>Active</v>
      </c>
      <c r="H605" s="13">
        <f>RANK(B605,Customer_Tiers[Total_Sales])</f>
        <v>604</v>
      </c>
    </row>
    <row r="606" spans="1:8">
      <c r="A606" t="str">
        <f>'Top Customers'!A608</f>
        <v>ZON ASSOCIATES</v>
      </c>
      <c r="B606" s="5">
        <f>IF(A606="","",IFERROR(GETPIVOTDATA("Sales Amount",'Top Customers'!$A$3,"Customer_name",'Top Customers'!A608),""))</f>
        <v>12005</v>
      </c>
      <c r="C606" t="str">
        <f t="shared" si="36"/>
        <v>Regular</v>
      </c>
      <c r="D606">
        <f t="shared" si="37"/>
        <v>87995</v>
      </c>
      <c r="E606" s="6">
        <f t="shared" si="38"/>
        <v>2.0966880419463462E-4</v>
      </c>
      <c r="F606" s="5">
        <f ca="1">TODAY()-GETPIVOTDATA("LastPurchaseDate",MaxDate!$A$3,"Customer_name",MaxDate!A608)</f>
        <v>290</v>
      </c>
      <c r="G606" t="str">
        <f t="shared" ca="1" si="39"/>
        <v>Inactive</v>
      </c>
      <c r="H606" s="13">
        <f>RANK(B606,Customer_Tiers[Total_Sales])</f>
        <v>605</v>
      </c>
    </row>
    <row r="607" spans="1:8">
      <c r="A607" t="str">
        <f>'Top Customers'!A609</f>
        <v>JAMES GEORGE</v>
      </c>
      <c r="B607" s="5">
        <f>IF(A607="","",IFERROR(GETPIVOTDATA("Sales Amount",'Top Customers'!$A$3,"Customer_name",'Top Customers'!A609),""))</f>
        <v>12000</v>
      </c>
      <c r="C607" t="str">
        <f t="shared" si="36"/>
        <v>Regular</v>
      </c>
      <c r="D607">
        <f t="shared" si="37"/>
        <v>88000</v>
      </c>
      <c r="E607" s="6">
        <f t="shared" si="38"/>
        <v>2.0958147857856022E-4</v>
      </c>
      <c r="F607" s="5">
        <f ca="1">TODAY()-GETPIVOTDATA("LastPurchaseDate",MaxDate!$A$3,"Customer_name",MaxDate!A609)</f>
        <v>239</v>
      </c>
      <c r="G607" t="str">
        <f t="shared" ca="1" si="39"/>
        <v>Inactive</v>
      </c>
      <c r="H607" s="13">
        <f>RANK(B607,Customer_Tiers[Total_Sales])</f>
        <v>606</v>
      </c>
    </row>
    <row r="608" spans="1:8">
      <c r="A608" t="str">
        <f>'Top Customers'!A610</f>
        <v>CLETUS.P.J</v>
      </c>
      <c r="B608" s="5">
        <f>IF(A608="","",IFERROR(GETPIVOTDATA("Sales Amount",'Top Customers'!$A$3,"Customer_name",'Top Customers'!A610),""))</f>
        <v>11950</v>
      </c>
      <c r="C608" t="str">
        <f t="shared" si="36"/>
        <v>Regular</v>
      </c>
      <c r="D608">
        <f t="shared" si="37"/>
        <v>88050</v>
      </c>
      <c r="E608" s="6">
        <f t="shared" si="38"/>
        <v>2.087082224178162E-4</v>
      </c>
      <c r="F608" s="5">
        <f ca="1">TODAY()-GETPIVOTDATA("LastPurchaseDate",MaxDate!$A$3,"Customer_name",MaxDate!A610)</f>
        <v>311</v>
      </c>
      <c r="G608" t="str">
        <f t="shared" ca="1" si="39"/>
        <v>Inactive</v>
      </c>
      <c r="H608" s="13">
        <f>RANK(B608,Customer_Tiers[Total_Sales])</f>
        <v>607</v>
      </c>
    </row>
    <row r="609" spans="1:8">
      <c r="A609" t="str">
        <f>'Top Customers'!A611</f>
        <v>AABIM ENTERPRISES</v>
      </c>
      <c r="B609" s="5">
        <f>IF(A609="","",IFERROR(GETPIVOTDATA("Sales Amount",'Top Customers'!$A$3,"Customer_name",'Top Customers'!A611),""))</f>
        <v>11922</v>
      </c>
      <c r="C609" t="str">
        <f t="shared" si="36"/>
        <v>Regular</v>
      </c>
      <c r="D609">
        <f t="shared" si="37"/>
        <v>88078</v>
      </c>
      <c r="E609" s="6">
        <f t="shared" si="38"/>
        <v>2.0821919896779956E-4</v>
      </c>
      <c r="F609" s="5">
        <f ca="1">TODAY()-GETPIVOTDATA("LastPurchaseDate",MaxDate!$A$3,"Customer_name",MaxDate!A611)</f>
        <v>256</v>
      </c>
      <c r="G609" t="str">
        <f t="shared" ca="1" si="39"/>
        <v>Inactive</v>
      </c>
      <c r="H609" s="13">
        <f>RANK(B609,Customer_Tiers[Total_Sales])</f>
        <v>608</v>
      </c>
    </row>
    <row r="610" spans="1:8">
      <c r="A610" t="str">
        <f>'Top Customers'!A612</f>
        <v>ABHILASH MAZHUVANNOOR</v>
      </c>
      <c r="B610" s="5">
        <f>IF(A610="","",IFERROR(GETPIVOTDATA("Sales Amount",'Top Customers'!$A$3,"Customer_name",'Top Customers'!A612),""))</f>
        <v>11920</v>
      </c>
      <c r="C610" t="str">
        <f t="shared" si="36"/>
        <v>Regular</v>
      </c>
      <c r="D610">
        <f t="shared" si="37"/>
        <v>88080</v>
      </c>
      <c r="E610" s="6">
        <f t="shared" si="38"/>
        <v>2.0818426872136982E-4</v>
      </c>
      <c r="F610" s="5">
        <f ca="1">TODAY()-GETPIVOTDATA("LastPurchaseDate",MaxDate!$A$3,"Customer_name",MaxDate!A612)</f>
        <v>247</v>
      </c>
      <c r="G610" t="str">
        <f t="shared" ca="1" si="39"/>
        <v>Inactive</v>
      </c>
      <c r="H610" s="13">
        <f>RANK(B610,Customer_Tiers[Total_Sales])</f>
        <v>609</v>
      </c>
    </row>
    <row r="611" spans="1:8">
      <c r="A611" t="str">
        <f>'Top Customers'!A613</f>
        <v>DASAN KOLANKUDY</v>
      </c>
      <c r="B611" s="5">
        <f>IF(A611="","",IFERROR(GETPIVOTDATA("Sales Amount",'Top Customers'!$A$3,"Customer_name",'Top Customers'!A613),""))</f>
        <v>11893</v>
      </c>
      <c r="C611" t="str">
        <f t="shared" si="36"/>
        <v>Regular</v>
      </c>
      <c r="D611">
        <f t="shared" si="37"/>
        <v>88107</v>
      </c>
      <c r="E611" s="6">
        <f t="shared" si="38"/>
        <v>2.0771271039456805E-4</v>
      </c>
      <c r="F611" s="5">
        <f ca="1">TODAY()-GETPIVOTDATA("LastPurchaseDate",MaxDate!$A$3,"Customer_name",MaxDate!A613)</f>
        <v>180</v>
      </c>
      <c r="G611" t="str">
        <f t="shared" ca="1" si="39"/>
        <v>Inactive</v>
      </c>
      <c r="H611" s="13">
        <f>RANK(B611,Customer_Tiers[Total_Sales])</f>
        <v>610</v>
      </c>
    </row>
    <row r="612" spans="1:8">
      <c r="A612" t="str">
        <f>'Top Customers'!A614</f>
        <v>BINU THOMAS</v>
      </c>
      <c r="B612" s="5">
        <f>IF(A612="","",IFERROR(GETPIVOTDATA("Sales Amount",'Top Customers'!$A$3,"Customer_name",'Top Customers'!A614),""))</f>
        <v>11864</v>
      </c>
      <c r="C612" t="str">
        <f t="shared" si="36"/>
        <v>Regular</v>
      </c>
      <c r="D612">
        <f t="shared" si="37"/>
        <v>88136</v>
      </c>
      <c r="E612" s="6">
        <f t="shared" si="38"/>
        <v>2.0720622182133653E-4</v>
      </c>
      <c r="F612" s="5">
        <f ca="1">TODAY()-GETPIVOTDATA("LastPurchaseDate",MaxDate!$A$3,"Customer_name",MaxDate!A614)</f>
        <v>131</v>
      </c>
      <c r="G612" t="str">
        <f t="shared" ca="1" si="39"/>
        <v>Inactive</v>
      </c>
      <c r="H612" s="13">
        <f>RANK(B612,Customer_Tiers[Total_Sales])</f>
        <v>611</v>
      </c>
    </row>
    <row r="613" spans="1:8">
      <c r="A613" t="str">
        <f>'Top Customers'!A615</f>
        <v>ARUN AIRAPURAM</v>
      </c>
      <c r="B613" s="5">
        <f>IF(A613="","",IFERROR(GETPIVOTDATA("Sales Amount",'Top Customers'!$A$3,"Customer_name",'Top Customers'!A615),""))</f>
        <v>11831</v>
      </c>
      <c r="C613" t="str">
        <f t="shared" si="36"/>
        <v>Regular</v>
      </c>
      <c r="D613">
        <f t="shared" si="37"/>
        <v>88169</v>
      </c>
      <c r="E613" s="6">
        <f t="shared" si="38"/>
        <v>2.0662987275524549E-4</v>
      </c>
      <c r="F613" s="5">
        <f ca="1">TODAY()-GETPIVOTDATA("LastPurchaseDate",MaxDate!$A$3,"Customer_name",MaxDate!A615)</f>
        <v>162</v>
      </c>
      <c r="G613" t="str">
        <f t="shared" ca="1" si="39"/>
        <v>Inactive</v>
      </c>
      <c r="H613" s="13">
        <f>RANK(B613,Customer_Tiers[Total_Sales])</f>
        <v>612</v>
      </c>
    </row>
    <row r="614" spans="1:8">
      <c r="A614" t="str">
        <f>'Top Customers'!A616</f>
        <v>SUKU KILIKULAM</v>
      </c>
      <c r="B614" s="5">
        <f>IF(A614="","",IFERROR(GETPIVOTDATA("Sales Amount",'Top Customers'!$A$3,"Customer_name",'Top Customers'!A616),""))</f>
        <v>11812</v>
      </c>
      <c r="C614" t="str">
        <f t="shared" si="36"/>
        <v>Regular</v>
      </c>
      <c r="D614">
        <f t="shared" si="37"/>
        <v>88188</v>
      </c>
      <c r="E614" s="6">
        <f t="shared" si="38"/>
        <v>2.0629803541416275E-4</v>
      </c>
      <c r="F614" s="5">
        <f ca="1">TODAY()-GETPIVOTDATA("LastPurchaseDate",MaxDate!$A$3,"Customer_name",MaxDate!A616)</f>
        <v>22</v>
      </c>
      <c r="G614" t="str">
        <f t="shared" ca="1" si="39"/>
        <v>Active</v>
      </c>
      <c r="H614" s="13">
        <f>RANK(B614,Customer_Tiers[Total_Sales])</f>
        <v>613</v>
      </c>
    </row>
    <row r="615" spans="1:8">
      <c r="A615" t="str">
        <f>'Top Customers'!A617</f>
        <v>SIDHUN MANGALATHUNADA</v>
      </c>
      <c r="B615" s="5">
        <f>IF(A615="","",IFERROR(GETPIVOTDATA("Sales Amount",'Top Customers'!$A$3,"Customer_name",'Top Customers'!A617),""))</f>
        <v>11690</v>
      </c>
      <c r="C615" t="str">
        <f t="shared" si="36"/>
        <v>Regular</v>
      </c>
      <c r="D615">
        <f t="shared" si="37"/>
        <v>88310</v>
      </c>
      <c r="E615" s="6">
        <f t="shared" si="38"/>
        <v>2.0416729038194741E-4</v>
      </c>
      <c r="F615" s="5">
        <f ca="1">TODAY()-GETPIVOTDATA("LastPurchaseDate",MaxDate!$A$3,"Customer_name",MaxDate!A617)</f>
        <v>320</v>
      </c>
      <c r="G615" t="str">
        <f t="shared" ca="1" si="39"/>
        <v>Inactive</v>
      </c>
      <c r="H615" s="13">
        <f>RANK(B615,Customer_Tiers[Total_Sales])</f>
        <v>614</v>
      </c>
    </row>
    <row r="616" spans="1:8">
      <c r="A616" t="str">
        <f>'Top Customers'!A618</f>
        <v>JAYAN TRUSS, PAZHAMTHOTTAM</v>
      </c>
      <c r="B616" s="5">
        <f>IF(A616="","",IFERROR(GETPIVOTDATA("Sales Amount",'Top Customers'!$A$3,"Customer_name",'Top Customers'!A618),""))</f>
        <v>11653</v>
      </c>
      <c r="C616" t="str">
        <f t="shared" si="36"/>
        <v>Regular</v>
      </c>
      <c r="D616">
        <f t="shared" si="37"/>
        <v>88347</v>
      </c>
      <c r="E616" s="6">
        <f t="shared" si="38"/>
        <v>2.0352108082299683E-4</v>
      </c>
      <c r="F616" s="5">
        <f ca="1">TODAY()-GETPIVOTDATA("LastPurchaseDate",MaxDate!$A$3,"Customer_name",MaxDate!A618)</f>
        <v>5</v>
      </c>
      <c r="G616" t="str">
        <f t="shared" ca="1" si="39"/>
        <v>Active</v>
      </c>
      <c r="H616" s="13">
        <f>RANK(B616,Customer_Tiers[Total_Sales])</f>
        <v>615</v>
      </c>
    </row>
    <row r="617" spans="1:8">
      <c r="A617" t="str">
        <f>'Top Customers'!A619</f>
        <v>KEMI VENEERS</v>
      </c>
      <c r="B617" s="5">
        <f>IF(A617="","",IFERROR(GETPIVOTDATA("Sales Amount",'Top Customers'!$A$3,"Customer_name",'Top Customers'!A619),""))</f>
        <v>11636</v>
      </c>
      <c r="C617" t="str">
        <f t="shared" si="36"/>
        <v>Regular</v>
      </c>
      <c r="D617">
        <f t="shared" si="37"/>
        <v>88364</v>
      </c>
      <c r="E617" s="6">
        <f t="shared" si="38"/>
        <v>2.0322417372834389E-4</v>
      </c>
      <c r="F617" s="5">
        <f ca="1">TODAY()-GETPIVOTDATA("LastPurchaseDate",MaxDate!$A$3,"Customer_name",MaxDate!A619)</f>
        <v>34</v>
      </c>
      <c r="G617" t="str">
        <f t="shared" ca="1" si="39"/>
        <v>Active</v>
      </c>
      <c r="H617" s="13">
        <f>RANK(B617,Customer_Tiers[Total_Sales])</f>
        <v>616</v>
      </c>
    </row>
    <row r="618" spans="1:8">
      <c r="A618" t="str">
        <f>'Top Customers'!A620</f>
        <v>SUNNEX</v>
      </c>
      <c r="B618" s="5">
        <f>IF(A618="","",IFERROR(GETPIVOTDATA("Sales Amount",'Top Customers'!$A$3,"Customer_name",'Top Customers'!A620),""))</f>
        <v>11613</v>
      </c>
      <c r="C618" t="str">
        <f t="shared" si="36"/>
        <v>Regular</v>
      </c>
      <c r="D618">
        <f t="shared" si="37"/>
        <v>88387</v>
      </c>
      <c r="E618" s="6">
        <f t="shared" si="38"/>
        <v>2.0282247589440165E-4</v>
      </c>
      <c r="F618" s="5">
        <f ca="1">TODAY()-GETPIVOTDATA("LastPurchaseDate",MaxDate!$A$3,"Customer_name",MaxDate!A620)</f>
        <v>93</v>
      </c>
      <c r="G618" t="str">
        <f t="shared" ca="1" si="39"/>
        <v>At Risk</v>
      </c>
      <c r="H618" s="13">
        <f>RANK(B618,Customer_Tiers[Total_Sales])</f>
        <v>617</v>
      </c>
    </row>
    <row r="619" spans="1:8">
      <c r="A619" t="str">
        <f>'Top Customers'!A621</f>
        <v>BIBIN GEORGE</v>
      </c>
      <c r="B619" s="5">
        <f>IF(A619="","",IFERROR(GETPIVOTDATA("Sales Amount",'Top Customers'!$A$3,"Customer_name",'Top Customers'!A621),""))</f>
        <v>11492</v>
      </c>
      <c r="C619" t="str">
        <f t="shared" si="36"/>
        <v>Regular</v>
      </c>
      <c r="D619">
        <f t="shared" si="37"/>
        <v>88508</v>
      </c>
      <c r="E619" s="6">
        <f t="shared" si="38"/>
        <v>2.0070919598540117E-4</v>
      </c>
      <c r="F619" s="5">
        <f ca="1">TODAY()-GETPIVOTDATA("LastPurchaseDate",MaxDate!$A$3,"Customer_name",MaxDate!A621)</f>
        <v>41</v>
      </c>
      <c r="G619" t="str">
        <f t="shared" ca="1" si="39"/>
        <v>Active</v>
      </c>
      <c r="H619" s="13">
        <f>RANK(B619,Customer_Tiers[Total_Sales])</f>
        <v>618</v>
      </c>
    </row>
    <row r="620" spans="1:8">
      <c r="A620" t="str">
        <f>'Top Customers'!A622</f>
        <v>MANI VALAMBOOR</v>
      </c>
      <c r="B620" s="5">
        <f>IF(A620="","",IFERROR(GETPIVOTDATA("Sales Amount",'Top Customers'!$A$3,"Customer_name",'Top Customers'!A622),""))</f>
        <v>11486</v>
      </c>
      <c r="C620" t="str">
        <f t="shared" si="36"/>
        <v>Regular</v>
      </c>
      <c r="D620">
        <f t="shared" si="37"/>
        <v>88514</v>
      </c>
      <c r="E620" s="6">
        <f t="shared" si="38"/>
        <v>2.0060440524611187E-4</v>
      </c>
      <c r="F620" s="5">
        <f ca="1">TODAY()-GETPIVOTDATA("LastPurchaseDate",MaxDate!$A$3,"Customer_name",MaxDate!A622)</f>
        <v>300</v>
      </c>
      <c r="G620" t="str">
        <f t="shared" ca="1" si="39"/>
        <v>Inactive</v>
      </c>
      <c r="H620" s="13">
        <f>RANK(B620,Customer_Tiers[Total_Sales])</f>
        <v>619</v>
      </c>
    </row>
    <row r="621" spans="1:8">
      <c r="A621" t="str">
        <f>'Top Customers'!A623</f>
        <v>SREEDEVI CHEENIKUZHY</v>
      </c>
      <c r="B621" s="5">
        <f>IF(A621="","",IFERROR(GETPIVOTDATA("Sales Amount",'Top Customers'!$A$3,"Customer_name",'Top Customers'!A623),""))</f>
        <v>11456</v>
      </c>
      <c r="C621" t="str">
        <f t="shared" si="36"/>
        <v>Regular</v>
      </c>
      <c r="D621">
        <f t="shared" si="37"/>
        <v>88544</v>
      </c>
      <c r="E621" s="6">
        <f t="shared" si="38"/>
        <v>2.0008045154966547E-4</v>
      </c>
      <c r="F621" s="5">
        <f ca="1">TODAY()-GETPIVOTDATA("LastPurchaseDate",MaxDate!$A$3,"Customer_name",MaxDate!A623)</f>
        <v>199</v>
      </c>
      <c r="G621" t="str">
        <f t="shared" ca="1" si="39"/>
        <v>Inactive</v>
      </c>
      <c r="H621" s="13">
        <f>RANK(B621,Customer_Tiers[Total_Sales])</f>
        <v>620</v>
      </c>
    </row>
    <row r="622" spans="1:8">
      <c r="A622" t="str">
        <f>'Top Customers'!A624</f>
        <v>FUTORE.NXT SYSTEMS LLP</v>
      </c>
      <c r="B622" s="5">
        <f>IF(A622="","",IFERROR(GETPIVOTDATA("Sales Amount",'Top Customers'!$A$3,"Customer_name",'Top Customers'!A624),""))</f>
        <v>11396</v>
      </c>
      <c r="C622" t="str">
        <f t="shared" si="36"/>
        <v>Regular</v>
      </c>
      <c r="D622">
        <f t="shared" si="37"/>
        <v>88604</v>
      </c>
      <c r="E622" s="6">
        <f t="shared" si="38"/>
        <v>1.9903254415677268E-4</v>
      </c>
      <c r="F622" s="5">
        <f ca="1">TODAY()-GETPIVOTDATA("LastPurchaseDate",MaxDate!$A$3,"Customer_name",MaxDate!A624)</f>
        <v>162</v>
      </c>
      <c r="G622" t="str">
        <f t="shared" ca="1" si="39"/>
        <v>Inactive</v>
      </c>
      <c r="H622" s="13">
        <f>RANK(B622,Customer_Tiers[Total_Sales])</f>
        <v>621</v>
      </c>
    </row>
    <row r="623" spans="1:8">
      <c r="A623" t="str">
        <f>'Top Customers'!A625</f>
        <v>WALLMAX PAINTS PVT LTD</v>
      </c>
      <c r="B623" s="5">
        <f>IF(A623="","",IFERROR(GETPIVOTDATA("Sales Amount",'Top Customers'!$A$3,"Customer_name",'Top Customers'!A625),""))</f>
        <v>11345</v>
      </c>
      <c r="C623" t="str">
        <f t="shared" si="36"/>
        <v>Regular</v>
      </c>
      <c r="D623">
        <f t="shared" si="37"/>
        <v>88655</v>
      </c>
      <c r="E623" s="6">
        <f t="shared" si="38"/>
        <v>1.9814182287281379E-4</v>
      </c>
      <c r="F623" s="5">
        <f ca="1">TODAY()-GETPIVOTDATA("LastPurchaseDate",MaxDate!$A$3,"Customer_name",MaxDate!A625)</f>
        <v>54</v>
      </c>
      <c r="G623" t="str">
        <f t="shared" ca="1" si="39"/>
        <v>Active</v>
      </c>
      <c r="H623" s="13">
        <f>RANK(B623,Customer_Tiers[Total_Sales])</f>
        <v>622</v>
      </c>
    </row>
    <row r="624" spans="1:8">
      <c r="A624" t="str">
        <f>'Top Customers'!A626</f>
        <v>PRAJIN PATTIMATTOM</v>
      </c>
      <c r="B624" s="5">
        <f>IF(A624="","",IFERROR(GETPIVOTDATA("Sales Amount",'Top Customers'!$A$3,"Customer_name",'Top Customers'!A626),""))</f>
        <v>11237</v>
      </c>
      <c r="C624" t="str">
        <f t="shared" si="36"/>
        <v>Regular</v>
      </c>
      <c r="D624">
        <f t="shared" si="37"/>
        <v>88763</v>
      </c>
      <c r="E624" s="6">
        <f t="shared" si="38"/>
        <v>1.9625558956560675E-4</v>
      </c>
      <c r="F624" s="5">
        <f ca="1">TODAY()-GETPIVOTDATA("LastPurchaseDate",MaxDate!$A$3,"Customer_name",MaxDate!A626)</f>
        <v>92</v>
      </c>
      <c r="G624" t="str">
        <f t="shared" ca="1" si="39"/>
        <v>At Risk</v>
      </c>
      <c r="H624" s="13">
        <f>RANK(B624,Customer_Tiers[Total_Sales])</f>
        <v>623</v>
      </c>
    </row>
    <row r="625" spans="1:8">
      <c r="A625" t="str">
        <f>'Top Customers'!A627</f>
        <v>BABU , PALLIKKARA</v>
      </c>
      <c r="B625" s="5">
        <f>IF(A625="","",IFERROR(GETPIVOTDATA("Sales Amount",'Top Customers'!$A$3,"Customer_name",'Top Customers'!A627),""))</f>
        <v>11220</v>
      </c>
      <c r="C625" t="str">
        <f t="shared" si="36"/>
        <v>Regular</v>
      </c>
      <c r="D625">
        <f t="shared" si="37"/>
        <v>88780</v>
      </c>
      <c r="E625" s="6">
        <f t="shared" si="38"/>
        <v>1.9595868247095378E-4</v>
      </c>
      <c r="F625" s="5">
        <f ca="1">TODAY()-GETPIVOTDATA("LastPurchaseDate",MaxDate!$A$3,"Customer_name",MaxDate!A627)</f>
        <v>118</v>
      </c>
      <c r="G625" t="str">
        <f t="shared" ca="1" si="39"/>
        <v>At Risk</v>
      </c>
      <c r="H625" s="13">
        <f>RANK(B625,Customer_Tiers[Total_Sales])</f>
        <v>624</v>
      </c>
    </row>
    <row r="626" spans="1:8">
      <c r="A626" t="str">
        <f>'Top Customers'!A628</f>
        <v>BINOY JOSEPH</v>
      </c>
      <c r="B626" s="5">
        <f>IF(A626="","",IFERROR(GETPIVOTDATA("Sales Amount",'Top Customers'!$A$3,"Customer_name",'Top Customers'!A628),""))</f>
        <v>11200</v>
      </c>
      <c r="C626" t="str">
        <f t="shared" si="36"/>
        <v>Regular</v>
      </c>
      <c r="D626">
        <f t="shared" si="37"/>
        <v>88800</v>
      </c>
      <c r="E626" s="6">
        <f t="shared" si="38"/>
        <v>1.956093800066562E-4</v>
      </c>
      <c r="F626" s="5">
        <f ca="1">TODAY()-GETPIVOTDATA("LastPurchaseDate",MaxDate!$A$3,"Customer_name",MaxDate!A628)</f>
        <v>59</v>
      </c>
      <c r="G626" t="str">
        <f t="shared" ca="1" si="39"/>
        <v>Active</v>
      </c>
      <c r="H626" s="13">
        <f>RANK(B626,Customer_Tiers[Total_Sales])</f>
        <v>625</v>
      </c>
    </row>
    <row r="627" spans="1:8">
      <c r="A627" t="str">
        <f>'Top Customers'!A629</f>
        <v>USHA RAMAKRISHNAN</v>
      </c>
      <c r="B627" s="5">
        <f>IF(A627="","",IFERROR(GETPIVOTDATA("Sales Amount",'Top Customers'!$A$3,"Customer_name",'Top Customers'!A629),""))</f>
        <v>11182</v>
      </c>
      <c r="C627" t="str">
        <f t="shared" si="36"/>
        <v>Regular</v>
      </c>
      <c r="D627">
        <f t="shared" si="37"/>
        <v>88818</v>
      </c>
      <c r="E627" s="6">
        <f t="shared" si="38"/>
        <v>1.9529500778878837E-4</v>
      </c>
      <c r="F627" s="5">
        <f ca="1">TODAY()-GETPIVOTDATA("LastPurchaseDate",MaxDate!$A$3,"Customer_name",MaxDate!A629)</f>
        <v>326</v>
      </c>
      <c r="G627" t="str">
        <f t="shared" ca="1" si="39"/>
        <v>Inactive</v>
      </c>
      <c r="H627" s="13">
        <f>RANK(B627,Customer_Tiers[Total_Sales])</f>
        <v>626</v>
      </c>
    </row>
    <row r="628" spans="1:8">
      <c r="A628" t="str">
        <f>'Top Customers'!A630</f>
        <v>RIJU PAZHAMTHOTTAM</v>
      </c>
      <c r="B628" s="5">
        <f>IF(A628="","",IFERROR(GETPIVOTDATA("Sales Amount",'Top Customers'!$A$3,"Customer_name",'Top Customers'!A630),""))</f>
        <v>11100</v>
      </c>
      <c r="C628" t="str">
        <f t="shared" si="36"/>
        <v>Regular</v>
      </c>
      <c r="D628">
        <f t="shared" si="37"/>
        <v>88900</v>
      </c>
      <c r="E628" s="6">
        <f t="shared" si="38"/>
        <v>1.938628676851682E-4</v>
      </c>
      <c r="F628" s="5">
        <f ca="1">TODAY()-GETPIVOTDATA("LastPurchaseDate",MaxDate!$A$3,"Customer_name",MaxDate!A630)</f>
        <v>284</v>
      </c>
      <c r="G628" t="str">
        <f t="shared" ca="1" si="39"/>
        <v>Inactive</v>
      </c>
      <c r="H628" s="13">
        <f>RANK(B628,Customer_Tiers[Total_Sales])</f>
        <v>627</v>
      </c>
    </row>
    <row r="629" spans="1:8">
      <c r="A629" t="str">
        <f>'Top Customers'!A631</f>
        <v>RATHEESH VALAMBOOR</v>
      </c>
      <c r="B629" s="5">
        <f>IF(A629="","",IFERROR(GETPIVOTDATA("Sales Amount",'Top Customers'!$A$3,"Customer_name",'Top Customers'!A631),""))</f>
        <v>11061</v>
      </c>
      <c r="C629" t="str">
        <f t="shared" si="36"/>
        <v>Regular</v>
      </c>
      <c r="D629">
        <f t="shared" si="37"/>
        <v>88939</v>
      </c>
      <c r="E629" s="6">
        <f t="shared" si="38"/>
        <v>1.9318172787978786E-4</v>
      </c>
      <c r="F629" s="5">
        <f ca="1">TODAY()-GETPIVOTDATA("LastPurchaseDate",MaxDate!$A$3,"Customer_name",MaxDate!A631)</f>
        <v>192</v>
      </c>
      <c r="G629" t="str">
        <f t="shared" ca="1" si="39"/>
        <v>Inactive</v>
      </c>
      <c r="H629" s="13">
        <f>RANK(B629,Customer_Tiers[Total_Sales])</f>
        <v>628</v>
      </c>
    </row>
    <row r="630" spans="1:8">
      <c r="A630" t="str">
        <f>'Top Customers'!A632</f>
        <v>ELDHO ABRAHAM ARACKKAPADY</v>
      </c>
      <c r="B630" s="5">
        <f>IF(A630="","",IFERROR(GETPIVOTDATA("Sales Amount",'Top Customers'!$A$3,"Customer_name",'Top Customers'!A632),""))</f>
        <v>10966</v>
      </c>
      <c r="C630" t="str">
        <f t="shared" si="36"/>
        <v>Regular</v>
      </c>
      <c r="D630">
        <f t="shared" si="37"/>
        <v>89034</v>
      </c>
      <c r="E630" s="6">
        <f t="shared" si="38"/>
        <v>1.9152254117437426E-4</v>
      </c>
      <c r="F630" s="5">
        <f ca="1">TODAY()-GETPIVOTDATA("LastPurchaseDate",MaxDate!$A$3,"Customer_name",MaxDate!A632)</f>
        <v>86</v>
      </c>
      <c r="G630" t="str">
        <f t="shared" ca="1" si="39"/>
        <v>At Risk</v>
      </c>
      <c r="H630" s="13">
        <f>RANK(B630,Customer_Tiers[Total_Sales])</f>
        <v>629</v>
      </c>
    </row>
    <row r="631" spans="1:8">
      <c r="A631" t="str">
        <f>'Top Customers'!A633</f>
        <v>SMINAL PATTIMATTOM</v>
      </c>
      <c r="B631" s="5">
        <f>IF(A631="","",IFERROR(GETPIVOTDATA("Sales Amount",'Top Customers'!$A$3,"Customer_name",'Top Customers'!A633),""))</f>
        <v>10786</v>
      </c>
      <c r="C631" t="str">
        <f t="shared" si="36"/>
        <v>Regular</v>
      </c>
      <c r="D631">
        <f t="shared" si="37"/>
        <v>89214</v>
      </c>
      <c r="E631" s="6">
        <f t="shared" si="38"/>
        <v>1.8837881899569586E-4</v>
      </c>
      <c r="F631" s="5">
        <f ca="1">TODAY()-GETPIVOTDATA("LastPurchaseDate",MaxDate!$A$3,"Customer_name",MaxDate!A633)</f>
        <v>10</v>
      </c>
      <c r="G631" t="str">
        <f t="shared" ca="1" si="39"/>
        <v>Active</v>
      </c>
      <c r="H631" s="13">
        <f>RANK(B631,Customer_Tiers[Total_Sales])</f>
        <v>630</v>
      </c>
    </row>
    <row r="632" spans="1:8">
      <c r="A632" t="str">
        <f>'Top Customers'!A634</f>
        <v>BASIL KILIKULAM</v>
      </c>
      <c r="B632" s="5">
        <f>IF(A632="","",IFERROR(GETPIVOTDATA("Sales Amount",'Top Customers'!$A$3,"Customer_name",'Top Customers'!A634),""))</f>
        <v>10760</v>
      </c>
      <c r="C632" t="str">
        <f t="shared" si="36"/>
        <v>Regular</v>
      </c>
      <c r="D632">
        <f t="shared" si="37"/>
        <v>89240</v>
      </c>
      <c r="E632" s="6">
        <f t="shared" si="38"/>
        <v>1.8792472579210899E-4</v>
      </c>
      <c r="F632" s="5">
        <f ca="1">TODAY()-GETPIVOTDATA("LastPurchaseDate",MaxDate!$A$3,"Customer_name",MaxDate!A634)</f>
        <v>284</v>
      </c>
      <c r="G632" t="str">
        <f t="shared" ca="1" si="39"/>
        <v>Inactive</v>
      </c>
      <c r="H632" s="13">
        <f>RANK(B632,Customer_Tiers[Total_Sales])</f>
        <v>631</v>
      </c>
    </row>
    <row r="633" spans="1:8">
      <c r="A633" t="str">
        <f>'Top Customers'!A635</f>
        <v>KUNNATHUNADU SERVICE CO-OPERATIVE BANK</v>
      </c>
      <c r="B633" s="5">
        <f>IF(A633="","",IFERROR(GETPIVOTDATA("Sales Amount",'Top Customers'!$A$3,"Customer_name",'Top Customers'!A635),""))</f>
        <v>10743</v>
      </c>
      <c r="C633" t="str">
        <f t="shared" si="36"/>
        <v>Regular</v>
      </c>
      <c r="D633">
        <f t="shared" si="37"/>
        <v>89257</v>
      </c>
      <c r="E633" s="6">
        <f t="shared" si="38"/>
        <v>1.8762781869745602E-4</v>
      </c>
      <c r="F633" s="5">
        <f ca="1">TODAY()-GETPIVOTDATA("LastPurchaseDate",MaxDate!$A$3,"Customer_name",MaxDate!A635)</f>
        <v>73</v>
      </c>
      <c r="G633" t="str">
        <f t="shared" ca="1" si="39"/>
        <v>At Risk</v>
      </c>
      <c r="H633" s="13">
        <f>RANK(B633,Customer_Tiers[Total_Sales])</f>
        <v>632</v>
      </c>
    </row>
    <row r="634" spans="1:8">
      <c r="A634" t="str">
        <f>'Top Customers'!A636</f>
        <v>MADHU CNTR, PALLIKKARA</v>
      </c>
      <c r="B634" s="5">
        <f>IF(A634="","",IFERROR(GETPIVOTDATA("Sales Amount",'Top Customers'!$A$3,"Customer_name",'Top Customers'!A636),""))</f>
        <v>10742</v>
      </c>
      <c r="C634" t="str">
        <f t="shared" si="36"/>
        <v>Regular</v>
      </c>
      <c r="D634">
        <f t="shared" si="37"/>
        <v>89258</v>
      </c>
      <c r="E634" s="6">
        <f t="shared" si="38"/>
        <v>1.8761035357424115E-4</v>
      </c>
      <c r="F634" s="5">
        <f ca="1">TODAY()-GETPIVOTDATA("LastPurchaseDate",MaxDate!$A$3,"Customer_name",MaxDate!A636)</f>
        <v>228</v>
      </c>
      <c r="G634" t="str">
        <f t="shared" ca="1" si="39"/>
        <v>Inactive</v>
      </c>
      <c r="H634" s="13">
        <f>RANK(B634,Customer_Tiers[Total_Sales])</f>
        <v>633</v>
      </c>
    </row>
    <row r="635" spans="1:8">
      <c r="A635" t="str">
        <f>'Top Customers'!A637</f>
        <v>SANTU NJARALLOOR</v>
      </c>
      <c r="B635" s="5">
        <f>IF(A635="","",IFERROR(GETPIVOTDATA("Sales Amount",'Top Customers'!$A$3,"Customer_name",'Top Customers'!A637),""))</f>
        <v>10742</v>
      </c>
      <c r="C635" t="str">
        <f t="shared" si="36"/>
        <v>Regular</v>
      </c>
      <c r="D635">
        <f t="shared" si="37"/>
        <v>89258</v>
      </c>
      <c r="E635" s="6">
        <f t="shared" si="38"/>
        <v>1.8761035357424115E-4</v>
      </c>
      <c r="F635" s="5">
        <f ca="1">TODAY()-GETPIVOTDATA("LastPurchaseDate",MaxDate!$A$3,"Customer_name",MaxDate!A637)</f>
        <v>195</v>
      </c>
      <c r="G635" t="str">
        <f t="shared" ca="1" si="39"/>
        <v>Inactive</v>
      </c>
      <c r="H635" s="13">
        <f>RANK(B635,Customer_Tiers[Total_Sales])</f>
        <v>633</v>
      </c>
    </row>
    <row r="636" spans="1:8">
      <c r="A636" t="str">
        <f>'Top Customers'!A638</f>
        <v>ARUN KUMAR K</v>
      </c>
      <c r="B636" s="5">
        <f>IF(A636="","",IFERROR(GETPIVOTDATA("Sales Amount",'Top Customers'!$A$3,"Customer_name",'Top Customers'!A638),""))</f>
        <v>10691</v>
      </c>
      <c r="C636" t="str">
        <f t="shared" si="36"/>
        <v>Regular</v>
      </c>
      <c r="D636">
        <f t="shared" si="37"/>
        <v>89309</v>
      </c>
      <c r="E636" s="6">
        <f t="shared" si="38"/>
        <v>1.8671963229028226E-4</v>
      </c>
      <c r="F636" s="5">
        <f ca="1">TODAY()-GETPIVOTDATA("LastPurchaseDate",MaxDate!$A$3,"Customer_name",MaxDate!A638)</f>
        <v>306</v>
      </c>
      <c r="G636" t="str">
        <f t="shared" ca="1" si="39"/>
        <v>Inactive</v>
      </c>
      <c r="H636" s="13">
        <f>RANK(B636,Customer_Tiers[Total_Sales])</f>
        <v>635</v>
      </c>
    </row>
    <row r="637" spans="1:8">
      <c r="A637" t="str">
        <f>'Top Customers'!A639</f>
        <v>PAREETH K M P</v>
      </c>
      <c r="B637" s="5">
        <f>IF(A637="","",IFERROR(GETPIVOTDATA("Sales Amount",'Top Customers'!$A$3,"Customer_name",'Top Customers'!A639),""))</f>
        <v>10667</v>
      </c>
      <c r="C637" t="str">
        <f t="shared" si="36"/>
        <v>Regular</v>
      </c>
      <c r="D637">
        <f t="shared" si="37"/>
        <v>89333</v>
      </c>
      <c r="E637" s="6">
        <f t="shared" si="38"/>
        <v>1.8630046933312515E-4</v>
      </c>
      <c r="F637" s="5">
        <f ca="1">TODAY()-GETPIVOTDATA("LastPurchaseDate",MaxDate!$A$3,"Customer_name",MaxDate!A639)</f>
        <v>243</v>
      </c>
      <c r="G637" t="str">
        <f t="shared" ca="1" si="39"/>
        <v>Inactive</v>
      </c>
      <c r="H637" s="13">
        <f>RANK(B637,Customer_Tiers[Total_Sales])</f>
        <v>636</v>
      </c>
    </row>
    <row r="638" spans="1:8">
      <c r="A638" t="str">
        <f>'Top Customers'!A640</f>
        <v>MOITHEEN MUNDEKUDY ABOOBAKAR</v>
      </c>
      <c r="B638" s="5">
        <f>IF(A638="","",IFERROR(GETPIVOTDATA("Sales Amount",'Top Customers'!$A$3,"Customer_name",'Top Customers'!A640),""))</f>
        <v>10620</v>
      </c>
      <c r="C638" t="str">
        <f t="shared" si="36"/>
        <v>Regular</v>
      </c>
      <c r="D638">
        <f t="shared" si="37"/>
        <v>89380</v>
      </c>
      <c r="E638" s="6">
        <f t="shared" si="38"/>
        <v>1.8547960854202578E-4</v>
      </c>
      <c r="F638" s="5">
        <f ca="1">TODAY()-GETPIVOTDATA("LastPurchaseDate",MaxDate!$A$3,"Customer_name",MaxDate!A640)</f>
        <v>209</v>
      </c>
      <c r="G638" t="str">
        <f t="shared" ca="1" si="39"/>
        <v>Inactive</v>
      </c>
      <c r="H638" s="13">
        <f>RANK(B638,Customer_Tiers[Total_Sales])</f>
        <v>637</v>
      </c>
    </row>
    <row r="639" spans="1:8">
      <c r="A639" t="str">
        <f>'Top Customers'!A641</f>
        <v>MANOJ PATTIMATTOM</v>
      </c>
      <c r="B639" s="5">
        <f>IF(A639="","",IFERROR(GETPIVOTDATA("Sales Amount",'Top Customers'!$A$3,"Customer_name",'Top Customers'!A641),""))</f>
        <v>10550</v>
      </c>
      <c r="C639" t="str">
        <f t="shared" si="36"/>
        <v>Regular</v>
      </c>
      <c r="D639">
        <f t="shared" si="37"/>
        <v>89450</v>
      </c>
      <c r="E639" s="6">
        <f t="shared" si="38"/>
        <v>1.8425704991698418E-4</v>
      </c>
      <c r="F639" s="5">
        <f ca="1">TODAY()-GETPIVOTDATA("LastPurchaseDate",MaxDate!$A$3,"Customer_name",MaxDate!A641)</f>
        <v>178</v>
      </c>
      <c r="G639" t="str">
        <f t="shared" ca="1" si="39"/>
        <v>Inactive</v>
      </c>
      <c r="H639" s="13">
        <f>RANK(B639,Customer_Tiers[Total_Sales])</f>
        <v>638</v>
      </c>
    </row>
    <row r="640" spans="1:8">
      <c r="A640" t="str">
        <f>'Top Customers'!A642</f>
        <v>SHAMEER MORAKKALA</v>
      </c>
      <c r="B640" s="5">
        <f>IF(A640="","",IFERROR(GETPIVOTDATA("Sales Amount",'Top Customers'!$A$3,"Customer_name",'Top Customers'!A642),""))</f>
        <v>10500</v>
      </c>
      <c r="C640" t="str">
        <f t="shared" si="36"/>
        <v>Regular</v>
      </c>
      <c r="D640">
        <f t="shared" si="37"/>
        <v>89500</v>
      </c>
      <c r="E640" s="6">
        <f t="shared" si="38"/>
        <v>1.8338379375624017E-4</v>
      </c>
      <c r="F640" s="5">
        <f ca="1">TODAY()-GETPIVOTDATA("LastPurchaseDate",MaxDate!$A$3,"Customer_name",MaxDate!A642)</f>
        <v>155</v>
      </c>
      <c r="G640" t="str">
        <f t="shared" ca="1" si="39"/>
        <v>Inactive</v>
      </c>
      <c r="H640" s="13">
        <f>RANK(B640,Customer_Tiers[Total_Sales])</f>
        <v>639</v>
      </c>
    </row>
    <row r="641" spans="1:8">
      <c r="A641" t="str">
        <f>'Top Customers'!A643</f>
        <v>CHANDRAN TRUSS</v>
      </c>
      <c r="B641" s="5">
        <f>IF(A641="","",IFERROR(GETPIVOTDATA("Sales Amount",'Top Customers'!$A$3,"Customer_name",'Top Customers'!A643),""))</f>
        <v>10431</v>
      </c>
      <c r="C641" t="str">
        <f t="shared" si="36"/>
        <v>Regular</v>
      </c>
      <c r="D641">
        <f t="shared" si="37"/>
        <v>89569</v>
      </c>
      <c r="E641" s="6">
        <f t="shared" si="38"/>
        <v>1.8217870025441347E-4</v>
      </c>
      <c r="F641" s="5">
        <f ca="1">TODAY()-GETPIVOTDATA("LastPurchaseDate",MaxDate!$A$3,"Customer_name",MaxDate!A643)</f>
        <v>150</v>
      </c>
      <c r="G641" t="str">
        <f t="shared" ca="1" si="39"/>
        <v>Inactive</v>
      </c>
      <c r="H641" s="13">
        <f>RANK(B641,Customer_Tiers[Total_Sales])</f>
        <v>640</v>
      </c>
    </row>
    <row r="642" spans="1:8">
      <c r="A642" t="str">
        <f>'Top Customers'!A644</f>
        <v>GOKUL CHELAKULAM</v>
      </c>
      <c r="B642" s="5">
        <f>IF(A642="","",IFERROR(GETPIVOTDATA("Sales Amount",'Top Customers'!$A$3,"Customer_name",'Top Customers'!A644),""))</f>
        <v>10415</v>
      </c>
      <c r="C642" t="str">
        <f t="shared" ref="C642:C705" si="40">IF(B642&gt;=1000000,"Platinum",
 IF(B642&gt;=500000,"Gold",
 IF(B642&gt;=100000,"Silver","Regular")))</f>
        <v>Regular</v>
      </c>
      <c r="D642">
        <f t="shared" ref="D642:D705" si="41">IF(C642="Platinum",0,
 IF(C642="Gold",1000000-B642,
 IF(C642="Silver",500000-B642,
 IF(C642="Regular",100000-B642,0))))</f>
        <v>89585</v>
      </c>
      <c r="E642" s="6">
        <f t="shared" ref="E642:E705" si="42">B642/SUM(B:B)</f>
        <v>1.8189925828297537E-4</v>
      </c>
      <c r="F642" s="5">
        <f ca="1">TODAY()-GETPIVOTDATA("LastPurchaseDate",MaxDate!$A$3,"Customer_name",MaxDate!A644)</f>
        <v>30</v>
      </c>
      <c r="G642" t="str">
        <f t="shared" ref="G642:G705" ca="1" si="43">IF(F642="","",
 IF(F642&lt;=60,"Active",
 IF(F642&lt;=120,"At Risk","Inactive")))</f>
        <v>Active</v>
      </c>
      <c r="H642" s="13">
        <f>RANK(B642,Customer_Tiers[Total_Sales])</f>
        <v>641</v>
      </c>
    </row>
    <row r="643" spans="1:8">
      <c r="A643" t="str">
        <f>'Top Customers'!A645</f>
        <v>THAMPI MATHEW</v>
      </c>
      <c r="B643" s="5">
        <f>IF(A643="","",IFERROR(GETPIVOTDATA("Sales Amount",'Top Customers'!$A$3,"Customer_name",'Top Customers'!A645),""))</f>
        <v>10368</v>
      </c>
      <c r="C643" t="str">
        <f t="shared" si="40"/>
        <v>Regular</v>
      </c>
      <c r="D643">
        <f t="shared" si="41"/>
        <v>89632</v>
      </c>
      <c r="E643" s="6">
        <f t="shared" si="42"/>
        <v>1.8107839749187602E-4</v>
      </c>
      <c r="F643" s="5">
        <f ca="1">TODAY()-GETPIVOTDATA("LastPurchaseDate",MaxDate!$A$3,"Customer_name",MaxDate!A645)</f>
        <v>226</v>
      </c>
      <c r="G643" t="str">
        <f t="shared" ca="1" si="43"/>
        <v>Inactive</v>
      </c>
      <c r="H643" s="13">
        <f>RANK(B643,Customer_Tiers[Total_Sales])</f>
        <v>642</v>
      </c>
    </row>
    <row r="644" spans="1:8">
      <c r="A644" t="str">
        <f>'Top Customers'!A646</f>
        <v>MAJEED CHELAKULAM</v>
      </c>
      <c r="B644" s="5">
        <f>IF(A644="","",IFERROR(GETPIVOTDATA("Sales Amount",'Top Customers'!$A$3,"Customer_name",'Top Customers'!A646),""))</f>
        <v>10350</v>
      </c>
      <c r="C644" t="str">
        <f t="shared" si="40"/>
        <v>Regular</v>
      </c>
      <c r="D644">
        <f t="shared" si="41"/>
        <v>89650</v>
      </c>
      <c r="E644" s="6">
        <f t="shared" si="42"/>
        <v>1.8076402527400818E-4</v>
      </c>
      <c r="F644" s="5">
        <f ca="1">TODAY()-GETPIVOTDATA("LastPurchaseDate",MaxDate!$A$3,"Customer_name",MaxDate!A646)</f>
        <v>158</v>
      </c>
      <c r="G644" t="str">
        <f t="shared" ca="1" si="43"/>
        <v>Inactive</v>
      </c>
      <c r="H644" s="13">
        <f>RANK(B644,Customer_Tiers[Total_Sales])</f>
        <v>643</v>
      </c>
    </row>
    <row r="645" spans="1:8">
      <c r="A645" t="str">
        <f>'Top Customers'!A647</f>
        <v>SHALBIN , SURYA OPTICALS</v>
      </c>
      <c r="B645" s="5">
        <f>IF(A645="","",IFERROR(GETPIVOTDATA("Sales Amount",'Top Customers'!$A$3,"Customer_name",'Top Customers'!A647),""))</f>
        <v>10348</v>
      </c>
      <c r="C645" t="str">
        <f t="shared" si="40"/>
        <v>Regular</v>
      </c>
      <c r="D645">
        <f t="shared" si="41"/>
        <v>89652</v>
      </c>
      <c r="E645" s="6">
        <f t="shared" si="42"/>
        <v>1.8072909502757841E-4</v>
      </c>
      <c r="F645" s="5">
        <f ca="1">TODAY()-GETPIVOTDATA("LastPurchaseDate",MaxDate!$A$3,"Customer_name",MaxDate!A647)</f>
        <v>144</v>
      </c>
      <c r="G645" t="str">
        <f t="shared" ca="1" si="43"/>
        <v>Inactive</v>
      </c>
      <c r="H645" s="13">
        <f>RANK(B645,Customer_Tiers[Total_Sales])</f>
        <v>644</v>
      </c>
    </row>
    <row r="646" spans="1:8">
      <c r="A646" t="str">
        <f>'Top Customers'!A648</f>
        <v>ABHILASH, PATTIMATTOM</v>
      </c>
      <c r="B646" s="5">
        <f>IF(A646="","",IFERROR(GETPIVOTDATA("Sales Amount",'Top Customers'!$A$3,"Customer_name",'Top Customers'!A648),""))</f>
        <v>10301</v>
      </c>
      <c r="C646" t="str">
        <f t="shared" si="40"/>
        <v>Regular</v>
      </c>
      <c r="D646">
        <f t="shared" si="41"/>
        <v>89699</v>
      </c>
      <c r="E646" s="6">
        <f t="shared" si="42"/>
        <v>1.7990823423647906E-4</v>
      </c>
      <c r="F646" s="5">
        <f ca="1">TODAY()-GETPIVOTDATA("LastPurchaseDate",MaxDate!$A$3,"Customer_name",MaxDate!A648)</f>
        <v>162</v>
      </c>
      <c r="G646" t="str">
        <f t="shared" ca="1" si="43"/>
        <v>Inactive</v>
      </c>
      <c r="H646" s="13">
        <f>RANK(B646,Customer_Tiers[Total_Sales])</f>
        <v>645</v>
      </c>
    </row>
    <row r="647" spans="1:8">
      <c r="A647" t="str">
        <f>'Top Customers'!A649</f>
        <v>SHYJU KURIAKOSE</v>
      </c>
      <c r="B647" s="5">
        <f>IF(A647="","",IFERROR(GETPIVOTDATA("Sales Amount",'Top Customers'!$A$3,"Customer_name",'Top Customers'!A649),""))</f>
        <v>10156</v>
      </c>
      <c r="C647" t="str">
        <f t="shared" si="40"/>
        <v>Regular</v>
      </c>
      <c r="D647">
        <f t="shared" si="41"/>
        <v>89844</v>
      </c>
      <c r="E647" s="6">
        <f t="shared" si="42"/>
        <v>1.7737579137032145E-4</v>
      </c>
      <c r="F647" s="5">
        <f ca="1">TODAY()-GETPIVOTDATA("LastPurchaseDate",MaxDate!$A$3,"Customer_name",MaxDate!A649)</f>
        <v>101</v>
      </c>
      <c r="G647" t="str">
        <f t="shared" ca="1" si="43"/>
        <v>At Risk</v>
      </c>
      <c r="H647" s="13">
        <f>RANK(B647,Customer_Tiers[Total_Sales])</f>
        <v>646</v>
      </c>
    </row>
    <row r="648" spans="1:8">
      <c r="A648" t="str">
        <f>'Top Customers'!A650</f>
        <v>KUNJUMON TRUSS</v>
      </c>
      <c r="B648" s="5">
        <f>IF(A648="","",IFERROR(GETPIVOTDATA("Sales Amount",'Top Customers'!$A$3,"Customer_name",'Top Customers'!A650),""))</f>
        <v>10152</v>
      </c>
      <c r="C648" t="str">
        <f t="shared" si="40"/>
        <v>Regular</v>
      </c>
      <c r="D648">
        <f t="shared" si="41"/>
        <v>89848</v>
      </c>
      <c r="E648" s="6">
        <f t="shared" si="42"/>
        <v>1.7730593087746194E-4</v>
      </c>
      <c r="F648" s="5">
        <f ca="1">TODAY()-GETPIVOTDATA("LastPurchaseDate",MaxDate!$A$3,"Customer_name",MaxDate!A650)</f>
        <v>81</v>
      </c>
      <c r="G648" t="str">
        <f t="shared" ca="1" si="43"/>
        <v>At Risk</v>
      </c>
      <c r="H648" s="13">
        <f>RANK(B648,Customer_Tiers[Total_Sales])</f>
        <v>647</v>
      </c>
    </row>
    <row r="649" spans="1:8">
      <c r="A649" t="str">
        <f>'Top Customers'!A651</f>
        <v>MOHANAN MECHERY</v>
      </c>
      <c r="B649" s="5">
        <f>IF(A649="","",IFERROR(GETPIVOTDATA("Sales Amount",'Top Customers'!$A$3,"Customer_name",'Top Customers'!A651),""))</f>
        <v>10150</v>
      </c>
      <c r="C649" t="str">
        <f t="shared" si="40"/>
        <v>Regular</v>
      </c>
      <c r="D649">
        <f t="shared" si="41"/>
        <v>89850</v>
      </c>
      <c r="E649" s="6">
        <f t="shared" si="42"/>
        <v>1.7727100063103218E-4</v>
      </c>
      <c r="F649" s="5">
        <f ca="1">TODAY()-GETPIVOTDATA("LastPurchaseDate",MaxDate!$A$3,"Customer_name",MaxDate!A651)</f>
        <v>268</v>
      </c>
      <c r="G649" t="str">
        <f t="shared" ca="1" si="43"/>
        <v>Inactive</v>
      </c>
      <c r="H649" s="13">
        <f>RANK(B649,Customer_Tiers[Total_Sales])</f>
        <v>648</v>
      </c>
    </row>
    <row r="650" spans="1:8">
      <c r="A650" t="str">
        <f>'Top Customers'!A652</f>
        <v>SHIBU THATTAMUGAL</v>
      </c>
      <c r="B650" s="5">
        <f>IF(A650="","",IFERROR(GETPIVOTDATA("Sales Amount",'Top Customers'!$A$3,"Customer_name",'Top Customers'!A652),""))</f>
        <v>10120</v>
      </c>
      <c r="C650" t="str">
        <f t="shared" si="40"/>
        <v>Regular</v>
      </c>
      <c r="D650">
        <f t="shared" si="41"/>
        <v>89880</v>
      </c>
      <c r="E650" s="6">
        <f t="shared" si="42"/>
        <v>1.7674704693458577E-4</v>
      </c>
      <c r="F650" s="5">
        <f ca="1">TODAY()-GETPIVOTDATA("LastPurchaseDate",MaxDate!$A$3,"Customer_name",MaxDate!A652)</f>
        <v>316</v>
      </c>
      <c r="G650" t="str">
        <f t="shared" ca="1" si="43"/>
        <v>Inactive</v>
      </c>
      <c r="H650" s="13">
        <f>RANK(B650,Customer_Tiers[Total_Sales])</f>
        <v>649</v>
      </c>
    </row>
    <row r="651" spans="1:8">
      <c r="A651" t="str">
        <f>'Top Customers'!A653</f>
        <v>SIVAN MANGALATHUNADA</v>
      </c>
      <c r="B651" s="5">
        <f>IF(A651="","",IFERROR(GETPIVOTDATA("Sales Amount",'Top Customers'!$A$3,"Customer_name",'Top Customers'!A653),""))</f>
        <v>10074</v>
      </c>
      <c r="C651" t="str">
        <f t="shared" si="40"/>
        <v>Regular</v>
      </c>
      <c r="D651">
        <f t="shared" si="41"/>
        <v>89926</v>
      </c>
      <c r="E651" s="6">
        <f t="shared" si="42"/>
        <v>1.7594365126670129E-4</v>
      </c>
      <c r="F651" s="5">
        <f ca="1">TODAY()-GETPIVOTDATA("LastPurchaseDate",MaxDate!$A$3,"Customer_name",MaxDate!A653)</f>
        <v>80</v>
      </c>
      <c r="G651" t="str">
        <f t="shared" ca="1" si="43"/>
        <v>At Risk</v>
      </c>
      <c r="H651" s="13">
        <f>RANK(B651,Customer_Tiers[Total_Sales])</f>
        <v>650</v>
      </c>
    </row>
    <row r="652" spans="1:8">
      <c r="A652" t="str">
        <f>'Top Customers'!A654</f>
        <v>JAYAN A.V</v>
      </c>
      <c r="B652" s="5">
        <f>IF(A652="","",IFERROR(GETPIVOTDATA("Sales Amount",'Top Customers'!$A$3,"Customer_name",'Top Customers'!A654),""))</f>
        <v>10027</v>
      </c>
      <c r="C652" t="str">
        <f t="shared" si="40"/>
        <v>Regular</v>
      </c>
      <c r="D652">
        <f t="shared" si="41"/>
        <v>89973</v>
      </c>
      <c r="E652" s="6">
        <f t="shared" si="42"/>
        <v>1.7512279047560193E-4</v>
      </c>
      <c r="F652" s="5">
        <f ca="1">TODAY()-GETPIVOTDATA("LastPurchaseDate",MaxDate!$A$3,"Customer_name",MaxDate!A654)</f>
        <v>25</v>
      </c>
      <c r="G652" t="str">
        <f t="shared" ca="1" si="43"/>
        <v>Active</v>
      </c>
      <c r="H652" s="13">
        <f>RANK(B652,Customer_Tiers[Total_Sales])</f>
        <v>651</v>
      </c>
    </row>
    <row r="653" spans="1:8">
      <c r="A653" t="str">
        <f>'Top Customers'!A655</f>
        <v>SURESH THEROPARAMBIL</v>
      </c>
      <c r="B653" s="5">
        <f>IF(A653="","",IFERROR(GETPIVOTDATA("Sales Amount",'Top Customers'!$A$3,"Customer_name",'Top Customers'!A655),""))</f>
        <v>10027</v>
      </c>
      <c r="C653" t="str">
        <f t="shared" si="40"/>
        <v>Regular</v>
      </c>
      <c r="D653">
        <f t="shared" si="41"/>
        <v>89973</v>
      </c>
      <c r="E653" s="6">
        <f t="shared" si="42"/>
        <v>1.7512279047560193E-4</v>
      </c>
      <c r="F653" s="5">
        <f ca="1">TODAY()-GETPIVOTDATA("LastPurchaseDate",MaxDate!$A$3,"Customer_name",MaxDate!A655)</f>
        <v>143</v>
      </c>
      <c r="G653" t="str">
        <f t="shared" ca="1" si="43"/>
        <v>Inactive</v>
      </c>
      <c r="H653" s="13">
        <f>RANK(B653,Customer_Tiers[Total_Sales])</f>
        <v>651</v>
      </c>
    </row>
    <row r="654" spans="1:8">
      <c r="A654" t="str">
        <f>'Top Customers'!A656</f>
        <v>DILEEP VALAMBOOR</v>
      </c>
      <c r="B654" s="5">
        <f>IF(A654="","",IFERROR(GETPIVOTDATA("Sales Amount",'Top Customers'!$A$3,"Customer_name",'Top Customers'!A656),""))</f>
        <v>10010</v>
      </c>
      <c r="C654" t="str">
        <f t="shared" si="40"/>
        <v>Regular</v>
      </c>
      <c r="D654">
        <f t="shared" si="41"/>
        <v>89990</v>
      </c>
      <c r="E654" s="6">
        <f t="shared" si="42"/>
        <v>1.7482588338094896E-4</v>
      </c>
      <c r="F654" s="5">
        <f ca="1">TODAY()-GETPIVOTDATA("LastPurchaseDate",MaxDate!$A$3,"Customer_name",MaxDate!A656)</f>
        <v>180</v>
      </c>
      <c r="G654" t="str">
        <f t="shared" ca="1" si="43"/>
        <v>Inactive</v>
      </c>
      <c r="H654" s="13">
        <f>RANK(B654,Customer_Tiers[Total_Sales])</f>
        <v>653</v>
      </c>
    </row>
    <row r="655" spans="1:8">
      <c r="A655" t="str">
        <f>'Top Customers'!A657</f>
        <v>THOMAS AKKABARA</v>
      </c>
      <c r="B655" s="5">
        <f>IF(A655="","",IFERROR(GETPIVOTDATA("Sales Amount",'Top Customers'!$A$3,"Customer_name",'Top Customers'!A657),""))</f>
        <v>9970</v>
      </c>
      <c r="C655" t="str">
        <f t="shared" si="40"/>
        <v>Regular</v>
      </c>
      <c r="D655">
        <f t="shared" si="41"/>
        <v>90030</v>
      </c>
      <c r="E655" s="6">
        <f t="shared" si="42"/>
        <v>1.7412727845235378E-4</v>
      </c>
      <c r="F655" s="5">
        <f ca="1">TODAY()-GETPIVOTDATA("LastPurchaseDate",MaxDate!$A$3,"Customer_name",MaxDate!A657)</f>
        <v>78</v>
      </c>
      <c r="G655" t="str">
        <f t="shared" ca="1" si="43"/>
        <v>At Risk</v>
      </c>
      <c r="H655" s="13">
        <f>RANK(B655,Customer_Tiers[Total_Sales])</f>
        <v>654</v>
      </c>
    </row>
    <row r="656" spans="1:8">
      <c r="A656" t="str">
        <f>'Top Customers'!A658</f>
        <v>VARGHESE PANCODE</v>
      </c>
      <c r="B656" s="5">
        <f>IF(A656="","",IFERROR(GETPIVOTDATA("Sales Amount",'Top Customers'!$A$3,"Customer_name",'Top Customers'!A658),""))</f>
        <v>9801</v>
      </c>
      <c r="C656" t="str">
        <f t="shared" si="40"/>
        <v>Regular</v>
      </c>
      <c r="D656">
        <f t="shared" si="41"/>
        <v>90199</v>
      </c>
      <c r="E656" s="6">
        <f t="shared" si="42"/>
        <v>1.7117567262903906E-4</v>
      </c>
      <c r="F656" s="5">
        <f ca="1">TODAY()-GETPIVOTDATA("LastPurchaseDate",MaxDate!$A$3,"Customer_name",MaxDate!A658)</f>
        <v>109</v>
      </c>
      <c r="G656" t="str">
        <f t="shared" ca="1" si="43"/>
        <v>At Risk</v>
      </c>
      <c r="H656" s="13">
        <f>RANK(B656,Customer_Tiers[Total_Sales])</f>
        <v>655</v>
      </c>
    </row>
    <row r="657" spans="1:8">
      <c r="A657" t="str">
        <f>'Top Customers'!A659</f>
        <v>RENJITH TRUSS</v>
      </c>
      <c r="B657" s="5">
        <f>IF(A657="","",IFERROR(GETPIVOTDATA("Sales Amount",'Top Customers'!$A$3,"Customer_name",'Top Customers'!A659),""))</f>
        <v>9689</v>
      </c>
      <c r="C657" t="str">
        <f t="shared" si="40"/>
        <v>Regular</v>
      </c>
      <c r="D657">
        <f t="shared" si="41"/>
        <v>90311</v>
      </c>
      <c r="E657" s="6">
        <f t="shared" si="42"/>
        <v>1.6921957882897249E-4</v>
      </c>
      <c r="F657" s="5">
        <f ca="1">TODAY()-GETPIVOTDATA("LastPurchaseDate",MaxDate!$A$3,"Customer_name",MaxDate!A659)</f>
        <v>110</v>
      </c>
      <c r="G657" t="str">
        <f t="shared" ca="1" si="43"/>
        <v>At Risk</v>
      </c>
      <c r="H657" s="13">
        <f>RANK(B657,Customer_Tiers[Total_Sales])</f>
        <v>656</v>
      </c>
    </row>
    <row r="658" spans="1:8">
      <c r="A658" t="str">
        <f>'Top Customers'!A660</f>
        <v>MAMMALI CRICKET</v>
      </c>
      <c r="B658" s="5">
        <f>IF(A658="","",IFERROR(GETPIVOTDATA("Sales Amount",'Top Customers'!$A$3,"Customer_name",'Top Customers'!A660),""))</f>
        <v>9663</v>
      </c>
      <c r="C658" t="str">
        <f t="shared" si="40"/>
        <v>Regular</v>
      </c>
      <c r="D658">
        <f t="shared" si="41"/>
        <v>90337</v>
      </c>
      <c r="E658" s="6">
        <f t="shared" si="42"/>
        <v>1.6876548562538561E-4</v>
      </c>
      <c r="F658" s="5">
        <f ca="1">TODAY()-GETPIVOTDATA("LastPurchaseDate",MaxDate!$A$3,"Customer_name",MaxDate!A660)</f>
        <v>156</v>
      </c>
      <c r="G658" t="str">
        <f t="shared" ca="1" si="43"/>
        <v>Inactive</v>
      </c>
      <c r="H658" s="13">
        <f>RANK(B658,Customer_Tiers[Total_Sales])</f>
        <v>657</v>
      </c>
    </row>
    <row r="659" spans="1:8">
      <c r="A659" t="str">
        <f>'Top Customers'!A661</f>
        <v>NISAR SI</v>
      </c>
      <c r="B659" s="5">
        <f>IF(A659="","",IFERROR(GETPIVOTDATA("Sales Amount",'Top Customers'!$A$3,"Customer_name",'Top Customers'!A661),""))</f>
        <v>9659</v>
      </c>
      <c r="C659" t="str">
        <f t="shared" si="40"/>
        <v>Regular</v>
      </c>
      <c r="D659">
        <f t="shared" si="41"/>
        <v>90341</v>
      </c>
      <c r="E659" s="6">
        <f t="shared" si="42"/>
        <v>1.6869562513252608E-4</v>
      </c>
      <c r="F659" s="5">
        <f ca="1">TODAY()-GETPIVOTDATA("LastPurchaseDate",MaxDate!$A$3,"Customer_name",MaxDate!A661)</f>
        <v>103</v>
      </c>
      <c r="G659" t="str">
        <f t="shared" ca="1" si="43"/>
        <v>At Risk</v>
      </c>
      <c r="H659" s="13">
        <f>RANK(B659,Customer_Tiers[Total_Sales])</f>
        <v>658</v>
      </c>
    </row>
    <row r="660" spans="1:8">
      <c r="A660" t="str">
        <f>'Top Customers'!A662</f>
        <v>SHINAJ CHENGARA</v>
      </c>
      <c r="B660" s="5">
        <f>IF(A660="","",IFERROR(GETPIVOTDATA("Sales Amount",'Top Customers'!$A$3,"Customer_name",'Top Customers'!A662),""))</f>
        <v>9600</v>
      </c>
      <c r="C660" t="str">
        <f t="shared" si="40"/>
        <v>Regular</v>
      </c>
      <c r="D660">
        <f t="shared" si="41"/>
        <v>90400</v>
      </c>
      <c r="E660" s="6">
        <f t="shared" si="42"/>
        <v>1.6766518286284816E-4</v>
      </c>
      <c r="F660" s="5">
        <f ca="1">TODAY()-GETPIVOTDATA("LastPurchaseDate",MaxDate!$A$3,"Customer_name",MaxDate!A662)</f>
        <v>12</v>
      </c>
      <c r="G660" t="str">
        <f t="shared" ca="1" si="43"/>
        <v>Active</v>
      </c>
      <c r="H660" s="13">
        <f>RANK(B660,Customer_Tiers[Total_Sales])</f>
        <v>659</v>
      </c>
    </row>
    <row r="661" spans="1:8">
      <c r="A661" t="str">
        <f>'Top Customers'!A663</f>
        <v>BAIJU VENGOLA</v>
      </c>
      <c r="B661" s="5">
        <f>IF(A661="","",IFERROR(GETPIVOTDATA("Sales Amount",'Top Customers'!$A$3,"Customer_name",'Top Customers'!A663),""))</f>
        <v>9597</v>
      </c>
      <c r="C661" t="str">
        <f t="shared" si="40"/>
        <v>Regular</v>
      </c>
      <c r="D661">
        <f t="shared" si="41"/>
        <v>90403</v>
      </c>
      <c r="E661" s="6">
        <f t="shared" si="42"/>
        <v>1.6761278749320352E-4</v>
      </c>
      <c r="F661" s="5">
        <f ca="1">TODAY()-GETPIVOTDATA("LastPurchaseDate",MaxDate!$A$3,"Customer_name",MaxDate!A663)</f>
        <v>303</v>
      </c>
      <c r="G661" t="str">
        <f t="shared" ca="1" si="43"/>
        <v>Inactive</v>
      </c>
      <c r="H661" s="13">
        <f>RANK(B661,Customer_Tiers[Total_Sales])</f>
        <v>660</v>
      </c>
    </row>
    <row r="662" spans="1:8">
      <c r="A662" t="str">
        <f>'Top Customers'!A664</f>
        <v>SUBAIR , MECHANIC</v>
      </c>
      <c r="B662" s="5">
        <f>IF(A662="","",IFERROR(GETPIVOTDATA("Sales Amount",'Top Customers'!$A$3,"Customer_name",'Top Customers'!A664),""))</f>
        <v>9588</v>
      </c>
      <c r="C662" t="str">
        <f t="shared" si="40"/>
        <v>Regular</v>
      </c>
      <c r="D662">
        <f t="shared" si="41"/>
        <v>90412</v>
      </c>
      <c r="E662" s="6">
        <f t="shared" si="42"/>
        <v>1.6745560138426961E-4</v>
      </c>
      <c r="F662" s="5">
        <f ca="1">TODAY()-GETPIVOTDATA("LastPurchaseDate",MaxDate!$A$3,"Customer_name",MaxDate!A664)</f>
        <v>15</v>
      </c>
      <c r="G662" t="str">
        <f t="shared" ca="1" si="43"/>
        <v>Active</v>
      </c>
      <c r="H662" s="13">
        <f>RANK(B662,Customer_Tiers[Total_Sales])</f>
        <v>661</v>
      </c>
    </row>
    <row r="663" spans="1:8">
      <c r="A663" t="str">
        <f>'Top Customers'!A665</f>
        <v>BABY KUNNATHUKUDY</v>
      </c>
      <c r="B663" s="5">
        <f>IF(A663="","",IFERROR(GETPIVOTDATA("Sales Amount",'Top Customers'!$A$3,"Customer_name",'Top Customers'!A665),""))</f>
        <v>9585</v>
      </c>
      <c r="C663" t="str">
        <f t="shared" si="40"/>
        <v>Regular</v>
      </c>
      <c r="D663">
        <f t="shared" si="41"/>
        <v>90415</v>
      </c>
      <c r="E663" s="6">
        <f t="shared" si="42"/>
        <v>1.6740320601462498E-4</v>
      </c>
      <c r="F663" s="5">
        <f ca="1">TODAY()-GETPIVOTDATA("LastPurchaseDate",MaxDate!$A$3,"Customer_name",MaxDate!A665)</f>
        <v>24</v>
      </c>
      <c r="G663" t="str">
        <f t="shared" ca="1" si="43"/>
        <v>Active</v>
      </c>
      <c r="H663" s="13">
        <f>RANK(B663,Customer_Tiers[Total_Sales])</f>
        <v>662</v>
      </c>
    </row>
    <row r="664" spans="1:8">
      <c r="A664" t="str">
        <f>'Top Customers'!A666</f>
        <v>VARGHESE ASHRAYA</v>
      </c>
      <c r="B664" s="5">
        <f>IF(A664="","",IFERROR(GETPIVOTDATA("Sales Amount",'Top Customers'!$A$3,"Customer_name",'Top Customers'!A666),""))</f>
        <v>9575</v>
      </c>
      <c r="C664" t="str">
        <f t="shared" si="40"/>
        <v>Regular</v>
      </c>
      <c r="D664">
        <f t="shared" si="41"/>
        <v>90425</v>
      </c>
      <c r="E664" s="6">
        <f t="shared" si="42"/>
        <v>1.6722855478247618E-4</v>
      </c>
      <c r="F664" s="5">
        <f ca="1">TODAY()-GETPIVOTDATA("LastPurchaseDate",MaxDate!$A$3,"Customer_name",MaxDate!A666)</f>
        <v>143</v>
      </c>
      <c r="G664" t="str">
        <f t="shared" ca="1" si="43"/>
        <v>Inactive</v>
      </c>
      <c r="H664" s="13">
        <f>RANK(B664,Customer_Tiers[Total_Sales])</f>
        <v>663</v>
      </c>
    </row>
    <row r="665" spans="1:8">
      <c r="A665" t="str">
        <f>'Top Customers'!A667</f>
        <v>V.K.ENGINEERING , PAZHAMTHOTTAM</v>
      </c>
      <c r="B665" s="5">
        <f>IF(A665="","",IFERROR(GETPIVOTDATA("Sales Amount",'Top Customers'!$A$3,"Customer_name",'Top Customers'!A667),""))</f>
        <v>9560</v>
      </c>
      <c r="C665" t="str">
        <f t="shared" si="40"/>
        <v>Regular</v>
      </c>
      <c r="D665">
        <f t="shared" si="41"/>
        <v>90440</v>
      </c>
      <c r="E665" s="6">
        <f t="shared" si="42"/>
        <v>1.6696657793425297E-4</v>
      </c>
      <c r="F665" s="5">
        <f ca="1">TODAY()-GETPIVOTDATA("LastPurchaseDate",MaxDate!$A$3,"Customer_name",MaxDate!A667)</f>
        <v>225</v>
      </c>
      <c r="G665" t="str">
        <f t="shared" ca="1" si="43"/>
        <v>Inactive</v>
      </c>
      <c r="H665" s="13">
        <f>RANK(B665,Customer_Tiers[Total_Sales])</f>
        <v>664</v>
      </c>
    </row>
    <row r="666" spans="1:8">
      <c r="A666" t="str">
        <f>'Top Customers'!A668</f>
        <v>VIBIN NJARALLOOR</v>
      </c>
      <c r="B666" s="5">
        <f>IF(A666="","",IFERROR(GETPIVOTDATA("Sales Amount",'Top Customers'!$A$3,"Customer_name",'Top Customers'!A668),""))</f>
        <v>9491</v>
      </c>
      <c r="C666" t="str">
        <f t="shared" si="40"/>
        <v>Regular</v>
      </c>
      <c r="D666">
        <f t="shared" si="41"/>
        <v>90509</v>
      </c>
      <c r="E666" s="6">
        <f t="shared" si="42"/>
        <v>1.6576148443242625E-4</v>
      </c>
      <c r="F666" s="5">
        <f ca="1">TODAY()-GETPIVOTDATA("LastPurchaseDate",MaxDate!$A$3,"Customer_name",MaxDate!A668)</f>
        <v>144</v>
      </c>
      <c r="G666" t="str">
        <f t="shared" ca="1" si="43"/>
        <v>Inactive</v>
      </c>
      <c r="H666" s="13">
        <f>RANK(B666,Customer_Tiers[Total_Sales])</f>
        <v>665</v>
      </c>
    </row>
    <row r="667" spans="1:8">
      <c r="A667" t="str">
        <f>'Top Customers'!A669</f>
        <v>CODUS GLOBAL TRADERS</v>
      </c>
      <c r="B667" s="5">
        <f>IF(A667="","",IFERROR(GETPIVOTDATA("Sales Amount",'Top Customers'!$A$3,"Customer_name",'Top Customers'!A669),""))</f>
        <v>9482</v>
      </c>
      <c r="C667" t="str">
        <f t="shared" si="40"/>
        <v>Regular</v>
      </c>
      <c r="D667">
        <f t="shared" si="41"/>
        <v>90518</v>
      </c>
      <c r="E667" s="6">
        <f t="shared" si="42"/>
        <v>1.6560429832349232E-4</v>
      </c>
      <c r="F667" s="5">
        <f ca="1">TODAY()-GETPIVOTDATA("LastPurchaseDate",MaxDate!$A$3,"Customer_name",MaxDate!A669)</f>
        <v>304</v>
      </c>
      <c r="G667" t="str">
        <f t="shared" ca="1" si="43"/>
        <v>Inactive</v>
      </c>
      <c r="H667" s="13">
        <f>RANK(B667,Customer_Tiers[Total_Sales])</f>
        <v>666</v>
      </c>
    </row>
    <row r="668" spans="1:8">
      <c r="A668" t="str">
        <f>'Top Customers'!A670</f>
        <v>GEORGE PAZHAMPILLY</v>
      </c>
      <c r="B668" s="5">
        <f>IF(A668="","",IFERROR(GETPIVOTDATA("Sales Amount",'Top Customers'!$A$3,"Customer_name",'Top Customers'!A670),""))</f>
        <v>9450</v>
      </c>
      <c r="C668" t="str">
        <f t="shared" si="40"/>
        <v>Regular</v>
      </c>
      <c r="D668">
        <f t="shared" si="41"/>
        <v>90550</v>
      </c>
      <c r="E668" s="6">
        <f t="shared" si="42"/>
        <v>1.6504541438061617E-4</v>
      </c>
      <c r="F668" s="5">
        <f ca="1">TODAY()-GETPIVOTDATA("LastPurchaseDate",MaxDate!$A$3,"Customer_name",MaxDate!A670)</f>
        <v>36</v>
      </c>
      <c r="G668" t="str">
        <f t="shared" ca="1" si="43"/>
        <v>Active</v>
      </c>
      <c r="H668" s="13">
        <f>RANK(B668,Customer_Tiers[Total_Sales])</f>
        <v>667</v>
      </c>
    </row>
    <row r="669" spans="1:8">
      <c r="A669" t="str">
        <f>'Top Customers'!A671</f>
        <v>SATHEESH, AMEYA BHAVAN</v>
      </c>
      <c r="B669" s="5">
        <f>IF(A669="","",IFERROR(GETPIVOTDATA("Sales Amount",'Top Customers'!$A$3,"Customer_name",'Top Customers'!A671),""))</f>
        <v>9257</v>
      </c>
      <c r="C669" t="str">
        <f t="shared" si="40"/>
        <v>Regular</v>
      </c>
      <c r="D669">
        <f t="shared" si="41"/>
        <v>90743</v>
      </c>
      <c r="E669" s="6">
        <f t="shared" si="42"/>
        <v>1.6167464560014433E-4</v>
      </c>
      <c r="F669" s="5">
        <f ca="1">TODAY()-GETPIVOTDATA("LastPurchaseDate",MaxDate!$A$3,"Customer_name",MaxDate!A671)</f>
        <v>92</v>
      </c>
      <c r="G669" t="str">
        <f t="shared" ca="1" si="43"/>
        <v>At Risk</v>
      </c>
      <c r="H669" s="13">
        <f>RANK(B669,Customer_Tiers[Total_Sales])</f>
        <v>668</v>
      </c>
    </row>
    <row r="670" spans="1:8">
      <c r="A670" t="str">
        <f>'Top Customers'!A672</f>
        <v>SUBASH K K</v>
      </c>
      <c r="B670" s="5">
        <f>IF(A670="","",IFERROR(GETPIVOTDATA("Sales Amount",'Top Customers'!$A$3,"Customer_name",'Top Customers'!A672),""))</f>
        <v>9257</v>
      </c>
      <c r="C670" t="str">
        <f t="shared" si="40"/>
        <v>Regular</v>
      </c>
      <c r="D670">
        <f t="shared" si="41"/>
        <v>90743</v>
      </c>
      <c r="E670" s="6">
        <f t="shared" si="42"/>
        <v>1.6167464560014433E-4</v>
      </c>
      <c r="F670" s="5">
        <f ca="1">TODAY()-GETPIVOTDATA("LastPurchaseDate",MaxDate!$A$3,"Customer_name",MaxDate!A672)</f>
        <v>311</v>
      </c>
      <c r="G670" t="str">
        <f t="shared" ca="1" si="43"/>
        <v>Inactive</v>
      </c>
      <c r="H670" s="13">
        <f>RANK(B670,Customer_Tiers[Total_Sales])</f>
        <v>668</v>
      </c>
    </row>
    <row r="671" spans="1:8">
      <c r="A671" t="str">
        <f>'Top Customers'!A673</f>
        <v>DARUL HUSNA ARABIC COLLEGE</v>
      </c>
      <c r="B671" s="5">
        <f>IF(A671="","",IFERROR(GETPIVOTDATA("Sales Amount",'Top Customers'!$A$3,"Customer_name",'Top Customers'!A673),""))</f>
        <v>9250</v>
      </c>
      <c r="C671" t="str">
        <f t="shared" si="40"/>
        <v>Regular</v>
      </c>
      <c r="D671">
        <f t="shared" si="41"/>
        <v>90750</v>
      </c>
      <c r="E671" s="6">
        <f t="shared" si="42"/>
        <v>1.6155238973764017E-4</v>
      </c>
      <c r="F671" s="5">
        <f ca="1">TODAY()-GETPIVOTDATA("LastPurchaseDate",MaxDate!$A$3,"Customer_name",MaxDate!A673)</f>
        <v>255</v>
      </c>
      <c r="G671" t="str">
        <f t="shared" ca="1" si="43"/>
        <v>Inactive</v>
      </c>
      <c r="H671" s="13">
        <f>RANK(B671,Customer_Tiers[Total_Sales])</f>
        <v>670</v>
      </c>
    </row>
    <row r="672" spans="1:8">
      <c r="A672" t="str">
        <f>'Top Customers'!A674</f>
        <v>MOHANAN AREEKKAL</v>
      </c>
      <c r="B672" s="5">
        <f>IF(A672="","",IFERROR(GETPIVOTDATA("Sales Amount",'Top Customers'!$A$3,"Customer_name",'Top Customers'!A674),""))</f>
        <v>9230</v>
      </c>
      <c r="C672" t="str">
        <f t="shared" si="40"/>
        <v>Regular</v>
      </c>
      <c r="D672">
        <f t="shared" si="41"/>
        <v>90770</v>
      </c>
      <c r="E672" s="6">
        <f t="shared" si="42"/>
        <v>1.6120308727334256E-4</v>
      </c>
      <c r="F672" s="5">
        <f ca="1">TODAY()-GETPIVOTDATA("LastPurchaseDate",MaxDate!$A$3,"Customer_name",MaxDate!A674)</f>
        <v>60</v>
      </c>
      <c r="G672" t="str">
        <f t="shared" ca="1" si="43"/>
        <v>Active</v>
      </c>
      <c r="H672" s="13">
        <f>RANK(B672,Customer_Tiers[Total_Sales])</f>
        <v>671</v>
      </c>
    </row>
    <row r="673" spans="1:8">
      <c r="A673" t="str">
        <f>'Top Customers'!A675</f>
        <v>PRABHU CHENGARA</v>
      </c>
      <c r="B673" s="5">
        <f>IF(A673="","",IFERROR(GETPIVOTDATA("Sales Amount",'Top Customers'!$A$3,"Customer_name",'Top Customers'!A675),""))</f>
        <v>9162</v>
      </c>
      <c r="C673" t="str">
        <f t="shared" si="40"/>
        <v>Regular</v>
      </c>
      <c r="D673">
        <f t="shared" si="41"/>
        <v>90838</v>
      </c>
      <c r="E673" s="6">
        <f t="shared" si="42"/>
        <v>1.6001545889473071E-4</v>
      </c>
      <c r="F673" s="5">
        <f ca="1">TODAY()-GETPIVOTDATA("LastPurchaseDate",MaxDate!$A$3,"Customer_name",MaxDate!A675)</f>
        <v>9</v>
      </c>
      <c r="G673" t="str">
        <f t="shared" ca="1" si="43"/>
        <v>Active</v>
      </c>
      <c r="H673" s="13">
        <f>RANK(B673,Customer_Tiers[Total_Sales])</f>
        <v>672</v>
      </c>
    </row>
    <row r="674" spans="1:8">
      <c r="A674" t="str">
        <f>'Top Customers'!A676</f>
        <v>MAZ ENGINEERING</v>
      </c>
      <c r="B674" s="5">
        <f>IF(A674="","",IFERROR(GETPIVOTDATA("Sales Amount",'Top Customers'!$A$3,"Customer_name",'Top Customers'!A676),""))</f>
        <v>9156</v>
      </c>
      <c r="C674" t="str">
        <f t="shared" si="40"/>
        <v>Regular</v>
      </c>
      <c r="D674">
        <f t="shared" si="41"/>
        <v>90844</v>
      </c>
      <c r="E674" s="6">
        <f t="shared" si="42"/>
        <v>1.5991066815544143E-4</v>
      </c>
      <c r="F674" s="5">
        <f ca="1">TODAY()-GETPIVOTDATA("LastPurchaseDate",MaxDate!$A$3,"Customer_name",MaxDate!A676)</f>
        <v>65</v>
      </c>
      <c r="G674" t="str">
        <f t="shared" ca="1" si="43"/>
        <v>At Risk</v>
      </c>
      <c r="H674" s="13">
        <f>RANK(B674,Customer_Tiers[Total_Sales])</f>
        <v>673</v>
      </c>
    </row>
    <row r="675" spans="1:8">
      <c r="A675" t="str">
        <f>'Top Customers'!A677</f>
        <v>ASHOKAN PAINTER</v>
      </c>
      <c r="B675" s="5">
        <f>IF(A675="","",IFERROR(GETPIVOTDATA("Sales Amount",'Top Customers'!$A$3,"Customer_name",'Top Customers'!A677),""))</f>
        <v>9135</v>
      </c>
      <c r="C675" t="str">
        <f t="shared" si="40"/>
        <v>Regular</v>
      </c>
      <c r="D675">
        <f t="shared" si="41"/>
        <v>90865</v>
      </c>
      <c r="E675" s="6">
        <f t="shared" si="42"/>
        <v>1.5954390056792896E-4</v>
      </c>
      <c r="F675" s="5">
        <f ca="1">TODAY()-GETPIVOTDATA("LastPurchaseDate",MaxDate!$A$3,"Customer_name",MaxDate!A677)</f>
        <v>136</v>
      </c>
      <c r="G675" t="str">
        <f t="shared" ca="1" si="43"/>
        <v>Inactive</v>
      </c>
      <c r="H675" s="13">
        <f>RANK(B675,Customer_Tiers[Total_Sales])</f>
        <v>674</v>
      </c>
    </row>
    <row r="676" spans="1:8">
      <c r="A676" t="str">
        <f>'Top Customers'!A678</f>
        <v>SKARIYA PULINCHODE</v>
      </c>
      <c r="B676" s="5">
        <f>IF(A676="","",IFERROR(GETPIVOTDATA("Sales Amount",'Top Customers'!$A$3,"Customer_name",'Top Customers'!A678),""))</f>
        <v>9129</v>
      </c>
      <c r="C676" t="str">
        <f t="shared" si="40"/>
        <v>Regular</v>
      </c>
      <c r="D676">
        <f t="shared" si="41"/>
        <v>90871</v>
      </c>
      <c r="E676" s="6">
        <f t="shared" si="42"/>
        <v>1.5943910982863969E-4</v>
      </c>
      <c r="F676" s="5">
        <f ca="1">TODAY()-GETPIVOTDATA("LastPurchaseDate",MaxDate!$A$3,"Customer_name",MaxDate!A678)</f>
        <v>170</v>
      </c>
      <c r="G676" t="str">
        <f t="shared" ca="1" si="43"/>
        <v>Inactive</v>
      </c>
      <c r="H676" s="13">
        <f>RANK(B676,Customer_Tiers[Total_Sales])</f>
        <v>675</v>
      </c>
    </row>
    <row r="677" spans="1:8">
      <c r="A677" t="str">
        <f>'Top Customers'!A679</f>
        <v>SIGNATURE AGENCIES</v>
      </c>
      <c r="B677" s="5">
        <f>IF(A677="","",IFERROR(GETPIVOTDATA("Sales Amount",'Top Customers'!$A$3,"Customer_name",'Top Customers'!A679),""))</f>
        <v>9090</v>
      </c>
      <c r="C677" t="str">
        <f t="shared" si="40"/>
        <v>Regular</v>
      </c>
      <c r="D677">
        <f t="shared" si="41"/>
        <v>90910</v>
      </c>
      <c r="E677" s="6">
        <f t="shared" si="42"/>
        <v>1.5875797002325935E-4</v>
      </c>
      <c r="F677" s="5">
        <f ca="1">TODAY()-GETPIVOTDATA("LastPurchaseDate",MaxDate!$A$3,"Customer_name",MaxDate!A679)</f>
        <v>3</v>
      </c>
      <c r="G677" t="str">
        <f t="shared" ca="1" si="43"/>
        <v>Active</v>
      </c>
      <c r="H677" s="13">
        <f>RANK(B677,Customer_Tiers[Total_Sales])</f>
        <v>676</v>
      </c>
    </row>
    <row r="678" spans="1:8">
      <c r="A678" t="str">
        <f>'Top Customers'!A680</f>
        <v>ST.MARYS ORTHODOX CHURCH</v>
      </c>
      <c r="B678" s="5">
        <f>IF(A678="","",IFERROR(GETPIVOTDATA("Sales Amount",'Top Customers'!$A$3,"Customer_name",'Top Customers'!A680),""))</f>
        <v>9074</v>
      </c>
      <c r="C678" t="str">
        <f t="shared" si="40"/>
        <v>Regular</v>
      </c>
      <c r="D678">
        <f t="shared" si="41"/>
        <v>90926</v>
      </c>
      <c r="E678" s="6">
        <f t="shared" si="42"/>
        <v>1.5847852805182127E-4</v>
      </c>
      <c r="F678" s="5">
        <f ca="1">TODAY()-GETPIVOTDATA("LastPurchaseDate",MaxDate!$A$3,"Customer_name",MaxDate!A680)</f>
        <v>186</v>
      </c>
      <c r="G678" t="str">
        <f t="shared" ca="1" si="43"/>
        <v>Inactive</v>
      </c>
      <c r="H678" s="13">
        <f>RANK(B678,Customer_Tiers[Total_Sales])</f>
        <v>677</v>
      </c>
    </row>
    <row r="679" spans="1:8">
      <c r="A679" t="str">
        <f>'Top Customers'!A681</f>
        <v>MIDHUN PATTIMATTOM</v>
      </c>
      <c r="B679" s="5">
        <f>IF(A679="","",IFERROR(GETPIVOTDATA("Sales Amount",'Top Customers'!$A$3,"Customer_name",'Top Customers'!A681),""))</f>
        <v>9072</v>
      </c>
      <c r="C679" t="str">
        <f t="shared" si="40"/>
        <v>Regular</v>
      </c>
      <c r="D679">
        <f t="shared" si="41"/>
        <v>90928</v>
      </c>
      <c r="E679" s="6">
        <f t="shared" si="42"/>
        <v>1.5844359780539151E-4</v>
      </c>
      <c r="F679" s="5">
        <f ca="1">TODAY()-GETPIVOTDATA("LastPurchaseDate",MaxDate!$A$3,"Customer_name",MaxDate!A681)</f>
        <v>118</v>
      </c>
      <c r="G679" t="str">
        <f t="shared" ca="1" si="43"/>
        <v>At Risk</v>
      </c>
      <c r="H679" s="13">
        <f>RANK(B679,Customer_Tiers[Total_Sales])</f>
        <v>678</v>
      </c>
    </row>
    <row r="680" spans="1:8">
      <c r="A680" t="str">
        <f>'Top Customers'!A682</f>
        <v>SANTHOSH MAZHUVANOOR</v>
      </c>
      <c r="B680" s="5">
        <f>IF(A680="","",IFERROR(GETPIVOTDATA("Sales Amount",'Top Customers'!$A$3,"Customer_name",'Top Customers'!A682),""))</f>
        <v>9064</v>
      </c>
      <c r="C680" t="str">
        <f t="shared" si="40"/>
        <v>Regular</v>
      </c>
      <c r="D680">
        <f t="shared" si="41"/>
        <v>90936</v>
      </c>
      <c r="E680" s="6">
        <f t="shared" si="42"/>
        <v>1.5830387681967247E-4</v>
      </c>
      <c r="F680" s="5">
        <f ca="1">TODAY()-GETPIVOTDATA("LastPurchaseDate",MaxDate!$A$3,"Customer_name",MaxDate!A682)</f>
        <v>38</v>
      </c>
      <c r="G680" t="str">
        <f t="shared" ca="1" si="43"/>
        <v>Active</v>
      </c>
      <c r="H680" s="13">
        <f>RANK(B680,Customer_Tiers[Total_Sales])</f>
        <v>679</v>
      </c>
    </row>
    <row r="681" spans="1:8">
      <c r="A681" t="str">
        <f>'Top Customers'!A683</f>
        <v>DILEEP PANCODE</v>
      </c>
      <c r="B681" s="5">
        <f>IF(A681="","",IFERROR(GETPIVOTDATA("Sales Amount",'Top Customers'!$A$3,"Customer_name",'Top Customers'!A683),""))</f>
        <v>9042</v>
      </c>
      <c r="C681" t="str">
        <f t="shared" si="40"/>
        <v>Regular</v>
      </c>
      <c r="D681">
        <f t="shared" si="41"/>
        <v>90958</v>
      </c>
      <c r="E681" s="6">
        <f t="shared" si="42"/>
        <v>1.5791964410894513E-4</v>
      </c>
      <c r="F681" s="5">
        <f ca="1">TODAY()-GETPIVOTDATA("LastPurchaseDate",MaxDate!$A$3,"Customer_name",MaxDate!A683)</f>
        <v>171</v>
      </c>
      <c r="G681" t="str">
        <f t="shared" ca="1" si="43"/>
        <v>Inactive</v>
      </c>
      <c r="H681" s="13">
        <f>RANK(B681,Customer_Tiers[Total_Sales])</f>
        <v>680</v>
      </c>
    </row>
    <row r="682" spans="1:8">
      <c r="A682" t="str">
        <f>'Top Customers'!A684</f>
        <v>BABU PULINCHODE</v>
      </c>
      <c r="B682" s="5">
        <f>IF(A682="","",IFERROR(GETPIVOTDATA("Sales Amount",'Top Customers'!$A$3,"Customer_name",'Top Customers'!A684),""))</f>
        <v>9027</v>
      </c>
      <c r="C682" t="str">
        <f t="shared" si="40"/>
        <v>Regular</v>
      </c>
      <c r="D682">
        <f t="shared" si="41"/>
        <v>90973</v>
      </c>
      <c r="E682" s="6">
        <f t="shared" si="42"/>
        <v>1.5765766726072192E-4</v>
      </c>
      <c r="F682" s="5">
        <f ca="1">TODAY()-GETPIVOTDATA("LastPurchaseDate",MaxDate!$A$3,"Customer_name",MaxDate!A684)</f>
        <v>12</v>
      </c>
      <c r="G682" t="str">
        <f t="shared" ca="1" si="43"/>
        <v>Active</v>
      </c>
      <c r="H682" s="13">
        <f>RANK(B682,Customer_Tiers[Total_Sales])</f>
        <v>681</v>
      </c>
    </row>
    <row r="683" spans="1:8">
      <c r="A683" t="str">
        <f>'Top Customers'!A685</f>
        <v>BASHEER (ROYAL BAKERY)</v>
      </c>
      <c r="B683" s="5">
        <f>IF(A683="","",IFERROR(GETPIVOTDATA("Sales Amount",'Top Customers'!$A$3,"Customer_name",'Top Customers'!A685),""))</f>
        <v>8985</v>
      </c>
      <c r="C683" t="str">
        <f t="shared" si="40"/>
        <v>Regular</v>
      </c>
      <c r="D683">
        <f t="shared" si="41"/>
        <v>91015</v>
      </c>
      <c r="E683" s="6">
        <f t="shared" si="42"/>
        <v>1.5692413208569694E-4</v>
      </c>
      <c r="F683" s="5">
        <f ca="1">TODAY()-GETPIVOTDATA("LastPurchaseDate",MaxDate!$A$3,"Customer_name",MaxDate!A685)</f>
        <v>101</v>
      </c>
      <c r="G683" t="str">
        <f t="shared" ca="1" si="43"/>
        <v>At Risk</v>
      </c>
      <c r="H683" s="13">
        <f>RANK(B683,Customer_Tiers[Total_Sales])</f>
        <v>682</v>
      </c>
    </row>
    <row r="684" spans="1:8">
      <c r="A684" t="str">
        <f>'Top Customers'!A686</f>
        <v>TJN CONCTRUCTIONS</v>
      </c>
      <c r="B684" s="5">
        <f>IF(A684="","",IFERROR(GETPIVOTDATA("Sales Amount",'Top Customers'!$A$3,"Customer_name",'Top Customers'!A686),""))</f>
        <v>8977</v>
      </c>
      <c r="C684" t="str">
        <f t="shared" si="40"/>
        <v>Regular</v>
      </c>
      <c r="D684">
        <f t="shared" si="41"/>
        <v>91023</v>
      </c>
      <c r="E684" s="6">
        <f t="shared" si="42"/>
        <v>1.5678441109997791E-4</v>
      </c>
      <c r="F684" s="5">
        <f ca="1">TODAY()-GETPIVOTDATA("LastPurchaseDate",MaxDate!$A$3,"Customer_name",MaxDate!A686)</f>
        <v>101</v>
      </c>
      <c r="G684" t="str">
        <f t="shared" ca="1" si="43"/>
        <v>At Risk</v>
      </c>
      <c r="H684" s="13">
        <f>RANK(B684,Customer_Tiers[Total_Sales])</f>
        <v>683</v>
      </c>
    </row>
    <row r="685" spans="1:8">
      <c r="A685" t="str">
        <f>'Top Customers'!A687</f>
        <v>MANOJ (CURRY SHOP)</v>
      </c>
      <c r="B685" s="5">
        <f>IF(A685="","",IFERROR(GETPIVOTDATA("Sales Amount",'Top Customers'!$A$3,"Customer_name",'Top Customers'!A687),""))</f>
        <v>8965</v>
      </c>
      <c r="C685" t="str">
        <f t="shared" si="40"/>
        <v>Regular</v>
      </c>
      <c r="D685">
        <f t="shared" si="41"/>
        <v>91035</v>
      </c>
      <c r="E685" s="6">
        <f t="shared" si="42"/>
        <v>1.5657482962139937E-4</v>
      </c>
      <c r="F685" s="5">
        <f ca="1">TODAY()-GETPIVOTDATA("LastPurchaseDate",MaxDate!$A$3,"Customer_name",MaxDate!A687)</f>
        <v>323</v>
      </c>
      <c r="G685" t="str">
        <f t="shared" ca="1" si="43"/>
        <v>Inactive</v>
      </c>
      <c r="H685" s="13">
        <f>RANK(B685,Customer_Tiers[Total_Sales])</f>
        <v>684</v>
      </c>
    </row>
    <row r="686" spans="1:8">
      <c r="A686" t="str">
        <f>'Top Customers'!A688</f>
        <v>OMEGA ADVERTISING  &amp; SALES PROMOTION</v>
      </c>
      <c r="B686" s="5">
        <f>IF(A686="","",IFERROR(GETPIVOTDATA("Sales Amount",'Top Customers'!$A$3,"Customer_name",'Top Customers'!A688),""))</f>
        <v>8880</v>
      </c>
      <c r="C686" t="str">
        <f t="shared" si="40"/>
        <v>Regular</v>
      </c>
      <c r="D686">
        <f t="shared" si="41"/>
        <v>91120</v>
      </c>
      <c r="E686" s="6">
        <f t="shared" si="42"/>
        <v>1.5509029414813454E-4</v>
      </c>
      <c r="F686" s="5">
        <f ca="1">TODAY()-GETPIVOTDATA("LastPurchaseDate",MaxDate!$A$3,"Customer_name",MaxDate!A688)</f>
        <v>31</v>
      </c>
      <c r="G686" t="str">
        <f t="shared" ca="1" si="43"/>
        <v>Active</v>
      </c>
      <c r="H686" s="13">
        <f>RANK(B686,Customer_Tiers[Total_Sales])</f>
        <v>685</v>
      </c>
    </row>
    <row r="687" spans="1:8">
      <c r="A687" t="str">
        <f>'Top Customers'!A689</f>
        <v>REJI MANJANAD</v>
      </c>
      <c r="B687" s="5">
        <f>IF(A687="","",IFERROR(GETPIVOTDATA("Sales Amount",'Top Customers'!$A$3,"Customer_name",'Top Customers'!A689),""))</f>
        <v>8838</v>
      </c>
      <c r="C687" t="str">
        <f t="shared" si="40"/>
        <v>Regular</v>
      </c>
      <c r="D687">
        <f t="shared" si="41"/>
        <v>91162</v>
      </c>
      <c r="E687" s="6">
        <f t="shared" si="42"/>
        <v>1.5435675897310959E-4</v>
      </c>
      <c r="F687" s="5">
        <f ca="1">TODAY()-GETPIVOTDATA("LastPurchaseDate",MaxDate!$A$3,"Customer_name",MaxDate!A689)</f>
        <v>85</v>
      </c>
      <c r="G687" t="str">
        <f t="shared" ca="1" si="43"/>
        <v>At Risk</v>
      </c>
      <c r="H687" s="13">
        <f>RANK(B687,Customer_Tiers[Total_Sales])</f>
        <v>686</v>
      </c>
    </row>
    <row r="688" spans="1:8">
      <c r="A688" t="str">
        <f>'Top Customers'!A690</f>
        <v>VISHNU MAZHUVANNOOR</v>
      </c>
      <c r="B688" s="5">
        <f>IF(A688="","",IFERROR(GETPIVOTDATA("Sales Amount",'Top Customers'!$A$3,"Customer_name",'Top Customers'!A690),""))</f>
        <v>8723</v>
      </c>
      <c r="C688" t="str">
        <f t="shared" si="40"/>
        <v>Regular</v>
      </c>
      <c r="D688">
        <f t="shared" si="41"/>
        <v>91277</v>
      </c>
      <c r="E688" s="6">
        <f t="shared" si="42"/>
        <v>1.5234826980339839E-4</v>
      </c>
      <c r="F688" s="5">
        <f ca="1">TODAY()-GETPIVOTDATA("LastPurchaseDate",MaxDate!$A$3,"Customer_name",MaxDate!A690)</f>
        <v>39</v>
      </c>
      <c r="G688" t="str">
        <f t="shared" ca="1" si="43"/>
        <v>Active</v>
      </c>
      <c r="H688" s="13">
        <f>RANK(B688,Customer_Tiers[Total_Sales])</f>
        <v>687</v>
      </c>
    </row>
    <row r="689" spans="1:8">
      <c r="A689" t="str">
        <f>'Top Customers'!A691</f>
        <v>SAKKEER APE (VIJAYAN)</v>
      </c>
      <c r="B689" s="5">
        <f>IF(A689="","",IFERROR(GETPIVOTDATA("Sales Amount",'Top Customers'!$A$3,"Customer_name",'Top Customers'!A691),""))</f>
        <v>8720</v>
      </c>
      <c r="C689" t="str">
        <f t="shared" si="40"/>
        <v>Regular</v>
      </c>
      <c r="D689">
        <f t="shared" si="41"/>
        <v>91280</v>
      </c>
      <c r="E689" s="6">
        <f t="shared" si="42"/>
        <v>1.5229587443375375E-4</v>
      </c>
      <c r="F689" s="5">
        <f ca="1">TODAY()-GETPIVOTDATA("LastPurchaseDate",MaxDate!$A$3,"Customer_name",MaxDate!A691)</f>
        <v>206</v>
      </c>
      <c r="G689" t="str">
        <f t="shared" ca="1" si="43"/>
        <v>Inactive</v>
      </c>
      <c r="H689" s="13">
        <f>RANK(B689,Customer_Tiers[Total_Sales])</f>
        <v>688</v>
      </c>
    </row>
    <row r="690" spans="1:8">
      <c r="A690" t="str">
        <f>'Top Customers'!A692</f>
        <v>LAKSHMI AYYAPPANKUTTY</v>
      </c>
      <c r="B690" s="5">
        <f>IF(A690="","",IFERROR(GETPIVOTDATA("Sales Amount",'Top Customers'!$A$3,"Customer_name",'Top Customers'!A692),""))</f>
        <v>8678</v>
      </c>
      <c r="C690" t="str">
        <f t="shared" si="40"/>
        <v>Regular</v>
      </c>
      <c r="D690">
        <f t="shared" si="41"/>
        <v>91322</v>
      </c>
      <c r="E690" s="6">
        <f t="shared" si="42"/>
        <v>1.515623392587288E-4</v>
      </c>
      <c r="F690" s="5">
        <f ca="1">TODAY()-GETPIVOTDATA("LastPurchaseDate",MaxDate!$A$3,"Customer_name",MaxDate!A692)</f>
        <v>2</v>
      </c>
      <c r="G690" t="str">
        <f t="shared" ca="1" si="43"/>
        <v>Active</v>
      </c>
      <c r="H690" s="13">
        <f>RANK(B690,Customer_Tiers[Total_Sales])</f>
        <v>689</v>
      </c>
    </row>
    <row r="691" spans="1:8">
      <c r="A691" t="str">
        <f>'Top Customers'!A693</f>
        <v>SURESH ACE</v>
      </c>
      <c r="B691" s="5">
        <f>IF(A691="","",IFERROR(GETPIVOTDATA("Sales Amount",'Top Customers'!$A$3,"Customer_name",'Top Customers'!A693),""))</f>
        <v>8670</v>
      </c>
      <c r="C691" t="str">
        <f t="shared" si="40"/>
        <v>Regular</v>
      </c>
      <c r="D691">
        <f t="shared" si="41"/>
        <v>91330</v>
      </c>
      <c r="E691" s="6">
        <f t="shared" si="42"/>
        <v>1.5142261827300976E-4</v>
      </c>
      <c r="F691" s="5">
        <f ca="1">TODAY()-GETPIVOTDATA("LastPurchaseDate",MaxDate!$A$3,"Customer_name",MaxDate!A693)</f>
        <v>55</v>
      </c>
      <c r="G691" t="str">
        <f t="shared" ca="1" si="43"/>
        <v>Active</v>
      </c>
      <c r="H691" s="13">
        <f>RANK(B691,Customer_Tiers[Total_Sales])</f>
        <v>690</v>
      </c>
    </row>
    <row r="692" spans="1:8">
      <c r="A692" t="str">
        <f>'Top Customers'!A694</f>
        <v>CHANDRALAL VALAMBOOR</v>
      </c>
      <c r="B692" s="5">
        <f>IF(A692="","",IFERROR(GETPIVOTDATA("Sales Amount",'Top Customers'!$A$3,"Customer_name",'Top Customers'!A694),""))</f>
        <v>8667</v>
      </c>
      <c r="C692" t="str">
        <f t="shared" si="40"/>
        <v>Regular</v>
      </c>
      <c r="D692">
        <f t="shared" si="41"/>
        <v>91333</v>
      </c>
      <c r="E692" s="6">
        <f t="shared" si="42"/>
        <v>1.513702229033651E-4</v>
      </c>
      <c r="F692" s="5">
        <f ca="1">TODAY()-GETPIVOTDATA("LastPurchaseDate",MaxDate!$A$3,"Customer_name",MaxDate!A694)</f>
        <v>187</v>
      </c>
      <c r="G692" t="str">
        <f t="shared" ca="1" si="43"/>
        <v>Inactive</v>
      </c>
      <c r="H692" s="13">
        <f>RANK(B692,Customer_Tiers[Total_Sales])</f>
        <v>691</v>
      </c>
    </row>
    <row r="693" spans="1:8">
      <c r="A693" t="str">
        <f>'Top Customers'!A695</f>
        <v>S J STEEL FURNITURE</v>
      </c>
      <c r="B693" s="5">
        <f>IF(A693="","",IFERROR(GETPIVOTDATA("Sales Amount",'Top Customers'!$A$3,"Customer_name",'Top Customers'!A695),""))</f>
        <v>8664</v>
      </c>
      <c r="C693" t="str">
        <f t="shared" si="40"/>
        <v>Regular</v>
      </c>
      <c r="D693">
        <f t="shared" si="41"/>
        <v>91336</v>
      </c>
      <c r="E693" s="6">
        <f t="shared" si="42"/>
        <v>1.5131782753372046E-4</v>
      </c>
      <c r="F693" s="5">
        <f ca="1">TODAY()-GETPIVOTDATA("LastPurchaseDate",MaxDate!$A$3,"Customer_name",MaxDate!A695)</f>
        <v>81</v>
      </c>
      <c r="G693" t="str">
        <f t="shared" ca="1" si="43"/>
        <v>At Risk</v>
      </c>
      <c r="H693" s="13">
        <f>RANK(B693,Customer_Tiers[Total_Sales])</f>
        <v>692</v>
      </c>
    </row>
    <row r="694" spans="1:8">
      <c r="A694" t="str">
        <f>'Top Customers'!A696</f>
        <v>INPUT CAFE EDACHIRA</v>
      </c>
      <c r="B694" s="5">
        <f>IF(A694="","",IFERROR(GETPIVOTDATA("Sales Amount",'Top Customers'!$A$3,"Customer_name",'Top Customers'!A696),""))</f>
        <v>8634</v>
      </c>
      <c r="C694" t="str">
        <f t="shared" si="40"/>
        <v>Regular</v>
      </c>
      <c r="D694">
        <f t="shared" si="41"/>
        <v>91366</v>
      </c>
      <c r="E694" s="6">
        <f t="shared" si="42"/>
        <v>1.5079387383727406E-4</v>
      </c>
      <c r="F694" s="5">
        <f ca="1">TODAY()-GETPIVOTDATA("LastPurchaseDate",MaxDate!$A$3,"Customer_name",MaxDate!A696)</f>
        <v>2</v>
      </c>
      <c r="G694" t="str">
        <f t="shared" ca="1" si="43"/>
        <v>Active</v>
      </c>
      <c r="H694" s="13">
        <f>RANK(B694,Customer_Tiers[Total_Sales])</f>
        <v>693</v>
      </c>
    </row>
    <row r="695" spans="1:8">
      <c r="A695" t="str">
        <f>'Top Customers'!A697</f>
        <v>JOSE KAITHAKKADU</v>
      </c>
      <c r="B695" s="5">
        <f>IF(A695="","",IFERROR(GETPIVOTDATA("Sales Amount",'Top Customers'!$A$3,"Customer_name",'Top Customers'!A697),""))</f>
        <v>8630</v>
      </c>
      <c r="C695" t="str">
        <f t="shared" si="40"/>
        <v>Regular</v>
      </c>
      <c r="D695">
        <f t="shared" si="41"/>
        <v>91370</v>
      </c>
      <c r="E695" s="6">
        <f t="shared" si="42"/>
        <v>1.5072401334441455E-4</v>
      </c>
      <c r="F695" s="5">
        <f ca="1">TODAY()-GETPIVOTDATA("LastPurchaseDate",MaxDate!$A$3,"Customer_name",MaxDate!A697)</f>
        <v>11</v>
      </c>
      <c r="G695" t="str">
        <f t="shared" ca="1" si="43"/>
        <v>Active</v>
      </c>
      <c r="H695" s="13">
        <f>RANK(B695,Customer_Tiers[Total_Sales])</f>
        <v>694</v>
      </c>
    </row>
    <row r="696" spans="1:8">
      <c r="A696" t="str">
        <f>'Top Customers'!A698</f>
        <v>KAITHAKKADU JUMA MAZJID</v>
      </c>
      <c r="B696" s="5">
        <f>IF(A696="","",IFERROR(GETPIVOTDATA("Sales Amount",'Top Customers'!$A$3,"Customer_name",'Top Customers'!A698),""))</f>
        <v>8609</v>
      </c>
      <c r="C696" t="str">
        <f t="shared" si="40"/>
        <v>Regular</v>
      </c>
      <c r="D696">
        <f t="shared" si="41"/>
        <v>91391</v>
      </c>
      <c r="E696" s="6">
        <f t="shared" si="42"/>
        <v>1.5035724575690208E-4</v>
      </c>
      <c r="F696" s="5">
        <f ca="1">TODAY()-GETPIVOTDATA("LastPurchaseDate",MaxDate!$A$3,"Customer_name",MaxDate!A698)</f>
        <v>3</v>
      </c>
      <c r="G696" t="str">
        <f t="shared" ca="1" si="43"/>
        <v>Active</v>
      </c>
      <c r="H696" s="13">
        <f>RANK(B696,Customer_Tiers[Total_Sales])</f>
        <v>695</v>
      </c>
    </row>
    <row r="697" spans="1:8">
      <c r="A697" t="str">
        <f>'Top Customers'!A699</f>
        <v>SHAJI KANICHERY</v>
      </c>
      <c r="B697" s="5">
        <f>IF(A697="","",IFERROR(GETPIVOTDATA("Sales Amount",'Top Customers'!$A$3,"Customer_name",'Top Customers'!A699),""))</f>
        <v>8560</v>
      </c>
      <c r="C697" t="str">
        <f t="shared" si="40"/>
        <v>Regular</v>
      </c>
      <c r="D697">
        <f t="shared" si="41"/>
        <v>91440</v>
      </c>
      <c r="E697" s="6">
        <f t="shared" si="42"/>
        <v>1.4950145471937296E-4</v>
      </c>
      <c r="F697" s="5">
        <f ca="1">TODAY()-GETPIVOTDATA("LastPurchaseDate",MaxDate!$A$3,"Customer_name",MaxDate!A699)</f>
        <v>64</v>
      </c>
      <c r="G697" t="str">
        <f t="shared" ca="1" si="43"/>
        <v>At Risk</v>
      </c>
      <c r="H697" s="13">
        <f>RANK(B697,Customer_Tiers[Total_Sales])</f>
        <v>696</v>
      </c>
    </row>
    <row r="698" spans="1:8">
      <c r="A698" t="str">
        <f>'Top Customers'!A700</f>
        <v>BABY NJARALLOOR</v>
      </c>
      <c r="B698" s="5">
        <f>IF(A698="","",IFERROR(GETPIVOTDATA("Sales Amount",'Top Customers'!$A$3,"Customer_name",'Top Customers'!A700),""))</f>
        <v>8436</v>
      </c>
      <c r="C698" t="str">
        <f t="shared" si="40"/>
        <v>Regular</v>
      </c>
      <c r="D698">
        <f t="shared" si="41"/>
        <v>91564</v>
      </c>
      <c r="E698" s="6">
        <f t="shared" si="42"/>
        <v>1.4733577944072782E-4</v>
      </c>
      <c r="F698" s="5">
        <f ca="1">TODAY()-GETPIVOTDATA("LastPurchaseDate",MaxDate!$A$3,"Customer_name",MaxDate!A700)</f>
        <v>27</v>
      </c>
      <c r="G698" t="str">
        <f t="shared" ca="1" si="43"/>
        <v>Active</v>
      </c>
      <c r="H698" s="13">
        <f>RANK(B698,Customer_Tiers[Total_Sales])</f>
        <v>697</v>
      </c>
    </row>
    <row r="699" spans="1:8">
      <c r="A699" t="str">
        <f>'Top Customers'!A701</f>
        <v>PUTHUSSERY CONSTRUCTIONS</v>
      </c>
      <c r="B699" s="5">
        <f>IF(A699="","",IFERROR(GETPIVOTDATA("Sales Amount",'Top Customers'!$A$3,"Customer_name",'Top Customers'!A701),""))</f>
        <v>8433</v>
      </c>
      <c r="C699" t="str">
        <f t="shared" si="40"/>
        <v>Regular</v>
      </c>
      <c r="D699">
        <f t="shared" si="41"/>
        <v>91567</v>
      </c>
      <c r="E699" s="6">
        <f t="shared" si="42"/>
        <v>1.4728338407108318E-4</v>
      </c>
      <c r="F699" s="5">
        <f ca="1">TODAY()-GETPIVOTDATA("LastPurchaseDate",MaxDate!$A$3,"Customer_name",MaxDate!A701)</f>
        <v>2</v>
      </c>
      <c r="G699" t="str">
        <f t="shared" ca="1" si="43"/>
        <v>Active</v>
      </c>
      <c r="H699" s="13">
        <f>RANK(B699,Customer_Tiers[Total_Sales])</f>
        <v>698</v>
      </c>
    </row>
    <row r="700" spans="1:8">
      <c r="A700" t="str">
        <f>'Top Customers'!A702</f>
        <v>AJAYAN</v>
      </c>
      <c r="B700" s="5">
        <f>IF(A700="","",IFERROR(GETPIVOTDATA("Sales Amount",'Top Customers'!$A$3,"Customer_name",'Top Customers'!A702),""))</f>
        <v>8425</v>
      </c>
      <c r="C700" t="str">
        <f t="shared" si="40"/>
        <v>Regular</v>
      </c>
      <c r="D700">
        <f t="shared" si="41"/>
        <v>91575</v>
      </c>
      <c r="E700" s="6">
        <f t="shared" si="42"/>
        <v>1.4714366308536415E-4</v>
      </c>
      <c r="F700" s="5">
        <f ca="1">TODAY()-GETPIVOTDATA("LastPurchaseDate",MaxDate!$A$3,"Customer_name",MaxDate!A702)</f>
        <v>53</v>
      </c>
      <c r="G700" t="str">
        <f t="shared" ca="1" si="43"/>
        <v>Active</v>
      </c>
      <c r="H700" s="13">
        <f>RANK(B700,Customer_Tiers[Total_Sales])</f>
        <v>699</v>
      </c>
    </row>
    <row r="701" spans="1:8">
      <c r="A701" t="str">
        <f>'Top Customers'!A703</f>
        <v>YUSAF PALLIKKARA</v>
      </c>
      <c r="B701" s="5">
        <f>IF(A701="","",IFERROR(GETPIVOTDATA("Sales Amount",'Top Customers'!$A$3,"Customer_name",'Top Customers'!A703),""))</f>
        <v>8400</v>
      </c>
      <c r="C701" t="str">
        <f t="shared" si="40"/>
        <v>Regular</v>
      </c>
      <c r="D701">
        <f t="shared" si="41"/>
        <v>91600</v>
      </c>
      <c r="E701" s="6">
        <f t="shared" si="42"/>
        <v>1.4670703500499214E-4</v>
      </c>
      <c r="F701" s="5">
        <f ca="1">TODAY()-GETPIVOTDATA("LastPurchaseDate",MaxDate!$A$3,"Customer_name",MaxDate!A703)</f>
        <v>285</v>
      </c>
      <c r="G701" t="str">
        <f t="shared" ca="1" si="43"/>
        <v>Inactive</v>
      </c>
      <c r="H701" s="13">
        <f>RANK(B701,Customer_Tiers[Total_Sales])</f>
        <v>700</v>
      </c>
    </row>
    <row r="702" spans="1:8">
      <c r="A702" t="str">
        <f>'Top Customers'!A704</f>
        <v>JBS RICE MILL</v>
      </c>
      <c r="B702" s="5">
        <f>IF(A702="","",IFERROR(GETPIVOTDATA("Sales Amount",'Top Customers'!$A$3,"Customer_name",'Top Customers'!A704),""))</f>
        <v>8397</v>
      </c>
      <c r="C702" t="str">
        <f t="shared" si="40"/>
        <v>Regular</v>
      </c>
      <c r="D702">
        <f t="shared" si="41"/>
        <v>91603</v>
      </c>
      <c r="E702" s="6">
        <f t="shared" si="42"/>
        <v>1.466546396353475E-4</v>
      </c>
      <c r="F702" s="5">
        <f ca="1">TODAY()-GETPIVOTDATA("LastPurchaseDate",MaxDate!$A$3,"Customer_name",MaxDate!A704)</f>
        <v>127</v>
      </c>
      <c r="G702" t="str">
        <f t="shared" ca="1" si="43"/>
        <v>Inactive</v>
      </c>
      <c r="H702" s="13">
        <f>RANK(B702,Customer_Tiers[Total_Sales])</f>
        <v>701</v>
      </c>
    </row>
    <row r="703" spans="1:8">
      <c r="A703" t="str">
        <f>'Top Customers'!A705</f>
        <v>REJI (9526267826) TRUSS</v>
      </c>
      <c r="B703" s="5">
        <f>IF(A703="","",IFERROR(GETPIVOTDATA("Sales Amount",'Top Customers'!$A$3,"Customer_name",'Top Customers'!A705),""))</f>
        <v>8356</v>
      </c>
      <c r="C703" t="str">
        <f t="shared" si="40"/>
        <v>Regular</v>
      </c>
      <c r="D703">
        <f t="shared" si="41"/>
        <v>91644</v>
      </c>
      <c r="E703" s="6">
        <f t="shared" si="42"/>
        <v>1.4593856958353742E-4</v>
      </c>
      <c r="F703" s="5">
        <f ca="1">TODAY()-GETPIVOTDATA("LastPurchaseDate",MaxDate!$A$3,"Customer_name",MaxDate!A705)</f>
        <v>148</v>
      </c>
      <c r="G703" t="str">
        <f t="shared" ca="1" si="43"/>
        <v>Inactive</v>
      </c>
      <c r="H703" s="13">
        <f>RANK(B703,Customer_Tiers[Total_Sales])</f>
        <v>702</v>
      </c>
    </row>
    <row r="704" spans="1:8">
      <c r="A704" t="str">
        <f>'Top Customers'!A706</f>
        <v>ST.GEORGE SIMHASANA CHAPPEL</v>
      </c>
      <c r="B704" s="5">
        <f>IF(A704="","",IFERROR(GETPIVOTDATA("Sales Amount",'Top Customers'!$A$3,"Customer_name",'Top Customers'!A706),""))</f>
        <v>8318</v>
      </c>
      <c r="C704" t="str">
        <f t="shared" si="40"/>
        <v>Regular</v>
      </c>
      <c r="D704">
        <f t="shared" si="41"/>
        <v>91682</v>
      </c>
      <c r="E704" s="6">
        <f t="shared" si="42"/>
        <v>1.4527489490137198E-4</v>
      </c>
      <c r="F704" s="5">
        <f ca="1">TODAY()-GETPIVOTDATA("LastPurchaseDate",MaxDate!$A$3,"Customer_name",MaxDate!A706)</f>
        <v>62</v>
      </c>
      <c r="G704" t="str">
        <f t="shared" ca="1" si="43"/>
        <v>At Risk</v>
      </c>
      <c r="H704" s="13">
        <f>RANK(B704,Customer_Tiers[Total_Sales])</f>
        <v>703</v>
      </c>
    </row>
    <row r="705" spans="1:8">
      <c r="A705" t="str">
        <f>'Top Customers'!A707</f>
        <v>ANISH ARACKKAPADY</v>
      </c>
      <c r="B705" s="5">
        <f>IF(A705="","",IFERROR(GETPIVOTDATA("Sales Amount",'Top Customers'!$A$3,"Customer_name",'Top Customers'!A707),""))</f>
        <v>8308</v>
      </c>
      <c r="C705" t="str">
        <f t="shared" si="40"/>
        <v>Regular</v>
      </c>
      <c r="D705">
        <f t="shared" si="41"/>
        <v>91692</v>
      </c>
      <c r="E705" s="6">
        <f t="shared" si="42"/>
        <v>1.4510024366922318E-4</v>
      </c>
      <c r="F705" s="5">
        <f ca="1">TODAY()-GETPIVOTDATA("LastPurchaseDate",MaxDate!$A$3,"Customer_name",MaxDate!A707)</f>
        <v>82</v>
      </c>
      <c r="G705" t="str">
        <f t="shared" ca="1" si="43"/>
        <v>At Risk</v>
      </c>
      <c r="H705" s="13">
        <f>RANK(B705,Customer_Tiers[Total_Sales])</f>
        <v>704</v>
      </c>
    </row>
    <row r="706" spans="1:8">
      <c r="A706" t="str">
        <f>'Top Customers'!A708</f>
        <v>Sunil Kumar</v>
      </c>
      <c r="B706" s="5">
        <f>IF(A706="","",IFERROR(GETPIVOTDATA("Sales Amount",'Top Customers'!$A$3,"Customer_name",'Top Customers'!A708),""))</f>
        <v>8251</v>
      </c>
      <c r="C706" t="str">
        <f t="shared" ref="C706:C769" si="44">IF(B706&gt;=1000000,"Platinum",
 IF(B706&gt;=500000,"Gold",
 IF(B706&gt;=100000,"Silver","Regular")))</f>
        <v>Regular</v>
      </c>
      <c r="D706">
        <f t="shared" ref="D706:D769" si="45">IF(C706="Platinum",0,
 IF(C706="Gold",1000000-B706,
 IF(C706="Silver",500000-B706,
 IF(C706="Regular",100000-B706,0))))</f>
        <v>91749</v>
      </c>
      <c r="E706" s="6">
        <f t="shared" ref="E706:E769" si="46">B706/SUM(B:B)</f>
        <v>1.4410473164597502E-4</v>
      </c>
      <c r="F706" s="5">
        <f ca="1">TODAY()-GETPIVOTDATA("LastPurchaseDate",MaxDate!$A$3,"Customer_name",MaxDate!A708)</f>
        <v>142</v>
      </c>
      <c r="G706" t="str">
        <f t="shared" ref="G706:G769" ca="1" si="47">IF(F706="","",
 IF(F706&lt;=60,"Active",
 IF(F706&lt;=120,"At Risk","Inactive")))</f>
        <v>Inactive</v>
      </c>
      <c r="H706" s="13">
        <f>RANK(B706,Customer_Tiers[Total_Sales])</f>
        <v>705</v>
      </c>
    </row>
    <row r="707" spans="1:8">
      <c r="A707" t="str">
        <f>'Top Customers'!A709</f>
        <v>POTTAKKAN KRUZE</v>
      </c>
      <c r="B707" s="5">
        <f>IF(A707="","",IFERROR(GETPIVOTDATA("Sales Amount",'Top Customers'!$A$3,"Customer_name",'Top Customers'!A709),""))</f>
        <v>8250</v>
      </c>
      <c r="C707" t="str">
        <f t="shared" si="44"/>
        <v>Regular</v>
      </c>
      <c r="D707">
        <f t="shared" si="45"/>
        <v>91750</v>
      </c>
      <c r="E707" s="6">
        <f t="shared" si="46"/>
        <v>1.4408726652276015E-4</v>
      </c>
      <c r="F707" s="5">
        <f ca="1">TODAY()-GETPIVOTDATA("LastPurchaseDate",MaxDate!$A$3,"Customer_name",MaxDate!A709)</f>
        <v>176</v>
      </c>
      <c r="G707" t="str">
        <f t="shared" ca="1" si="47"/>
        <v>Inactive</v>
      </c>
      <c r="H707" s="13">
        <f>RANK(B707,Customer_Tiers[Total_Sales])</f>
        <v>706</v>
      </c>
    </row>
    <row r="708" spans="1:8">
      <c r="A708" t="str">
        <f>'Top Customers'!A710</f>
        <v>MANOJ M THOMAS</v>
      </c>
      <c r="B708" s="5">
        <f>IF(A708="","",IFERROR(GETPIVOTDATA("Sales Amount",'Top Customers'!$A$3,"Customer_name",'Top Customers'!A710),""))</f>
        <v>8199</v>
      </c>
      <c r="C708" t="str">
        <f t="shared" si="44"/>
        <v>Regular</v>
      </c>
      <c r="D708">
        <f t="shared" si="45"/>
        <v>91801</v>
      </c>
      <c r="E708" s="6">
        <f t="shared" si="46"/>
        <v>1.4319654523880127E-4</v>
      </c>
      <c r="F708" s="5">
        <f ca="1">TODAY()-GETPIVOTDATA("LastPurchaseDate",MaxDate!$A$3,"Customer_name",MaxDate!A710)</f>
        <v>120</v>
      </c>
      <c r="G708" t="str">
        <f t="shared" ca="1" si="47"/>
        <v>At Risk</v>
      </c>
      <c r="H708" s="13">
        <f>RANK(B708,Customer_Tiers[Total_Sales])</f>
        <v>707</v>
      </c>
    </row>
    <row r="709" spans="1:8">
      <c r="A709" t="str">
        <f>'Top Customers'!A711</f>
        <v>MOHANAN NJARALLOOR</v>
      </c>
      <c r="B709" s="5">
        <f>IF(A709="","",IFERROR(GETPIVOTDATA("Sales Amount",'Top Customers'!$A$3,"Customer_name",'Top Customers'!A711),""))</f>
        <v>8190</v>
      </c>
      <c r="C709" t="str">
        <f t="shared" si="44"/>
        <v>Regular</v>
      </c>
      <c r="D709">
        <f t="shared" si="45"/>
        <v>91810</v>
      </c>
      <c r="E709" s="6">
        <f t="shared" si="46"/>
        <v>1.4303935912986733E-4</v>
      </c>
      <c r="F709" s="5">
        <f ca="1">TODAY()-GETPIVOTDATA("LastPurchaseDate",MaxDate!$A$3,"Customer_name",MaxDate!A711)</f>
        <v>234</v>
      </c>
      <c r="G709" t="str">
        <f t="shared" ca="1" si="47"/>
        <v>Inactive</v>
      </c>
      <c r="H709" s="13">
        <f>RANK(B709,Customer_Tiers[Total_Sales])</f>
        <v>708</v>
      </c>
    </row>
    <row r="710" spans="1:8">
      <c r="A710" t="str">
        <f>'Top Customers'!A712</f>
        <v>CARE AND CARE ASSOCIATES AND BUILDERS</v>
      </c>
      <c r="B710" s="5">
        <f>IF(A710="","",IFERROR(GETPIVOTDATA("Sales Amount",'Top Customers'!$A$3,"Customer_name",'Top Customers'!A712),""))</f>
        <v>8170</v>
      </c>
      <c r="C710" t="str">
        <f t="shared" si="44"/>
        <v>Regular</v>
      </c>
      <c r="D710">
        <f t="shared" si="45"/>
        <v>91830</v>
      </c>
      <c r="E710" s="6">
        <f t="shared" si="46"/>
        <v>1.4269005666556973E-4</v>
      </c>
      <c r="F710" s="5">
        <f ca="1">TODAY()-GETPIVOTDATA("LastPurchaseDate",MaxDate!$A$3,"Customer_name",MaxDate!A712)</f>
        <v>59</v>
      </c>
      <c r="G710" t="str">
        <f t="shared" ca="1" si="47"/>
        <v>Active</v>
      </c>
      <c r="H710" s="13">
        <f>RANK(B710,Customer_Tiers[Total_Sales])</f>
        <v>709</v>
      </c>
    </row>
    <row r="711" spans="1:8">
      <c r="A711" t="str">
        <f>'Top Customers'!A713</f>
        <v>BINDHU G NAIR</v>
      </c>
      <c r="B711" s="5">
        <f>IF(A711="","",IFERROR(GETPIVOTDATA("Sales Amount",'Top Customers'!$A$3,"Customer_name",'Top Customers'!A713),""))</f>
        <v>8130</v>
      </c>
      <c r="C711" t="str">
        <f t="shared" si="44"/>
        <v>Regular</v>
      </c>
      <c r="D711">
        <f t="shared" si="45"/>
        <v>91870</v>
      </c>
      <c r="E711" s="6">
        <f t="shared" si="46"/>
        <v>1.4199145173697454E-4</v>
      </c>
      <c r="F711" s="5">
        <f ca="1">TODAY()-GETPIVOTDATA("LastPurchaseDate",MaxDate!$A$3,"Customer_name",MaxDate!A713)</f>
        <v>279</v>
      </c>
      <c r="G711" t="str">
        <f t="shared" ca="1" si="47"/>
        <v>Inactive</v>
      </c>
      <c r="H711" s="13">
        <f>RANK(B711,Customer_Tiers[Total_Sales])</f>
        <v>710</v>
      </c>
    </row>
    <row r="712" spans="1:8">
      <c r="A712" t="str">
        <f>'Top Customers'!A714</f>
        <v>VINOD CHOORAKODE</v>
      </c>
      <c r="B712" s="5">
        <f>IF(A712="","",IFERROR(GETPIVOTDATA("Sales Amount",'Top Customers'!$A$3,"Customer_name",'Top Customers'!A714),""))</f>
        <v>8056</v>
      </c>
      <c r="C712" t="str">
        <f t="shared" si="44"/>
        <v>Regular</v>
      </c>
      <c r="D712">
        <f t="shared" si="45"/>
        <v>91944</v>
      </c>
      <c r="E712" s="6">
        <f t="shared" si="46"/>
        <v>1.4069903261907342E-4</v>
      </c>
      <c r="F712" s="5">
        <f ca="1">TODAY()-GETPIVOTDATA("LastPurchaseDate",MaxDate!$A$3,"Customer_name",MaxDate!A714)</f>
        <v>291</v>
      </c>
      <c r="G712" t="str">
        <f t="shared" ca="1" si="47"/>
        <v>Inactive</v>
      </c>
      <c r="H712" s="13">
        <f>RANK(B712,Customer_Tiers[Total_Sales])</f>
        <v>711</v>
      </c>
    </row>
    <row r="713" spans="1:8">
      <c r="A713" t="str">
        <f>'Top Customers'!A715</f>
        <v>SAJEEVAN</v>
      </c>
      <c r="B713" s="5">
        <f>IF(A713="","",IFERROR(GETPIVOTDATA("Sales Amount",'Top Customers'!$A$3,"Customer_name",'Top Customers'!A715),""))</f>
        <v>8052</v>
      </c>
      <c r="C713" t="str">
        <f t="shared" si="44"/>
        <v>Regular</v>
      </c>
      <c r="D713">
        <f t="shared" si="45"/>
        <v>91948</v>
      </c>
      <c r="E713" s="6">
        <f t="shared" si="46"/>
        <v>1.4062917212621389E-4</v>
      </c>
      <c r="F713" s="5">
        <f ca="1">TODAY()-GETPIVOTDATA("LastPurchaseDate",MaxDate!$A$3,"Customer_name",MaxDate!A715)</f>
        <v>249</v>
      </c>
      <c r="G713" t="str">
        <f t="shared" ca="1" si="47"/>
        <v>Inactive</v>
      </c>
      <c r="H713" s="13">
        <f>RANK(B713,Customer_Tiers[Total_Sales])</f>
        <v>712</v>
      </c>
    </row>
    <row r="714" spans="1:8">
      <c r="A714" t="str">
        <f>'Top Customers'!A716</f>
        <v>MATHAI P P</v>
      </c>
      <c r="B714" s="5">
        <f>IF(A714="","",IFERROR(GETPIVOTDATA("Sales Amount",'Top Customers'!$A$3,"Customer_name",'Top Customers'!A716),""))</f>
        <v>8040</v>
      </c>
      <c r="C714" t="str">
        <f t="shared" si="44"/>
        <v>Regular</v>
      </c>
      <c r="D714">
        <f t="shared" si="45"/>
        <v>91960</v>
      </c>
      <c r="E714" s="6">
        <f t="shared" si="46"/>
        <v>1.4041959064763535E-4</v>
      </c>
      <c r="F714" s="5">
        <f ca="1">TODAY()-GETPIVOTDATA("LastPurchaseDate",MaxDate!$A$3,"Customer_name",MaxDate!A716)</f>
        <v>318</v>
      </c>
      <c r="G714" t="str">
        <f t="shared" ca="1" si="47"/>
        <v>Inactive</v>
      </c>
      <c r="H714" s="13">
        <f>RANK(B714,Customer_Tiers[Total_Sales])</f>
        <v>713</v>
      </c>
    </row>
    <row r="715" spans="1:8">
      <c r="A715" t="str">
        <f>'Top Customers'!A717</f>
        <v>MOHANAN MAZHUVANNOOR</v>
      </c>
      <c r="B715" s="5">
        <f>IF(A715="","",IFERROR(GETPIVOTDATA("Sales Amount",'Top Customers'!$A$3,"Customer_name",'Top Customers'!A717),""))</f>
        <v>8015</v>
      </c>
      <c r="C715" t="str">
        <f t="shared" si="44"/>
        <v>Regular</v>
      </c>
      <c r="D715">
        <f t="shared" si="45"/>
        <v>91985</v>
      </c>
      <c r="E715" s="6">
        <f t="shared" si="46"/>
        <v>1.3998296256726334E-4</v>
      </c>
      <c r="F715" s="5">
        <f ca="1">TODAY()-GETPIVOTDATA("LastPurchaseDate",MaxDate!$A$3,"Customer_name",MaxDate!A717)</f>
        <v>115</v>
      </c>
      <c r="G715" t="str">
        <f t="shared" ca="1" si="47"/>
        <v>At Risk</v>
      </c>
      <c r="H715" s="13">
        <f>RANK(B715,Customer_Tiers[Total_Sales])</f>
        <v>714</v>
      </c>
    </row>
    <row r="716" spans="1:8">
      <c r="A716" t="str">
        <f>'Top Customers'!A718</f>
        <v>ROBIN RAVI</v>
      </c>
      <c r="B716" s="5">
        <f>IF(A716="","",IFERROR(GETPIVOTDATA("Sales Amount",'Top Customers'!$A$3,"Customer_name",'Top Customers'!A718),""))</f>
        <v>7995</v>
      </c>
      <c r="C716" t="str">
        <f t="shared" si="44"/>
        <v>Regular</v>
      </c>
      <c r="D716">
        <f t="shared" si="45"/>
        <v>92005</v>
      </c>
      <c r="E716" s="6">
        <f t="shared" si="46"/>
        <v>1.3963366010296573E-4</v>
      </c>
      <c r="F716" s="5">
        <f ca="1">TODAY()-GETPIVOTDATA("LastPurchaseDate",MaxDate!$A$3,"Customer_name",MaxDate!A718)</f>
        <v>148</v>
      </c>
      <c r="G716" t="str">
        <f t="shared" ca="1" si="47"/>
        <v>Inactive</v>
      </c>
      <c r="H716" s="13">
        <f>RANK(B716,Customer_Tiers[Total_Sales])</f>
        <v>715</v>
      </c>
    </row>
    <row r="717" spans="1:8">
      <c r="A717" t="str">
        <f>'Top Customers'!A719</f>
        <v>VASUDHEVAN</v>
      </c>
      <c r="B717" s="5">
        <f>IF(A717="","",IFERROR(GETPIVOTDATA("Sales Amount",'Top Customers'!$A$3,"Customer_name",'Top Customers'!A719),""))</f>
        <v>7930</v>
      </c>
      <c r="C717" t="str">
        <f t="shared" si="44"/>
        <v>Regular</v>
      </c>
      <c r="D717">
        <f t="shared" si="45"/>
        <v>92070</v>
      </c>
      <c r="E717" s="6">
        <f t="shared" si="46"/>
        <v>1.3849842709399854E-4</v>
      </c>
      <c r="F717" s="5">
        <f ca="1">TODAY()-GETPIVOTDATA("LastPurchaseDate",MaxDate!$A$3,"Customer_name",MaxDate!A719)</f>
        <v>333</v>
      </c>
      <c r="G717" t="str">
        <f t="shared" ca="1" si="47"/>
        <v>Inactive</v>
      </c>
      <c r="H717" s="13">
        <f>RANK(B717,Customer_Tiers[Total_Sales])</f>
        <v>716</v>
      </c>
    </row>
    <row r="718" spans="1:8">
      <c r="A718" t="str">
        <f>'Top Customers'!A720</f>
        <v>AAYISHA POLYMERS</v>
      </c>
      <c r="B718" s="5">
        <f>IF(A718="","",IFERROR(GETPIVOTDATA("Sales Amount",'Top Customers'!$A$3,"Customer_name",'Top Customers'!A720),""))</f>
        <v>7888</v>
      </c>
      <c r="C718" t="str">
        <f t="shared" si="44"/>
        <v>Regular</v>
      </c>
      <c r="D718">
        <f t="shared" si="45"/>
        <v>92112</v>
      </c>
      <c r="E718" s="6">
        <f t="shared" si="46"/>
        <v>1.3776489191897356E-4</v>
      </c>
      <c r="F718" s="5">
        <f ca="1">TODAY()-GETPIVOTDATA("LastPurchaseDate",MaxDate!$A$3,"Customer_name",MaxDate!A720)</f>
        <v>116</v>
      </c>
      <c r="G718" t="str">
        <f t="shared" ca="1" si="47"/>
        <v>At Risk</v>
      </c>
      <c r="H718" s="13">
        <f>RANK(B718,Customer_Tiers[Total_Sales])</f>
        <v>717</v>
      </c>
    </row>
    <row r="719" spans="1:8">
      <c r="A719" t="str">
        <f>'Top Customers'!A721</f>
        <v>PRAKASH CHENGARA</v>
      </c>
      <c r="B719" s="5">
        <f>IF(A719="","",IFERROR(GETPIVOTDATA("Sales Amount",'Top Customers'!$A$3,"Customer_name",'Top Customers'!A721),""))</f>
        <v>7793</v>
      </c>
      <c r="C719" t="str">
        <f t="shared" si="44"/>
        <v>Regular</v>
      </c>
      <c r="D719">
        <f t="shared" si="45"/>
        <v>92207</v>
      </c>
      <c r="E719" s="6">
        <f t="shared" si="46"/>
        <v>1.3610570521355996E-4</v>
      </c>
      <c r="F719" s="5">
        <f ca="1">TODAY()-GETPIVOTDATA("LastPurchaseDate",MaxDate!$A$3,"Customer_name",MaxDate!A721)</f>
        <v>145</v>
      </c>
      <c r="G719" t="str">
        <f t="shared" ca="1" si="47"/>
        <v>Inactive</v>
      </c>
      <c r="H719" s="13">
        <f>RANK(B719,Customer_Tiers[Total_Sales])</f>
        <v>718</v>
      </c>
    </row>
    <row r="720" spans="1:8">
      <c r="A720" t="str">
        <f>'Top Customers'!A722</f>
        <v>RADHIKA KUMMANODE</v>
      </c>
      <c r="B720" s="5">
        <f>IF(A720="","",IFERROR(GETPIVOTDATA("Sales Amount",'Top Customers'!$A$3,"Customer_name",'Top Customers'!A722),""))</f>
        <v>7753</v>
      </c>
      <c r="C720" t="str">
        <f t="shared" si="44"/>
        <v>Regular</v>
      </c>
      <c r="D720">
        <f t="shared" si="45"/>
        <v>92247</v>
      </c>
      <c r="E720" s="6">
        <f t="shared" si="46"/>
        <v>1.3540710028496478E-4</v>
      </c>
      <c r="F720" s="5">
        <f ca="1">TODAY()-GETPIVOTDATA("LastPurchaseDate",MaxDate!$A$3,"Customer_name",MaxDate!A722)</f>
        <v>117</v>
      </c>
      <c r="G720" t="str">
        <f t="shared" ca="1" si="47"/>
        <v>At Risk</v>
      </c>
      <c r="H720" s="13">
        <f>RANK(B720,Customer_Tiers[Total_Sales])</f>
        <v>719</v>
      </c>
    </row>
    <row r="721" spans="1:8">
      <c r="A721" t="str">
        <f>'Top Customers'!A723</f>
        <v>NIJAS MUVATTUPUZHA</v>
      </c>
      <c r="B721" s="5">
        <f>IF(A721="","",IFERROR(GETPIVOTDATA("Sales Amount",'Top Customers'!$A$3,"Customer_name",'Top Customers'!A723),""))</f>
        <v>7737</v>
      </c>
      <c r="C721" t="str">
        <f t="shared" si="44"/>
        <v>Regular</v>
      </c>
      <c r="D721">
        <f t="shared" si="45"/>
        <v>92263</v>
      </c>
      <c r="E721" s="6">
        <f t="shared" si="46"/>
        <v>1.3512765831352671E-4</v>
      </c>
      <c r="F721" s="5">
        <f ca="1">TODAY()-GETPIVOTDATA("LastPurchaseDate",MaxDate!$A$3,"Customer_name",MaxDate!A723)</f>
        <v>319</v>
      </c>
      <c r="G721" t="str">
        <f t="shared" ca="1" si="47"/>
        <v>Inactive</v>
      </c>
      <c r="H721" s="13">
        <f>RANK(B721,Customer_Tiers[Total_Sales])</f>
        <v>720</v>
      </c>
    </row>
    <row r="722" spans="1:8">
      <c r="A722" t="str">
        <f>'Top Customers'!A724</f>
        <v>MAKKAR ACE PATTIMATTOM</v>
      </c>
      <c r="B722" s="5">
        <f>IF(A722="","",IFERROR(GETPIVOTDATA("Sales Amount",'Top Customers'!$A$3,"Customer_name",'Top Customers'!A724),""))</f>
        <v>7700</v>
      </c>
      <c r="C722" t="str">
        <f t="shared" si="44"/>
        <v>Regular</v>
      </c>
      <c r="D722">
        <f t="shared" si="45"/>
        <v>92300</v>
      </c>
      <c r="E722" s="6">
        <f t="shared" si="46"/>
        <v>1.3448144875457613E-4</v>
      </c>
      <c r="F722" s="5">
        <f ca="1">TODAY()-GETPIVOTDATA("LastPurchaseDate",MaxDate!$A$3,"Customer_name",MaxDate!A724)</f>
        <v>33</v>
      </c>
      <c r="G722" t="str">
        <f t="shared" ca="1" si="47"/>
        <v>Active</v>
      </c>
      <c r="H722" s="13">
        <f>RANK(B722,Customer_Tiers[Total_Sales])</f>
        <v>721</v>
      </c>
    </row>
    <row r="723" spans="1:8">
      <c r="A723" t="str">
        <f>'Top Customers'!A725</f>
        <v>RAJU P.C VALAMBOOR</v>
      </c>
      <c r="B723" s="5">
        <f>IF(A723="","",IFERROR(GETPIVOTDATA("Sales Amount",'Top Customers'!$A$3,"Customer_name",'Top Customers'!A725),""))</f>
        <v>7631</v>
      </c>
      <c r="C723" t="str">
        <f t="shared" si="44"/>
        <v>Regular</v>
      </c>
      <c r="D723">
        <f t="shared" si="45"/>
        <v>92369</v>
      </c>
      <c r="E723" s="6">
        <f t="shared" si="46"/>
        <v>1.3327635525274941E-4</v>
      </c>
      <c r="F723" s="5">
        <f ca="1">TODAY()-GETPIVOTDATA("LastPurchaseDate",MaxDate!$A$3,"Customer_name",MaxDate!A725)</f>
        <v>288</v>
      </c>
      <c r="G723" t="str">
        <f t="shared" ca="1" si="47"/>
        <v>Inactive</v>
      </c>
      <c r="H723" s="13">
        <f>RANK(B723,Customer_Tiers[Total_Sales])</f>
        <v>722</v>
      </c>
    </row>
    <row r="724" spans="1:8">
      <c r="A724" t="str">
        <f>'Top Customers'!A726</f>
        <v>LAL KADAYIRUPPU</v>
      </c>
      <c r="B724" s="5">
        <f>IF(A724="","",IFERROR(GETPIVOTDATA("Sales Amount",'Top Customers'!$A$3,"Customer_name",'Top Customers'!A726),""))</f>
        <v>7610</v>
      </c>
      <c r="C724" t="str">
        <f t="shared" si="44"/>
        <v>Regular</v>
      </c>
      <c r="D724">
        <f t="shared" si="45"/>
        <v>92390</v>
      </c>
      <c r="E724" s="6">
        <f t="shared" si="46"/>
        <v>1.3290958766523693E-4</v>
      </c>
      <c r="F724" s="5">
        <f ca="1">TODAY()-GETPIVOTDATA("LastPurchaseDate",MaxDate!$A$3,"Customer_name",MaxDate!A726)</f>
        <v>220</v>
      </c>
      <c r="G724" t="str">
        <f t="shared" ca="1" si="47"/>
        <v>Inactive</v>
      </c>
      <c r="H724" s="13">
        <f>RANK(B724,Customer_Tiers[Total_Sales])</f>
        <v>723</v>
      </c>
    </row>
    <row r="725" spans="1:8">
      <c r="A725" t="str">
        <f>'Top Customers'!A727</f>
        <v>PAVITHRAN KOTTAMALA</v>
      </c>
      <c r="B725" s="5">
        <f>IF(A725="","",IFERROR(GETPIVOTDATA("Sales Amount",'Top Customers'!$A$3,"Customer_name",'Top Customers'!A727),""))</f>
        <v>7608</v>
      </c>
      <c r="C725" t="str">
        <f t="shared" si="44"/>
        <v>Regular</v>
      </c>
      <c r="D725">
        <f t="shared" si="45"/>
        <v>92392</v>
      </c>
      <c r="E725" s="6">
        <f t="shared" si="46"/>
        <v>1.3287465741880717E-4</v>
      </c>
      <c r="F725" s="5">
        <f ca="1">TODAY()-GETPIVOTDATA("LastPurchaseDate",MaxDate!$A$3,"Customer_name",MaxDate!A727)</f>
        <v>102</v>
      </c>
      <c r="G725" t="str">
        <f t="shared" ca="1" si="47"/>
        <v>At Risk</v>
      </c>
      <c r="H725" s="13">
        <f>RANK(B725,Customer_Tiers[Total_Sales])</f>
        <v>724</v>
      </c>
    </row>
    <row r="726" spans="1:8">
      <c r="A726" t="str">
        <f>'Top Customers'!A728</f>
        <v>VISMAYA CONSTRUCTION</v>
      </c>
      <c r="B726" s="5">
        <f>IF(A726="","",IFERROR(GETPIVOTDATA("Sales Amount",'Top Customers'!$A$3,"Customer_name",'Top Customers'!A728),""))</f>
        <v>7600</v>
      </c>
      <c r="C726" t="str">
        <f t="shared" si="44"/>
        <v>Regular</v>
      </c>
      <c r="D726">
        <f t="shared" si="45"/>
        <v>92400</v>
      </c>
      <c r="E726" s="6">
        <f t="shared" si="46"/>
        <v>1.3273493643308813E-4</v>
      </c>
      <c r="F726" s="5">
        <f ca="1">TODAY()-GETPIVOTDATA("LastPurchaseDate",MaxDate!$A$3,"Customer_name",MaxDate!A728)</f>
        <v>293</v>
      </c>
      <c r="G726" t="str">
        <f t="shared" ca="1" si="47"/>
        <v>Inactive</v>
      </c>
      <c r="H726" s="13">
        <f>RANK(B726,Customer_Tiers[Total_Sales])</f>
        <v>725</v>
      </c>
    </row>
    <row r="727" spans="1:8">
      <c r="A727" t="str">
        <f>'Top Customers'!A729</f>
        <v>ASHARAF VEGETABLE SHOP 1</v>
      </c>
      <c r="B727" s="5">
        <f>IF(A727="","",IFERROR(GETPIVOTDATA("Sales Amount",'Top Customers'!$A$3,"Customer_name",'Top Customers'!A729),""))</f>
        <v>7573</v>
      </c>
      <c r="C727" t="str">
        <f t="shared" si="44"/>
        <v>Regular</v>
      </c>
      <c r="D727">
        <f t="shared" si="45"/>
        <v>92427</v>
      </c>
      <c r="E727" s="6">
        <f t="shared" si="46"/>
        <v>1.3226337810628638E-4</v>
      </c>
      <c r="F727" s="5">
        <f ca="1">TODAY()-GETPIVOTDATA("LastPurchaseDate",MaxDate!$A$3,"Customer_name",MaxDate!A729)</f>
        <v>319</v>
      </c>
      <c r="G727" t="str">
        <f t="shared" ca="1" si="47"/>
        <v>Inactive</v>
      </c>
      <c r="H727" s="13">
        <f>RANK(B727,Customer_Tiers[Total_Sales])</f>
        <v>726</v>
      </c>
    </row>
    <row r="728" spans="1:8">
      <c r="A728" t="str">
        <f>'Top Customers'!A730</f>
        <v>AJAS K A</v>
      </c>
      <c r="B728" s="5">
        <f>IF(A728="","",IFERROR(GETPIVOTDATA("Sales Amount",'Top Customers'!$A$3,"Customer_name",'Top Customers'!A730),""))</f>
        <v>7532</v>
      </c>
      <c r="C728" t="str">
        <f t="shared" si="44"/>
        <v>Regular</v>
      </c>
      <c r="D728">
        <f t="shared" si="45"/>
        <v>92468</v>
      </c>
      <c r="E728" s="6">
        <f t="shared" si="46"/>
        <v>1.315473080544763E-4</v>
      </c>
      <c r="F728" s="5">
        <f ca="1">TODAY()-GETPIVOTDATA("LastPurchaseDate",MaxDate!$A$3,"Customer_name",MaxDate!A730)</f>
        <v>38</v>
      </c>
      <c r="G728" t="str">
        <f t="shared" ca="1" si="47"/>
        <v>Active</v>
      </c>
      <c r="H728" s="13">
        <f>RANK(B728,Customer_Tiers[Total_Sales])</f>
        <v>727</v>
      </c>
    </row>
    <row r="729" spans="1:8">
      <c r="A729" t="str">
        <f>'Top Customers'!A731</f>
        <v>VIBIN ALLAPPARA</v>
      </c>
      <c r="B729" s="5">
        <f>IF(A729="","",IFERROR(GETPIVOTDATA("Sales Amount",'Top Customers'!$A$3,"Customer_name",'Top Customers'!A731),""))</f>
        <v>7513</v>
      </c>
      <c r="C729" t="str">
        <f t="shared" si="44"/>
        <v>Regular</v>
      </c>
      <c r="D729">
        <f t="shared" si="45"/>
        <v>92487</v>
      </c>
      <c r="E729" s="6">
        <f t="shared" si="46"/>
        <v>1.3121547071339357E-4</v>
      </c>
      <c r="F729" s="5">
        <f ca="1">TODAY()-GETPIVOTDATA("LastPurchaseDate",MaxDate!$A$3,"Customer_name",MaxDate!A731)</f>
        <v>324</v>
      </c>
      <c r="G729" t="str">
        <f t="shared" ca="1" si="47"/>
        <v>Inactive</v>
      </c>
      <c r="H729" s="13">
        <f>RANK(B729,Customer_Tiers[Total_Sales])</f>
        <v>728</v>
      </c>
    </row>
    <row r="730" spans="1:8">
      <c r="A730" t="str">
        <f>'Top Customers'!A732</f>
        <v>BASIL PAUL</v>
      </c>
      <c r="B730" s="5">
        <f>IF(A730="","",IFERROR(GETPIVOTDATA("Sales Amount",'Top Customers'!$A$3,"Customer_name",'Top Customers'!A732),""))</f>
        <v>7495</v>
      </c>
      <c r="C730" t="str">
        <f t="shared" si="44"/>
        <v>Regular</v>
      </c>
      <c r="D730">
        <f t="shared" si="45"/>
        <v>92505</v>
      </c>
      <c r="E730" s="6">
        <f t="shared" si="46"/>
        <v>1.3090109849552573E-4</v>
      </c>
      <c r="F730" s="5">
        <f ca="1">TODAY()-GETPIVOTDATA("LastPurchaseDate",MaxDate!$A$3,"Customer_name",MaxDate!A732)</f>
        <v>298</v>
      </c>
      <c r="G730" t="str">
        <f t="shared" ca="1" si="47"/>
        <v>Inactive</v>
      </c>
      <c r="H730" s="13">
        <f>RANK(B730,Customer_Tiers[Total_Sales])</f>
        <v>729</v>
      </c>
    </row>
    <row r="731" spans="1:8">
      <c r="A731" t="str">
        <f>'Top Customers'!A733</f>
        <v>SAJAN GEORGE</v>
      </c>
      <c r="B731" s="5">
        <f>IF(A731="","",IFERROR(GETPIVOTDATA("Sales Amount",'Top Customers'!$A$3,"Customer_name",'Top Customers'!A733),""))</f>
        <v>7477</v>
      </c>
      <c r="C731" t="str">
        <f t="shared" si="44"/>
        <v>Regular</v>
      </c>
      <c r="D731">
        <f t="shared" si="45"/>
        <v>92523</v>
      </c>
      <c r="E731" s="6">
        <f t="shared" si="46"/>
        <v>1.3058672627765789E-4</v>
      </c>
      <c r="F731" s="5">
        <f ca="1">TODAY()-GETPIVOTDATA("LastPurchaseDate",MaxDate!$A$3,"Customer_name",MaxDate!A733)</f>
        <v>90</v>
      </c>
      <c r="G731" t="str">
        <f t="shared" ca="1" si="47"/>
        <v>At Risk</v>
      </c>
      <c r="H731" s="13">
        <f>RANK(B731,Customer_Tiers[Total_Sales])</f>
        <v>730</v>
      </c>
    </row>
    <row r="732" spans="1:8">
      <c r="A732" t="str">
        <f>'Top Customers'!A734</f>
        <v>VISHNU PATTIMATTOM</v>
      </c>
      <c r="B732" s="5">
        <f>IF(A732="","",IFERROR(GETPIVOTDATA("Sales Amount",'Top Customers'!$A$3,"Customer_name",'Top Customers'!A734),""))</f>
        <v>7465</v>
      </c>
      <c r="C732" t="str">
        <f t="shared" si="44"/>
        <v>Regular</v>
      </c>
      <c r="D732">
        <f t="shared" si="45"/>
        <v>92535</v>
      </c>
      <c r="E732" s="6">
        <f t="shared" si="46"/>
        <v>1.3037714479907932E-4</v>
      </c>
      <c r="F732" s="5">
        <f ca="1">TODAY()-GETPIVOTDATA("LastPurchaseDate",MaxDate!$A$3,"Customer_name",MaxDate!A734)</f>
        <v>271</v>
      </c>
      <c r="G732" t="str">
        <f t="shared" ca="1" si="47"/>
        <v>Inactive</v>
      </c>
      <c r="H732" s="13">
        <f>RANK(B732,Customer_Tiers[Total_Sales])</f>
        <v>731</v>
      </c>
    </row>
    <row r="733" spans="1:8">
      <c r="A733" t="str">
        <f>'Top Customers'!A735</f>
        <v>RAJAN , VALAMBOOR</v>
      </c>
      <c r="B733" s="5">
        <f>IF(A733="","",IFERROR(GETPIVOTDATA("Sales Amount",'Top Customers'!$A$3,"Customer_name",'Top Customers'!A735),""))</f>
        <v>7455</v>
      </c>
      <c r="C733" t="str">
        <f t="shared" si="44"/>
        <v>Regular</v>
      </c>
      <c r="D733">
        <f t="shared" si="45"/>
        <v>92545</v>
      </c>
      <c r="E733" s="6">
        <f t="shared" si="46"/>
        <v>1.3020249356693054E-4</v>
      </c>
      <c r="F733" s="5">
        <f ca="1">TODAY()-GETPIVOTDATA("LastPurchaseDate",MaxDate!$A$3,"Customer_name",MaxDate!A735)</f>
        <v>212</v>
      </c>
      <c r="G733" t="str">
        <f t="shared" ca="1" si="47"/>
        <v>Inactive</v>
      </c>
      <c r="H733" s="13">
        <f>RANK(B733,Customer_Tiers[Total_Sales])</f>
        <v>732</v>
      </c>
    </row>
    <row r="734" spans="1:8">
      <c r="A734" t="str">
        <f>'Top Customers'!A736</f>
        <v>GK POWERTRONICS</v>
      </c>
      <c r="B734" s="5">
        <f>IF(A734="","",IFERROR(GETPIVOTDATA("Sales Amount",'Top Customers'!$A$3,"Customer_name",'Top Customers'!A736),""))</f>
        <v>7429</v>
      </c>
      <c r="C734" t="str">
        <f t="shared" si="44"/>
        <v>Regular</v>
      </c>
      <c r="D734">
        <f t="shared" si="45"/>
        <v>92571</v>
      </c>
      <c r="E734" s="6">
        <f t="shared" si="46"/>
        <v>1.2974840036334364E-4</v>
      </c>
      <c r="F734" s="5">
        <f ca="1">TODAY()-GETPIVOTDATA("LastPurchaseDate",MaxDate!$A$3,"Customer_name",MaxDate!A736)</f>
        <v>8</v>
      </c>
      <c r="G734" t="str">
        <f t="shared" ca="1" si="47"/>
        <v>Active</v>
      </c>
      <c r="H734" s="13">
        <f>RANK(B734,Customer_Tiers[Total_Sales])</f>
        <v>733</v>
      </c>
    </row>
    <row r="735" spans="1:8">
      <c r="A735" t="str">
        <f>'Top Customers'!A737</f>
        <v>ALAVU</v>
      </c>
      <c r="B735" s="5">
        <f>IF(A735="","",IFERROR(GETPIVOTDATA("Sales Amount",'Top Customers'!$A$3,"Customer_name",'Top Customers'!A737),""))</f>
        <v>7400</v>
      </c>
      <c r="C735" t="str">
        <f t="shared" si="44"/>
        <v>Regular</v>
      </c>
      <c r="D735">
        <f t="shared" si="45"/>
        <v>92600</v>
      </c>
      <c r="E735" s="6">
        <f t="shared" si="46"/>
        <v>1.2924191179011213E-4</v>
      </c>
      <c r="F735" s="5">
        <f ca="1">TODAY()-GETPIVOTDATA("LastPurchaseDate",MaxDate!$A$3,"Customer_name",MaxDate!A737)</f>
        <v>235</v>
      </c>
      <c r="G735" t="str">
        <f t="shared" ca="1" si="47"/>
        <v>Inactive</v>
      </c>
      <c r="H735" s="13">
        <f>RANK(B735,Customer_Tiers[Total_Sales])</f>
        <v>734</v>
      </c>
    </row>
    <row r="736" spans="1:8">
      <c r="A736" t="str">
        <f>'Top Customers'!A738</f>
        <v>CHUNKS BAKERY</v>
      </c>
      <c r="B736" s="5">
        <f>IF(A736="","",IFERROR(GETPIVOTDATA("Sales Amount",'Top Customers'!$A$3,"Customer_name",'Top Customers'!A738),""))</f>
        <v>7393</v>
      </c>
      <c r="C736" t="str">
        <f t="shared" si="44"/>
        <v>Regular</v>
      </c>
      <c r="D736">
        <f t="shared" si="45"/>
        <v>92607</v>
      </c>
      <c r="E736" s="6">
        <f t="shared" si="46"/>
        <v>1.2911965592760796E-4</v>
      </c>
      <c r="F736" s="5">
        <f ca="1">TODAY()-GETPIVOTDATA("LastPurchaseDate",MaxDate!$A$3,"Customer_name",MaxDate!A738)</f>
        <v>50</v>
      </c>
      <c r="G736" t="str">
        <f t="shared" ca="1" si="47"/>
        <v>Active</v>
      </c>
      <c r="H736" s="13">
        <f>RANK(B736,Customer_Tiers[Total_Sales])</f>
        <v>735</v>
      </c>
    </row>
    <row r="737" spans="1:8">
      <c r="A737" t="str">
        <f>'Top Customers'!A739</f>
        <v>VIJAYAN KAYYANIKKAL</v>
      </c>
      <c r="B737" s="5">
        <f>IF(A737="","",IFERROR(GETPIVOTDATA("Sales Amount",'Top Customers'!$A$3,"Customer_name",'Top Customers'!A739),""))</f>
        <v>7360</v>
      </c>
      <c r="C737" t="str">
        <f t="shared" si="44"/>
        <v>Regular</v>
      </c>
      <c r="D737">
        <f t="shared" si="45"/>
        <v>92640</v>
      </c>
      <c r="E737" s="6">
        <f t="shared" si="46"/>
        <v>1.2854330686151692E-4</v>
      </c>
      <c r="F737" s="5">
        <f ca="1">TODAY()-GETPIVOTDATA("LastPurchaseDate",MaxDate!$A$3,"Customer_name",MaxDate!A739)</f>
        <v>26</v>
      </c>
      <c r="G737" t="str">
        <f t="shared" ca="1" si="47"/>
        <v>Active</v>
      </c>
      <c r="H737" s="13">
        <f>RANK(B737,Customer_Tiers[Total_Sales])</f>
        <v>736</v>
      </c>
    </row>
    <row r="738" spans="1:8">
      <c r="A738" t="str">
        <f>'Top Customers'!A740</f>
        <v>BABU TRUSS</v>
      </c>
      <c r="B738" s="5">
        <f>IF(A738="","",IFERROR(GETPIVOTDATA("Sales Amount",'Top Customers'!$A$3,"Customer_name",'Top Customers'!A740),""))</f>
        <v>7354</v>
      </c>
      <c r="C738" t="str">
        <f t="shared" si="44"/>
        <v>Regular</v>
      </c>
      <c r="D738">
        <f t="shared" si="45"/>
        <v>92646</v>
      </c>
      <c r="E738" s="6">
        <f t="shared" si="46"/>
        <v>1.2843851612222764E-4</v>
      </c>
      <c r="F738" s="5">
        <f ca="1">TODAY()-GETPIVOTDATA("LastPurchaseDate",MaxDate!$A$3,"Customer_name",MaxDate!A740)</f>
        <v>162</v>
      </c>
      <c r="G738" t="str">
        <f t="shared" ca="1" si="47"/>
        <v>Inactive</v>
      </c>
      <c r="H738" s="13">
        <f>RANK(B738,Customer_Tiers[Total_Sales])</f>
        <v>737</v>
      </c>
    </row>
    <row r="739" spans="1:8">
      <c r="A739" t="str">
        <f>'Top Customers'!A741</f>
        <v>AJITH VIJAYAN</v>
      </c>
      <c r="B739" s="5">
        <f>IF(A739="","",IFERROR(GETPIVOTDATA("Sales Amount",'Top Customers'!$A$3,"Customer_name",'Top Customers'!A741),""))</f>
        <v>7300</v>
      </c>
      <c r="C739" t="str">
        <f t="shared" si="44"/>
        <v>Regular</v>
      </c>
      <c r="D739">
        <f t="shared" si="45"/>
        <v>92700</v>
      </c>
      <c r="E739" s="6">
        <f t="shared" si="46"/>
        <v>1.2749539946862413E-4</v>
      </c>
      <c r="F739" s="5">
        <f ca="1">TODAY()-GETPIVOTDATA("LastPurchaseDate",MaxDate!$A$3,"Customer_name",MaxDate!A741)</f>
        <v>50</v>
      </c>
      <c r="G739" t="str">
        <f t="shared" ca="1" si="47"/>
        <v>Active</v>
      </c>
      <c r="H739" s="13">
        <f>RANK(B739,Customer_Tiers[Total_Sales])</f>
        <v>738</v>
      </c>
    </row>
    <row r="740" spans="1:8">
      <c r="A740" t="str">
        <f>'Top Customers'!A742</f>
        <v>SHINOJ VALAMBOOR</v>
      </c>
      <c r="B740" s="5">
        <f>IF(A740="","",IFERROR(GETPIVOTDATA("Sales Amount",'Top Customers'!$A$3,"Customer_name",'Top Customers'!A742),""))</f>
        <v>7296</v>
      </c>
      <c r="C740" t="str">
        <f t="shared" si="44"/>
        <v>Regular</v>
      </c>
      <c r="D740">
        <f t="shared" si="45"/>
        <v>92704</v>
      </c>
      <c r="E740" s="6">
        <f t="shared" si="46"/>
        <v>1.2742553897576459E-4</v>
      </c>
      <c r="F740" s="5">
        <f ca="1">TODAY()-GETPIVOTDATA("LastPurchaseDate",MaxDate!$A$3,"Customer_name",MaxDate!A742)</f>
        <v>6</v>
      </c>
      <c r="G740" t="str">
        <f t="shared" ca="1" si="47"/>
        <v>Active</v>
      </c>
      <c r="H740" s="13">
        <f>RANK(B740,Customer_Tiers[Total_Sales])</f>
        <v>739</v>
      </c>
    </row>
    <row r="741" spans="1:8">
      <c r="A741" t="str">
        <f>'Top Customers'!A743</f>
        <v>JOBIN KOLAMKUDY</v>
      </c>
      <c r="B741" s="5">
        <f>IF(A741="","",IFERROR(GETPIVOTDATA("Sales Amount",'Top Customers'!$A$3,"Customer_name",'Top Customers'!A743),""))</f>
        <v>7165</v>
      </c>
      <c r="C741" t="str">
        <f t="shared" si="44"/>
        <v>Regular</v>
      </c>
      <c r="D741">
        <f t="shared" si="45"/>
        <v>92835</v>
      </c>
      <c r="E741" s="6">
        <f t="shared" si="46"/>
        <v>1.2513760783461531E-4</v>
      </c>
      <c r="F741" s="5">
        <f ca="1">TODAY()-GETPIVOTDATA("LastPurchaseDate",MaxDate!$A$3,"Customer_name",MaxDate!A743)</f>
        <v>64</v>
      </c>
      <c r="G741" t="str">
        <f t="shared" ca="1" si="47"/>
        <v>At Risk</v>
      </c>
      <c r="H741" s="13">
        <f>RANK(B741,Customer_Tiers[Total_Sales])</f>
        <v>740</v>
      </c>
    </row>
    <row r="742" spans="1:8">
      <c r="A742" t="str">
        <f>'Top Customers'!A744</f>
        <v>AMAZING GRACE MINISTIRES RELIGOUS &amp;CHARITABLE TRUST</v>
      </c>
      <c r="B742" s="5">
        <f>IF(A742="","",IFERROR(GETPIVOTDATA("Sales Amount",'Top Customers'!$A$3,"Customer_name",'Top Customers'!A744),""))</f>
        <v>7115</v>
      </c>
      <c r="C742" t="str">
        <f t="shared" si="44"/>
        <v>Regular</v>
      </c>
      <c r="D742">
        <f t="shared" si="45"/>
        <v>92885</v>
      </c>
      <c r="E742" s="6">
        <f t="shared" si="46"/>
        <v>1.2426435167387133E-4</v>
      </c>
      <c r="F742" s="5">
        <f ca="1">TODAY()-GETPIVOTDATA("LastPurchaseDate",MaxDate!$A$3,"Customer_name",MaxDate!A744)</f>
        <v>333</v>
      </c>
      <c r="G742" t="str">
        <f t="shared" ca="1" si="47"/>
        <v>Inactive</v>
      </c>
      <c r="H742" s="13">
        <f>RANK(B742,Customer_Tiers[Total_Sales])</f>
        <v>741</v>
      </c>
    </row>
    <row r="743" spans="1:8">
      <c r="A743" t="str">
        <f>'Top Customers'!A745</f>
        <v>MURSHID DOUBLEPALAM</v>
      </c>
      <c r="B743" s="5">
        <f>IF(A743="","",IFERROR(GETPIVOTDATA("Sales Amount",'Top Customers'!$A$3,"Customer_name",'Top Customers'!A745),""))</f>
        <v>7112</v>
      </c>
      <c r="C743" t="str">
        <f t="shared" si="44"/>
        <v>Regular</v>
      </c>
      <c r="D743">
        <f t="shared" si="45"/>
        <v>92888</v>
      </c>
      <c r="E743" s="6">
        <f t="shared" si="46"/>
        <v>1.2421195630422669E-4</v>
      </c>
      <c r="F743" s="5">
        <f ca="1">TODAY()-GETPIVOTDATA("LastPurchaseDate",MaxDate!$A$3,"Customer_name",MaxDate!A745)</f>
        <v>24</v>
      </c>
      <c r="G743" t="str">
        <f t="shared" ca="1" si="47"/>
        <v>Active</v>
      </c>
      <c r="H743" s="13">
        <f>RANK(B743,Customer_Tiers[Total_Sales])</f>
        <v>742</v>
      </c>
    </row>
    <row r="744" spans="1:8">
      <c r="A744" t="str">
        <f>'Top Customers'!A746</f>
        <v>SUJI TRUSS</v>
      </c>
      <c r="B744" s="5">
        <f>IF(A744="","",IFERROR(GETPIVOTDATA("Sales Amount",'Top Customers'!$A$3,"Customer_name",'Top Customers'!A746),""))</f>
        <v>7055</v>
      </c>
      <c r="C744" t="str">
        <f t="shared" si="44"/>
        <v>Regular</v>
      </c>
      <c r="D744">
        <f t="shared" si="45"/>
        <v>92945</v>
      </c>
      <c r="E744" s="6">
        <f t="shared" si="46"/>
        <v>1.2321644428097851E-4</v>
      </c>
      <c r="F744" s="5">
        <f ca="1">TODAY()-GETPIVOTDATA("LastPurchaseDate",MaxDate!$A$3,"Customer_name",MaxDate!A746)</f>
        <v>72</v>
      </c>
      <c r="G744" t="str">
        <f t="shared" ca="1" si="47"/>
        <v>At Risk</v>
      </c>
      <c r="H744" s="13">
        <f>RANK(B744,Customer_Tiers[Total_Sales])</f>
        <v>743</v>
      </c>
    </row>
    <row r="745" spans="1:8">
      <c r="A745" t="str">
        <f>'Top Customers'!A747</f>
        <v>REJI PANCODE</v>
      </c>
      <c r="B745" s="5">
        <f>IF(A745="","",IFERROR(GETPIVOTDATA("Sales Amount",'Top Customers'!$A$3,"Customer_name",'Top Customers'!A747),""))</f>
        <v>7029</v>
      </c>
      <c r="C745" t="str">
        <f t="shared" si="44"/>
        <v>Regular</v>
      </c>
      <c r="D745">
        <f t="shared" si="45"/>
        <v>92971</v>
      </c>
      <c r="E745" s="6">
        <f t="shared" si="46"/>
        <v>1.2276235107739163E-4</v>
      </c>
      <c r="F745" s="5">
        <f ca="1">TODAY()-GETPIVOTDATA("LastPurchaseDate",MaxDate!$A$3,"Customer_name",MaxDate!A747)</f>
        <v>188</v>
      </c>
      <c r="G745" t="str">
        <f t="shared" ca="1" si="47"/>
        <v>Inactive</v>
      </c>
      <c r="H745" s="13">
        <f>RANK(B745,Customer_Tiers[Total_Sales])</f>
        <v>744</v>
      </c>
    </row>
    <row r="746" spans="1:8">
      <c r="A746" t="str">
        <f>'Top Customers'!A748</f>
        <v>SALIM MANNOOPARAMBIL</v>
      </c>
      <c r="B746" s="5">
        <f>IF(A746="","",IFERROR(GETPIVOTDATA("Sales Amount",'Top Customers'!$A$3,"Customer_name",'Top Customers'!A748),""))</f>
        <v>7001</v>
      </c>
      <c r="C746" t="str">
        <f t="shared" si="44"/>
        <v>Regular</v>
      </c>
      <c r="D746">
        <f t="shared" si="45"/>
        <v>92999</v>
      </c>
      <c r="E746" s="6">
        <f t="shared" si="46"/>
        <v>1.2227332762737499E-4</v>
      </c>
      <c r="F746" s="5">
        <f ca="1">TODAY()-GETPIVOTDATA("LastPurchaseDate",MaxDate!$A$3,"Customer_name",MaxDate!A748)</f>
        <v>108</v>
      </c>
      <c r="G746" t="str">
        <f t="shared" ca="1" si="47"/>
        <v>At Risk</v>
      </c>
      <c r="H746" s="13">
        <f>RANK(B746,Customer_Tiers[Total_Sales])</f>
        <v>745</v>
      </c>
    </row>
    <row r="747" spans="1:8">
      <c r="A747" t="str">
        <f>'Top Customers'!A749</f>
        <v>RB ACE</v>
      </c>
      <c r="B747" s="5">
        <f>IF(A747="","",IFERROR(GETPIVOTDATA("Sales Amount",'Top Customers'!$A$3,"Customer_name",'Top Customers'!A749),""))</f>
        <v>6920</v>
      </c>
      <c r="C747" t="str">
        <f t="shared" si="44"/>
        <v>Regular</v>
      </c>
      <c r="D747">
        <f t="shared" si="45"/>
        <v>93080</v>
      </c>
      <c r="E747" s="6">
        <f t="shared" si="46"/>
        <v>1.2085865264696973E-4</v>
      </c>
      <c r="F747" s="5">
        <f ca="1">TODAY()-GETPIVOTDATA("LastPurchaseDate",MaxDate!$A$3,"Customer_name",MaxDate!A749)</f>
        <v>191</v>
      </c>
      <c r="G747" t="str">
        <f t="shared" ca="1" si="47"/>
        <v>Inactive</v>
      </c>
      <c r="H747" s="13">
        <f>RANK(B747,Customer_Tiers[Total_Sales])</f>
        <v>746</v>
      </c>
    </row>
    <row r="748" spans="1:8">
      <c r="A748" t="str">
        <f>'Top Customers'!A750</f>
        <v>ANSAR CHELAKULAM</v>
      </c>
      <c r="B748" s="5">
        <f>IF(A748="","",IFERROR(GETPIVOTDATA("Sales Amount",'Top Customers'!$A$3,"Customer_name",'Top Customers'!A750),""))</f>
        <v>6900</v>
      </c>
      <c r="C748" t="str">
        <f t="shared" si="44"/>
        <v>Regular</v>
      </c>
      <c r="D748">
        <f t="shared" si="45"/>
        <v>93100</v>
      </c>
      <c r="E748" s="6">
        <f t="shared" si="46"/>
        <v>1.2050935018267212E-4</v>
      </c>
      <c r="F748" s="5">
        <f ca="1">TODAY()-GETPIVOTDATA("LastPurchaseDate",MaxDate!$A$3,"Customer_name",MaxDate!A750)</f>
        <v>104</v>
      </c>
      <c r="G748" t="str">
        <f t="shared" ca="1" si="47"/>
        <v>At Risk</v>
      </c>
      <c r="H748" s="13">
        <f>RANK(B748,Customer_Tiers[Total_Sales])</f>
        <v>747</v>
      </c>
    </row>
    <row r="749" spans="1:8">
      <c r="A749" t="str">
        <f>'Top Customers'!A751</f>
        <v>KRISHNAN CNTR</v>
      </c>
      <c r="B749" s="5">
        <f>IF(A749="","",IFERROR(GETPIVOTDATA("Sales Amount",'Top Customers'!$A$3,"Customer_name",'Top Customers'!A751),""))</f>
        <v>6878</v>
      </c>
      <c r="C749" t="str">
        <f t="shared" si="44"/>
        <v>Regular</v>
      </c>
      <c r="D749">
        <f t="shared" si="45"/>
        <v>93122</v>
      </c>
      <c r="E749" s="6">
        <f t="shared" si="46"/>
        <v>1.2012511747194476E-4</v>
      </c>
      <c r="F749" s="5">
        <f ca="1">TODAY()-GETPIVOTDATA("LastPurchaseDate",MaxDate!$A$3,"Customer_name",MaxDate!A751)</f>
        <v>40</v>
      </c>
      <c r="G749" t="str">
        <f t="shared" ca="1" si="47"/>
        <v>Active</v>
      </c>
      <c r="H749" s="13">
        <f>RANK(B749,Customer_Tiers[Total_Sales])</f>
        <v>748</v>
      </c>
    </row>
    <row r="750" spans="1:8">
      <c r="A750" t="str">
        <f>'Top Customers'!A752</f>
        <v>AJ SOLID BRICKS</v>
      </c>
      <c r="B750" s="5">
        <f>IF(A750="","",IFERROR(GETPIVOTDATA("Sales Amount",'Top Customers'!$A$3,"Customer_name",'Top Customers'!A752),""))</f>
        <v>6875</v>
      </c>
      <c r="C750" t="str">
        <f t="shared" si="44"/>
        <v>Regular</v>
      </c>
      <c r="D750">
        <f t="shared" si="45"/>
        <v>93125</v>
      </c>
      <c r="E750" s="6">
        <f t="shared" si="46"/>
        <v>1.2007272210230011E-4</v>
      </c>
      <c r="F750" s="5">
        <f ca="1">TODAY()-GETPIVOTDATA("LastPurchaseDate",MaxDate!$A$3,"Customer_name",MaxDate!A752)</f>
        <v>83</v>
      </c>
      <c r="G750" t="str">
        <f t="shared" ca="1" si="47"/>
        <v>At Risk</v>
      </c>
      <c r="H750" s="13">
        <f>RANK(B750,Customer_Tiers[Total_Sales])</f>
        <v>749</v>
      </c>
    </row>
    <row r="751" spans="1:8">
      <c r="A751" t="str">
        <f>'Top Customers'!A753</f>
        <v>ELDHO UTHARA</v>
      </c>
      <c r="B751" s="5">
        <f>IF(A751="","",IFERROR(GETPIVOTDATA("Sales Amount",'Top Customers'!$A$3,"Customer_name",'Top Customers'!A753),""))</f>
        <v>6871</v>
      </c>
      <c r="C751" t="str">
        <f t="shared" si="44"/>
        <v>Regular</v>
      </c>
      <c r="D751">
        <f t="shared" si="45"/>
        <v>93129</v>
      </c>
      <c r="E751" s="6">
        <f t="shared" si="46"/>
        <v>1.2000286160944059E-4</v>
      </c>
      <c r="F751" s="5">
        <f ca="1">TODAY()-GETPIVOTDATA("LastPurchaseDate",MaxDate!$A$3,"Customer_name",MaxDate!A753)</f>
        <v>110</v>
      </c>
      <c r="G751" t="str">
        <f t="shared" ca="1" si="47"/>
        <v>At Risk</v>
      </c>
      <c r="H751" s="13">
        <f>RANK(B751,Customer_Tiers[Total_Sales])</f>
        <v>750</v>
      </c>
    </row>
    <row r="752" spans="1:8">
      <c r="A752" t="str">
        <f>'Top Customers'!A754</f>
        <v>SANEESH KADAYIRUPPU</v>
      </c>
      <c r="B752" s="5">
        <f>IF(A752="","",IFERROR(GETPIVOTDATA("Sales Amount",'Top Customers'!$A$3,"Customer_name",'Top Customers'!A754),""))</f>
        <v>6830</v>
      </c>
      <c r="C752" t="str">
        <f t="shared" si="44"/>
        <v>Regular</v>
      </c>
      <c r="D752">
        <f t="shared" si="45"/>
        <v>93170</v>
      </c>
      <c r="E752" s="6">
        <f t="shared" si="46"/>
        <v>1.1928679155763051E-4</v>
      </c>
      <c r="F752" s="5">
        <f ca="1">TODAY()-GETPIVOTDATA("LastPurchaseDate",MaxDate!$A$3,"Customer_name",MaxDate!A754)</f>
        <v>167</v>
      </c>
      <c r="G752" t="str">
        <f t="shared" ca="1" si="47"/>
        <v>Inactive</v>
      </c>
      <c r="H752" s="13">
        <f>RANK(B752,Customer_Tiers[Total_Sales])</f>
        <v>751</v>
      </c>
    </row>
    <row r="753" spans="1:8">
      <c r="A753" t="str">
        <f>'Top Customers'!A755</f>
        <v>BABY , MELETH</v>
      </c>
      <c r="B753" s="5">
        <f>IF(A753="","",IFERROR(GETPIVOTDATA("Sales Amount",'Top Customers'!$A$3,"Customer_name",'Top Customers'!A755),""))</f>
        <v>6804</v>
      </c>
      <c r="C753" t="str">
        <f t="shared" si="44"/>
        <v>Regular</v>
      </c>
      <c r="D753">
        <f t="shared" si="45"/>
        <v>93196</v>
      </c>
      <c r="E753" s="6">
        <f t="shared" si="46"/>
        <v>1.1883269835404364E-4</v>
      </c>
      <c r="F753" s="5">
        <f ca="1">TODAY()-GETPIVOTDATA("LastPurchaseDate",MaxDate!$A$3,"Customer_name",MaxDate!A755)</f>
        <v>86</v>
      </c>
      <c r="G753" t="str">
        <f t="shared" ca="1" si="47"/>
        <v>At Risk</v>
      </c>
      <c r="H753" s="13">
        <f>RANK(B753,Customer_Tiers[Total_Sales])</f>
        <v>752</v>
      </c>
    </row>
    <row r="754" spans="1:8">
      <c r="A754" t="str">
        <f>'Top Customers'!A756</f>
        <v>JAYAN KUNNAKKAL</v>
      </c>
      <c r="B754" s="5">
        <f>IF(A754="","",IFERROR(GETPIVOTDATA("Sales Amount",'Top Customers'!$A$3,"Customer_name",'Top Customers'!A756),""))</f>
        <v>6800</v>
      </c>
      <c r="C754" t="str">
        <f t="shared" si="44"/>
        <v>Regular</v>
      </c>
      <c r="D754">
        <f t="shared" si="45"/>
        <v>93200</v>
      </c>
      <c r="E754" s="6">
        <f t="shared" si="46"/>
        <v>1.1876283786118412E-4</v>
      </c>
      <c r="F754" s="5">
        <f ca="1">TODAY()-GETPIVOTDATA("LastPurchaseDate",MaxDate!$A$3,"Customer_name",MaxDate!A756)</f>
        <v>334</v>
      </c>
      <c r="G754" t="str">
        <f t="shared" ca="1" si="47"/>
        <v>Inactive</v>
      </c>
      <c r="H754" s="13">
        <f>RANK(B754,Customer_Tiers[Total_Sales])</f>
        <v>753</v>
      </c>
    </row>
    <row r="755" spans="1:8">
      <c r="A755" t="str">
        <f>'Top Customers'!A757</f>
        <v>REJI VALAMBOOR</v>
      </c>
      <c r="B755" s="5">
        <f>IF(A755="","",IFERROR(GETPIVOTDATA("Sales Amount",'Top Customers'!$A$3,"Customer_name",'Top Customers'!A757),""))</f>
        <v>6780</v>
      </c>
      <c r="C755" t="str">
        <f t="shared" si="44"/>
        <v>Regular</v>
      </c>
      <c r="D755">
        <f t="shared" si="45"/>
        <v>93220</v>
      </c>
      <c r="E755" s="6">
        <f t="shared" si="46"/>
        <v>1.1841353539688651E-4</v>
      </c>
      <c r="F755" s="5">
        <f ca="1">TODAY()-GETPIVOTDATA("LastPurchaseDate",MaxDate!$A$3,"Customer_name",MaxDate!A757)</f>
        <v>113</v>
      </c>
      <c r="G755" t="str">
        <f t="shared" ca="1" si="47"/>
        <v>At Risk</v>
      </c>
      <c r="H755" s="13">
        <f>RANK(B755,Customer_Tiers[Total_Sales])</f>
        <v>754</v>
      </c>
    </row>
    <row r="756" spans="1:8">
      <c r="A756" t="str">
        <f>'Top Customers'!A758</f>
        <v>DEVARAJAN</v>
      </c>
      <c r="B756" s="5">
        <f>IF(A756="","",IFERROR(GETPIVOTDATA("Sales Amount",'Top Customers'!$A$3,"Customer_name",'Top Customers'!A758),""))</f>
        <v>6720</v>
      </c>
      <c r="C756" t="str">
        <f t="shared" si="44"/>
        <v>Regular</v>
      </c>
      <c r="D756">
        <f t="shared" si="45"/>
        <v>93280</v>
      </c>
      <c r="E756" s="6">
        <f t="shared" si="46"/>
        <v>1.1736562800399372E-4</v>
      </c>
      <c r="F756" s="5">
        <f ca="1">TODAY()-GETPIVOTDATA("LastPurchaseDate",MaxDate!$A$3,"Customer_name",MaxDate!A758)</f>
        <v>303</v>
      </c>
      <c r="G756" t="str">
        <f t="shared" ca="1" si="47"/>
        <v>Inactive</v>
      </c>
      <c r="H756" s="13">
        <f>RANK(B756,Customer_Tiers[Total_Sales])</f>
        <v>755</v>
      </c>
    </row>
    <row r="757" spans="1:8">
      <c r="A757" t="str">
        <f>'Top Customers'!A759</f>
        <v>JOSHY PUTHENPURACKAL</v>
      </c>
      <c r="B757" s="5">
        <f>IF(A757="","",IFERROR(GETPIVOTDATA("Sales Amount",'Top Customers'!$A$3,"Customer_name",'Top Customers'!A759),""))</f>
        <v>6680</v>
      </c>
      <c r="C757" t="str">
        <f t="shared" si="44"/>
        <v>Regular</v>
      </c>
      <c r="D757">
        <f t="shared" si="45"/>
        <v>93320</v>
      </c>
      <c r="E757" s="6">
        <f t="shared" si="46"/>
        <v>1.1666702307539851E-4</v>
      </c>
      <c r="F757" s="5">
        <f ca="1">TODAY()-GETPIVOTDATA("LastPurchaseDate",MaxDate!$A$3,"Customer_name",MaxDate!A759)</f>
        <v>243</v>
      </c>
      <c r="G757" t="str">
        <f t="shared" ca="1" si="47"/>
        <v>Inactive</v>
      </c>
      <c r="H757" s="13">
        <f>RANK(B757,Customer_Tiers[Total_Sales])</f>
        <v>756</v>
      </c>
    </row>
    <row r="758" spans="1:8">
      <c r="A758" t="str">
        <f>'Top Customers'!A760</f>
        <v>KHALID CHELAKULAM</v>
      </c>
      <c r="B758" s="5">
        <f>IF(A758="","",IFERROR(GETPIVOTDATA("Sales Amount",'Top Customers'!$A$3,"Customer_name",'Top Customers'!A760),""))</f>
        <v>6637</v>
      </c>
      <c r="C758" t="str">
        <f t="shared" si="44"/>
        <v>Regular</v>
      </c>
      <c r="D758">
        <f t="shared" si="45"/>
        <v>93363</v>
      </c>
      <c r="E758" s="6">
        <f t="shared" si="46"/>
        <v>1.1591602277715868E-4</v>
      </c>
      <c r="F758" s="5">
        <f ca="1">TODAY()-GETPIVOTDATA("LastPurchaseDate",MaxDate!$A$3,"Customer_name",MaxDate!A760)</f>
        <v>18</v>
      </c>
      <c r="G758" t="str">
        <f t="shared" ca="1" si="47"/>
        <v>Active</v>
      </c>
      <c r="H758" s="13">
        <f>RANK(B758,Customer_Tiers[Total_Sales])</f>
        <v>757</v>
      </c>
    </row>
    <row r="759" spans="1:8">
      <c r="A759" t="str">
        <f>'Top Customers'!A761</f>
        <v>ABBAS BISMI</v>
      </c>
      <c r="B759" s="5">
        <f>IF(A759="","",IFERROR(GETPIVOTDATA("Sales Amount",'Top Customers'!$A$3,"Customer_name",'Top Customers'!A761),""))</f>
        <v>6630</v>
      </c>
      <c r="C759" t="str">
        <f t="shared" si="44"/>
        <v>Regular</v>
      </c>
      <c r="D759">
        <f t="shared" si="45"/>
        <v>93370</v>
      </c>
      <c r="E759" s="6">
        <f t="shared" si="46"/>
        <v>1.1579376691465451E-4</v>
      </c>
      <c r="F759" s="5">
        <f ca="1">TODAY()-GETPIVOTDATA("LastPurchaseDate",MaxDate!$A$3,"Customer_name",MaxDate!A761)</f>
        <v>269</v>
      </c>
      <c r="G759" t="str">
        <f t="shared" ca="1" si="47"/>
        <v>Inactive</v>
      </c>
      <c r="H759" s="13">
        <f>RANK(B759,Customer_Tiers[Total_Sales])</f>
        <v>758</v>
      </c>
    </row>
    <row r="760" spans="1:8">
      <c r="A760" t="str">
        <f>'Top Customers'!A762</f>
        <v>ELDHO JOSEPH</v>
      </c>
      <c r="B760" s="5">
        <f>IF(A760="","",IFERROR(GETPIVOTDATA("Sales Amount",'Top Customers'!$A$3,"Customer_name",'Top Customers'!A762),""))</f>
        <v>6610</v>
      </c>
      <c r="C760" t="str">
        <f t="shared" si="44"/>
        <v>Regular</v>
      </c>
      <c r="D760">
        <f t="shared" si="45"/>
        <v>93390</v>
      </c>
      <c r="E760" s="6">
        <f t="shared" si="46"/>
        <v>1.1544446445035692E-4</v>
      </c>
      <c r="F760" s="5">
        <f ca="1">TODAY()-GETPIVOTDATA("LastPurchaseDate",MaxDate!$A$3,"Customer_name",MaxDate!A762)</f>
        <v>73</v>
      </c>
      <c r="G760" t="str">
        <f t="shared" ca="1" si="47"/>
        <v>At Risk</v>
      </c>
      <c r="H760" s="13">
        <f>RANK(B760,Customer_Tiers[Total_Sales])</f>
        <v>759</v>
      </c>
    </row>
    <row r="761" spans="1:8">
      <c r="A761" t="str">
        <f>'Top Customers'!A763</f>
        <v>ABDHUL KHADER PASSENGER</v>
      </c>
      <c r="B761" s="5">
        <f>IF(A761="","",IFERROR(GETPIVOTDATA("Sales Amount",'Top Customers'!$A$3,"Customer_name",'Top Customers'!A763),""))</f>
        <v>6535</v>
      </c>
      <c r="C761" t="str">
        <f t="shared" si="44"/>
        <v>Regular</v>
      </c>
      <c r="D761">
        <f t="shared" si="45"/>
        <v>93465</v>
      </c>
      <c r="E761" s="6">
        <f t="shared" si="46"/>
        <v>1.1413458020924091E-4</v>
      </c>
      <c r="F761" s="5">
        <f ca="1">TODAY()-GETPIVOTDATA("LastPurchaseDate",MaxDate!$A$3,"Customer_name",MaxDate!A763)</f>
        <v>67</v>
      </c>
      <c r="G761" t="str">
        <f t="shared" ca="1" si="47"/>
        <v>At Risk</v>
      </c>
      <c r="H761" s="13">
        <f>RANK(B761,Customer_Tiers[Total_Sales])</f>
        <v>760</v>
      </c>
    </row>
    <row r="762" spans="1:8">
      <c r="A762" t="str">
        <f>'Top Customers'!A764</f>
        <v>ALI ANCHAMILEPALAM</v>
      </c>
      <c r="B762" s="5">
        <f>IF(A762="","",IFERROR(GETPIVOTDATA("Sales Amount",'Top Customers'!$A$3,"Customer_name",'Top Customers'!A764),""))</f>
        <v>6518</v>
      </c>
      <c r="C762" t="str">
        <f t="shared" si="44"/>
        <v>Regular</v>
      </c>
      <c r="D762">
        <f t="shared" si="45"/>
        <v>93482</v>
      </c>
      <c r="E762" s="6">
        <f t="shared" si="46"/>
        <v>1.1383767311458795E-4</v>
      </c>
      <c r="F762" s="5">
        <f ca="1">TODAY()-GETPIVOTDATA("LastPurchaseDate",MaxDate!$A$3,"Customer_name",MaxDate!A764)</f>
        <v>113</v>
      </c>
      <c r="G762" t="str">
        <f t="shared" ca="1" si="47"/>
        <v>At Risk</v>
      </c>
      <c r="H762" s="13">
        <f>RANK(B762,Customer_Tiers[Total_Sales])</f>
        <v>761</v>
      </c>
    </row>
    <row r="763" spans="1:8">
      <c r="A763" t="str">
        <f>'Top Customers'!A765</f>
        <v>SHIBU PATTIMATTOM</v>
      </c>
      <c r="B763" s="5">
        <f>IF(A763="","",IFERROR(GETPIVOTDATA("Sales Amount",'Top Customers'!$A$3,"Customer_name",'Top Customers'!A765),""))</f>
        <v>6502</v>
      </c>
      <c r="C763" t="str">
        <f t="shared" si="44"/>
        <v>Regular</v>
      </c>
      <c r="D763">
        <f t="shared" si="45"/>
        <v>93498</v>
      </c>
      <c r="E763" s="6">
        <f t="shared" si="46"/>
        <v>1.1355823114314987E-4</v>
      </c>
      <c r="F763" s="5">
        <f ca="1">TODAY()-GETPIVOTDATA("LastPurchaseDate",MaxDate!$A$3,"Customer_name",MaxDate!A765)</f>
        <v>80</v>
      </c>
      <c r="G763" t="str">
        <f t="shared" ca="1" si="47"/>
        <v>At Risk</v>
      </c>
      <c r="H763" s="13">
        <f>RANK(B763,Customer_Tiers[Total_Sales])</f>
        <v>762</v>
      </c>
    </row>
    <row r="764" spans="1:8">
      <c r="A764" t="str">
        <f>'Top Customers'!A766</f>
        <v>ARUN NV</v>
      </c>
      <c r="B764" s="5">
        <f>IF(A764="","",IFERROR(GETPIVOTDATA("Sales Amount",'Top Customers'!$A$3,"Customer_name",'Top Customers'!A766),""))</f>
        <v>6500</v>
      </c>
      <c r="C764" t="str">
        <f t="shared" si="44"/>
        <v>Regular</v>
      </c>
      <c r="D764">
        <f t="shared" si="45"/>
        <v>93500</v>
      </c>
      <c r="E764" s="6">
        <f t="shared" si="46"/>
        <v>1.1352330089672011E-4</v>
      </c>
      <c r="F764" s="5">
        <f ca="1">TODAY()-GETPIVOTDATA("LastPurchaseDate",MaxDate!$A$3,"Customer_name",MaxDate!A766)</f>
        <v>93</v>
      </c>
      <c r="G764" t="str">
        <f t="shared" ca="1" si="47"/>
        <v>At Risk</v>
      </c>
      <c r="H764" s="13">
        <f>RANK(B764,Customer_Tiers[Total_Sales])</f>
        <v>763</v>
      </c>
    </row>
    <row r="765" spans="1:8">
      <c r="A765" t="str">
        <f>'Top Customers'!A767</f>
        <v>LAKSHMANAN EZHIPPURAM</v>
      </c>
      <c r="B765" s="5">
        <f>IF(A765="","",IFERROR(GETPIVOTDATA("Sales Amount",'Top Customers'!$A$3,"Customer_name",'Top Customers'!A767),""))</f>
        <v>6500</v>
      </c>
      <c r="C765" t="str">
        <f t="shared" si="44"/>
        <v>Regular</v>
      </c>
      <c r="D765">
        <f t="shared" si="45"/>
        <v>93500</v>
      </c>
      <c r="E765" s="6">
        <f t="shared" si="46"/>
        <v>1.1352330089672011E-4</v>
      </c>
      <c r="F765" s="5">
        <f ca="1">TODAY()-GETPIVOTDATA("LastPurchaseDate",MaxDate!$A$3,"Customer_name",MaxDate!A767)</f>
        <v>265</v>
      </c>
      <c r="G765" t="str">
        <f t="shared" ca="1" si="47"/>
        <v>Inactive</v>
      </c>
      <c r="H765" s="13">
        <f>RANK(B765,Customer_Tiers[Total_Sales])</f>
        <v>763</v>
      </c>
    </row>
    <row r="766" spans="1:8">
      <c r="A766" t="str">
        <f>'Top Customers'!A768</f>
        <v>KINGSEYE TECHNOLOGIES</v>
      </c>
      <c r="B766" s="5">
        <f>IF(A766="","",IFERROR(GETPIVOTDATA("Sales Amount",'Top Customers'!$A$3,"Customer_name",'Top Customers'!A768),""))</f>
        <v>6470</v>
      </c>
      <c r="C766" t="str">
        <f t="shared" si="44"/>
        <v>Regular</v>
      </c>
      <c r="D766">
        <f t="shared" si="45"/>
        <v>93530</v>
      </c>
      <c r="E766" s="6">
        <f t="shared" si="46"/>
        <v>1.1299934720027371E-4</v>
      </c>
      <c r="F766" s="5">
        <f ca="1">TODAY()-GETPIVOTDATA("LastPurchaseDate",MaxDate!$A$3,"Customer_name",MaxDate!A768)</f>
        <v>225</v>
      </c>
      <c r="G766" t="str">
        <f t="shared" ca="1" si="47"/>
        <v>Inactive</v>
      </c>
      <c r="H766" s="13">
        <f>RANK(B766,Customer_Tiers[Total_Sales])</f>
        <v>765</v>
      </c>
    </row>
    <row r="767" spans="1:8">
      <c r="A767" t="str">
        <f>'Top Customers'!A769</f>
        <v>KALESH, VALAMBOOR</v>
      </c>
      <c r="B767" s="5">
        <f>IF(A767="","",IFERROR(GETPIVOTDATA("Sales Amount",'Top Customers'!$A$3,"Customer_name",'Top Customers'!A769),""))</f>
        <v>6456</v>
      </c>
      <c r="C767" t="str">
        <f t="shared" si="44"/>
        <v>Regular</v>
      </c>
      <c r="D767">
        <f t="shared" si="45"/>
        <v>93544</v>
      </c>
      <c r="E767" s="6">
        <f t="shared" si="46"/>
        <v>1.127548354752654E-4</v>
      </c>
      <c r="F767" s="5">
        <f ca="1">TODAY()-GETPIVOTDATA("LastPurchaseDate",MaxDate!$A$3,"Customer_name",MaxDate!A769)</f>
        <v>127</v>
      </c>
      <c r="G767" t="str">
        <f t="shared" ca="1" si="47"/>
        <v>Inactive</v>
      </c>
      <c r="H767" s="13">
        <f>RANK(B767,Customer_Tiers[Total_Sales])</f>
        <v>766</v>
      </c>
    </row>
    <row r="768" spans="1:8">
      <c r="A768" t="str">
        <f>'Top Customers'!A770</f>
        <v>PRASAD KADAYIRUPPU</v>
      </c>
      <c r="B768" s="5">
        <f>IF(A768="","",IFERROR(GETPIVOTDATA("Sales Amount",'Top Customers'!$A$3,"Customer_name",'Top Customers'!A770),""))</f>
        <v>6430</v>
      </c>
      <c r="C768" t="str">
        <f t="shared" si="44"/>
        <v>Regular</v>
      </c>
      <c r="D768">
        <f t="shared" si="45"/>
        <v>93570</v>
      </c>
      <c r="E768" s="6">
        <f t="shared" si="46"/>
        <v>1.1230074227167851E-4</v>
      </c>
      <c r="F768" s="5">
        <f ca="1">TODAY()-GETPIVOTDATA("LastPurchaseDate",MaxDate!$A$3,"Customer_name",MaxDate!A770)</f>
        <v>229</v>
      </c>
      <c r="G768" t="str">
        <f t="shared" ca="1" si="47"/>
        <v>Inactive</v>
      </c>
      <c r="H768" s="13">
        <f>RANK(B768,Customer_Tiers[Total_Sales])</f>
        <v>767</v>
      </c>
    </row>
    <row r="769" spans="1:8">
      <c r="A769" t="str">
        <f>'Top Customers'!A771</f>
        <v>TONY ERAPUMPPARA</v>
      </c>
      <c r="B769" s="5">
        <f>IF(A769="","",IFERROR(GETPIVOTDATA("Sales Amount",'Top Customers'!$A$3,"Customer_name",'Top Customers'!A771),""))</f>
        <v>6403</v>
      </c>
      <c r="C769" t="str">
        <f t="shared" si="44"/>
        <v>Regular</v>
      </c>
      <c r="D769">
        <f t="shared" si="45"/>
        <v>93597</v>
      </c>
      <c r="E769" s="6">
        <f t="shared" si="46"/>
        <v>1.1182918394487675E-4</v>
      </c>
      <c r="F769" s="5">
        <f ca="1">TODAY()-GETPIVOTDATA("LastPurchaseDate",MaxDate!$A$3,"Customer_name",MaxDate!A771)</f>
        <v>107</v>
      </c>
      <c r="G769" t="str">
        <f t="shared" ca="1" si="47"/>
        <v>At Risk</v>
      </c>
      <c r="H769" s="13">
        <f>RANK(B769,Customer_Tiers[Total_Sales])</f>
        <v>768</v>
      </c>
    </row>
    <row r="770" spans="1:8">
      <c r="A770" t="str">
        <f>'Top Customers'!A772</f>
        <v>LENIN MAZHUVANOOR</v>
      </c>
      <c r="B770" s="5">
        <f>IF(A770="","",IFERROR(GETPIVOTDATA("Sales Amount",'Top Customers'!$A$3,"Customer_name",'Top Customers'!A772),""))</f>
        <v>6400</v>
      </c>
      <c r="C770" t="str">
        <f t="shared" ref="C770:C833" si="48">IF(B770&gt;=1000000,"Platinum",
 IF(B770&gt;=500000,"Gold",
 IF(B770&gt;=100000,"Silver","Regular")))</f>
        <v>Regular</v>
      </c>
      <c r="D770">
        <f t="shared" ref="D770:D833" si="49">IF(C770="Platinum",0,
 IF(C770="Gold",1000000-B770,
 IF(C770="Silver",500000-B770,
 IF(C770="Regular",100000-B770,0))))</f>
        <v>93600</v>
      </c>
      <c r="E770" s="6">
        <f t="shared" ref="E770:E833" si="50">B770/SUM(B:B)</f>
        <v>1.1177678857523211E-4</v>
      </c>
      <c r="F770" s="5">
        <f ca="1">TODAY()-GETPIVOTDATA("LastPurchaseDate",MaxDate!$A$3,"Customer_name",MaxDate!A772)</f>
        <v>8</v>
      </c>
      <c r="G770" t="str">
        <f t="shared" ref="G770:G833" ca="1" si="51">IF(F770="","",
 IF(F770&lt;=60,"Active",
 IF(F770&lt;=120,"At Risk","Inactive")))</f>
        <v>Active</v>
      </c>
      <c r="H770" s="13">
        <f>RANK(B770,Customer_Tiers[Total_Sales])</f>
        <v>769</v>
      </c>
    </row>
    <row r="771" spans="1:8">
      <c r="A771" t="str">
        <f>'Top Customers'!A773</f>
        <v>ALDEN ENGINEERS</v>
      </c>
      <c r="B771" s="5">
        <f>IF(A771="","",IFERROR(GETPIVOTDATA("Sales Amount",'Top Customers'!$A$3,"Customer_name",'Top Customers'!A773),""))</f>
        <v>6365</v>
      </c>
      <c r="C771" t="str">
        <f t="shared" si="48"/>
        <v>Regular</v>
      </c>
      <c r="D771">
        <f t="shared" si="49"/>
        <v>93635</v>
      </c>
      <c r="E771" s="6">
        <f t="shared" si="50"/>
        <v>1.1116550926271132E-4</v>
      </c>
      <c r="F771" s="5">
        <f ca="1">TODAY()-GETPIVOTDATA("LastPurchaseDate",MaxDate!$A$3,"Customer_name",MaxDate!A773)</f>
        <v>330</v>
      </c>
      <c r="G771" t="str">
        <f t="shared" ca="1" si="51"/>
        <v>Inactive</v>
      </c>
      <c r="H771" s="13">
        <f>RANK(B771,Customer_Tiers[Total_Sales])</f>
        <v>770</v>
      </c>
    </row>
    <row r="772" spans="1:8">
      <c r="A772" t="str">
        <f>'Top Customers'!A774</f>
        <v xml:space="preserve">JAWA SOLAR LLP_x000D_
_x000D_
</v>
      </c>
      <c r="B772" s="5">
        <f>IF(A772="","",IFERROR(GETPIVOTDATA("Sales Amount",'Top Customers'!$A$3,"Customer_name",'Top Customers'!A774),""))</f>
        <v>6360</v>
      </c>
      <c r="C772" t="str">
        <f t="shared" si="48"/>
        <v>Regular</v>
      </c>
      <c r="D772">
        <f t="shared" si="49"/>
        <v>93640</v>
      </c>
      <c r="E772" s="6">
        <f t="shared" si="50"/>
        <v>1.1107818364663692E-4</v>
      </c>
      <c r="F772" s="5">
        <f ca="1">TODAY()-GETPIVOTDATA("LastPurchaseDate",MaxDate!$A$3,"Customer_name",MaxDate!A774)</f>
        <v>41</v>
      </c>
      <c r="G772" t="str">
        <f t="shared" ca="1" si="51"/>
        <v>Active</v>
      </c>
      <c r="H772" s="13">
        <f>RANK(B772,Customer_Tiers[Total_Sales])</f>
        <v>771</v>
      </c>
    </row>
    <row r="773" spans="1:8">
      <c r="A773" t="str">
        <f>'Top Customers'!A775</f>
        <v>VINOD KIZHAKKAMBALAM</v>
      </c>
      <c r="B773" s="5">
        <f>IF(A773="","",IFERROR(GETPIVOTDATA("Sales Amount",'Top Customers'!$A$3,"Customer_name",'Top Customers'!A775),""))</f>
        <v>6337</v>
      </c>
      <c r="C773" t="str">
        <f t="shared" si="48"/>
        <v>Regular</v>
      </c>
      <c r="D773">
        <f t="shared" si="49"/>
        <v>93663</v>
      </c>
      <c r="E773" s="6">
        <f t="shared" si="50"/>
        <v>1.1067648581269467E-4</v>
      </c>
      <c r="F773" s="5">
        <f ca="1">TODAY()-GETPIVOTDATA("LastPurchaseDate",MaxDate!$A$3,"Customer_name",MaxDate!A775)</f>
        <v>288</v>
      </c>
      <c r="G773" t="str">
        <f t="shared" ca="1" si="51"/>
        <v>Inactive</v>
      </c>
      <c r="H773" s="13">
        <f>RANK(B773,Customer_Tiers[Total_Sales])</f>
        <v>772</v>
      </c>
    </row>
    <row r="774" spans="1:8">
      <c r="A774" t="str">
        <f>'Top Customers'!A776</f>
        <v>VARGHESE MAZHUVANNOOR</v>
      </c>
      <c r="B774" s="5">
        <f>IF(A774="","",IFERROR(GETPIVOTDATA("Sales Amount",'Top Customers'!$A$3,"Customer_name",'Top Customers'!A776),""))</f>
        <v>6320</v>
      </c>
      <c r="C774" t="str">
        <f t="shared" si="48"/>
        <v>Regular</v>
      </c>
      <c r="D774">
        <f t="shared" si="49"/>
        <v>93680</v>
      </c>
      <c r="E774" s="6">
        <f t="shared" si="50"/>
        <v>1.103795787180417E-4</v>
      </c>
      <c r="F774" s="5">
        <f ca="1">TODAY()-GETPIVOTDATA("LastPurchaseDate",MaxDate!$A$3,"Customer_name",MaxDate!A776)</f>
        <v>181</v>
      </c>
      <c r="G774" t="str">
        <f t="shared" ca="1" si="51"/>
        <v>Inactive</v>
      </c>
      <c r="H774" s="13">
        <f>RANK(B774,Customer_Tiers[Total_Sales])</f>
        <v>773</v>
      </c>
    </row>
    <row r="775" spans="1:8">
      <c r="A775" t="str">
        <f>'Top Customers'!A777</f>
        <v>ROUBLE , KUMMANODE</v>
      </c>
      <c r="B775" s="5">
        <f>IF(A775="","",IFERROR(GETPIVOTDATA("Sales Amount",'Top Customers'!$A$3,"Customer_name",'Top Customers'!A777),""))</f>
        <v>6283</v>
      </c>
      <c r="C775" t="str">
        <f t="shared" si="48"/>
        <v>Regular</v>
      </c>
      <c r="D775">
        <f t="shared" si="49"/>
        <v>93717</v>
      </c>
      <c r="E775" s="6">
        <f t="shared" si="50"/>
        <v>1.0973336915909116E-4</v>
      </c>
      <c r="F775" s="5">
        <f ca="1">TODAY()-GETPIVOTDATA("LastPurchaseDate",MaxDate!$A$3,"Customer_name",MaxDate!A777)</f>
        <v>268</v>
      </c>
      <c r="G775" t="str">
        <f t="shared" ca="1" si="51"/>
        <v>Inactive</v>
      </c>
      <c r="H775" s="13">
        <f>RANK(B775,Customer_Tiers[Total_Sales])</f>
        <v>774</v>
      </c>
    </row>
    <row r="776" spans="1:8">
      <c r="A776" t="str">
        <f>'Top Customers'!A778</f>
        <v>NIRAPPEL CONSTRUCTIONS</v>
      </c>
      <c r="B776" s="5">
        <f>IF(A776="","",IFERROR(GETPIVOTDATA("Sales Amount",'Top Customers'!$A$3,"Customer_name",'Top Customers'!A778),""))</f>
        <v>6277</v>
      </c>
      <c r="C776" t="str">
        <f t="shared" si="48"/>
        <v>Regular</v>
      </c>
      <c r="D776">
        <f t="shared" si="49"/>
        <v>93723</v>
      </c>
      <c r="E776" s="6">
        <f t="shared" si="50"/>
        <v>1.0962857841980187E-4</v>
      </c>
      <c r="F776" s="5">
        <f ca="1">TODAY()-GETPIVOTDATA("LastPurchaseDate",MaxDate!$A$3,"Customer_name",MaxDate!A778)</f>
        <v>27</v>
      </c>
      <c r="G776" t="str">
        <f t="shared" ca="1" si="51"/>
        <v>Active</v>
      </c>
      <c r="H776" s="13">
        <f>RANK(B776,Customer_Tiers[Total_Sales])</f>
        <v>775</v>
      </c>
    </row>
    <row r="777" spans="1:8">
      <c r="A777" t="str">
        <f>'Top Customers'!A779</f>
        <v>JENOVA SOLAR HYBRID UPS SYSTEMS</v>
      </c>
      <c r="B777" s="5">
        <f>IF(A777="","",IFERROR(GETPIVOTDATA("Sales Amount",'Top Customers'!$A$3,"Customer_name",'Top Customers'!A779),""))</f>
        <v>6264</v>
      </c>
      <c r="C777" t="str">
        <f t="shared" si="48"/>
        <v>Regular</v>
      </c>
      <c r="D777">
        <f t="shared" si="49"/>
        <v>93736</v>
      </c>
      <c r="E777" s="6">
        <f t="shared" si="50"/>
        <v>1.0940153181800843E-4</v>
      </c>
      <c r="F777" s="5">
        <f ca="1">TODAY()-GETPIVOTDATA("LastPurchaseDate",MaxDate!$A$3,"Customer_name",MaxDate!A779)</f>
        <v>125</v>
      </c>
      <c r="G777" t="str">
        <f t="shared" ca="1" si="51"/>
        <v>Inactive</v>
      </c>
      <c r="H777" s="13">
        <f>RANK(B777,Customer_Tiers[Total_Sales])</f>
        <v>776</v>
      </c>
    </row>
    <row r="778" spans="1:8">
      <c r="A778" t="str">
        <f>'Top Customers'!A780</f>
        <v>VINU KIZHAKKAMBALAM</v>
      </c>
      <c r="B778" s="5">
        <f>IF(A778="","",IFERROR(GETPIVOTDATA("Sales Amount",'Top Customers'!$A$3,"Customer_name",'Top Customers'!A780),""))</f>
        <v>6258</v>
      </c>
      <c r="C778" t="str">
        <f t="shared" si="48"/>
        <v>Regular</v>
      </c>
      <c r="D778">
        <f t="shared" si="49"/>
        <v>93742</v>
      </c>
      <c r="E778" s="6">
        <f t="shared" si="50"/>
        <v>1.0929674107871915E-4</v>
      </c>
      <c r="F778" s="5">
        <f ca="1">TODAY()-GETPIVOTDATA("LastPurchaseDate",MaxDate!$A$3,"Customer_name",MaxDate!A780)</f>
        <v>188</v>
      </c>
      <c r="G778" t="str">
        <f t="shared" ca="1" si="51"/>
        <v>Inactive</v>
      </c>
      <c r="H778" s="13">
        <f>RANK(B778,Customer_Tiers[Total_Sales])</f>
        <v>777</v>
      </c>
    </row>
    <row r="779" spans="1:8">
      <c r="A779" t="str">
        <f>'Top Customers'!A781</f>
        <v>SPACE ASSOCIATE</v>
      </c>
      <c r="B779" s="5">
        <f>IF(A779="","",IFERROR(GETPIVOTDATA("Sales Amount",'Top Customers'!$A$3,"Customer_name",'Top Customers'!A781),""))</f>
        <v>6256</v>
      </c>
      <c r="C779" t="str">
        <f t="shared" si="48"/>
        <v>Regular</v>
      </c>
      <c r="D779">
        <f t="shared" si="49"/>
        <v>93744</v>
      </c>
      <c r="E779" s="6">
        <f t="shared" si="50"/>
        <v>1.0926181083228938E-4</v>
      </c>
      <c r="F779" s="5">
        <f ca="1">TODAY()-GETPIVOTDATA("LastPurchaseDate",MaxDate!$A$3,"Customer_name",MaxDate!A781)</f>
        <v>13</v>
      </c>
      <c r="G779" t="str">
        <f t="shared" ca="1" si="51"/>
        <v>Active</v>
      </c>
      <c r="H779" s="13">
        <f>RANK(B779,Customer_Tiers[Total_Sales])</f>
        <v>778</v>
      </c>
    </row>
    <row r="780" spans="1:8">
      <c r="A780" t="str">
        <f>'Top Customers'!A782</f>
        <v>JIMMY KANIYAMKUDY</v>
      </c>
      <c r="B780" s="5">
        <f>IF(A780="","",IFERROR(GETPIVOTDATA("Sales Amount",'Top Customers'!$A$3,"Customer_name",'Top Customers'!A782),""))</f>
        <v>6250</v>
      </c>
      <c r="C780" t="str">
        <f t="shared" si="48"/>
        <v>Regular</v>
      </c>
      <c r="D780">
        <f t="shared" si="49"/>
        <v>93750</v>
      </c>
      <c r="E780" s="6">
        <f t="shared" si="50"/>
        <v>1.0915702009300011E-4</v>
      </c>
      <c r="F780" s="5">
        <f ca="1">TODAY()-GETPIVOTDATA("LastPurchaseDate",MaxDate!$A$3,"Customer_name",MaxDate!A782)</f>
        <v>181</v>
      </c>
      <c r="G780" t="str">
        <f t="shared" ca="1" si="51"/>
        <v>Inactive</v>
      </c>
      <c r="H780" s="13">
        <f>RANK(B780,Customer_Tiers[Total_Sales])</f>
        <v>779</v>
      </c>
    </row>
    <row r="781" spans="1:8">
      <c r="A781" t="str">
        <f>'Top Customers'!A783</f>
        <v>SAIJU KARIMUGAL</v>
      </c>
      <c r="B781" s="5">
        <f>IF(A781="","",IFERROR(GETPIVOTDATA("Sales Amount",'Top Customers'!$A$3,"Customer_name",'Top Customers'!A783),""))</f>
        <v>6222</v>
      </c>
      <c r="C781" t="str">
        <f t="shared" si="48"/>
        <v>Regular</v>
      </c>
      <c r="D781">
        <f t="shared" si="49"/>
        <v>93778</v>
      </c>
      <c r="E781" s="6">
        <f t="shared" si="50"/>
        <v>1.0866799664298347E-4</v>
      </c>
      <c r="F781" s="5">
        <f ca="1">TODAY()-GETPIVOTDATA("LastPurchaseDate",MaxDate!$A$3,"Customer_name",MaxDate!A783)</f>
        <v>6</v>
      </c>
      <c r="G781" t="str">
        <f t="shared" ca="1" si="51"/>
        <v>Active</v>
      </c>
      <c r="H781" s="13">
        <f>RANK(B781,Customer_Tiers[Total_Sales])</f>
        <v>780</v>
      </c>
    </row>
    <row r="782" spans="1:8">
      <c r="A782" t="str">
        <f>'Top Customers'!A784</f>
        <v>ANI CHOONDY</v>
      </c>
      <c r="B782" s="5">
        <f>IF(A782="","",IFERROR(GETPIVOTDATA("Sales Amount",'Top Customers'!$A$3,"Customer_name",'Top Customers'!A784),""))</f>
        <v>6208</v>
      </c>
      <c r="C782" t="str">
        <f t="shared" si="48"/>
        <v>Regular</v>
      </c>
      <c r="D782">
        <f t="shared" si="49"/>
        <v>93792</v>
      </c>
      <c r="E782" s="6">
        <f t="shared" si="50"/>
        <v>1.0842348491797515E-4</v>
      </c>
      <c r="F782" s="5">
        <f ca="1">TODAY()-GETPIVOTDATA("LastPurchaseDate",MaxDate!$A$3,"Customer_name",MaxDate!A784)</f>
        <v>247</v>
      </c>
      <c r="G782" t="str">
        <f t="shared" ca="1" si="51"/>
        <v>Inactive</v>
      </c>
      <c r="H782" s="13">
        <f>RANK(B782,Customer_Tiers[Total_Sales])</f>
        <v>781</v>
      </c>
    </row>
    <row r="783" spans="1:8">
      <c r="A783" t="str">
        <f>'Top Customers'!A785</f>
        <v>RATHEESH KILIKULAM</v>
      </c>
      <c r="B783" s="5">
        <f>IF(A783="","",IFERROR(GETPIVOTDATA("Sales Amount",'Top Customers'!$A$3,"Customer_name",'Top Customers'!A785),""))</f>
        <v>6202</v>
      </c>
      <c r="C783" t="str">
        <f t="shared" si="48"/>
        <v>Regular</v>
      </c>
      <c r="D783">
        <f t="shared" si="49"/>
        <v>93798</v>
      </c>
      <c r="E783" s="6">
        <f t="shared" si="50"/>
        <v>1.0831869417868586E-4</v>
      </c>
      <c r="F783" s="5">
        <f ca="1">TODAY()-GETPIVOTDATA("LastPurchaseDate",MaxDate!$A$3,"Customer_name",MaxDate!A785)</f>
        <v>3</v>
      </c>
      <c r="G783" t="str">
        <f t="shared" ca="1" si="51"/>
        <v>Active</v>
      </c>
      <c r="H783" s="13">
        <f>RANK(B783,Customer_Tiers[Total_Sales])</f>
        <v>782</v>
      </c>
    </row>
    <row r="784" spans="1:8">
      <c r="A784" t="str">
        <f>'Top Customers'!A786</f>
        <v>RAMESH VALAMBOOR</v>
      </c>
      <c r="B784" s="5">
        <f>IF(A784="","",IFERROR(GETPIVOTDATA("Sales Amount",'Top Customers'!$A$3,"Customer_name",'Top Customers'!A786),""))</f>
        <v>6151</v>
      </c>
      <c r="C784" t="str">
        <f t="shared" si="48"/>
        <v>Regular</v>
      </c>
      <c r="D784">
        <f t="shared" si="49"/>
        <v>93849</v>
      </c>
      <c r="E784" s="6">
        <f t="shared" si="50"/>
        <v>1.0742797289472699E-4</v>
      </c>
      <c r="F784" s="5">
        <f ca="1">TODAY()-GETPIVOTDATA("LastPurchaseDate",MaxDate!$A$3,"Customer_name",MaxDate!A786)</f>
        <v>274</v>
      </c>
      <c r="G784" t="str">
        <f t="shared" ca="1" si="51"/>
        <v>Inactive</v>
      </c>
      <c r="H784" s="13">
        <f>RANK(B784,Customer_Tiers[Total_Sales])</f>
        <v>783</v>
      </c>
    </row>
    <row r="785" spans="1:8">
      <c r="A785" t="str">
        <f>'Top Customers'!A787</f>
        <v>SABU</v>
      </c>
      <c r="B785" s="5">
        <f>IF(A785="","",IFERROR(GETPIVOTDATA("Sales Amount",'Top Customers'!$A$3,"Customer_name",'Top Customers'!A787),""))</f>
        <v>6117</v>
      </c>
      <c r="C785" t="str">
        <f t="shared" si="48"/>
        <v>Regular</v>
      </c>
      <c r="D785">
        <f t="shared" si="49"/>
        <v>93883</v>
      </c>
      <c r="E785" s="6">
        <f t="shared" si="50"/>
        <v>1.0683415870542107E-4</v>
      </c>
      <c r="F785" s="5">
        <f ca="1">TODAY()-GETPIVOTDATA("LastPurchaseDate",MaxDate!$A$3,"Customer_name",MaxDate!A787)</f>
        <v>6</v>
      </c>
      <c r="G785" t="str">
        <f t="shared" ca="1" si="51"/>
        <v>Active</v>
      </c>
      <c r="H785" s="13">
        <f>RANK(B785,Customer_Tiers[Total_Sales])</f>
        <v>784</v>
      </c>
    </row>
    <row r="786" spans="1:8">
      <c r="A786" t="str">
        <f>'Top Customers'!A788</f>
        <v>ANANDHU PATTIMATTOM</v>
      </c>
      <c r="B786" s="5">
        <f>IF(A786="","",IFERROR(GETPIVOTDATA("Sales Amount",'Top Customers'!$A$3,"Customer_name",'Top Customers'!A788),""))</f>
        <v>6110</v>
      </c>
      <c r="C786" t="str">
        <f t="shared" si="48"/>
        <v>Regular</v>
      </c>
      <c r="D786">
        <f t="shared" si="49"/>
        <v>93890</v>
      </c>
      <c r="E786" s="6">
        <f t="shared" si="50"/>
        <v>1.0671190284291691E-4</v>
      </c>
      <c r="F786" s="5">
        <f ca="1">TODAY()-GETPIVOTDATA("LastPurchaseDate",MaxDate!$A$3,"Customer_name",MaxDate!A788)</f>
        <v>22</v>
      </c>
      <c r="G786" t="str">
        <f t="shared" ca="1" si="51"/>
        <v>Active</v>
      </c>
      <c r="H786" s="13">
        <f>RANK(B786,Customer_Tiers[Total_Sales])</f>
        <v>785</v>
      </c>
    </row>
    <row r="787" spans="1:8">
      <c r="A787" t="str">
        <f>'Top Customers'!A789</f>
        <v>RAPHEL PATTIMATTOM</v>
      </c>
      <c r="B787" s="5">
        <f>IF(A787="","",IFERROR(GETPIVOTDATA("Sales Amount",'Top Customers'!$A$3,"Customer_name",'Top Customers'!A789),""))</f>
        <v>6080</v>
      </c>
      <c r="C787" t="str">
        <f t="shared" si="48"/>
        <v>Regular</v>
      </c>
      <c r="D787">
        <f t="shared" si="49"/>
        <v>93920</v>
      </c>
      <c r="E787" s="6">
        <f t="shared" si="50"/>
        <v>1.061879491464705E-4</v>
      </c>
      <c r="F787" s="5">
        <f ca="1">TODAY()-GETPIVOTDATA("LastPurchaseDate",MaxDate!$A$3,"Customer_name",MaxDate!A789)</f>
        <v>117</v>
      </c>
      <c r="G787" t="str">
        <f t="shared" ca="1" si="51"/>
        <v>At Risk</v>
      </c>
      <c r="H787" s="13">
        <f>RANK(B787,Customer_Tiers[Total_Sales])</f>
        <v>786</v>
      </c>
    </row>
    <row r="788" spans="1:8">
      <c r="A788" t="str">
        <f>'Top Customers'!A790</f>
        <v>ABDUL LAIZ (BREEZ)</v>
      </c>
      <c r="B788" s="5">
        <f>IF(A788="","",IFERROR(GETPIVOTDATA("Sales Amount",'Top Customers'!$A$3,"Customer_name",'Top Customers'!A790),""))</f>
        <v>6062</v>
      </c>
      <c r="C788" t="str">
        <f t="shared" si="48"/>
        <v>Regular</v>
      </c>
      <c r="D788">
        <f t="shared" si="49"/>
        <v>93938</v>
      </c>
      <c r="E788" s="6">
        <f t="shared" si="50"/>
        <v>1.0587357692860266E-4</v>
      </c>
      <c r="F788" s="5">
        <f ca="1">TODAY()-GETPIVOTDATA("LastPurchaseDate",MaxDate!$A$3,"Customer_name",MaxDate!A790)</f>
        <v>234</v>
      </c>
      <c r="G788" t="str">
        <f t="shared" ca="1" si="51"/>
        <v>Inactive</v>
      </c>
      <c r="H788" s="13">
        <f>RANK(B788,Customer_Tiers[Total_Sales])</f>
        <v>787</v>
      </c>
    </row>
    <row r="789" spans="1:8">
      <c r="A789" t="str">
        <f>'Top Customers'!A791</f>
        <v>KRISHNAN KUTTY</v>
      </c>
      <c r="B789" s="5">
        <f>IF(A789="","",IFERROR(GETPIVOTDATA("Sales Amount",'Top Customers'!$A$3,"Customer_name",'Top Customers'!A791),""))</f>
        <v>6061</v>
      </c>
      <c r="C789" t="str">
        <f t="shared" si="48"/>
        <v>Regular</v>
      </c>
      <c r="D789">
        <f t="shared" si="49"/>
        <v>93939</v>
      </c>
      <c r="E789" s="6">
        <f t="shared" si="50"/>
        <v>1.0585611180538778E-4</v>
      </c>
      <c r="F789" s="5">
        <f ca="1">TODAY()-GETPIVOTDATA("LastPurchaseDate",MaxDate!$A$3,"Customer_name",MaxDate!A791)</f>
        <v>16</v>
      </c>
      <c r="G789" t="str">
        <f t="shared" ca="1" si="51"/>
        <v>Active</v>
      </c>
      <c r="H789" s="13">
        <f>RANK(B789,Customer_Tiers[Total_Sales])</f>
        <v>788</v>
      </c>
    </row>
    <row r="790" spans="1:8">
      <c r="A790" t="str">
        <f>'Top Customers'!A792</f>
        <v>PRABHU KUMMANODE</v>
      </c>
      <c r="B790" s="5">
        <f>IF(A790="","",IFERROR(GETPIVOTDATA("Sales Amount",'Top Customers'!$A$3,"Customer_name",'Top Customers'!A792),""))</f>
        <v>6054</v>
      </c>
      <c r="C790" t="str">
        <f t="shared" si="48"/>
        <v>Regular</v>
      </c>
      <c r="D790">
        <f t="shared" si="49"/>
        <v>93946</v>
      </c>
      <c r="E790" s="6">
        <f t="shared" si="50"/>
        <v>1.0573385594288363E-4</v>
      </c>
      <c r="F790" s="5">
        <f ca="1">TODAY()-GETPIVOTDATA("LastPurchaseDate",MaxDate!$A$3,"Customer_name",MaxDate!A792)</f>
        <v>181</v>
      </c>
      <c r="G790" t="str">
        <f t="shared" ca="1" si="51"/>
        <v>Inactive</v>
      </c>
      <c r="H790" s="13">
        <f>RANK(B790,Customer_Tiers[Total_Sales])</f>
        <v>789</v>
      </c>
    </row>
    <row r="791" spans="1:8">
      <c r="A791" t="str">
        <f>'Top Customers'!A793</f>
        <v>RAJAN K K</v>
      </c>
      <c r="B791" s="5">
        <f>IF(A791="","",IFERROR(GETPIVOTDATA("Sales Amount",'Top Customers'!$A$3,"Customer_name",'Top Customers'!A793),""))</f>
        <v>6046</v>
      </c>
      <c r="C791" t="str">
        <f t="shared" si="48"/>
        <v>Regular</v>
      </c>
      <c r="D791">
        <f t="shared" si="49"/>
        <v>93954</v>
      </c>
      <c r="E791" s="6">
        <f t="shared" si="50"/>
        <v>1.0559413495716459E-4</v>
      </c>
      <c r="F791" s="5">
        <f ca="1">TODAY()-GETPIVOTDATA("LastPurchaseDate",MaxDate!$A$3,"Customer_name",MaxDate!A793)</f>
        <v>61</v>
      </c>
      <c r="G791" t="str">
        <f t="shared" ca="1" si="51"/>
        <v>At Risk</v>
      </c>
      <c r="H791" s="13">
        <f>RANK(B791,Customer_Tiers[Total_Sales])</f>
        <v>790</v>
      </c>
    </row>
    <row r="792" spans="1:8">
      <c r="A792" t="str">
        <f>'Top Customers'!A794</f>
        <v>ABOOBEKKER</v>
      </c>
      <c r="B792" s="5">
        <f>IF(A792="","",IFERROR(GETPIVOTDATA("Sales Amount",'Top Customers'!$A$3,"Customer_name",'Top Customers'!A794),""))</f>
        <v>6035</v>
      </c>
      <c r="C792" t="str">
        <f t="shared" si="48"/>
        <v>Regular</v>
      </c>
      <c r="D792">
        <f t="shared" si="49"/>
        <v>93965</v>
      </c>
      <c r="E792" s="6">
        <f t="shared" si="50"/>
        <v>1.054020186018009E-4</v>
      </c>
      <c r="F792" s="5">
        <f ca="1">TODAY()-GETPIVOTDATA("LastPurchaseDate",MaxDate!$A$3,"Customer_name",MaxDate!A794)</f>
        <v>36</v>
      </c>
      <c r="G792" t="str">
        <f t="shared" ca="1" si="51"/>
        <v>Active</v>
      </c>
      <c r="H792" s="13">
        <f>RANK(B792,Customer_Tiers[Total_Sales])</f>
        <v>791</v>
      </c>
    </row>
    <row r="793" spans="1:8">
      <c r="A793" t="str">
        <f>'Top Customers'!A795</f>
        <v>TITUS KURIAKOSE</v>
      </c>
      <c r="B793" s="5">
        <f>IF(A793="","",IFERROR(GETPIVOTDATA("Sales Amount",'Top Customers'!$A$3,"Customer_name",'Top Customers'!A795),""))</f>
        <v>6031</v>
      </c>
      <c r="C793" t="str">
        <f t="shared" si="48"/>
        <v>Regular</v>
      </c>
      <c r="D793">
        <f t="shared" si="49"/>
        <v>93969</v>
      </c>
      <c r="E793" s="6">
        <f t="shared" si="50"/>
        <v>1.0533215810894139E-4</v>
      </c>
      <c r="F793" s="5">
        <f ca="1">TODAY()-GETPIVOTDATA("LastPurchaseDate",MaxDate!$A$3,"Customer_name",MaxDate!A795)</f>
        <v>51</v>
      </c>
      <c r="G793" t="str">
        <f t="shared" ca="1" si="51"/>
        <v>Active</v>
      </c>
      <c r="H793" s="13">
        <f>RANK(B793,Customer_Tiers[Total_Sales])</f>
        <v>792</v>
      </c>
    </row>
    <row r="794" spans="1:8">
      <c r="A794" t="str">
        <f>'Top Customers'!A796</f>
        <v>PAREETH KEEPETH</v>
      </c>
      <c r="B794" s="5">
        <f>IF(A794="","",IFERROR(GETPIVOTDATA("Sales Amount",'Top Customers'!$A$3,"Customer_name",'Top Customers'!A796),""))</f>
        <v>5960</v>
      </c>
      <c r="C794" t="str">
        <f t="shared" si="48"/>
        <v>Regular</v>
      </c>
      <c r="D794">
        <f t="shared" si="49"/>
        <v>94040</v>
      </c>
      <c r="E794" s="6">
        <f t="shared" si="50"/>
        <v>1.0409213436068491E-4</v>
      </c>
      <c r="F794" s="5">
        <f ca="1">TODAY()-GETPIVOTDATA("LastPurchaseDate",MaxDate!$A$3,"Customer_name",MaxDate!A796)</f>
        <v>47</v>
      </c>
      <c r="G794" t="str">
        <f t="shared" ca="1" si="51"/>
        <v>Active</v>
      </c>
      <c r="H794" s="13">
        <f>RANK(B794,Customer_Tiers[Total_Sales])</f>
        <v>793</v>
      </c>
    </row>
    <row r="795" spans="1:8">
      <c r="A795" t="str">
        <f>'Top Customers'!A797</f>
        <v>SUBAIR , CHELAKKULAM</v>
      </c>
      <c r="B795" s="5">
        <f>IF(A795="","",IFERROR(GETPIVOTDATA("Sales Amount",'Top Customers'!$A$3,"Customer_name",'Top Customers'!A797),""))</f>
        <v>5939</v>
      </c>
      <c r="C795" t="str">
        <f t="shared" si="48"/>
        <v>Regular</v>
      </c>
      <c r="D795">
        <f t="shared" si="49"/>
        <v>94061</v>
      </c>
      <c r="E795" s="6">
        <f t="shared" si="50"/>
        <v>1.0372536677317242E-4</v>
      </c>
      <c r="F795" s="5">
        <f ca="1">TODAY()-GETPIVOTDATA("LastPurchaseDate",MaxDate!$A$3,"Customer_name",MaxDate!A797)</f>
        <v>160</v>
      </c>
      <c r="G795" t="str">
        <f t="shared" ca="1" si="51"/>
        <v>Inactive</v>
      </c>
      <c r="H795" s="13">
        <f>RANK(B795,Customer_Tiers[Total_Sales])</f>
        <v>794</v>
      </c>
    </row>
    <row r="796" spans="1:8">
      <c r="A796" t="str">
        <f>'Top Customers'!A798</f>
        <v>HOTEL VRINDHAVAN</v>
      </c>
      <c r="B796" s="5">
        <f>IF(A796="","",IFERROR(GETPIVOTDATA("Sales Amount",'Top Customers'!$A$3,"Customer_name",'Top Customers'!A798),""))</f>
        <v>5905</v>
      </c>
      <c r="C796" t="str">
        <f t="shared" si="48"/>
        <v>Regular</v>
      </c>
      <c r="D796">
        <f t="shared" si="49"/>
        <v>94095</v>
      </c>
      <c r="E796" s="6">
        <f t="shared" si="50"/>
        <v>1.0313155258386651E-4</v>
      </c>
      <c r="F796" s="5">
        <f ca="1">TODAY()-GETPIVOTDATA("LastPurchaseDate",MaxDate!$A$3,"Customer_name",MaxDate!A798)</f>
        <v>132</v>
      </c>
      <c r="G796" t="str">
        <f t="shared" ca="1" si="51"/>
        <v>Inactive</v>
      </c>
      <c r="H796" s="13">
        <f>RANK(B796,Customer_Tiers[Total_Sales])</f>
        <v>795</v>
      </c>
    </row>
    <row r="797" spans="1:8">
      <c r="A797" t="str">
        <f>'Top Customers'!A799</f>
        <v>SANAL , VALAMBOOR</v>
      </c>
      <c r="B797" s="5">
        <f>IF(A797="","",IFERROR(GETPIVOTDATA("Sales Amount",'Top Customers'!$A$3,"Customer_name",'Top Customers'!A799),""))</f>
        <v>5902</v>
      </c>
      <c r="C797" t="str">
        <f t="shared" si="48"/>
        <v>Regular</v>
      </c>
      <c r="D797">
        <f t="shared" si="49"/>
        <v>94098</v>
      </c>
      <c r="E797" s="6">
        <f t="shared" si="50"/>
        <v>1.0307915721422186E-4</v>
      </c>
      <c r="F797" s="5">
        <f ca="1">TODAY()-GETPIVOTDATA("LastPurchaseDate",MaxDate!$A$3,"Customer_name",MaxDate!A799)</f>
        <v>54</v>
      </c>
      <c r="G797" t="str">
        <f t="shared" ca="1" si="51"/>
        <v>Active</v>
      </c>
      <c r="H797" s="13">
        <f>RANK(B797,Customer_Tiers[Total_Sales])</f>
        <v>796</v>
      </c>
    </row>
    <row r="798" spans="1:8">
      <c r="A798" t="str">
        <f>'Top Customers'!A800</f>
        <v>VIMAL MANAKKAPADY</v>
      </c>
      <c r="B798" s="5">
        <f>IF(A798="","",IFERROR(GETPIVOTDATA("Sales Amount",'Top Customers'!$A$3,"Customer_name",'Top Customers'!A800),""))</f>
        <v>5896</v>
      </c>
      <c r="C798" t="str">
        <f t="shared" si="48"/>
        <v>Regular</v>
      </c>
      <c r="D798">
        <f t="shared" si="49"/>
        <v>94104</v>
      </c>
      <c r="E798" s="6">
        <f t="shared" si="50"/>
        <v>1.0297436647493259E-4</v>
      </c>
      <c r="F798" s="5">
        <f ca="1">TODAY()-GETPIVOTDATA("LastPurchaseDate",MaxDate!$A$3,"Customer_name",MaxDate!A800)</f>
        <v>20</v>
      </c>
      <c r="G798" t="str">
        <f t="shared" ca="1" si="51"/>
        <v>Active</v>
      </c>
      <c r="H798" s="13">
        <f>RANK(B798,Customer_Tiers[Total_Sales])</f>
        <v>797</v>
      </c>
    </row>
    <row r="799" spans="1:8">
      <c r="A799" t="str">
        <f>'Top Customers'!A801</f>
        <v>KUNJUMON THEYYAMPURATH</v>
      </c>
      <c r="B799" s="5">
        <f>IF(A799="","",IFERROR(GETPIVOTDATA("Sales Amount",'Top Customers'!$A$3,"Customer_name",'Top Customers'!A801),""))</f>
        <v>5894</v>
      </c>
      <c r="C799" t="str">
        <f t="shared" si="48"/>
        <v>Regular</v>
      </c>
      <c r="D799">
        <f t="shared" si="49"/>
        <v>94106</v>
      </c>
      <c r="E799" s="6">
        <f t="shared" si="50"/>
        <v>1.0293943622850282E-4</v>
      </c>
      <c r="F799" s="5">
        <f ca="1">TODAY()-GETPIVOTDATA("LastPurchaseDate",MaxDate!$A$3,"Customer_name",MaxDate!A801)</f>
        <v>239</v>
      </c>
      <c r="G799" t="str">
        <f t="shared" ca="1" si="51"/>
        <v>Inactive</v>
      </c>
      <c r="H799" s="13">
        <f>RANK(B799,Customer_Tiers[Total_Sales])</f>
        <v>798</v>
      </c>
    </row>
    <row r="800" spans="1:8">
      <c r="A800" t="str">
        <f>'Top Customers'!A802</f>
        <v>JASEETHA PATTIMATTOM</v>
      </c>
      <c r="B800" s="5">
        <f>IF(A800="","",IFERROR(GETPIVOTDATA("Sales Amount",'Top Customers'!$A$3,"Customer_name",'Top Customers'!A802),""))</f>
        <v>5853</v>
      </c>
      <c r="C800" t="str">
        <f t="shared" si="48"/>
        <v>Regular</v>
      </c>
      <c r="D800">
        <f t="shared" si="49"/>
        <v>94147</v>
      </c>
      <c r="E800" s="6">
        <f t="shared" si="50"/>
        <v>1.0222336617669274E-4</v>
      </c>
      <c r="F800" s="5">
        <f ca="1">TODAY()-GETPIVOTDATA("LastPurchaseDate",MaxDate!$A$3,"Customer_name",MaxDate!A802)</f>
        <v>205</v>
      </c>
      <c r="G800" t="str">
        <f t="shared" ca="1" si="51"/>
        <v>Inactive</v>
      </c>
      <c r="H800" s="13">
        <f>RANK(B800,Customer_Tiers[Total_Sales])</f>
        <v>799</v>
      </c>
    </row>
    <row r="801" spans="1:8">
      <c r="A801" t="str">
        <f>'Top Customers'!A803</f>
        <v>RENVOLT ENERGY SOLUTIONSPRIVATE LIMITED</v>
      </c>
      <c r="B801" s="5">
        <f>IF(A801="","",IFERROR(GETPIVOTDATA("Sales Amount",'Top Customers'!$A$3,"Customer_name",'Top Customers'!A803),""))</f>
        <v>5803</v>
      </c>
      <c r="C801" t="str">
        <f t="shared" si="48"/>
        <v>Regular</v>
      </c>
      <c r="D801">
        <f t="shared" si="49"/>
        <v>94197</v>
      </c>
      <c r="E801" s="6">
        <f t="shared" si="50"/>
        <v>1.0135011001594874E-4</v>
      </c>
      <c r="F801" s="5">
        <f ca="1">TODAY()-GETPIVOTDATA("LastPurchaseDate",MaxDate!$A$3,"Customer_name",MaxDate!A803)</f>
        <v>261</v>
      </c>
      <c r="G801" t="str">
        <f t="shared" ca="1" si="51"/>
        <v>Inactive</v>
      </c>
      <c r="H801" s="13">
        <f>RANK(B801,Customer_Tiers[Total_Sales])</f>
        <v>800</v>
      </c>
    </row>
    <row r="802" spans="1:8">
      <c r="A802" t="str">
        <f>'Top Customers'!A804</f>
        <v>JOSEPH MYLATTUMOLAYIL</v>
      </c>
      <c r="B802" s="5">
        <f>IF(A802="","",IFERROR(GETPIVOTDATA("Sales Amount",'Top Customers'!$A$3,"Customer_name",'Top Customers'!A804),""))</f>
        <v>5772</v>
      </c>
      <c r="C802" t="str">
        <f t="shared" si="48"/>
        <v>Regular</v>
      </c>
      <c r="D802">
        <f t="shared" si="49"/>
        <v>94228</v>
      </c>
      <c r="E802" s="6">
        <f t="shared" si="50"/>
        <v>1.0080869119628746E-4</v>
      </c>
      <c r="F802" s="5">
        <f ca="1">TODAY()-GETPIVOTDATA("LastPurchaseDate",MaxDate!$A$3,"Customer_name",MaxDate!A804)</f>
        <v>68</v>
      </c>
      <c r="G802" t="str">
        <f t="shared" ca="1" si="51"/>
        <v>At Risk</v>
      </c>
      <c r="H802" s="13">
        <f>RANK(B802,Customer_Tiers[Total_Sales])</f>
        <v>801</v>
      </c>
    </row>
    <row r="803" spans="1:8">
      <c r="A803" t="str">
        <f>'Top Customers'!A805</f>
        <v>ROBIN</v>
      </c>
      <c r="B803" s="5">
        <f>IF(A803="","",IFERROR(GETPIVOTDATA("Sales Amount",'Top Customers'!$A$3,"Customer_name",'Top Customers'!A805),""))</f>
        <v>5760</v>
      </c>
      <c r="C803" t="str">
        <f t="shared" si="48"/>
        <v>Regular</v>
      </c>
      <c r="D803">
        <f t="shared" si="49"/>
        <v>94240</v>
      </c>
      <c r="E803" s="6">
        <f t="shared" si="50"/>
        <v>1.0059910971770889E-4</v>
      </c>
      <c r="F803" s="5">
        <f ca="1">TODAY()-GETPIVOTDATA("LastPurchaseDate",MaxDate!$A$3,"Customer_name",MaxDate!A805)</f>
        <v>169</v>
      </c>
      <c r="G803" t="str">
        <f t="shared" ca="1" si="51"/>
        <v>Inactive</v>
      </c>
      <c r="H803" s="13">
        <f>RANK(B803,Customer_Tiers[Total_Sales])</f>
        <v>802</v>
      </c>
    </row>
    <row r="804" spans="1:8">
      <c r="A804" t="str">
        <f>'Top Customers'!A806</f>
        <v>VIJAYAN,  AIRAPURAM</v>
      </c>
      <c r="B804" s="5">
        <f>IF(A804="","",IFERROR(GETPIVOTDATA("Sales Amount",'Top Customers'!$A$3,"Customer_name",'Top Customers'!A806),""))</f>
        <v>5745</v>
      </c>
      <c r="C804" t="str">
        <f t="shared" si="48"/>
        <v>Regular</v>
      </c>
      <c r="D804">
        <f t="shared" si="49"/>
        <v>94255</v>
      </c>
      <c r="E804" s="6">
        <f t="shared" si="50"/>
        <v>1.003371328694857E-4</v>
      </c>
      <c r="F804" s="5">
        <f ca="1">TODAY()-GETPIVOTDATA("LastPurchaseDate",MaxDate!$A$3,"Customer_name",MaxDate!A806)</f>
        <v>61</v>
      </c>
      <c r="G804" t="str">
        <f t="shared" ca="1" si="51"/>
        <v>At Risk</v>
      </c>
      <c r="H804" s="13">
        <f>RANK(B804,Customer_Tiers[Total_Sales])</f>
        <v>803</v>
      </c>
    </row>
    <row r="805" spans="1:8">
      <c r="A805" t="str">
        <f>'Top Customers'!A807</f>
        <v>CHANDRAN , PANCODU</v>
      </c>
      <c r="B805" s="5">
        <f>IF(A805="","",IFERROR(GETPIVOTDATA("Sales Amount",'Top Customers'!$A$3,"Customer_name",'Top Customers'!A807),""))</f>
        <v>5717</v>
      </c>
      <c r="C805" t="str">
        <f t="shared" si="48"/>
        <v>Regular</v>
      </c>
      <c r="D805">
        <f t="shared" si="49"/>
        <v>94283</v>
      </c>
      <c r="E805" s="6">
        <f t="shared" si="50"/>
        <v>9.9848109419469061E-5</v>
      </c>
      <c r="F805" s="5">
        <f ca="1">TODAY()-GETPIVOTDATA("LastPurchaseDate",MaxDate!$A$3,"Customer_name",MaxDate!A807)</f>
        <v>281</v>
      </c>
      <c r="G805" t="str">
        <f t="shared" ca="1" si="51"/>
        <v>Inactive</v>
      </c>
      <c r="H805" s="13">
        <f>RANK(B805,Customer_Tiers[Total_Sales])</f>
        <v>804</v>
      </c>
    </row>
    <row r="806" spans="1:8">
      <c r="A806" t="str">
        <f>'Top Customers'!A808</f>
        <v>SHIBU P K</v>
      </c>
      <c r="B806" s="5">
        <f>IF(A806="","",IFERROR(GETPIVOTDATA("Sales Amount",'Top Customers'!$A$3,"Customer_name",'Top Customers'!A808),""))</f>
        <v>5700</v>
      </c>
      <c r="C806" t="str">
        <f t="shared" si="48"/>
        <v>Regular</v>
      </c>
      <c r="D806">
        <f t="shared" si="49"/>
        <v>94300</v>
      </c>
      <c r="E806" s="6">
        <f t="shared" si="50"/>
        <v>9.9551202324816104E-5</v>
      </c>
      <c r="F806" s="5">
        <f ca="1">TODAY()-GETPIVOTDATA("LastPurchaseDate",MaxDate!$A$3,"Customer_name",MaxDate!A808)</f>
        <v>151</v>
      </c>
      <c r="G806" t="str">
        <f t="shared" ca="1" si="51"/>
        <v>Inactive</v>
      </c>
      <c r="H806" s="13">
        <f>RANK(B806,Customer_Tiers[Total_Sales])</f>
        <v>805</v>
      </c>
    </row>
    <row r="807" spans="1:8">
      <c r="A807" t="str">
        <f>'Top Customers'!A809</f>
        <v>DEEPAK KADAYIRUPPU</v>
      </c>
      <c r="B807" s="5">
        <f>IF(A807="","",IFERROR(GETPIVOTDATA("Sales Amount",'Top Customers'!$A$3,"Customer_name",'Top Customers'!A809),""))</f>
        <v>5682</v>
      </c>
      <c r="C807" t="str">
        <f t="shared" si="48"/>
        <v>Regular</v>
      </c>
      <c r="D807">
        <f t="shared" si="49"/>
        <v>94318</v>
      </c>
      <c r="E807" s="6">
        <f t="shared" si="50"/>
        <v>9.9236830106948264E-5</v>
      </c>
      <c r="F807" s="5">
        <f ca="1">TODAY()-GETPIVOTDATA("LastPurchaseDate",MaxDate!$A$3,"Customer_name",MaxDate!A809)</f>
        <v>20</v>
      </c>
      <c r="G807" t="str">
        <f t="shared" ca="1" si="51"/>
        <v>Active</v>
      </c>
      <c r="H807" s="13">
        <f>RANK(B807,Customer_Tiers[Total_Sales])</f>
        <v>806</v>
      </c>
    </row>
    <row r="808" spans="1:8">
      <c r="A808" t="str">
        <f>'Top Customers'!A810</f>
        <v>MUKUNDAN PATTIMATTOM</v>
      </c>
      <c r="B808" s="5">
        <f>IF(A808="","",IFERROR(GETPIVOTDATA("Sales Amount",'Top Customers'!$A$3,"Customer_name",'Top Customers'!A810),""))</f>
        <v>5664</v>
      </c>
      <c r="C808" t="str">
        <f t="shared" si="48"/>
        <v>Regular</v>
      </c>
      <c r="D808">
        <f t="shared" si="49"/>
        <v>94336</v>
      </c>
      <c r="E808" s="6">
        <f t="shared" si="50"/>
        <v>9.8922457889080424E-5</v>
      </c>
      <c r="F808" s="5">
        <f ca="1">TODAY()-GETPIVOTDATA("LastPurchaseDate",MaxDate!$A$3,"Customer_name",MaxDate!A810)</f>
        <v>262</v>
      </c>
      <c r="G808" t="str">
        <f t="shared" ca="1" si="51"/>
        <v>Inactive</v>
      </c>
      <c r="H808" s="13">
        <f>RANK(B808,Customer_Tiers[Total_Sales])</f>
        <v>807</v>
      </c>
    </row>
    <row r="809" spans="1:8">
      <c r="A809" t="str">
        <f>'Top Customers'!A811</f>
        <v>ROY THATTARA</v>
      </c>
      <c r="B809" s="5">
        <f>IF(A809="","",IFERROR(GETPIVOTDATA("Sales Amount",'Top Customers'!$A$3,"Customer_name",'Top Customers'!A811),""))</f>
        <v>5639</v>
      </c>
      <c r="C809" t="str">
        <f t="shared" si="48"/>
        <v>Regular</v>
      </c>
      <c r="D809">
        <f t="shared" si="49"/>
        <v>94361</v>
      </c>
      <c r="E809" s="6">
        <f t="shared" si="50"/>
        <v>9.8485829808708417E-5</v>
      </c>
      <c r="F809" s="5">
        <f ca="1">TODAY()-GETPIVOTDATA("LastPurchaseDate",MaxDate!$A$3,"Customer_name",MaxDate!A811)</f>
        <v>82</v>
      </c>
      <c r="G809" t="str">
        <f t="shared" ca="1" si="51"/>
        <v>At Risk</v>
      </c>
      <c r="H809" s="13">
        <f>RANK(B809,Customer_Tiers[Total_Sales])</f>
        <v>808</v>
      </c>
    </row>
    <row r="810" spans="1:8">
      <c r="A810" t="str">
        <f>'Top Customers'!A812</f>
        <v>KIRAN NJARALLOOR</v>
      </c>
      <c r="B810" s="5">
        <f>IF(A810="","",IFERROR(GETPIVOTDATA("Sales Amount",'Top Customers'!$A$3,"Customer_name",'Top Customers'!A812),""))</f>
        <v>5613</v>
      </c>
      <c r="C810" t="str">
        <f t="shared" si="48"/>
        <v>Regular</v>
      </c>
      <c r="D810">
        <f t="shared" si="49"/>
        <v>94387</v>
      </c>
      <c r="E810" s="6">
        <f t="shared" si="50"/>
        <v>9.8031736605121541E-5</v>
      </c>
      <c r="F810" s="5">
        <f ca="1">TODAY()-GETPIVOTDATA("LastPurchaseDate",MaxDate!$A$3,"Customer_name",MaxDate!A812)</f>
        <v>195</v>
      </c>
      <c r="G810" t="str">
        <f t="shared" ca="1" si="51"/>
        <v>Inactive</v>
      </c>
      <c r="H810" s="13">
        <f>RANK(B810,Customer_Tiers[Total_Sales])</f>
        <v>809</v>
      </c>
    </row>
    <row r="811" spans="1:8">
      <c r="A811" t="str">
        <f>'Top Customers'!A813</f>
        <v>AJAYAN A</v>
      </c>
      <c r="B811" s="5">
        <f>IF(A811="","",IFERROR(GETPIVOTDATA("Sales Amount",'Top Customers'!$A$3,"Customer_name",'Top Customers'!A813),""))</f>
        <v>5575</v>
      </c>
      <c r="C811" t="str">
        <f t="shared" si="48"/>
        <v>Regular</v>
      </c>
      <c r="D811">
        <f t="shared" si="49"/>
        <v>94425</v>
      </c>
      <c r="E811" s="6">
        <f t="shared" si="50"/>
        <v>9.7368061922956095E-5</v>
      </c>
      <c r="F811" s="5">
        <f ca="1">TODAY()-GETPIVOTDATA("LastPurchaseDate",MaxDate!$A$3,"Customer_name",MaxDate!A813)</f>
        <v>106</v>
      </c>
      <c r="G811" t="str">
        <f t="shared" ca="1" si="51"/>
        <v>At Risk</v>
      </c>
      <c r="H811" s="13">
        <f>RANK(B811,Customer_Tiers[Total_Sales])</f>
        <v>810</v>
      </c>
    </row>
    <row r="812" spans="1:8">
      <c r="A812" t="str">
        <f>'Top Customers'!A814</f>
        <v>RAJU</v>
      </c>
      <c r="B812" s="5">
        <f>IF(A812="","",IFERROR(GETPIVOTDATA("Sales Amount",'Top Customers'!$A$3,"Customer_name",'Top Customers'!A814),""))</f>
        <v>5574</v>
      </c>
      <c r="C812" t="str">
        <f t="shared" si="48"/>
        <v>Regular</v>
      </c>
      <c r="D812">
        <f t="shared" si="49"/>
        <v>94426</v>
      </c>
      <c r="E812" s="6">
        <f t="shared" si="50"/>
        <v>9.7350596799741212E-5</v>
      </c>
      <c r="F812" s="5">
        <f ca="1">TODAY()-GETPIVOTDATA("LastPurchaseDate",MaxDate!$A$3,"Customer_name",MaxDate!A814)</f>
        <v>89</v>
      </c>
      <c r="G812" t="str">
        <f t="shared" ca="1" si="51"/>
        <v>At Risk</v>
      </c>
      <c r="H812" s="13">
        <f>RANK(B812,Customer_Tiers[Total_Sales])</f>
        <v>811</v>
      </c>
    </row>
    <row r="813" spans="1:8">
      <c r="A813" t="str">
        <f>'Top Customers'!A815</f>
        <v>TITTU KANINAD</v>
      </c>
      <c r="B813" s="5">
        <f>IF(A813="","",IFERROR(GETPIVOTDATA("Sales Amount",'Top Customers'!$A$3,"Customer_name",'Top Customers'!A815),""))</f>
        <v>5567</v>
      </c>
      <c r="C813" t="str">
        <f t="shared" si="48"/>
        <v>Regular</v>
      </c>
      <c r="D813">
        <f t="shared" si="49"/>
        <v>94433</v>
      </c>
      <c r="E813" s="6">
        <f t="shared" si="50"/>
        <v>9.7228340937237058E-5</v>
      </c>
      <c r="F813" s="5">
        <f ca="1">TODAY()-GETPIVOTDATA("LastPurchaseDate",MaxDate!$A$3,"Customer_name",MaxDate!A815)</f>
        <v>53</v>
      </c>
      <c r="G813" t="str">
        <f t="shared" ca="1" si="51"/>
        <v>Active</v>
      </c>
      <c r="H813" s="13">
        <f>RANK(B813,Customer_Tiers[Total_Sales])</f>
        <v>812</v>
      </c>
    </row>
    <row r="814" spans="1:8">
      <c r="A814" t="str">
        <f>'Top Customers'!A816</f>
        <v>VARGHESE KUTTY</v>
      </c>
      <c r="B814" s="5">
        <f>IF(A814="","",IFERROR(GETPIVOTDATA("Sales Amount",'Top Customers'!$A$3,"Customer_name",'Top Customers'!A816),""))</f>
        <v>5516</v>
      </c>
      <c r="C814" t="str">
        <f t="shared" si="48"/>
        <v>Regular</v>
      </c>
      <c r="D814">
        <f t="shared" si="49"/>
        <v>94484</v>
      </c>
      <c r="E814" s="6">
        <f t="shared" si="50"/>
        <v>9.6337619653278175E-5</v>
      </c>
      <c r="F814" s="5">
        <f ca="1">TODAY()-GETPIVOTDATA("LastPurchaseDate",MaxDate!$A$3,"Customer_name",MaxDate!A816)</f>
        <v>134</v>
      </c>
      <c r="G814" t="str">
        <f t="shared" ca="1" si="51"/>
        <v>Inactive</v>
      </c>
      <c r="H814" s="13">
        <f>RANK(B814,Customer_Tiers[Total_Sales])</f>
        <v>813</v>
      </c>
    </row>
    <row r="815" spans="1:8">
      <c r="A815" t="str">
        <f>'Top Customers'!A817</f>
        <v>RENJITH DAYARAPADY</v>
      </c>
      <c r="B815" s="5">
        <f>IF(A815="","",IFERROR(GETPIVOTDATA("Sales Amount",'Top Customers'!$A$3,"Customer_name",'Top Customers'!A817),""))</f>
        <v>5507</v>
      </c>
      <c r="C815" t="str">
        <f t="shared" si="48"/>
        <v>Regular</v>
      </c>
      <c r="D815">
        <f t="shared" si="49"/>
        <v>94493</v>
      </c>
      <c r="E815" s="6">
        <f t="shared" si="50"/>
        <v>9.6180433544344255E-5</v>
      </c>
      <c r="F815" s="5">
        <f ca="1">TODAY()-GETPIVOTDATA("LastPurchaseDate",MaxDate!$A$3,"Customer_name",MaxDate!A817)</f>
        <v>282</v>
      </c>
      <c r="G815" t="str">
        <f t="shared" ca="1" si="51"/>
        <v>Inactive</v>
      </c>
      <c r="H815" s="13">
        <f>RANK(B815,Customer_Tiers[Total_Sales])</f>
        <v>814</v>
      </c>
    </row>
    <row r="816" spans="1:8">
      <c r="A816" t="str">
        <f>'Top Customers'!A818</f>
        <v>GOPI MAZHUVANNOOR</v>
      </c>
      <c r="B816" s="5">
        <f>IF(A816="","",IFERROR(GETPIVOTDATA("Sales Amount",'Top Customers'!$A$3,"Customer_name",'Top Customers'!A818),""))</f>
        <v>5503</v>
      </c>
      <c r="C816" t="str">
        <f t="shared" si="48"/>
        <v>Regular</v>
      </c>
      <c r="D816">
        <f t="shared" si="49"/>
        <v>94497</v>
      </c>
      <c r="E816" s="6">
        <f t="shared" si="50"/>
        <v>9.6110573051484737E-5</v>
      </c>
      <c r="F816" s="5">
        <f ca="1">TODAY()-GETPIVOTDATA("LastPurchaseDate",MaxDate!$A$3,"Customer_name",MaxDate!A818)</f>
        <v>38</v>
      </c>
      <c r="G816" t="str">
        <f t="shared" ca="1" si="51"/>
        <v>Active</v>
      </c>
      <c r="H816" s="13">
        <f>RANK(B816,Customer_Tiers[Total_Sales])</f>
        <v>815</v>
      </c>
    </row>
    <row r="817" spans="1:8">
      <c r="A817" t="str">
        <f>'Top Customers'!A819</f>
        <v>SABU MARIYIL</v>
      </c>
      <c r="B817" s="5">
        <f>IF(A817="","",IFERROR(GETPIVOTDATA("Sales Amount",'Top Customers'!$A$3,"Customer_name",'Top Customers'!A819),""))</f>
        <v>5500</v>
      </c>
      <c r="C817" t="str">
        <f t="shared" si="48"/>
        <v>Regular</v>
      </c>
      <c r="D817">
        <f t="shared" si="49"/>
        <v>94500</v>
      </c>
      <c r="E817" s="6">
        <f t="shared" si="50"/>
        <v>9.6058177681840101E-5</v>
      </c>
      <c r="F817" s="5">
        <f ca="1">TODAY()-GETPIVOTDATA("LastPurchaseDate",MaxDate!$A$3,"Customer_name",MaxDate!A819)</f>
        <v>289</v>
      </c>
      <c r="G817" t="str">
        <f t="shared" ca="1" si="51"/>
        <v>Inactive</v>
      </c>
      <c r="H817" s="13">
        <f>RANK(B817,Customer_Tiers[Total_Sales])</f>
        <v>816</v>
      </c>
    </row>
    <row r="818" spans="1:8">
      <c r="A818" t="str">
        <f>'Top Customers'!A820</f>
        <v>AJI . P.D</v>
      </c>
      <c r="B818" s="5">
        <f>IF(A818="","",IFERROR(GETPIVOTDATA("Sales Amount",'Top Customers'!$A$3,"Customer_name",'Top Customers'!A820),""))</f>
        <v>5373</v>
      </c>
      <c r="C818" t="str">
        <f t="shared" si="48"/>
        <v>Regular</v>
      </c>
      <c r="D818">
        <f t="shared" si="49"/>
        <v>94627</v>
      </c>
      <c r="E818" s="6">
        <f t="shared" si="50"/>
        <v>9.3840107033550327E-5</v>
      </c>
      <c r="F818" s="5">
        <f ca="1">TODAY()-GETPIVOTDATA("LastPurchaseDate",MaxDate!$A$3,"Customer_name",MaxDate!A820)</f>
        <v>284</v>
      </c>
      <c r="G818" t="str">
        <f t="shared" ca="1" si="51"/>
        <v>Inactive</v>
      </c>
      <c r="H818" s="13">
        <f>RANK(B818,Customer_Tiers[Total_Sales])</f>
        <v>817</v>
      </c>
    </row>
    <row r="819" spans="1:8">
      <c r="A819" t="str">
        <f>'Top Customers'!A821</f>
        <v>SIJU CHOORAKKODE</v>
      </c>
      <c r="B819" s="5">
        <f>IF(A819="","",IFERROR(GETPIVOTDATA("Sales Amount",'Top Customers'!$A$3,"Customer_name",'Top Customers'!A821),""))</f>
        <v>5345</v>
      </c>
      <c r="C819" t="str">
        <f t="shared" si="48"/>
        <v>Regular</v>
      </c>
      <c r="D819">
        <f t="shared" si="49"/>
        <v>94655</v>
      </c>
      <c r="E819" s="6">
        <f t="shared" si="50"/>
        <v>9.3351083583533698E-5</v>
      </c>
      <c r="F819" s="5">
        <f ca="1">TODAY()-GETPIVOTDATA("LastPurchaseDate",MaxDate!$A$3,"Customer_name",MaxDate!A821)</f>
        <v>57</v>
      </c>
      <c r="G819" t="str">
        <f t="shared" ca="1" si="51"/>
        <v>Active</v>
      </c>
      <c r="H819" s="13">
        <f>RANK(B819,Customer_Tiers[Total_Sales])</f>
        <v>818</v>
      </c>
    </row>
    <row r="820" spans="1:8">
      <c r="A820" t="str">
        <f>'Top Customers'!A822</f>
        <v>RAMACHANDRAN AIRAPURAM</v>
      </c>
      <c r="B820" s="5">
        <f>IF(A820="","",IFERROR(GETPIVOTDATA("Sales Amount",'Top Customers'!$A$3,"Customer_name",'Top Customers'!A822),""))</f>
        <v>5340</v>
      </c>
      <c r="C820" t="str">
        <f t="shared" si="48"/>
        <v>Regular</v>
      </c>
      <c r="D820">
        <f t="shared" si="49"/>
        <v>94660</v>
      </c>
      <c r="E820" s="6">
        <f t="shared" si="50"/>
        <v>9.3263757967459296E-5</v>
      </c>
      <c r="F820" s="5">
        <f ca="1">TODAY()-GETPIVOTDATA("LastPurchaseDate",MaxDate!$A$3,"Customer_name",MaxDate!A822)</f>
        <v>219</v>
      </c>
      <c r="G820" t="str">
        <f t="shared" ca="1" si="51"/>
        <v>Inactive</v>
      </c>
      <c r="H820" s="13">
        <f>RANK(B820,Customer_Tiers[Total_Sales])</f>
        <v>819</v>
      </c>
    </row>
    <row r="821" spans="1:8">
      <c r="A821" t="str">
        <f>'Top Customers'!A823</f>
        <v>SAJU MYLATTUMOLAYIL</v>
      </c>
      <c r="B821" s="5">
        <f>IF(A821="","",IFERROR(GETPIVOTDATA("Sales Amount",'Top Customers'!$A$3,"Customer_name",'Top Customers'!A823),""))</f>
        <v>5317</v>
      </c>
      <c r="C821" t="str">
        <f t="shared" si="48"/>
        <v>Regular</v>
      </c>
      <c r="D821">
        <f t="shared" si="49"/>
        <v>94683</v>
      </c>
      <c r="E821" s="6">
        <f t="shared" si="50"/>
        <v>9.2862060133517055E-5</v>
      </c>
      <c r="F821" s="5">
        <f ca="1">TODAY()-GETPIVOTDATA("LastPurchaseDate",MaxDate!$A$3,"Customer_name",MaxDate!A823)</f>
        <v>100</v>
      </c>
      <c r="G821" t="str">
        <f t="shared" ca="1" si="51"/>
        <v>At Risk</v>
      </c>
      <c r="H821" s="13">
        <f>RANK(B821,Customer_Tiers[Total_Sales])</f>
        <v>820</v>
      </c>
    </row>
    <row r="822" spans="1:8">
      <c r="A822" t="str">
        <f>'Top Customers'!A824</f>
        <v>GEORGE , VATTAPPARA</v>
      </c>
      <c r="B822" s="5">
        <f>IF(A822="","",IFERROR(GETPIVOTDATA("Sales Amount",'Top Customers'!$A$3,"Customer_name",'Top Customers'!A824),""))</f>
        <v>5290</v>
      </c>
      <c r="C822" t="str">
        <f t="shared" si="48"/>
        <v>Regular</v>
      </c>
      <c r="D822">
        <f t="shared" si="49"/>
        <v>94710</v>
      </c>
      <c r="E822" s="6">
        <f t="shared" si="50"/>
        <v>9.2390501806715296E-5</v>
      </c>
      <c r="F822" s="5">
        <f ca="1">TODAY()-GETPIVOTDATA("LastPurchaseDate",MaxDate!$A$3,"Customer_name",MaxDate!A824)</f>
        <v>38</v>
      </c>
      <c r="G822" t="str">
        <f t="shared" ca="1" si="51"/>
        <v>Active</v>
      </c>
      <c r="H822" s="13">
        <f>RANK(B822,Customer_Tiers[Total_Sales])</f>
        <v>821</v>
      </c>
    </row>
    <row r="823" spans="1:8">
      <c r="A823" t="str">
        <f>'Top Customers'!A825</f>
        <v>SIVAN APE</v>
      </c>
      <c r="B823" s="5">
        <f>IF(A823="","",IFERROR(GETPIVOTDATA("Sales Amount",'Top Customers'!$A$3,"Customer_name",'Top Customers'!A825),""))</f>
        <v>5290</v>
      </c>
      <c r="C823" t="str">
        <f t="shared" si="48"/>
        <v>Regular</v>
      </c>
      <c r="D823">
        <f t="shared" si="49"/>
        <v>94710</v>
      </c>
      <c r="E823" s="6">
        <f t="shared" si="50"/>
        <v>9.2390501806715296E-5</v>
      </c>
      <c r="F823" s="5">
        <f ca="1">TODAY()-GETPIVOTDATA("LastPurchaseDate",MaxDate!$A$3,"Customer_name",MaxDate!A825)</f>
        <v>131</v>
      </c>
      <c r="G823" t="str">
        <f t="shared" ca="1" si="51"/>
        <v>Inactive</v>
      </c>
      <c r="H823" s="13">
        <f>RANK(B823,Customer_Tiers[Total_Sales])</f>
        <v>821</v>
      </c>
    </row>
    <row r="824" spans="1:8">
      <c r="A824" t="str">
        <f>'Top Customers'!A826</f>
        <v>BINU , JANAKY</v>
      </c>
      <c r="B824" s="5">
        <f>IF(A824="","",IFERROR(GETPIVOTDATA("Sales Amount",'Top Customers'!$A$3,"Customer_name",'Top Customers'!A826),""))</f>
        <v>5284</v>
      </c>
      <c r="C824" t="str">
        <f t="shared" si="48"/>
        <v>Regular</v>
      </c>
      <c r="D824">
        <f t="shared" si="49"/>
        <v>94716</v>
      </c>
      <c r="E824" s="6">
        <f t="shared" si="50"/>
        <v>9.2285711067426011E-5</v>
      </c>
      <c r="F824" s="5">
        <f ca="1">TODAY()-GETPIVOTDATA("LastPurchaseDate",MaxDate!$A$3,"Customer_name",MaxDate!A826)</f>
        <v>120</v>
      </c>
      <c r="G824" t="str">
        <f t="shared" ca="1" si="51"/>
        <v>At Risk</v>
      </c>
      <c r="H824" s="13">
        <f>RANK(B824,Customer_Tiers[Total_Sales])</f>
        <v>823</v>
      </c>
    </row>
    <row r="825" spans="1:8">
      <c r="A825" t="str">
        <f>'Top Customers'!A827</f>
        <v>SEBAS PRODUCTS</v>
      </c>
      <c r="B825" s="5">
        <f>IF(A825="","",IFERROR(GETPIVOTDATA("Sales Amount",'Top Customers'!$A$3,"Customer_name",'Top Customers'!A827),""))</f>
        <v>5284</v>
      </c>
      <c r="C825" t="str">
        <f t="shared" si="48"/>
        <v>Regular</v>
      </c>
      <c r="D825">
        <f t="shared" si="49"/>
        <v>94716</v>
      </c>
      <c r="E825" s="6">
        <f t="shared" si="50"/>
        <v>9.2285711067426011E-5</v>
      </c>
      <c r="F825" s="5">
        <f ca="1">TODAY()-GETPIVOTDATA("LastPurchaseDate",MaxDate!$A$3,"Customer_name",MaxDate!A827)</f>
        <v>256</v>
      </c>
      <c r="G825" t="str">
        <f t="shared" ca="1" si="51"/>
        <v>Inactive</v>
      </c>
      <c r="H825" s="13">
        <f>RANK(B825,Customer_Tiers[Total_Sales])</f>
        <v>823</v>
      </c>
    </row>
    <row r="826" spans="1:8">
      <c r="A826" t="str">
        <f>'Top Customers'!A828</f>
        <v>ABY KOORACHI</v>
      </c>
      <c r="B826" s="5">
        <f>IF(A826="","",IFERROR(GETPIVOTDATA("Sales Amount",'Top Customers'!$A$3,"Customer_name",'Top Customers'!A828),""))</f>
        <v>5277</v>
      </c>
      <c r="C826" t="str">
        <f t="shared" si="48"/>
        <v>Regular</v>
      </c>
      <c r="D826">
        <f t="shared" si="49"/>
        <v>94723</v>
      </c>
      <c r="E826" s="6">
        <f t="shared" si="50"/>
        <v>9.2163455204921857E-5</v>
      </c>
      <c r="F826" s="5">
        <f ca="1">TODAY()-GETPIVOTDATA("LastPurchaseDate",MaxDate!$A$3,"Customer_name",MaxDate!A828)</f>
        <v>282</v>
      </c>
      <c r="G826" t="str">
        <f t="shared" ca="1" si="51"/>
        <v>Inactive</v>
      </c>
      <c r="H826" s="13">
        <f>RANK(B826,Customer_Tiers[Total_Sales])</f>
        <v>825</v>
      </c>
    </row>
    <row r="827" spans="1:8">
      <c r="A827" t="str">
        <f>'Top Customers'!A829</f>
        <v>CHANDRA MOHAN VALAMBOOR</v>
      </c>
      <c r="B827" s="5">
        <f>IF(A827="","",IFERROR(GETPIVOTDATA("Sales Amount",'Top Customers'!$A$3,"Customer_name",'Top Customers'!A829),""))</f>
        <v>5263</v>
      </c>
      <c r="C827" t="str">
        <f t="shared" si="48"/>
        <v>Regular</v>
      </c>
      <c r="D827">
        <f t="shared" si="49"/>
        <v>94737</v>
      </c>
      <c r="E827" s="6">
        <f t="shared" si="50"/>
        <v>9.1918943479913536E-5</v>
      </c>
      <c r="F827" s="5">
        <f ca="1">TODAY()-GETPIVOTDATA("LastPurchaseDate",MaxDate!$A$3,"Customer_name",MaxDate!A829)</f>
        <v>111</v>
      </c>
      <c r="G827" t="str">
        <f t="shared" ca="1" si="51"/>
        <v>At Risk</v>
      </c>
      <c r="H827" s="13">
        <f>RANK(B827,Customer_Tiers[Total_Sales])</f>
        <v>826</v>
      </c>
    </row>
    <row r="828" spans="1:8">
      <c r="A828" t="str">
        <f>'Top Customers'!A830</f>
        <v>FINE HARVEST FARAMS PATTIMATTOM</v>
      </c>
      <c r="B828" s="5">
        <f>IF(A828="","",IFERROR(GETPIVOTDATA("Sales Amount",'Top Customers'!$A$3,"Customer_name",'Top Customers'!A830),""))</f>
        <v>5201</v>
      </c>
      <c r="C828" t="str">
        <f t="shared" si="48"/>
        <v>Regular</v>
      </c>
      <c r="D828">
        <f t="shared" si="49"/>
        <v>94799</v>
      </c>
      <c r="E828" s="6">
        <f t="shared" si="50"/>
        <v>9.0836105840590967E-5</v>
      </c>
      <c r="F828" s="5">
        <f ca="1">TODAY()-GETPIVOTDATA("LastPurchaseDate",MaxDate!$A$3,"Customer_name",MaxDate!A830)</f>
        <v>9</v>
      </c>
      <c r="G828" t="str">
        <f t="shared" ca="1" si="51"/>
        <v>Active</v>
      </c>
      <c r="H828" s="13">
        <f>RANK(B828,Customer_Tiers[Total_Sales])</f>
        <v>827</v>
      </c>
    </row>
    <row r="829" spans="1:8">
      <c r="A829" t="str">
        <f>'Top Customers'!A831</f>
        <v>KURUPPASAN , VALAMBOOR</v>
      </c>
      <c r="B829" s="5">
        <f>IF(A829="","",IFERROR(GETPIVOTDATA("Sales Amount",'Top Customers'!$A$3,"Customer_name",'Top Customers'!A831),""))</f>
        <v>5191</v>
      </c>
      <c r="C829" t="str">
        <f t="shared" si="48"/>
        <v>Regular</v>
      </c>
      <c r="D829">
        <f t="shared" si="49"/>
        <v>94809</v>
      </c>
      <c r="E829" s="6">
        <f t="shared" si="50"/>
        <v>9.0661454608442164E-5</v>
      </c>
      <c r="F829" s="5">
        <f ca="1">TODAY()-GETPIVOTDATA("LastPurchaseDate",MaxDate!$A$3,"Customer_name",MaxDate!A831)</f>
        <v>253</v>
      </c>
      <c r="G829" t="str">
        <f t="shared" ca="1" si="51"/>
        <v>Inactive</v>
      </c>
      <c r="H829" s="13">
        <f>RANK(B829,Customer_Tiers[Total_Sales])</f>
        <v>828</v>
      </c>
    </row>
    <row r="830" spans="1:8">
      <c r="A830" t="str">
        <f>'Top Customers'!A832</f>
        <v>SHIHAB</v>
      </c>
      <c r="B830" s="5">
        <f>IF(A830="","",IFERROR(GETPIVOTDATA("Sales Amount",'Top Customers'!$A$3,"Customer_name",'Top Customers'!A832),""))</f>
        <v>5154</v>
      </c>
      <c r="C830" t="str">
        <f t="shared" si="48"/>
        <v>Regular</v>
      </c>
      <c r="D830">
        <f t="shared" si="49"/>
        <v>94846</v>
      </c>
      <c r="E830" s="6">
        <f t="shared" si="50"/>
        <v>9.0015245049491615E-5</v>
      </c>
      <c r="F830" s="5">
        <f ca="1">TODAY()-GETPIVOTDATA("LastPurchaseDate",MaxDate!$A$3,"Customer_name",MaxDate!A832)</f>
        <v>152</v>
      </c>
      <c r="G830" t="str">
        <f t="shared" ca="1" si="51"/>
        <v>Inactive</v>
      </c>
      <c r="H830" s="13">
        <f>RANK(B830,Customer_Tiers[Total_Sales])</f>
        <v>829</v>
      </c>
    </row>
    <row r="831" spans="1:8">
      <c r="A831" t="str">
        <f>'Top Customers'!A833</f>
        <v>MUHAMMED M.A</v>
      </c>
      <c r="B831" s="5">
        <f>IF(A831="","",IFERROR(GETPIVOTDATA("Sales Amount",'Top Customers'!$A$3,"Customer_name",'Top Customers'!A833),""))</f>
        <v>5140</v>
      </c>
      <c r="C831" t="str">
        <f t="shared" si="48"/>
        <v>Regular</v>
      </c>
      <c r="D831">
        <f t="shared" si="49"/>
        <v>94860</v>
      </c>
      <c r="E831" s="6">
        <f t="shared" si="50"/>
        <v>8.9770733324483294E-5</v>
      </c>
      <c r="F831" s="5">
        <f ca="1">TODAY()-GETPIVOTDATA("LastPurchaseDate",MaxDate!$A$3,"Customer_name",MaxDate!A833)</f>
        <v>170</v>
      </c>
      <c r="G831" t="str">
        <f t="shared" ca="1" si="51"/>
        <v>Inactive</v>
      </c>
      <c r="H831" s="13">
        <f>RANK(B831,Customer_Tiers[Total_Sales])</f>
        <v>830</v>
      </c>
    </row>
    <row r="832" spans="1:8">
      <c r="A832" t="str">
        <f>'Top Customers'!A834</f>
        <v>SREEJITH ARACKAPADY</v>
      </c>
      <c r="B832" s="5">
        <f>IF(A832="","",IFERROR(GETPIVOTDATA("Sales Amount",'Top Customers'!$A$3,"Customer_name",'Top Customers'!A834),""))</f>
        <v>5140</v>
      </c>
      <c r="C832" t="str">
        <f t="shared" si="48"/>
        <v>Regular</v>
      </c>
      <c r="D832">
        <f t="shared" si="49"/>
        <v>94860</v>
      </c>
      <c r="E832" s="6">
        <f t="shared" si="50"/>
        <v>8.9770733324483294E-5</v>
      </c>
      <c r="F832" s="5">
        <f ca="1">TODAY()-GETPIVOTDATA("LastPurchaseDate",MaxDate!$A$3,"Customer_name",MaxDate!A834)</f>
        <v>292</v>
      </c>
      <c r="G832" t="str">
        <f t="shared" ca="1" si="51"/>
        <v>Inactive</v>
      </c>
      <c r="H832" s="13">
        <f>RANK(B832,Customer_Tiers[Total_Sales])</f>
        <v>830</v>
      </c>
    </row>
    <row r="833" spans="1:8">
      <c r="A833" t="str">
        <f>'Top Customers'!A835</f>
        <v>GOVT UP SCHOOL KUNNAKURUDY</v>
      </c>
      <c r="B833" s="5">
        <f>IF(A833="","",IFERROR(GETPIVOTDATA("Sales Amount",'Top Customers'!$A$3,"Customer_name",'Top Customers'!A835),""))</f>
        <v>5136</v>
      </c>
      <c r="C833" t="str">
        <f t="shared" si="48"/>
        <v>Regular</v>
      </c>
      <c r="D833">
        <f t="shared" si="49"/>
        <v>94864</v>
      </c>
      <c r="E833" s="6">
        <f t="shared" si="50"/>
        <v>8.9700872831623775E-5</v>
      </c>
      <c r="F833" s="5">
        <f ca="1">TODAY()-GETPIVOTDATA("LastPurchaseDate",MaxDate!$A$3,"Customer_name",MaxDate!A835)</f>
        <v>100</v>
      </c>
      <c r="G833" t="str">
        <f t="shared" ca="1" si="51"/>
        <v>At Risk</v>
      </c>
      <c r="H833" s="13">
        <f>RANK(B833,Customer_Tiers[Total_Sales])</f>
        <v>832</v>
      </c>
    </row>
    <row r="834" spans="1:8">
      <c r="A834" t="str">
        <f>'Top Customers'!A836</f>
        <v>REMESH EXCECUTIVE</v>
      </c>
      <c r="B834" s="5">
        <f>IF(A834="","",IFERROR(GETPIVOTDATA("Sales Amount",'Top Customers'!$A$3,"Customer_name",'Top Customers'!A836),""))</f>
        <v>5093</v>
      </c>
      <c r="C834" t="str">
        <f t="shared" ref="C834:C897" si="52">IF(B834&gt;=1000000,"Platinum",
 IF(B834&gt;=500000,"Gold",
 IF(B834&gt;=100000,"Silver","Regular")))</f>
        <v>Regular</v>
      </c>
      <c r="D834">
        <f t="shared" ref="D834:D897" si="53">IF(C834="Platinum",0,
 IF(C834="Gold",1000000-B834,
 IF(C834="Silver",500000-B834,
 IF(C834="Regular",100000-B834,0))))</f>
        <v>94907</v>
      </c>
      <c r="E834" s="6">
        <f t="shared" ref="E834:E897" si="54">B834/SUM(B:B)</f>
        <v>8.8949872533383928E-5</v>
      </c>
      <c r="F834" s="5">
        <f ca="1">TODAY()-GETPIVOTDATA("LastPurchaseDate",MaxDate!$A$3,"Customer_name",MaxDate!A836)</f>
        <v>86</v>
      </c>
      <c r="G834" t="str">
        <f t="shared" ref="G834:G897" ca="1" si="55">IF(F834="","",
 IF(F834&lt;=60,"Active",
 IF(F834&lt;=120,"At Risk","Inactive")))</f>
        <v>At Risk</v>
      </c>
      <c r="H834" s="13">
        <f>RANK(B834,Customer_Tiers[Total_Sales])</f>
        <v>833</v>
      </c>
    </row>
    <row r="835" spans="1:8">
      <c r="A835" t="str">
        <f>'Top Customers'!A837</f>
        <v>SHEKEER PATTIMATTOM</v>
      </c>
      <c r="B835" s="5">
        <f>IF(A835="","",IFERROR(GETPIVOTDATA("Sales Amount",'Top Customers'!$A$3,"Customer_name",'Top Customers'!A837),""))</f>
        <v>4967</v>
      </c>
      <c r="C835" t="str">
        <f t="shared" si="52"/>
        <v>Regular</v>
      </c>
      <c r="D835">
        <f t="shared" si="53"/>
        <v>95033</v>
      </c>
      <c r="E835" s="6">
        <f t="shared" si="54"/>
        <v>8.674926700830905E-5</v>
      </c>
      <c r="F835" s="5">
        <f ca="1">TODAY()-GETPIVOTDATA("LastPurchaseDate",MaxDate!$A$3,"Customer_name",MaxDate!A837)</f>
        <v>271</v>
      </c>
      <c r="G835" t="str">
        <f t="shared" ca="1" si="55"/>
        <v>Inactive</v>
      </c>
      <c r="H835" s="13">
        <f>RANK(B835,Customer_Tiers[Total_Sales])</f>
        <v>834</v>
      </c>
    </row>
    <row r="836" spans="1:8">
      <c r="A836" t="str">
        <f>'Top Customers'!A838</f>
        <v>ANAND PATTIMATTOM</v>
      </c>
      <c r="B836" s="5">
        <f>IF(A836="","",IFERROR(GETPIVOTDATA("Sales Amount",'Top Customers'!$A$3,"Customer_name",'Top Customers'!A838),""))</f>
        <v>4959</v>
      </c>
      <c r="C836" t="str">
        <f t="shared" si="52"/>
        <v>Regular</v>
      </c>
      <c r="D836">
        <f t="shared" si="53"/>
        <v>95041</v>
      </c>
      <c r="E836" s="6">
        <f t="shared" si="54"/>
        <v>8.660954602259E-5</v>
      </c>
      <c r="F836" s="5">
        <f ca="1">TODAY()-GETPIVOTDATA("LastPurchaseDate",MaxDate!$A$3,"Customer_name",MaxDate!A838)</f>
        <v>323</v>
      </c>
      <c r="G836" t="str">
        <f t="shared" ca="1" si="55"/>
        <v>Inactive</v>
      </c>
      <c r="H836" s="13">
        <f>RANK(B836,Customer_Tiers[Total_Sales])</f>
        <v>835</v>
      </c>
    </row>
    <row r="837" spans="1:8">
      <c r="A837" t="str">
        <f>'Top Customers'!A839</f>
        <v>PRASAD VALAMBOOR</v>
      </c>
      <c r="B837" s="5">
        <f>IF(A837="","",IFERROR(GETPIVOTDATA("Sales Amount",'Top Customers'!$A$3,"Customer_name",'Top Customers'!A839),""))</f>
        <v>4937</v>
      </c>
      <c r="C837" t="str">
        <f t="shared" si="52"/>
        <v>Regular</v>
      </c>
      <c r="D837">
        <f t="shared" si="53"/>
        <v>95063</v>
      </c>
      <c r="E837" s="6">
        <f t="shared" si="54"/>
        <v>8.6225313311862642E-5</v>
      </c>
      <c r="F837" s="5">
        <f ca="1">TODAY()-GETPIVOTDATA("LastPurchaseDate",MaxDate!$A$3,"Customer_name",MaxDate!A839)</f>
        <v>332</v>
      </c>
      <c r="G837" t="str">
        <f t="shared" ca="1" si="55"/>
        <v>Inactive</v>
      </c>
      <c r="H837" s="13">
        <f>RANK(B837,Customer_Tiers[Total_Sales])</f>
        <v>836</v>
      </c>
    </row>
    <row r="838" spans="1:8">
      <c r="A838" t="str">
        <f>'Top Customers'!A840</f>
        <v>JINS,KAITHAKAD</v>
      </c>
      <c r="B838" s="5">
        <f>IF(A838="","",IFERROR(GETPIVOTDATA("Sales Amount",'Top Customers'!$A$3,"Customer_name",'Top Customers'!A840),""))</f>
        <v>4933</v>
      </c>
      <c r="C838" t="str">
        <f t="shared" si="52"/>
        <v>Regular</v>
      </c>
      <c r="D838">
        <f t="shared" si="53"/>
        <v>95067</v>
      </c>
      <c r="E838" s="6">
        <f t="shared" si="54"/>
        <v>8.6155452819003123E-5</v>
      </c>
      <c r="F838" s="5">
        <f ca="1">TODAY()-GETPIVOTDATA("LastPurchaseDate",MaxDate!$A$3,"Customer_name",MaxDate!A840)</f>
        <v>176</v>
      </c>
      <c r="G838" t="str">
        <f t="shared" ca="1" si="55"/>
        <v>Inactive</v>
      </c>
      <c r="H838" s="13">
        <f>RANK(B838,Customer_Tiers[Total_Sales])</f>
        <v>837</v>
      </c>
    </row>
    <row r="839" spans="1:8">
      <c r="A839" t="str">
        <f>'Top Customers'!A841</f>
        <v>J K ANNA NATURAL RUBBERS</v>
      </c>
      <c r="B839" s="5">
        <f>IF(A839="","",IFERROR(GETPIVOTDATA("Sales Amount",'Top Customers'!$A$3,"Customer_name",'Top Customers'!A841),""))</f>
        <v>4920</v>
      </c>
      <c r="C839" t="str">
        <f t="shared" si="52"/>
        <v>Regular</v>
      </c>
      <c r="D839">
        <f t="shared" si="53"/>
        <v>95080</v>
      </c>
      <c r="E839" s="6">
        <f t="shared" si="54"/>
        <v>8.5928406217209685E-5</v>
      </c>
      <c r="F839" s="5">
        <f ca="1">TODAY()-GETPIVOTDATA("LastPurchaseDate",MaxDate!$A$3,"Customer_name",MaxDate!A841)</f>
        <v>122</v>
      </c>
      <c r="G839" t="str">
        <f t="shared" ca="1" si="55"/>
        <v>Inactive</v>
      </c>
      <c r="H839" s="13">
        <f>RANK(B839,Customer_Tiers[Total_Sales])</f>
        <v>838</v>
      </c>
    </row>
    <row r="840" spans="1:8">
      <c r="A840" t="str">
        <f>'Top Customers'!A842</f>
        <v>SREEKUMAR , PANCODU</v>
      </c>
      <c r="B840" s="5">
        <f>IF(A840="","",IFERROR(GETPIVOTDATA("Sales Amount",'Top Customers'!$A$3,"Customer_name",'Top Customers'!A842),""))</f>
        <v>4892</v>
      </c>
      <c r="C840" t="str">
        <f t="shared" si="52"/>
        <v>Regular</v>
      </c>
      <c r="D840">
        <f t="shared" si="53"/>
        <v>95108</v>
      </c>
      <c r="E840" s="6">
        <f t="shared" si="54"/>
        <v>8.5439382767193043E-5</v>
      </c>
      <c r="F840" s="5">
        <f ca="1">TODAY()-GETPIVOTDATA("LastPurchaseDate",MaxDate!$A$3,"Customer_name",MaxDate!A842)</f>
        <v>76</v>
      </c>
      <c r="G840" t="str">
        <f t="shared" ca="1" si="55"/>
        <v>At Risk</v>
      </c>
      <c r="H840" s="13">
        <f>RANK(B840,Customer_Tiers[Total_Sales])</f>
        <v>839</v>
      </c>
    </row>
    <row r="841" spans="1:8">
      <c r="A841" t="str">
        <f>'Top Customers'!A843</f>
        <v>ABOOBAKKER</v>
      </c>
      <c r="B841" s="5">
        <f>IF(A841="","",IFERROR(GETPIVOTDATA("Sales Amount",'Top Customers'!$A$3,"Customer_name",'Top Customers'!A843),""))</f>
        <v>4891</v>
      </c>
      <c r="C841" t="str">
        <f t="shared" si="52"/>
        <v>Regular</v>
      </c>
      <c r="D841">
        <f t="shared" si="53"/>
        <v>95109</v>
      </c>
      <c r="E841" s="6">
        <f t="shared" si="54"/>
        <v>8.542191764397816E-5</v>
      </c>
      <c r="F841" s="5">
        <f ca="1">TODAY()-GETPIVOTDATA("LastPurchaseDate",MaxDate!$A$3,"Customer_name",MaxDate!A843)</f>
        <v>37</v>
      </c>
      <c r="G841" t="str">
        <f t="shared" ca="1" si="55"/>
        <v>Active</v>
      </c>
      <c r="H841" s="13">
        <f>RANK(B841,Customer_Tiers[Total_Sales])</f>
        <v>840</v>
      </c>
    </row>
    <row r="842" spans="1:8">
      <c r="A842" t="str">
        <f>'Top Customers'!A844</f>
        <v>ARUN KUMAR , KILIKULAM</v>
      </c>
      <c r="B842" s="5">
        <f>IF(A842="","",IFERROR(GETPIVOTDATA("Sales Amount",'Top Customers'!$A$3,"Customer_name",'Top Customers'!A844),""))</f>
        <v>4880</v>
      </c>
      <c r="C842" t="str">
        <f t="shared" si="52"/>
        <v>Regular</v>
      </c>
      <c r="D842">
        <f t="shared" si="53"/>
        <v>95120</v>
      </c>
      <c r="E842" s="6">
        <f t="shared" si="54"/>
        <v>8.5229801288614487E-5</v>
      </c>
      <c r="F842" s="5">
        <f ca="1">TODAY()-GETPIVOTDATA("LastPurchaseDate",MaxDate!$A$3,"Customer_name",MaxDate!A844)</f>
        <v>191</v>
      </c>
      <c r="G842" t="str">
        <f t="shared" ca="1" si="55"/>
        <v>Inactive</v>
      </c>
      <c r="H842" s="13">
        <f>RANK(B842,Customer_Tiers[Total_Sales])</f>
        <v>841</v>
      </c>
    </row>
    <row r="843" spans="1:8">
      <c r="A843" t="str">
        <f>'Top Customers'!A845</f>
        <v>JOBY THATTAMUGAL</v>
      </c>
      <c r="B843" s="5">
        <f>IF(A843="","",IFERROR(GETPIVOTDATA("Sales Amount",'Top Customers'!$A$3,"Customer_name",'Top Customers'!A845),""))</f>
        <v>4830</v>
      </c>
      <c r="C843" t="str">
        <f t="shared" si="52"/>
        <v>Regular</v>
      </c>
      <c r="D843">
        <f t="shared" si="53"/>
        <v>95170</v>
      </c>
      <c r="E843" s="6">
        <f t="shared" si="54"/>
        <v>8.4356545127870487E-5</v>
      </c>
      <c r="F843" s="5">
        <f ca="1">TODAY()-GETPIVOTDATA("LastPurchaseDate",MaxDate!$A$3,"Customer_name",MaxDate!A845)</f>
        <v>58</v>
      </c>
      <c r="G843" t="str">
        <f t="shared" ca="1" si="55"/>
        <v>Active</v>
      </c>
      <c r="H843" s="13">
        <f>RANK(B843,Customer_Tiers[Total_Sales])</f>
        <v>842</v>
      </c>
    </row>
    <row r="844" spans="1:8">
      <c r="A844" t="str">
        <f>'Top Customers'!A846</f>
        <v>UNNIKRISHNAN</v>
      </c>
      <c r="B844" s="5">
        <f>IF(A844="","",IFERROR(GETPIVOTDATA("Sales Amount",'Top Customers'!$A$3,"Customer_name",'Top Customers'!A846),""))</f>
        <v>4824</v>
      </c>
      <c r="C844" t="str">
        <f t="shared" si="52"/>
        <v>Regular</v>
      </c>
      <c r="D844">
        <f t="shared" si="53"/>
        <v>95176</v>
      </c>
      <c r="E844" s="6">
        <f t="shared" si="54"/>
        <v>8.4251754388581202E-5</v>
      </c>
      <c r="F844" s="5">
        <f ca="1">TODAY()-GETPIVOTDATA("LastPurchaseDate",MaxDate!$A$3,"Customer_name",MaxDate!A846)</f>
        <v>53</v>
      </c>
      <c r="G844" t="str">
        <f t="shared" ca="1" si="55"/>
        <v>Active</v>
      </c>
      <c r="H844" s="13">
        <f>RANK(B844,Customer_Tiers[Total_Sales])</f>
        <v>843</v>
      </c>
    </row>
    <row r="845" spans="1:8">
      <c r="A845" t="str">
        <f>'Top Customers'!A847</f>
        <v>HASHIM</v>
      </c>
      <c r="B845" s="5">
        <f>IF(A845="","",IFERROR(GETPIVOTDATA("Sales Amount",'Top Customers'!$A$3,"Customer_name",'Top Customers'!A847),""))</f>
        <v>4811</v>
      </c>
      <c r="C845" t="str">
        <f t="shared" si="52"/>
        <v>Regular</v>
      </c>
      <c r="D845">
        <f t="shared" si="53"/>
        <v>95189</v>
      </c>
      <c r="E845" s="6">
        <f t="shared" si="54"/>
        <v>8.4024707786787764E-5</v>
      </c>
      <c r="F845" s="5">
        <f ca="1">TODAY()-GETPIVOTDATA("LastPurchaseDate",MaxDate!$A$3,"Customer_name",MaxDate!A847)</f>
        <v>167</v>
      </c>
      <c r="G845" t="str">
        <f t="shared" ca="1" si="55"/>
        <v>Inactive</v>
      </c>
      <c r="H845" s="13">
        <f>RANK(B845,Customer_Tiers[Total_Sales])</f>
        <v>844</v>
      </c>
    </row>
    <row r="846" spans="1:8">
      <c r="A846" t="str">
        <f>'Top Customers'!A848</f>
        <v>MOHANAKRISHNAN</v>
      </c>
      <c r="B846" s="5">
        <f>IF(A846="","",IFERROR(GETPIVOTDATA("Sales Amount",'Top Customers'!$A$3,"Customer_name",'Top Customers'!A848),""))</f>
        <v>4810</v>
      </c>
      <c r="C846" t="str">
        <f t="shared" si="52"/>
        <v>Regular</v>
      </c>
      <c r="D846">
        <f t="shared" si="53"/>
        <v>95190</v>
      </c>
      <c r="E846" s="6">
        <f t="shared" si="54"/>
        <v>8.4007242663572881E-5</v>
      </c>
      <c r="F846" s="5">
        <f ca="1">TODAY()-GETPIVOTDATA("LastPurchaseDate",MaxDate!$A$3,"Customer_name",MaxDate!A848)</f>
        <v>213</v>
      </c>
      <c r="G846" t="str">
        <f t="shared" ca="1" si="55"/>
        <v>Inactive</v>
      </c>
      <c r="H846" s="13">
        <f>RANK(B846,Customer_Tiers[Total_Sales])</f>
        <v>845</v>
      </c>
    </row>
    <row r="847" spans="1:8">
      <c r="A847" t="str">
        <f>'Top Customers'!A849</f>
        <v>SHAJI NJATTUMKALAYIL</v>
      </c>
      <c r="B847" s="5">
        <f>IF(A847="","",IFERROR(GETPIVOTDATA("Sales Amount",'Top Customers'!$A$3,"Customer_name",'Top Customers'!A849),""))</f>
        <v>4810</v>
      </c>
      <c r="C847" t="str">
        <f t="shared" si="52"/>
        <v>Regular</v>
      </c>
      <c r="D847">
        <f t="shared" si="53"/>
        <v>95190</v>
      </c>
      <c r="E847" s="6">
        <f t="shared" si="54"/>
        <v>8.4007242663572881E-5</v>
      </c>
      <c r="F847" s="5">
        <f ca="1">TODAY()-GETPIVOTDATA("LastPurchaseDate",MaxDate!$A$3,"Customer_name",MaxDate!A849)</f>
        <v>179</v>
      </c>
      <c r="G847" t="str">
        <f t="shared" ca="1" si="55"/>
        <v>Inactive</v>
      </c>
      <c r="H847" s="13">
        <f>RANK(B847,Customer_Tiers[Total_Sales])</f>
        <v>845</v>
      </c>
    </row>
    <row r="848" spans="1:8">
      <c r="A848" t="str">
        <f>'Top Customers'!A850</f>
        <v>SUNNY , PAZHAMTHOTTAM</v>
      </c>
      <c r="B848" s="5">
        <f>IF(A848="","",IFERROR(GETPIVOTDATA("Sales Amount",'Top Customers'!$A$3,"Customer_name",'Top Customers'!A850),""))</f>
        <v>4800</v>
      </c>
      <c r="C848" t="str">
        <f t="shared" si="52"/>
        <v>Regular</v>
      </c>
      <c r="D848">
        <f t="shared" si="53"/>
        <v>95200</v>
      </c>
      <c r="E848" s="6">
        <f t="shared" si="54"/>
        <v>8.3832591431424078E-5</v>
      </c>
      <c r="F848" s="5">
        <f ca="1">TODAY()-GETPIVOTDATA("LastPurchaseDate",MaxDate!$A$3,"Customer_name",MaxDate!A850)</f>
        <v>23</v>
      </c>
      <c r="G848" t="str">
        <f t="shared" ca="1" si="55"/>
        <v>Active</v>
      </c>
      <c r="H848" s="13">
        <f>RANK(B848,Customer_Tiers[Total_Sales])</f>
        <v>847</v>
      </c>
    </row>
    <row r="849" spans="1:8">
      <c r="A849" t="str">
        <f>'Top Customers'!A851</f>
        <v>VARGHESE CHOORAKKODU</v>
      </c>
      <c r="B849" s="5">
        <f>IF(A849="","",IFERROR(GETPIVOTDATA("Sales Amount",'Top Customers'!$A$3,"Customer_name",'Top Customers'!A851),""))</f>
        <v>4700</v>
      </c>
      <c r="C849" t="str">
        <f t="shared" si="52"/>
        <v>Regular</v>
      </c>
      <c r="D849">
        <f t="shared" si="53"/>
        <v>95300</v>
      </c>
      <c r="E849" s="6">
        <f t="shared" si="54"/>
        <v>8.2086079109936077E-5</v>
      </c>
      <c r="F849" s="5">
        <f ca="1">TODAY()-GETPIVOTDATA("LastPurchaseDate",MaxDate!$A$3,"Customer_name",MaxDate!A851)</f>
        <v>9</v>
      </c>
      <c r="G849" t="str">
        <f t="shared" ca="1" si="55"/>
        <v>Active</v>
      </c>
      <c r="H849" s="13">
        <f>RANK(B849,Customer_Tiers[Total_Sales])</f>
        <v>848</v>
      </c>
    </row>
    <row r="850" spans="1:8">
      <c r="A850" t="str">
        <f>'Top Customers'!A852</f>
        <v>JOHN VALAMBOOR</v>
      </c>
      <c r="B850" s="5">
        <f>IF(A850="","",IFERROR(GETPIVOTDATA("Sales Amount",'Top Customers'!$A$3,"Customer_name",'Top Customers'!A852),""))</f>
        <v>4696</v>
      </c>
      <c r="C850" t="str">
        <f t="shared" si="52"/>
        <v>Regular</v>
      </c>
      <c r="D850">
        <f t="shared" si="53"/>
        <v>95304</v>
      </c>
      <c r="E850" s="6">
        <f t="shared" si="54"/>
        <v>8.2016218617076558E-5</v>
      </c>
      <c r="F850" s="5">
        <f ca="1">TODAY()-GETPIVOTDATA("LastPurchaseDate",MaxDate!$A$3,"Customer_name",MaxDate!A852)</f>
        <v>320</v>
      </c>
      <c r="G850" t="str">
        <f t="shared" ca="1" si="55"/>
        <v>Inactive</v>
      </c>
      <c r="H850" s="13">
        <f>RANK(B850,Customer_Tiers[Total_Sales])</f>
        <v>849</v>
      </c>
    </row>
    <row r="851" spans="1:8">
      <c r="A851" t="str">
        <f>'Top Customers'!A853</f>
        <v>ANOOP KADAYIRUPPU</v>
      </c>
      <c r="B851" s="5">
        <f>IF(A851="","",IFERROR(GETPIVOTDATA("Sales Amount",'Top Customers'!$A$3,"Customer_name",'Top Customers'!A853),""))</f>
        <v>4694</v>
      </c>
      <c r="C851" t="str">
        <f t="shared" si="52"/>
        <v>Regular</v>
      </c>
      <c r="D851">
        <f t="shared" si="53"/>
        <v>95306</v>
      </c>
      <c r="E851" s="6">
        <f t="shared" si="54"/>
        <v>8.1981288370646806E-5</v>
      </c>
      <c r="F851" s="5">
        <f ca="1">TODAY()-GETPIVOTDATA("LastPurchaseDate",MaxDate!$A$3,"Customer_name",MaxDate!A853)</f>
        <v>327</v>
      </c>
      <c r="G851" t="str">
        <f t="shared" ca="1" si="55"/>
        <v>Inactive</v>
      </c>
      <c r="H851" s="13">
        <f>RANK(B851,Customer_Tiers[Total_Sales])</f>
        <v>850</v>
      </c>
    </row>
    <row r="852" spans="1:8">
      <c r="A852" t="str">
        <f>'Top Customers'!A854</f>
        <v>AKHIL</v>
      </c>
      <c r="B852" s="5">
        <f>IF(A852="","",IFERROR(GETPIVOTDATA("Sales Amount",'Top Customers'!$A$3,"Customer_name",'Top Customers'!A854),""))</f>
        <v>4677</v>
      </c>
      <c r="C852" t="str">
        <f t="shared" si="52"/>
        <v>Regular</v>
      </c>
      <c r="D852">
        <f t="shared" si="53"/>
        <v>95323</v>
      </c>
      <c r="E852" s="6">
        <f t="shared" si="54"/>
        <v>8.1684381275993836E-5</v>
      </c>
      <c r="F852" s="5">
        <f ca="1">TODAY()-GETPIVOTDATA("LastPurchaseDate",MaxDate!$A$3,"Customer_name",MaxDate!A854)</f>
        <v>15</v>
      </c>
      <c r="G852" t="str">
        <f t="shared" ca="1" si="55"/>
        <v>Active</v>
      </c>
      <c r="H852" s="13">
        <f>RANK(B852,Customer_Tiers[Total_Sales])</f>
        <v>851</v>
      </c>
    </row>
    <row r="853" spans="1:8">
      <c r="A853" t="str">
        <f>'Top Customers'!A855</f>
        <v>MURALI (GAYATHRI)</v>
      </c>
      <c r="B853" s="5">
        <f>IF(A853="","",IFERROR(GETPIVOTDATA("Sales Amount",'Top Customers'!$A$3,"Customer_name",'Top Customers'!A855),""))</f>
        <v>4650</v>
      </c>
      <c r="C853" t="str">
        <f t="shared" si="52"/>
        <v>Regular</v>
      </c>
      <c r="D853">
        <f t="shared" si="53"/>
        <v>95350</v>
      </c>
      <c r="E853" s="6">
        <f t="shared" si="54"/>
        <v>8.1212822949192076E-5</v>
      </c>
      <c r="F853" s="5">
        <f ca="1">TODAY()-GETPIVOTDATA("LastPurchaseDate",MaxDate!$A$3,"Customer_name",MaxDate!A855)</f>
        <v>153</v>
      </c>
      <c r="G853" t="str">
        <f t="shared" ca="1" si="55"/>
        <v>Inactive</v>
      </c>
      <c r="H853" s="13">
        <f>RANK(B853,Customer_Tiers[Total_Sales])</f>
        <v>852</v>
      </c>
    </row>
    <row r="854" spans="1:8">
      <c r="A854" t="str">
        <f>'Top Customers'!A856</f>
        <v>JOSE PATTIMATTOM</v>
      </c>
      <c r="B854" s="5">
        <f>IF(A854="","",IFERROR(GETPIVOTDATA("Sales Amount",'Top Customers'!$A$3,"Customer_name",'Top Customers'!A856),""))</f>
        <v>4640</v>
      </c>
      <c r="C854" t="str">
        <f t="shared" si="52"/>
        <v>Regular</v>
      </c>
      <c r="D854">
        <f t="shared" si="53"/>
        <v>95360</v>
      </c>
      <c r="E854" s="6">
        <f t="shared" si="54"/>
        <v>8.1038171717043287E-5</v>
      </c>
      <c r="F854" s="5">
        <f ca="1">TODAY()-GETPIVOTDATA("LastPurchaseDate",MaxDate!$A$3,"Customer_name",MaxDate!A856)</f>
        <v>270</v>
      </c>
      <c r="G854" t="str">
        <f t="shared" ca="1" si="55"/>
        <v>Inactive</v>
      </c>
      <c r="H854" s="13">
        <f>RANK(B854,Customer_Tiers[Total_Sales])</f>
        <v>853</v>
      </c>
    </row>
    <row r="855" spans="1:8">
      <c r="A855" t="str">
        <f>'Top Customers'!A857</f>
        <v>MAMALI CHELAKULAM</v>
      </c>
      <c r="B855" s="5">
        <f>IF(A855="","",IFERROR(GETPIVOTDATA("Sales Amount",'Top Customers'!$A$3,"Customer_name",'Top Customers'!A857),""))</f>
        <v>4602</v>
      </c>
      <c r="C855" t="str">
        <f t="shared" si="52"/>
        <v>Regular</v>
      </c>
      <c r="D855">
        <f t="shared" si="53"/>
        <v>95398</v>
      </c>
      <c r="E855" s="6">
        <f t="shared" si="54"/>
        <v>8.0374497034877841E-5</v>
      </c>
      <c r="F855" s="5">
        <f ca="1">TODAY()-GETPIVOTDATA("LastPurchaseDate",MaxDate!$A$3,"Customer_name",MaxDate!A857)</f>
        <v>313</v>
      </c>
      <c r="G855" t="str">
        <f t="shared" ca="1" si="55"/>
        <v>Inactive</v>
      </c>
      <c r="H855" s="13">
        <f>RANK(B855,Customer_Tiers[Total_Sales])</f>
        <v>854</v>
      </c>
    </row>
    <row r="856" spans="1:8">
      <c r="A856" t="str">
        <f>'Top Customers'!A858</f>
        <v>BABU , SAITHALY</v>
      </c>
      <c r="B856" s="5">
        <f>IF(A856="","",IFERROR(GETPIVOTDATA("Sales Amount",'Top Customers'!$A$3,"Customer_name",'Top Customers'!A858),""))</f>
        <v>4595</v>
      </c>
      <c r="C856" t="str">
        <f t="shared" si="52"/>
        <v>Regular</v>
      </c>
      <c r="D856">
        <f t="shared" si="53"/>
        <v>95405</v>
      </c>
      <c r="E856" s="6">
        <f t="shared" si="54"/>
        <v>8.0252241172373674E-5</v>
      </c>
      <c r="F856" s="5">
        <f ca="1">TODAY()-GETPIVOTDATA("LastPurchaseDate",MaxDate!$A$3,"Customer_name",MaxDate!A858)</f>
        <v>92</v>
      </c>
      <c r="G856" t="str">
        <f t="shared" ca="1" si="55"/>
        <v>At Risk</v>
      </c>
      <c r="H856" s="13">
        <f>RANK(B856,Customer_Tiers[Total_Sales])</f>
        <v>855</v>
      </c>
    </row>
    <row r="857" spans="1:8">
      <c r="A857" t="str">
        <f>'Top Customers'!A859</f>
        <v>AJIN VALAMBOOR</v>
      </c>
      <c r="B857" s="5">
        <f>IF(A857="","",IFERROR(GETPIVOTDATA("Sales Amount",'Top Customers'!$A$3,"Customer_name",'Top Customers'!A859),""))</f>
        <v>4591</v>
      </c>
      <c r="C857" t="str">
        <f t="shared" si="52"/>
        <v>Regular</v>
      </c>
      <c r="D857">
        <f t="shared" si="53"/>
        <v>95409</v>
      </c>
      <c r="E857" s="6">
        <f t="shared" si="54"/>
        <v>8.0182380679514156E-5</v>
      </c>
      <c r="F857" s="5">
        <f ca="1">TODAY()-GETPIVOTDATA("LastPurchaseDate",MaxDate!$A$3,"Customer_name",MaxDate!A859)</f>
        <v>57</v>
      </c>
      <c r="G857" t="str">
        <f t="shared" ca="1" si="55"/>
        <v>Active</v>
      </c>
      <c r="H857" s="13">
        <f>RANK(B857,Customer_Tiers[Total_Sales])</f>
        <v>856</v>
      </c>
    </row>
    <row r="858" spans="1:8">
      <c r="A858" t="str">
        <f>'Top Customers'!A860</f>
        <v>ABBAS TRUSS</v>
      </c>
      <c r="B858" s="5">
        <f>IF(A858="","",IFERROR(GETPIVOTDATA("Sales Amount",'Top Customers'!$A$3,"Customer_name",'Top Customers'!A860),""))</f>
        <v>4552</v>
      </c>
      <c r="C858" t="str">
        <f t="shared" si="52"/>
        <v>Regular</v>
      </c>
      <c r="D858">
        <f t="shared" si="53"/>
        <v>95448</v>
      </c>
      <c r="E858" s="6">
        <f t="shared" si="54"/>
        <v>7.9501240874133841E-5</v>
      </c>
      <c r="F858" s="5">
        <f ca="1">TODAY()-GETPIVOTDATA("LastPurchaseDate",MaxDate!$A$3,"Customer_name",MaxDate!A860)</f>
        <v>96</v>
      </c>
      <c r="G858" t="str">
        <f t="shared" ca="1" si="55"/>
        <v>At Risk</v>
      </c>
      <c r="H858" s="13">
        <f>RANK(B858,Customer_Tiers[Total_Sales])</f>
        <v>857</v>
      </c>
    </row>
    <row r="859" spans="1:8">
      <c r="A859" t="str">
        <f>'Top Customers'!A861</f>
        <v>M.P.RAJU</v>
      </c>
      <c r="B859" s="5">
        <f>IF(A859="","",IFERROR(GETPIVOTDATA("Sales Amount",'Top Customers'!$A$3,"Customer_name",'Top Customers'!A861),""))</f>
        <v>4552</v>
      </c>
      <c r="C859" t="str">
        <f t="shared" si="52"/>
        <v>Regular</v>
      </c>
      <c r="D859">
        <f t="shared" si="53"/>
        <v>95448</v>
      </c>
      <c r="E859" s="6">
        <f t="shared" si="54"/>
        <v>7.9501240874133841E-5</v>
      </c>
      <c r="F859" s="5">
        <f ca="1">TODAY()-GETPIVOTDATA("LastPurchaseDate",MaxDate!$A$3,"Customer_name",MaxDate!A861)</f>
        <v>274</v>
      </c>
      <c r="G859" t="str">
        <f t="shared" ca="1" si="55"/>
        <v>Inactive</v>
      </c>
      <c r="H859" s="13">
        <f>RANK(B859,Customer_Tiers[Total_Sales])</f>
        <v>857</v>
      </c>
    </row>
    <row r="860" spans="1:8">
      <c r="A860" t="str">
        <f>'Top Customers'!A862</f>
        <v>JOHNY P V</v>
      </c>
      <c r="B860" s="5">
        <f>IF(A860="","",IFERROR(GETPIVOTDATA("Sales Amount",'Top Customers'!$A$3,"Customer_name",'Top Customers'!A862),""))</f>
        <v>4514</v>
      </c>
      <c r="C860" t="str">
        <f t="shared" si="52"/>
        <v>Regular</v>
      </c>
      <c r="D860">
        <f t="shared" si="53"/>
        <v>95486</v>
      </c>
      <c r="E860" s="6">
        <f t="shared" si="54"/>
        <v>7.8837566191968395E-5</v>
      </c>
      <c r="F860" s="5">
        <f ca="1">TODAY()-GETPIVOTDATA("LastPurchaseDate",MaxDate!$A$3,"Customer_name",MaxDate!A862)</f>
        <v>296</v>
      </c>
      <c r="G860" t="str">
        <f t="shared" ca="1" si="55"/>
        <v>Inactive</v>
      </c>
      <c r="H860" s="13">
        <f>RANK(B860,Customer_Tiers[Total_Sales])</f>
        <v>859</v>
      </c>
    </row>
    <row r="861" spans="1:8">
      <c r="A861" t="str">
        <f>'Top Customers'!A863</f>
        <v>ALI.K.P</v>
      </c>
      <c r="B861" s="5">
        <f>IF(A861="","",IFERROR(GETPIVOTDATA("Sales Amount",'Top Customers'!$A$3,"Customer_name",'Top Customers'!A863),""))</f>
        <v>4512</v>
      </c>
      <c r="C861" t="str">
        <f t="shared" si="52"/>
        <v>Regular</v>
      </c>
      <c r="D861">
        <f t="shared" si="53"/>
        <v>95488</v>
      </c>
      <c r="E861" s="6">
        <f t="shared" si="54"/>
        <v>7.8802635945538643E-5</v>
      </c>
      <c r="F861" s="5">
        <f ca="1">TODAY()-GETPIVOTDATA("LastPurchaseDate",MaxDate!$A$3,"Customer_name",MaxDate!A863)</f>
        <v>45</v>
      </c>
      <c r="G861" t="str">
        <f t="shared" ca="1" si="55"/>
        <v>Active</v>
      </c>
      <c r="H861" s="13">
        <f>RANK(B861,Customer_Tiers[Total_Sales])</f>
        <v>860</v>
      </c>
    </row>
    <row r="862" spans="1:8">
      <c r="A862" t="str">
        <f>'Top Customers'!A864</f>
        <v>GOPI.K.N</v>
      </c>
      <c r="B862" s="5">
        <f>IF(A862="","",IFERROR(GETPIVOTDATA("Sales Amount",'Top Customers'!$A$3,"Customer_name",'Top Customers'!A864),""))</f>
        <v>4490</v>
      </c>
      <c r="C862" t="str">
        <f t="shared" si="52"/>
        <v>Regular</v>
      </c>
      <c r="D862">
        <f t="shared" si="53"/>
        <v>95510</v>
      </c>
      <c r="E862" s="6">
        <f t="shared" si="54"/>
        <v>7.8418403234811271E-5</v>
      </c>
      <c r="F862" s="5">
        <f ca="1">TODAY()-GETPIVOTDATA("LastPurchaseDate",MaxDate!$A$3,"Customer_name",MaxDate!A864)</f>
        <v>99</v>
      </c>
      <c r="G862" t="str">
        <f t="shared" ca="1" si="55"/>
        <v>At Risk</v>
      </c>
      <c r="H862" s="13">
        <f>RANK(B862,Customer_Tiers[Total_Sales])</f>
        <v>861</v>
      </c>
    </row>
    <row r="863" spans="1:8">
      <c r="A863" t="str">
        <f>'Top Customers'!A865</f>
        <v>BROOKESIDE CLUB</v>
      </c>
      <c r="B863" s="5">
        <f>IF(A863="","",IFERROR(GETPIVOTDATA("Sales Amount",'Top Customers'!$A$3,"Customer_name",'Top Customers'!A865),""))</f>
        <v>4487</v>
      </c>
      <c r="C863" t="str">
        <f t="shared" si="52"/>
        <v>Regular</v>
      </c>
      <c r="D863">
        <f t="shared" si="53"/>
        <v>95513</v>
      </c>
      <c r="E863" s="6">
        <f t="shared" si="54"/>
        <v>7.8366007865166636E-5</v>
      </c>
      <c r="F863" s="5">
        <f ca="1">TODAY()-GETPIVOTDATA("LastPurchaseDate",MaxDate!$A$3,"Customer_name",MaxDate!A865)</f>
        <v>48</v>
      </c>
      <c r="G863" t="str">
        <f t="shared" ca="1" si="55"/>
        <v>Active</v>
      </c>
      <c r="H863" s="13">
        <f>RANK(B863,Customer_Tiers[Total_Sales])</f>
        <v>862</v>
      </c>
    </row>
    <row r="864" spans="1:8">
      <c r="A864" t="str">
        <f>'Top Customers'!A866</f>
        <v>JOBIN JOSE</v>
      </c>
      <c r="B864" s="5">
        <f>IF(A864="","",IFERROR(GETPIVOTDATA("Sales Amount",'Top Customers'!$A$3,"Customer_name",'Top Customers'!A866),""))</f>
        <v>4450</v>
      </c>
      <c r="C864" t="str">
        <f t="shared" si="52"/>
        <v>Regular</v>
      </c>
      <c r="D864">
        <f t="shared" si="53"/>
        <v>95550</v>
      </c>
      <c r="E864" s="6">
        <f t="shared" si="54"/>
        <v>7.7719798306216073E-5</v>
      </c>
      <c r="F864" s="5">
        <f ca="1">TODAY()-GETPIVOTDATA("LastPurchaseDate",MaxDate!$A$3,"Customer_name",MaxDate!A866)</f>
        <v>150</v>
      </c>
      <c r="G864" t="str">
        <f t="shared" ca="1" si="55"/>
        <v>Inactive</v>
      </c>
      <c r="H864" s="13">
        <f>RANK(B864,Customer_Tiers[Total_Sales])</f>
        <v>863</v>
      </c>
    </row>
    <row r="865" spans="1:8">
      <c r="A865" t="str">
        <f>'Top Customers'!A867</f>
        <v>PRAVEEN PUNNORKKODE</v>
      </c>
      <c r="B865" s="5">
        <f>IF(A865="","",IFERROR(GETPIVOTDATA("Sales Amount",'Top Customers'!$A$3,"Customer_name",'Top Customers'!A867),""))</f>
        <v>4450</v>
      </c>
      <c r="C865" t="str">
        <f t="shared" si="52"/>
        <v>Regular</v>
      </c>
      <c r="D865">
        <f t="shared" si="53"/>
        <v>95550</v>
      </c>
      <c r="E865" s="6">
        <f t="shared" si="54"/>
        <v>7.7719798306216073E-5</v>
      </c>
      <c r="F865" s="5">
        <f ca="1">TODAY()-GETPIVOTDATA("LastPurchaseDate",MaxDate!$A$3,"Customer_name",MaxDate!A867)</f>
        <v>293</v>
      </c>
      <c r="G865" t="str">
        <f t="shared" ca="1" si="55"/>
        <v>Inactive</v>
      </c>
      <c r="H865" s="13">
        <f>RANK(B865,Customer_Tiers[Total_Sales])</f>
        <v>863</v>
      </c>
    </row>
    <row r="866" spans="1:8">
      <c r="A866" t="str">
        <f>'Top Customers'!A868</f>
        <v>ABY MAZHUVANNOR</v>
      </c>
      <c r="B866" s="5">
        <f>IF(A866="","",IFERROR(GETPIVOTDATA("Sales Amount",'Top Customers'!$A$3,"Customer_name",'Top Customers'!A868),""))</f>
        <v>4443</v>
      </c>
      <c r="C866" t="str">
        <f t="shared" si="52"/>
        <v>Regular</v>
      </c>
      <c r="D866">
        <f t="shared" si="53"/>
        <v>95557</v>
      </c>
      <c r="E866" s="6">
        <f t="shared" si="54"/>
        <v>7.759754244371192E-5</v>
      </c>
      <c r="F866" s="5">
        <f ca="1">TODAY()-GETPIVOTDATA("LastPurchaseDate",MaxDate!$A$3,"Customer_name",MaxDate!A868)</f>
        <v>321</v>
      </c>
      <c r="G866" t="str">
        <f t="shared" ca="1" si="55"/>
        <v>Inactive</v>
      </c>
      <c r="H866" s="13">
        <f>RANK(B866,Customer_Tiers[Total_Sales])</f>
        <v>865</v>
      </c>
    </row>
    <row r="867" spans="1:8">
      <c r="A867" t="str">
        <f>'Top Customers'!A869</f>
        <v>ELDHO BABY</v>
      </c>
      <c r="B867" s="5">
        <f>IF(A867="","",IFERROR(GETPIVOTDATA("Sales Amount",'Top Customers'!$A$3,"Customer_name",'Top Customers'!A869),""))</f>
        <v>4440</v>
      </c>
      <c r="C867" t="str">
        <f t="shared" si="52"/>
        <v>Regular</v>
      </c>
      <c r="D867">
        <f t="shared" si="53"/>
        <v>95560</v>
      </c>
      <c r="E867" s="6">
        <f t="shared" si="54"/>
        <v>7.7545147074067271E-5</v>
      </c>
      <c r="F867" s="5">
        <f ca="1">TODAY()-GETPIVOTDATA("LastPurchaseDate",MaxDate!$A$3,"Customer_name",MaxDate!A869)</f>
        <v>306</v>
      </c>
      <c r="G867" t="str">
        <f t="shared" ca="1" si="55"/>
        <v>Inactive</v>
      </c>
      <c r="H867" s="13">
        <f>RANK(B867,Customer_Tiers[Total_Sales])</f>
        <v>866</v>
      </c>
    </row>
    <row r="868" spans="1:8">
      <c r="A868" t="str">
        <f>'Top Customers'!A870</f>
        <v>RAJAN NJARALLOOR</v>
      </c>
      <c r="B868" s="5">
        <f>IF(A868="","",IFERROR(GETPIVOTDATA("Sales Amount",'Top Customers'!$A$3,"Customer_name",'Top Customers'!A870),""))</f>
        <v>4440</v>
      </c>
      <c r="C868" t="str">
        <f t="shared" si="52"/>
        <v>Regular</v>
      </c>
      <c r="D868">
        <f t="shared" si="53"/>
        <v>95560</v>
      </c>
      <c r="E868" s="6">
        <f t="shared" si="54"/>
        <v>7.7545147074067271E-5</v>
      </c>
      <c r="F868" s="5">
        <f ca="1">TODAY()-GETPIVOTDATA("LastPurchaseDate",MaxDate!$A$3,"Customer_name",MaxDate!A870)</f>
        <v>170</v>
      </c>
      <c r="G868" t="str">
        <f t="shared" ca="1" si="55"/>
        <v>Inactive</v>
      </c>
      <c r="H868" s="13">
        <f>RANK(B868,Customer_Tiers[Total_Sales])</f>
        <v>866</v>
      </c>
    </row>
    <row r="869" spans="1:8">
      <c r="A869" t="str">
        <f>'Top Customers'!A871</f>
        <v>ROSHID S PILLA</v>
      </c>
      <c r="B869" s="5">
        <f>IF(A869="","",IFERROR(GETPIVOTDATA("Sales Amount",'Top Customers'!$A$3,"Customer_name",'Top Customers'!A871),""))</f>
        <v>4432</v>
      </c>
      <c r="C869" t="str">
        <f t="shared" si="52"/>
        <v>Regular</v>
      </c>
      <c r="D869">
        <f t="shared" si="53"/>
        <v>95568</v>
      </c>
      <c r="E869" s="6">
        <f t="shared" si="54"/>
        <v>7.7405426088348234E-5</v>
      </c>
      <c r="F869" s="5">
        <f ca="1">TODAY()-GETPIVOTDATA("LastPurchaseDate",MaxDate!$A$3,"Customer_name",MaxDate!A871)</f>
        <v>279</v>
      </c>
      <c r="G869" t="str">
        <f t="shared" ca="1" si="55"/>
        <v>Inactive</v>
      </c>
      <c r="H869" s="13">
        <f>RANK(B869,Customer_Tiers[Total_Sales])</f>
        <v>868</v>
      </c>
    </row>
    <row r="870" spans="1:8">
      <c r="A870" t="str">
        <f>'Top Customers'!A872</f>
        <v>PRADEEP MORAKKALA</v>
      </c>
      <c r="B870" s="5">
        <f>IF(A870="","",IFERROR(GETPIVOTDATA("Sales Amount",'Top Customers'!$A$3,"Customer_name",'Top Customers'!A872),""))</f>
        <v>4424</v>
      </c>
      <c r="C870" t="str">
        <f t="shared" si="52"/>
        <v>Regular</v>
      </c>
      <c r="D870">
        <f t="shared" si="53"/>
        <v>95576</v>
      </c>
      <c r="E870" s="6">
        <f t="shared" si="54"/>
        <v>7.7265705102629197E-5</v>
      </c>
      <c r="F870" s="5">
        <f ca="1">TODAY()-GETPIVOTDATA("LastPurchaseDate",MaxDate!$A$3,"Customer_name",MaxDate!A872)</f>
        <v>33</v>
      </c>
      <c r="G870" t="str">
        <f t="shared" ca="1" si="55"/>
        <v>Active</v>
      </c>
      <c r="H870" s="13">
        <f>RANK(B870,Customer_Tiers[Total_Sales])</f>
        <v>869</v>
      </c>
    </row>
    <row r="871" spans="1:8">
      <c r="A871" t="str">
        <f>'Top Customers'!A873</f>
        <v>BIJU , CHOORAKODU</v>
      </c>
      <c r="B871" s="5">
        <f>IF(A871="","",IFERROR(GETPIVOTDATA("Sales Amount",'Top Customers'!$A$3,"Customer_name",'Top Customers'!A873),""))</f>
        <v>4422</v>
      </c>
      <c r="C871" t="str">
        <f t="shared" si="52"/>
        <v>Regular</v>
      </c>
      <c r="D871">
        <f t="shared" si="53"/>
        <v>95578</v>
      </c>
      <c r="E871" s="6">
        <f t="shared" si="54"/>
        <v>7.7230774856199431E-5</v>
      </c>
      <c r="F871" s="5">
        <f ca="1">TODAY()-GETPIVOTDATA("LastPurchaseDate",MaxDate!$A$3,"Customer_name",MaxDate!A873)</f>
        <v>78</v>
      </c>
      <c r="G871" t="str">
        <f t="shared" ca="1" si="55"/>
        <v>At Risk</v>
      </c>
      <c r="H871" s="13">
        <f>RANK(B871,Customer_Tiers[Total_Sales])</f>
        <v>870</v>
      </c>
    </row>
    <row r="872" spans="1:8">
      <c r="A872" t="str">
        <f>'Top Customers'!A874</f>
        <v>IBRAHIM,</v>
      </c>
      <c r="B872" s="5">
        <f>IF(A872="","",IFERROR(GETPIVOTDATA("Sales Amount",'Top Customers'!$A$3,"Customer_name",'Top Customers'!A874),""))</f>
        <v>4418</v>
      </c>
      <c r="C872" t="str">
        <f t="shared" si="52"/>
        <v>Regular</v>
      </c>
      <c r="D872">
        <f t="shared" si="53"/>
        <v>95582</v>
      </c>
      <c r="E872" s="6">
        <f t="shared" si="54"/>
        <v>7.7160914363339912E-5</v>
      </c>
      <c r="F872" s="5">
        <f ca="1">TODAY()-GETPIVOTDATA("LastPurchaseDate",MaxDate!$A$3,"Customer_name",MaxDate!A874)</f>
        <v>15</v>
      </c>
      <c r="G872" t="str">
        <f t="shared" ca="1" si="55"/>
        <v>Active</v>
      </c>
      <c r="H872" s="13">
        <f>RANK(B872,Customer_Tiers[Total_Sales])</f>
        <v>871</v>
      </c>
    </row>
    <row r="873" spans="1:8">
      <c r="A873" t="str">
        <f>'Top Customers'!A875</f>
        <v>ARUN  MAZHUVANNOOR</v>
      </c>
      <c r="B873" s="5">
        <f>IF(A873="","",IFERROR(GETPIVOTDATA("Sales Amount",'Top Customers'!$A$3,"Customer_name",'Top Customers'!A875),""))</f>
        <v>4358</v>
      </c>
      <c r="C873" t="str">
        <f t="shared" si="52"/>
        <v>Regular</v>
      </c>
      <c r="D873">
        <f t="shared" si="53"/>
        <v>95642</v>
      </c>
      <c r="E873" s="6">
        <f t="shared" si="54"/>
        <v>7.6113006970447109E-5</v>
      </c>
      <c r="F873" s="5">
        <f ca="1">TODAY()-GETPIVOTDATA("LastPurchaseDate",MaxDate!$A$3,"Customer_name",MaxDate!A875)</f>
        <v>164</v>
      </c>
      <c r="G873" t="str">
        <f t="shared" ca="1" si="55"/>
        <v>Inactive</v>
      </c>
      <c r="H873" s="13">
        <f>RANK(B873,Customer_Tiers[Total_Sales])</f>
        <v>872</v>
      </c>
    </row>
    <row r="874" spans="1:8">
      <c r="A874" t="str">
        <f>'Top Customers'!A876</f>
        <v>RANJU THOMAS</v>
      </c>
      <c r="B874" s="5">
        <f>IF(A874="","",IFERROR(GETPIVOTDATA("Sales Amount",'Top Customers'!$A$3,"Customer_name",'Top Customers'!A876),""))</f>
        <v>4355</v>
      </c>
      <c r="C874" t="str">
        <f t="shared" si="52"/>
        <v>Regular</v>
      </c>
      <c r="D874">
        <f t="shared" si="53"/>
        <v>95645</v>
      </c>
      <c r="E874" s="6">
        <f t="shared" si="54"/>
        <v>7.6060611600802474E-5</v>
      </c>
      <c r="F874" s="5">
        <f ca="1">TODAY()-GETPIVOTDATA("LastPurchaseDate",MaxDate!$A$3,"Customer_name",MaxDate!A876)</f>
        <v>90</v>
      </c>
      <c r="G874" t="str">
        <f t="shared" ca="1" si="55"/>
        <v>At Risk</v>
      </c>
      <c r="H874" s="13">
        <f>RANK(B874,Customer_Tiers[Total_Sales])</f>
        <v>873</v>
      </c>
    </row>
    <row r="875" spans="1:8">
      <c r="A875" t="str">
        <f>'Top Customers'!A877</f>
        <v>ARUN HARIDAS</v>
      </c>
      <c r="B875" s="5">
        <f>IF(A875="","",IFERROR(GETPIVOTDATA("Sales Amount",'Top Customers'!$A$3,"Customer_name",'Top Customers'!A877),""))</f>
        <v>4352</v>
      </c>
      <c r="C875" t="str">
        <f t="shared" si="52"/>
        <v>Regular</v>
      </c>
      <c r="D875">
        <f t="shared" si="53"/>
        <v>95648</v>
      </c>
      <c r="E875" s="6">
        <f t="shared" si="54"/>
        <v>7.6008216231157838E-5</v>
      </c>
      <c r="F875" s="5">
        <f ca="1">TODAY()-GETPIVOTDATA("LastPurchaseDate",MaxDate!$A$3,"Customer_name",MaxDate!A877)</f>
        <v>9</v>
      </c>
      <c r="G875" t="str">
        <f t="shared" ca="1" si="55"/>
        <v>Active</v>
      </c>
      <c r="H875" s="13">
        <f>RANK(B875,Customer_Tiers[Total_Sales])</f>
        <v>874</v>
      </c>
    </row>
    <row r="876" spans="1:8">
      <c r="A876" t="str">
        <f>'Top Customers'!A878</f>
        <v>SUDHEER CITY</v>
      </c>
      <c r="B876" s="5">
        <f>IF(A876="","",IFERROR(GETPIVOTDATA("Sales Amount",'Top Customers'!$A$3,"Customer_name",'Top Customers'!A878),""))</f>
        <v>4303</v>
      </c>
      <c r="C876" t="str">
        <f t="shared" si="52"/>
        <v>Regular</v>
      </c>
      <c r="D876">
        <f t="shared" si="53"/>
        <v>95697</v>
      </c>
      <c r="E876" s="6">
        <f t="shared" si="54"/>
        <v>7.515242519362872E-5</v>
      </c>
      <c r="F876" s="5">
        <f ca="1">TODAY()-GETPIVOTDATA("LastPurchaseDate",MaxDate!$A$3,"Customer_name",MaxDate!A878)</f>
        <v>212</v>
      </c>
      <c r="G876" t="str">
        <f t="shared" ca="1" si="55"/>
        <v>Inactive</v>
      </c>
      <c r="H876" s="13">
        <f>RANK(B876,Customer_Tiers[Total_Sales])</f>
        <v>875</v>
      </c>
    </row>
    <row r="877" spans="1:8">
      <c r="A877" t="str">
        <f>'Top Customers'!A879</f>
        <v>SUKUMARAN VALAMBOOR</v>
      </c>
      <c r="B877" s="5">
        <f>IF(A877="","",IFERROR(GETPIVOTDATA("Sales Amount",'Top Customers'!$A$3,"Customer_name",'Top Customers'!A879),""))</f>
        <v>4299</v>
      </c>
      <c r="C877" t="str">
        <f t="shared" si="52"/>
        <v>Regular</v>
      </c>
      <c r="D877">
        <f t="shared" si="53"/>
        <v>95701</v>
      </c>
      <c r="E877" s="6">
        <f t="shared" si="54"/>
        <v>7.5082564700769188E-5</v>
      </c>
      <c r="F877" s="5">
        <f ca="1">TODAY()-GETPIVOTDATA("LastPurchaseDate",MaxDate!$A$3,"Customer_name",MaxDate!A879)</f>
        <v>68</v>
      </c>
      <c r="G877" t="str">
        <f t="shared" ca="1" si="55"/>
        <v>At Risk</v>
      </c>
      <c r="H877" s="13">
        <f>RANK(B877,Customer_Tiers[Total_Sales])</f>
        <v>876</v>
      </c>
    </row>
    <row r="878" spans="1:8">
      <c r="A878" t="str">
        <f>'Top Customers'!A880</f>
        <v>LAKSHMI FOODS</v>
      </c>
      <c r="B878" s="5">
        <f>IF(A878="","",IFERROR(GETPIVOTDATA("Sales Amount",'Top Customers'!$A$3,"Customer_name",'Top Customers'!A880),""))</f>
        <v>4250</v>
      </c>
      <c r="C878" t="str">
        <f t="shared" si="52"/>
        <v>Regular</v>
      </c>
      <c r="D878">
        <f t="shared" si="53"/>
        <v>95750</v>
      </c>
      <c r="E878" s="6">
        <f t="shared" si="54"/>
        <v>7.4226773663240071E-5</v>
      </c>
      <c r="F878" s="5">
        <f ca="1">TODAY()-GETPIVOTDATA("LastPurchaseDate",MaxDate!$A$3,"Customer_name",MaxDate!A880)</f>
        <v>269</v>
      </c>
      <c r="G878" t="str">
        <f t="shared" ca="1" si="55"/>
        <v>Inactive</v>
      </c>
      <c r="H878" s="13">
        <f>RANK(B878,Customer_Tiers[Total_Sales])</f>
        <v>877</v>
      </c>
    </row>
    <row r="879" spans="1:8">
      <c r="A879" t="str">
        <f>'Top Customers'!A881</f>
        <v>ABY MANGALATHUNADA</v>
      </c>
      <c r="B879" s="5">
        <f>IF(A879="","",IFERROR(GETPIVOTDATA("Sales Amount",'Top Customers'!$A$3,"Customer_name",'Top Customers'!A881),""))</f>
        <v>4245</v>
      </c>
      <c r="C879" t="str">
        <f t="shared" si="52"/>
        <v>Regular</v>
      </c>
      <c r="D879">
        <f t="shared" si="53"/>
        <v>95755</v>
      </c>
      <c r="E879" s="6">
        <f t="shared" si="54"/>
        <v>7.4139448047165669E-5</v>
      </c>
      <c r="F879" s="5">
        <f ca="1">TODAY()-GETPIVOTDATA("LastPurchaseDate",MaxDate!$A$3,"Customer_name",MaxDate!A881)</f>
        <v>93</v>
      </c>
      <c r="G879" t="str">
        <f t="shared" ca="1" si="55"/>
        <v>At Risk</v>
      </c>
      <c r="H879" s="13">
        <f>RANK(B879,Customer_Tiers[Total_Sales])</f>
        <v>878</v>
      </c>
    </row>
    <row r="880" spans="1:8">
      <c r="A880" t="str">
        <f>'Top Customers'!A882</f>
        <v>AKBAR PASSENGER</v>
      </c>
      <c r="B880" s="5">
        <f>IF(A880="","",IFERROR(GETPIVOTDATA("Sales Amount",'Top Customers'!$A$3,"Customer_name",'Top Customers'!A882),""))</f>
        <v>4240</v>
      </c>
      <c r="C880" t="str">
        <f t="shared" si="52"/>
        <v>Regular</v>
      </c>
      <c r="D880">
        <f t="shared" si="53"/>
        <v>95760</v>
      </c>
      <c r="E880" s="6">
        <f t="shared" si="54"/>
        <v>7.4052122431091268E-5</v>
      </c>
      <c r="F880" s="5">
        <f ca="1">TODAY()-GETPIVOTDATA("LastPurchaseDate",MaxDate!$A$3,"Customer_name",MaxDate!A882)</f>
        <v>239</v>
      </c>
      <c r="G880" t="str">
        <f t="shared" ca="1" si="55"/>
        <v>Inactive</v>
      </c>
      <c r="H880" s="13">
        <f>RANK(B880,Customer_Tiers[Total_Sales])</f>
        <v>879</v>
      </c>
    </row>
    <row r="881" spans="1:8">
      <c r="A881" t="str">
        <f>'Top Customers'!A883</f>
        <v>SULAIMAN PASSENGER</v>
      </c>
      <c r="B881" s="5">
        <f>IF(A881="","",IFERROR(GETPIVOTDATA("Sales Amount",'Top Customers'!$A$3,"Customer_name",'Top Customers'!A883),""))</f>
        <v>4240</v>
      </c>
      <c r="C881" t="str">
        <f t="shared" si="52"/>
        <v>Regular</v>
      </c>
      <c r="D881">
        <f t="shared" si="53"/>
        <v>95760</v>
      </c>
      <c r="E881" s="6">
        <f t="shared" si="54"/>
        <v>7.4052122431091268E-5</v>
      </c>
      <c r="F881" s="5">
        <f ca="1">TODAY()-GETPIVOTDATA("LastPurchaseDate",MaxDate!$A$3,"Customer_name",MaxDate!A883)</f>
        <v>33</v>
      </c>
      <c r="G881" t="str">
        <f t="shared" ca="1" si="55"/>
        <v>Active</v>
      </c>
      <c r="H881" s="13">
        <f>RANK(B881,Customer_Tiers[Total_Sales])</f>
        <v>879</v>
      </c>
    </row>
    <row r="882" spans="1:8">
      <c r="A882" t="str">
        <f>'Top Customers'!A884</f>
        <v>GEORGE</v>
      </c>
      <c r="B882" s="5">
        <f>IF(A882="","",IFERROR(GETPIVOTDATA("Sales Amount",'Top Customers'!$A$3,"Customer_name",'Top Customers'!A884),""))</f>
        <v>4190</v>
      </c>
      <c r="C882" t="str">
        <f t="shared" si="52"/>
        <v>Regular</v>
      </c>
      <c r="D882">
        <f t="shared" si="53"/>
        <v>95810</v>
      </c>
      <c r="E882" s="6">
        <f t="shared" si="54"/>
        <v>7.3178866270347267E-5</v>
      </c>
      <c r="F882" s="5">
        <f ca="1">TODAY()-GETPIVOTDATA("LastPurchaseDate",MaxDate!$A$3,"Customer_name",MaxDate!A884)</f>
        <v>4</v>
      </c>
      <c r="G882" t="str">
        <f t="shared" ca="1" si="55"/>
        <v>Active</v>
      </c>
      <c r="H882" s="13">
        <f>RANK(B882,Customer_Tiers[Total_Sales])</f>
        <v>881</v>
      </c>
    </row>
    <row r="883" spans="1:8">
      <c r="A883" t="str">
        <f>'Top Customers'!A885</f>
        <v>PAZINO INFOTECH PVT.LTD</v>
      </c>
      <c r="B883" s="5">
        <f>IF(A883="","",IFERROR(GETPIVOTDATA("Sales Amount",'Top Customers'!$A$3,"Customer_name",'Top Customers'!A885),""))</f>
        <v>4190</v>
      </c>
      <c r="C883" t="str">
        <f t="shared" si="52"/>
        <v>Regular</v>
      </c>
      <c r="D883">
        <f t="shared" si="53"/>
        <v>95810</v>
      </c>
      <c r="E883" s="6">
        <f t="shared" si="54"/>
        <v>7.3178866270347267E-5</v>
      </c>
      <c r="F883" s="5">
        <f ca="1">TODAY()-GETPIVOTDATA("LastPurchaseDate",MaxDate!$A$3,"Customer_name",MaxDate!A885)</f>
        <v>249</v>
      </c>
      <c r="G883" t="str">
        <f t="shared" ca="1" si="55"/>
        <v>Inactive</v>
      </c>
      <c r="H883" s="13">
        <f>RANK(B883,Customer_Tiers[Total_Sales])</f>
        <v>881</v>
      </c>
    </row>
    <row r="884" spans="1:8">
      <c r="A884" t="str">
        <f>'Top Customers'!A886</f>
        <v>BIJU S R</v>
      </c>
      <c r="B884" s="5">
        <f>IF(A884="","",IFERROR(GETPIVOTDATA("Sales Amount",'Top Customers'!$A$3,"Customer_name",'Top Customers'!A886),""))</f>
        <v>4160</v>
      </c>
      <c r="C884" t="str">
        <f t="shared" si="52"/>
        <v>Regular</v>
      </c>
      <c r="D884">
        <f t="shared" si="53"/>
        <v>95840</v>
      </c>
      <c r="E884" s="6">
        <f t="shared" si="54"/>
        <v>7.2654912573900872E-5</v>
      </c>
      <c r="F884" s="5">
        <f ca="1">TODAY()-GETPIVOTDATA("LastPurchaseDate",MaxDate!$A$3,"Customer_name",MaxDate!A886)</f>
        <v>23</v>
      </c>
      <c r="G884" t="str">
        <f t="shared" ca="1" si="55"/>
        <v>Active</v>
      </c>
      <c r="H884" s="13">
        <f>RANK(B884,Customer_Tiers[Total_Sales])</f>
        <v>883</v>
      </c>
    </row>
    <row r="885" spans="1:8">
      <c r="A885" t="str">
        <f>'Top Customers'!A887</f>
        <v>LINTO KZM</v>
      </c>
      <c r="B885" s="5">
        <f>IF(A885="","",IFERROR(GETPIVOTDATA("Sales Amount",'Top Customers'!$A$3,"Customer_name",'Top Customers'!A887),""))</f>
        <v>4150</v>
      </c>
      <c r="C885" t="str">
        <f t="shared" si="52"/>
        <v>Regular</v>
      </c>
      <c r="D885">
        <f t="shared" si="53"/>
        <v>95850</v>
      </c>
      <c r="E885" s="6">
        <f t="shared" si="54"/>
        <v>7.2480261341752069E-5</v>
      </c>
      <c r="F885" s="5">
        <f ca="1">TODAY()-GETPIVOTDATA("LastPurchaseDate",MaxDate!$A$3,"Customer_name",MaxDate!A887)</f>
        <v>260</v>
      </c>
      <c r="G885" t="str">
        <f t="shared" ca="1" si="55"/>
        <v>Inactive</v>
      </c>
      <c r="H885" s="13">
        <f>RANK(B885,Customer_Tiers[Total_Sales])</f>
        <v>884</v>
      </c>
    </row>
    <row r="886" spans="1:8">
      <c r="A886" t="str">
        <f>'Top Customers'!A888</f>
        <v>JOBY NJARALLOOR</v>
      </c>
      <c r="B886" s="5">
        <f>IF(A886="","",IFERROR(GETPIVOTDATA("Sales Amount",'Top Customers'!$A$3,"Customer_name",'Top Customers'!A888),""))</f>
        <v>4143</v>
      </c>
      <c r="C886" t="str">
        <f t="shared" si="52"/>
        <v>Regular</v>
      </c>
      <c r="D886">
        <f t="shared" si="53"/>
        <v>95857</v>
      </c>
      <c r="E886" s="6">
        <f t="shared" si="54"/>
        <v>7.2358005479247916E-5</v>
      </c>
      <c r="F886" s="5">
        <f ca="1">TODAY()-GETPIVOTDATA("LastPurchaseDate",MaxDate!$A$3,"Customer_name",MaxDate!A888)</f>
        <v>53</v>
      </c>
      <c r="G886" t="str">
        <f t="shared" ca="1" si="55"/>
        <v>Active</v>
      </c>
      <c r="H886" s="13">
        <f>RANK(B886,Customer_Tiers[Total_Sales])</f>
        <v>885</v>
      </c>
    </row>
    <row r="887" spans="1:8">
      <c r="A887" t="str">
        <f>'Top Customers'!A889</f>
        <v>HYDROSE , MUNDEKUDY</v>
      </c>
      <c r="B887" s="5">
        <f>IF(A887="","",IFERROR(GETPIVOTDATA("Sales Amount",'Top Customers'!$A$3,"Customer_name",'Top Customers'!A889),""))</f>
        <v>4100</v>
      </c>
      <c r="C887" t="str">
        <f t="shared" si="52"/>
        <v>Regular</v>
      </c>
      <c r="D887">
        <f t="shared" si="53"/>
        <v>95900</v>
      </c>
      <c r="E887" s="6">
        <f t="shared" si="54"/>
        <v>7.1607005181008069E-5</v>
      </c>
      <c r="F887" s="5">
        <f ca="1">TODAY()-GETPIVOTDATA("LastPurchaseDate",MaxDate!$A$3,"Customer_name",MaxDate!A889)</f>
        <v>2</v>
      </c>
      <c r="G887" t="str">
        <f t="shared" ca="1" si="55"/>
        <v>Active</v>
      </c>
      <c r="H887" s="13">
        <f>RANK(B887,Customer_Tiers[Total_Sales])</f>
        <v>886</v>
      </c>
    </row>
    <row r="888" spans="1:8">
      <c r="A888" t="str">
        <f>'Top Customers'!A890</f>
        <v>BIBIN VALAMBOOR</v>
      </c>
      <c r="B888" s="5">
        <f>IF(A888="","",IFERROR(GETPIVOTDATA("Sales Amount",'Top Customers'!$A$3,"Customer_name",'Top Customers'!A890),""))</f>
        <v>4096</v>
      </c>
      <c r="C888" t="str">
        <f t="shared" si="52"/>
        <v>Regular</v>
      </c>
      <c r="D888">
        <f t="shared" si="53"/>
        <v>95904</v>
      </c>
      <c r="E888" s="6">
        <f t="shared" si="54"/>
        <v>7.153714468814855E-5</v>
      </c>
      <c r="F888" s="5">
        <f ca="1">TODAY()-GETPIVOTDATA("LastPurchaseDate",MaxDate!$A$3,"Customer_name",MaxDate!A890)</f>
        <v>120</v>
      </c>
      <c r="G888" t="str">
        <f t="shared" ca="1" si="55"/>
        <v>At Risk</v>
      </c>
      <c r="H888" s="13">
        <f>RANK(B888,Customer_Tiers[Total_Sales])</f>
        <v>887</v>
      </c>
    </row>
    <row r="889" spans="1:8">
      <c r="A889" t="str">
        <f>'Top Customers'!A891</f>
        <v>NISHAD MANGALATHUNADA</v>
      </c>
      <c r="B889" s="5">
        <f>IF(A889="","",IFERROR(GETPIVOTDATA("Sales Amount",'Top Customers'!$A$3,"Customer_name",'Top Customers'!A891),""))</f>
        <v>4090</v>
      </c>
      <c r="C889" t="str">
        <f t="shared" si="52"/>
        <v>Regular</v>
      </c>
      <c r="D889">
        <f t="shared" si="53"/>
        <v>95910</v>
      </c>
      <c r="E889" s="6">
        <f t="shared" si="54"/>
        <v>7.1432353948859266E-5</v>
      </c>
      <c r="F889" s="5">
        <f ca="1">TODAY()-GETPIVOTDATA("LastPurchaseDate",MaxDate!$A$3,"Customer_name",MaxDate!A891)</f>
        <v>25</v>
      </c>
      <c r="G889" t="str">
        <f t="shared" ca="1" si="55"/>
        <v>Active</v>
      </c>
      <c r="H889" s="13">
        <f>RANK(B889,Customer_Tiers[Total_Sales])</f>
        <v>888</v>
      </c>
    </row>
    <row r="890" spans="1:8">
      <c r="A890" t="str">
        <f>'Top Customers'!A892</f>
        <v>SOMAN THOTTAPPILLY</v>
      </c>
      <c r="B890" s="5">
        <f>IF(A890="","",IFERROR(GETPIVOTDATA("Sales Amount",'Top Customers'!$A$3,"Customer_name",'Top Customers'!A892),""))</f>
        <v>4084</v>
      </c>
      <c r="C890" t="str">
        <f t="shared" si="52"/>
        <v>Regular</v>
      </c>
      <c r="D890">
        <f t="shared" si="53"/>
        <v>95916</v>
      </c>
      <c r="E890" s="6">
        <f t="shared" si="54"/>
        <v>7.1327563209569995E-5</v>
      </c>
      <c r="F890" s="5">
        <f ca="1">TODAY()-GETPIVOTDATA("LastPurchaseDate",MaxDate!$A$3,"Customer_name",MaxDate!A892)</f>
        <v>265</v>
      </c>
      <c r="G890" t="str">
        <f t="shared" ca="1" si="55"/>
        <v>Inactive</v>
      </c>
      <c r="H890" s="13">
        <f>RANK(B890,Customer_Tiers[Total_Sales])</f>
        <v>889</v>
      </c>
    </row>
    <row r="891" spans="1:8">
      <c r="A891" t="str">
        <f>'Top Customers'!A893</f>
        <v>SUNIL NJARALLOOR</v>
      </c>
      <c r="B891" s="5">
        <f>IF(A891="","",IFERROR(GETPIVOTDATA("Sales Amount",'Top Customers'!$A$3,"Customer_name",'Top Customers'!A893),""))</f>
        <v>4080</v>
      </c>
      <c r="C891" t="str">
        <f t="shared" si="52"/>
        <v>Regular</v>
      </c>
      <c r="D891">
        <f t="shared" si="53"/>
        <v>95920</v>
      </c>
      <c r="E891" s="6">
        <f t="shared" si="54"/>
        <v>7.1257702716710477E-5</v>
      </c>
      <c r="F891" s="5">
        <f ca="1">TODAY()-GETPIVOTDATA("LastPurchaseDate",MaxDate!$A$3,"Customer_name",MaxDate!A893)</f>
        <v>330</v>
      </c>
      <c r="G891" t="str">
        <f t="shared" ca="1" si="55"/>
        <v>Inactive</v>
      </c>
      <c r="H891" s="13">
        <f>RANK(B891,Customer_Tiers[Total_Sales])</f>
        <v>890</v>
      </c>
    </row>
    <row r="892" spans="1:8">
      <c r="A892" t="str">
        <f>'Top Customers'!A894</f>
        <v>ABU APE</v>
      </c>
      <c r="B892" s="5">
        <f>IF(A892="","",IFERROR(GETPIVOTDATA("Sales Amount",'Top Customers'!$A$3,"Customer_name",'Top Customers'!A894),""))</f>
        <v>4065</v>
      </c>
      <c r="C892" t="str">
        <f t="shared" si="52"/>
        <v>Regular</v>
      </c>
      <c r="D892">
        <f t="shared" si="53"/>
        <v>95935</v>
      </c>
      <c r="E892" s="6">
        <f t="shared" si="54"/>
        <v>7.0995725868487272E-5</v>
      </c>
      <c r="F892" s="5">
        <f ca="1">TODAY()-GETPIVOTDATA("LastPurchaseDate",MaxDate!$A$3,"Customer_name",MaxDate!A894)</f>
        <v>90</v>
      </c>
      <c r="G892" t="str">
        <f t="shared" ca="1" si="55"/>
        <v>At Risk</v>
      </c>
      <c r="H892" s="13">
        <f>RANK(B892,Customer_Tiers[Total_Sales])</f>
        <v>891</v>
      </c>
    </row>
    <row r="893" spans="1:8">
      <c r="A893" t="str">
        <f>'Top Customers'!A895</f>
        <v>BASIL VALAMBOOR</v>
      </c>
      <c r="B893" s="5">
        <f>IF(A893="","",IFERROR(GETPIVOTDATA("Sales Amount",'Top Customers'!$A$3,"Customer_name",'Top Customers'!A895),""))</f>
        <v>4052</v>
      </c>
      <c r="C893" t="str">
        <f t="shared" si="52"/>
        <v>Regular</v>
      </c>
      <c r="D893">
        <f t="shared" si="53"/>
        <v>95948</v>
      </c>
      <c r="E893" s="6">
        <f t="shared" si="54"/>
        <v>7.0768679266693834E-5</v>
      </c>
      <c r="F893" s="5">
        <f ca="1">TODAY()-GETPIVOTDATA("LastPurchaseDate",MaxDate!$A$3,"Customer_name",MaxDate!A895)</f>
        <v>269</v>
      </c>
      <c r="G893" t="str">
        <f t="shared" ca="1" si="55"/>
        <v>Inactive</v>
      </c>
      <c r="H893" s="13">
        <f>RANK(B893,Customer_Tiers[Total_Sales])</f>
        <v>892</v>
      </c>
    </row>
    <row r="894" spans="1:8">
      <c r="A894" t="str">
        <f>'Top Customers'!A896</f>
        <v>ANIL PATTIMATTOM</v>
      </c>
      <c r="B894" s="5">
        <f>IF(A894="","",IFERROR(GETPIVOTDATA("Sales Amount",'Top Customers'!$A$3,"Customer_name",'Top Customers'!A896),""))</f>
        <v>4032</v>
      </c>
      <c r="C894" t="str">
        <f t="shared" si="52"/>
        <v>Regular</v>
      </c>
      <c r="D894">
        <f t="shared" si="53"/>
        <v>95968</v>
      </c>
      <c r="E894" s="6">
        <f t="shared" si="54"/>
        <v>7.0419376802396228E-5</v>
      </c>
      <c r="F894" s="5">
        <f ca="1">TODAY()-GETPIVOTDATA("LastPurchaseDate",MaxDate!$A$3,"Customer_name",MaxDate!A896)</f>
        <v>191</v>
      </c>
      <c r="G894" t="str">
        <f t="shared" ca="1" si="55"/>
        <v>Inactive</v>
      </c>
      <c r="H894" s="13">
        <f>RANK(B894,Customer_Tiers[Total_Sales])</f>
        <v>893</v>
      </c>
    </row>
    <row r="895" spans="1:8">
      <c r="A895" t="str">
        <f>'Top Customers'!A897</f>
        <v>JOHNY KALLENKOORIYIL</v>
      </c>
      <c r="B895" s="5">
        <f>IF(A895="","",IFERROR(GETPIVOTDATA("Sales Amount",'Top Customers'!$A$3,"Customer_name",'Top Customers'!A897),""))</f>
        <v>4014</v>
      </c>
      <c r="C895" t="str">
        <f t="shared" si="52"/>
        <v>Regular</v>
      </c>
      <c r="D895">
        <f t="shared" si="53"/>
        <v>95986</v>
      </c>
      <c r="E895" s="6">
        <f t="shared" si="54"/>
        <v>7.0105004584528389E-5</v>
      </c>
      <c r="F895" s="5">
        <f ca="1">TODAY()-GETPIVOTDATA("LastPurchaseDate",MaxDate!$A$3,"Customer_name",MaxDate!A897)</f>
        <v>325</v>
      </c>
      <c r="G895" t="str">
        <f t="shared" ca="1" si="55"/>
        <v>Inactive</v>
      </c>
      <c r="H895" s="13">
        <f>RANK(B895,Customer_Tiers[Total_Sales])</f>
        <v>894</v>
      </c>
    </row>
    <row r="896" spans="1:8">
      <c r="A896" t="str">
        <f>'Top Customers'!A898</f>
        <v>ASIF PATTIMATTOM</v>
      </c>
      <c r="B896" s="5">
        <f>IF(A896="","",IFERROR(GETPIVOTDATA("Sales Amount",'Top Customers'!$A$3,"Customer_name",'Top Customers'!A898),""))</f>
        <v>3987</v>
      </c>
      <c r="C896" t="str">
        <f t="shared" si="52"/>
        <v>Regular</v>
      </c>
      <c r="D896">
        <f t="shared" si="53"/>
        <v>96013</v>
      </c>
      <c r="E896" s="6">
        <f t="shared" si="54"/>
        <v>6.9633446257726629E-5</v>
      </c>
      <c r="F896" s="5">
        <f ca="1">TODAY()-GETPIVOTDATA("LastPurchaseDate",MaxDate!$A$3,"Customer_name",MaxDate!A898)</f>
        <v>32</v>
      </c>
      <c r="G896" t="str">
        <f t="shared" ca="1" si="55"/>
        <v>Active</v>
      </c>
      <c r="H896" s="13">
        <f>RANK(B896,Customer_Tiers[Total_Sales])</f>
        <v>895</v>
      </c>
    </row>
    <row r="897" spans="1:8">
      <c r="A897" t="str">
        <f>'Top Customers'!A899</f>
        <v>UNNIKRISHNAN VILANGU</v>
      </c>
      <c r="B897" s="5">
        <f>IF(A897="","",IFERROR(GETPIVOTDATA("Sales Amount",'Top Customers'!$A$3,"Customer_name",'Top Customers'!A899),""))</f>
        <v>3968</v>
      </c>
      <c r="C897" t="str">
        <f t="shared" si="52"/>
        <v>Regular</v>
      </c>
      <c r="D897">
        <f t="shared" si="53"/>
        <v>96032</v>
      </c>
      <c r="E897" s="6">
        <f t="shared" si="54"/>
        <v>6.9301608916643906E-5</v>
      </c>
      <c r="F897" s="5">
        <f ca="1">TODAY()-GETPIVOTDATA("LastPurchaseDate",MaxDate!$A$3,"Customer_name",MaxDate!A899)</f>
        <v>253</v>
      </c>
      <c r="G897" t="str">
        <f t="shared" ca="1" si="55"/>
        <v>Inactive</v>
      </c>
      <c r="H897" s="13">
        <f>RANK(B897,Customer_Tiers[Total_Sales])</f>
        <v>896</v>
      </c>
    </row>
    <row r="898" spans="1:8">
      <c r="A898" t="str">
        <f>'Top Customers'!A900</f>
        <v>SATHEESAN , CHOORAKKODU</v>
      </c>
      <c r="B898" s="5">
        <f>IF(A898="","",IFERROR(GETPIVOTDATA("Sales Amount",'Top Customers'!$A$3,"Customer_name",'Top Customers'!A900),""))</f>
        <v>3945</v>
      </c>
      <c r="C898" t="str">
        <f t="shared" ref="C898:C961" si="56">IF(B898&gt;=1000000,"Platinum",
 IF(B898&gt;=500000,"Gold",
 IF(B898&gt;=100000,"Silver","Regular")))</f>
        <v>Regular</v>
      </c>
      <c r="D898">
        <f t="shared" ref="D898:D961" si="57">IF(C898="Platinum",0,
 IF(C898="Gold",1000000-B898,
 IF(C898="Silver",500000-B898,
 IF(C898="Regular",100000-B898,0))))</f>
        <v>96055</v>
      </c>
      <c r="E898" s="6">
        <f t="shared" ref="E898:E961" si="58">B898/SUM(B:B)</f>
        <v>6.8899911082701665E-5</v>
      </c>
      <c r="F898" s="5">
        <f ca="1">TODAY()-GETPIVOTDATA("LastPurchaseDate",MaxDate!$A$3,"Customer_name",MaxDate!A900)</f>
        <v>27</v>
      </c>
      <c r="G898" t="str">
        <f t="shared" ref="G898:G961" ca="1" si="59">IF(F898="","",
 IF(F898&lt;=60,"Active",
 IF(F898&lt;=120,"At Risk","Inactive")))</f>
        <v>Active</v>
      </c>
      <c r="H898" s="13">
        <f>RANK(B898,Customer_Tiers[Total_Sales])</f>
        <v>897</v>
      </c>
    </row>
    <row r="899" spans="1:8">
      <c r="A899" t="str">
        <f>'Top Customers'!A901</f>
        <v>SUMESH CHATTANATTUPARAMBU</v>
      </c>
      <c r="B899" s="5">
        <f>IF(A899="","",IFERROR(GETPIVOTDATA("Sales Amount",'Top Customers'!$A$3,"Customer_name",'Top Customers'!A901),""))</f>
        <v>3935</v>
      </c>
      <c r="C899" t="str">
        <f t="shared" si="56"/>
        <v>Regular</v>
      </c>
      <c r="D899">
        <f t="shared" si="57"/>
        <v>96065</v>
      </c>
      <c r="E899" s="6">
        <f t="shared" si="58"/>
        <v>6.8725259850552862E-5</v>
      </c>
      <c r="F899" s="5">
        <f ca="1">TODAY()-GETPIVOTDATA("LastPurchaseDate",MaxDate!$A$3,"Customer_name",MaxDate!A901)</f>
        <v>228</v>
      </c>
      <c r="G899" t="str">
        <f t="shared" ca="1" si="59"/>
        <v>Inactive</v>
      </c>
      <c r="H899" s="13">
        <f>RANK(B899,Customer_Tiers[Total_Sales])</f>
        <v>898</v>
      </c>
    </row>
    <row r="900" spans="1:8">
      <c r="A900" t="str">
        <f>'Top Customers'!A902</f>
        <v>NITHIN VALAMBOOR</v>
      </c>
      <c r="B900" s="5">
        <f>IF(A900="","",IFERROR(GETPIVOTDATA("Sales Amount",'Top Customers'!$A$3,"Customer_name",'Top Customers'!A902),""))</f>
        <v>3933</v>
      </c>
      <c r="C900" t="str">
        <f t="shared" si="56"/>
        <v>Regular</v>
      </c>
      <c r="D900">
        <f t="shared" si="57"/>
        <v>96067</v>
      </c>
      <c r="E900" s="6">
        <f t="shared" si="58"/>
        <v>6.869032960412311E-5</v>
      </c>
      <c r="F900" s="5">
        <f ca="1">TODAY()-GETPIVOTDATA("LastPurchaseDate",MaxDate!$A$3,"Customer_name",MaxDate!A902)</f>
        <v>12</v>
      </c>
      <c r="G900" t="str">
        <f t="shared" ca="1" si="59"/>
        <v>Active</v>
      </c>
      <c r="H900" s="13">
        <f>RANK(B900,Customer_Tiers[Total_Sales])</f>
        <v>899</v>
      </c>
    </row>
    <row r="901" spans="1:8">
      <c r="A901" t="str">
        <f>'Top Customers'!A903</f>
        <v>SM TECH ENGINEERING COMPANY</v>
      </c>
      <c r="B901" s="5">
        <f>IF(A901="","",IFERROR(GETPIVOTDATA("Sales Amount",'Top Customers'!$A$3,"Customer_name",'Top Customers'!A903),""))</f>
        <v>3930</v>
      </c>
      <c r="C901" t="str">
        <f t="shared" si="56"/>
        <v>Regular</v>
      </c>
      <c r="D901">
        <f t="shared" si="57"/>
        <v>96070</v>
      </c>
      <c r="E901" s="6">
        <f t="shared" si="58"/>
        <v>6.8637934234478475E-5</v>
      </c>
      <c r="F901" s="5">
        <f ca="1">TODAY()-GETPIVOTDATA("LastPurchaseDate",MaxDate!$A$3,"Customer_name",MaxDate!A903)</f>
        <v>233</v>
      </c>
      <c r="G901" t="str">
        <f t="shared" ca="1" si="59"/>
        <v>Inactive</v>
      </c>
      <c r="H901" s="13">
        <f>RANK(B901,Customer_Tiers[Total_Sales])</f>
        <v>900</v>
      </c>
    </row>
    <row r="902" spans="1:8">
      <c r="A902" t="str">
        <f>'Top Customers'!A904</f>
        <v>MATHAI PULINCHODE</v>
      </c>
      <c r="B902" s="5">
        <f>IF(A902="","",IFERROR(GETPIVOTDATA("Sales Amount",'Top Customers'!$A$3,"Customer_name",'Top Customers'!A904),""))</f>
        <v>3883</v>
      </c>
      <c r="C902" t="str">
        <f t="shared" si="56"/>
        <v>Regular</v>
      </c>
      <c r="D902">
        <f t="shared" si="57"/>
        <v>96117</v>
      </c>
      <c r="E902" s="6">
        <f t="shared" si="58"/>
        <v>6.7817073443379109E-5</v>
      </c>
      <c r="F902" s="5">
        <f ca="1">TODAY()-GETPIVOTDATA("LastPurchaseDate",MaxDate!$A$3,"Customer_name",MaxDate!A904)</f>
        <v>61</v>
      </c>
      <c r="G902" t="str">
        <f t="shared" ca="1" si="59"/>
        <v>At Risk</v>
      </c>
      <c r="H902" s="13">
        <f>RANK(B902,Customer_Tiers[Total_Sales])</f>
        <v>901</v>
      </c>
    </row>
    <row r="903" spans="1:8">
      <c r="A903" t="str">
        <f>'Top Customers'!A905</f>
        <v>SHAMEER , KERALA BAKERY</v>
      </c>
      <c r="B903" s="5">
        <f>IF(A903="","",IFERROR(GETPIVOTDATA("Sales Amount",'Top Customers'!$A$3,"Customer_name",'Top Customers'!A905),""))</f>
        <v>3882</v>
      </c>
      <c r="C903" t="str">
        <f t="shared" si="56"/>
        <v>Regular</v>
      </c>
      <c r="D903">
        <f t="shared" si="57"/>
        <v>96118</v>
      </c>
      <c r="E903" s="6">
        <f t="shared" si="58"/>
        <v>6.7799608320164226E-5</v>
      </c>
      <c r="F903" s="5">
        <f ca="1">TODAY()-GETPIVOTDATA("LastPurchaseDate",MaxDate!$A$3,"Customer_name",MaxDate!A905)</f>
        <v>233</v>
      </c>
      <c r="G903" t="str">
        <f t="shared" ca="1" si="59"/>
        <v>Inactive</v>
      </c>
      <c r="H903" s="13">
        <f>RANK(B903,Customer_Tiers[Total_Sales])</f>
        <v>902</v>
      </c>
    </row>
    <row r="904" spans="1:8">
      <c r="A904" t="str">
        <f>'Top Customers'!A906</f>
        <v>JINOSH CHENGARA</v>
      </c>
      <c r="B904" s="5">
        <f>IF(A904="","",IFERROR(GETPIVOTDATA("Sales Amount",'Top Customers'!$A$3,"Customer_name",'Top Customers'!A906),""))</f>
        <v>3881</v>
      </c>
      <c r="C904" t="str">
        <f t="shared" si="56"/>
        <v>Regular</v>
      </c>
      <c r="D904">
        <f t="shared" si="57"/>
        <v>96119</v>
      </c>
      <c r="E904" s="6">
        <f t="shared" si="58"/>
        <v>6.7782143196949343E-5</v>
      </c>
      <c r="F904" s="5">
        <f ca="1">TODAY()-GETPIVOTDATA("LastPurchaseDate",MaxDate!$A$3,"Customer_name",MaxDate!A906)</f>
        <v>13</v>
      </c>
      <c r="G904" t="str">
        <f t="shared" ca="1" si="59"/>
        <v>Active</v>
      </c>
      <c r="H904" s="13">
        <f>RANK(B904,Customer_Tiers[Total_Sales])</f>
        <v>903</v>
      </c>
    </row>
    <row r="905" spans="1:8">
      <c r="A905" t="str">
        <f>'Top Customers'!A907</f>
        <v>SANTHOSH PUKKATTUPADY</v>
      </c>
      <c r="B905" s="5">
        <f>IF(A905="","",IFERROR(GETPIVOTDATA("Sales Amount",'Top Customers'!$A$3,"Customer_name",'Top Customers'!A907),""))</f>
        <v>3860</v>
      </c>
      <c r="C905" t="str">
        <f t="shared" si="56"/>
        <v>Regular</v>
      </c>
      <c r="D905">
        <f t="shared" si="57"/>
        <v>96140</v>
      </c>
      <c r="E905" s="6">
        <f t="shared" si="58"/>
        <v>6.7415375609436868E-5</v>
      </c>
      <c r="F905" s="5">
        <f ca="1">TODAY()-GETPIVOTDATA("LastPurchaseDate",MaxDate!$A$3,"Customer_name",MaxDate!A907)</f>
        <v>297</v>
      </c>
      <c r="G905" t="str">
        <f t="shared" ca="1" si="59"/>
        <v>Inactive</v>
      </c>
      <c r="H905" s="13">
        <f>RANK(B905,Customer_Tiers[Total_Sales])</f>
        <v>904</v>
      </c>
    </row>
    <row r="906" spans="1:8">
      <c r="A906" t="str">
        <f>'Top Customers'!A908</f>
        <v>BINI INNOVATION DOUBLEPALAM</v>
      </c>
      <c r="B906" s="5">
        <f>IF(A906="","",IFERROR(GETPIVOTDATA("Sales Amount",'Top Customers'!$A$3,"Customer_name",'Top Customers'!A908),""))</f>
        <v>3847</v>
      </c>
      <c r="C906" t="str">
        <f t="shared" si="56"/>
        <v>Regular</v>
      </c>
      <c r="D906">
        <f t="shared" si="57"/>
        <v>96153</v>
      </c>
      <c r="E906" s="6">
        <f t="shared" si="58"/>
        <v>6.718832900764343E-5</v>
      </c>
      <c r="F906" s="5">
        <f ca="1">TODAY()-GETPIVOTDATA("LastPurchaseDate",MaxDate!$A$3,"Customer_name",MaxDate!A908)</f>
        <v>207</v>
      </c>
      <c r="G906" t="str">
        <f t="shared" ca="1" si="59"/>
        <v>Inactive</v>
      </c>
      <c r="H906" s="13">
        <f>RANK(B906,Customer_Tiers[Total_Sales])</f>
        <v>905</v>
      </c>
    </row>
    <row r="907" spans="1:8">
      <c r="A907" t="str">
        <f>'Top Customers'!A909</f>
        <v>Biju , Thattamukal</v>
      </c>
      <c r="B907" s="5">
        <f>IF(A907="","",IFERROR(GETPIVOTDATA("Sales Amount",'Top Customers'!$A$3,"Customer_name",'Top Customers'!A909),""))</f>
        <v>3843</v>
      </c>
      <c r="C907" t="str">
        <f t="shared" si="56"/>
        <v>Regular</v>
      </c>
      <c r="D907">
        <f t="shared" si="57"/>
        <v>96157</v>
      </c>
      <c r="E907" s="6">
        <f t="shared" si="58"/>
        <v>6.7118468514783911E-5</v>
      </c>
      <c r="F907" s="5">
        <f ca="1">TODAY()-GETPIVOTDATA("LastPurchaseDate",MaxDate!$A$3,"Customer_name",MaxDate!A909)</f>
        <v>93</v>
      </c>
      <c r="G907" t="str">
        <f t="shared" ca="1" si="59"/>
        <v>At Risk</v>
      </c>
      <c r="H907" s="13">
        <f>RANK(B907,Customer_Tiers[Total_Sales])</f>
        <v>906</v>
      </c>
    </row>
    <row r="908" spans="1:8">
      <c r="A908" t="str">
        <f>'Top Customers'!A910</f>
        <v>BIJU JOHN</v>
      </c>
      <c r="B908" s="5">
        <f>IF(A908="","",IFERROR(GETPIVOTDATA("Sales Amount",'Top Customers'!$A$3,"Customer_name",'Top Customers'!A910),""))</f>
        <v>3802</v>
      </c>
      <c r="C908" t="str">
        <f t="shared" si="56"/>
        <v>Regular</v>
      </c>
      <c r="D908">
        <f t="shared" si="57"/>
        <v>96198</v>
      </c>
      <c r="E908" s="6">
        <f t="shared" si="58"/>
        <v>6.6402398462973831E-5</v>
      </c>
      <c r="F908" s="5">
        <f ca="1">TODAY()-GETPIVOTDATA("LastPurchaseDate",MaxDate!$A$3,"Customer_name",MaxDate!A910)</f>
        <v>80</v>
      </c>
      <c r="G908" t="str">
        <f t="shared" ca="1" si="59"/>
        <v>At Risk</v>
      </c>
      <c r="H908" s="13">
        <f>RANK(B908,Customer_Tiers[Total_Sales])</f>
        <v>907</v>
      </c>
    </row>
    <row r="909" spans="1:8">
      <c r="A909" t="str">
        <f>'Top Customers'!A911</f>
        <v>VIJAYAN UNION</v>
      </c>
      <c r="B909" s="5">
        <f>IF(A909="","",IFERROR(GETPIVOTDATA("Sales Amount",'Top Customers'!$A$3,"Customer_name",'Top Customers'!A911),""))</f>
        <v>3790</v>
      </c>
      <c r="C909" t="str">
        <f t="shared" si="56"/>
        <v>Regular</v>
      </c>
      <c r="D909">
        <f t="shared" si="57"/>
        <v>96210</v>
      </c>
      <c r="E909" s="6">
        <f t="shared" si="58"/>
        <v>6.6192816984395262E-5</v>
      </c>
      <c r="F909" s="5">
        <f ca="1">TODAY()-GETPIVOTDATA("LastPurchaseDate",MaxDate!$A$3,"Customer_name",MaxDate!A911)</f>
        <v>282</v>
      </c>
      <c r="G909" t="str">
        <f t="shared" ca="1" si="59"/>
        <v>Inactive</v>
      </c>
      <c r="H909" s="13">
        <f>RANK(B909,Customer_Tiers[Total_Sales])</f>
        <v>908</v>
      </c>
    </row>
    <row r="910" spans="1:8">
      <c r="A910" t="str">
        <f>'Top Customers'!A912</f>
        <v>MOOLANS PATTIMATTOM</v>
      </c>
      <c r="B910" s="5">
        <f>IF(A910="","",IFERROR(GETPIVOTDATA("Sales Amount",'Top Customers'!$A$3,"Customer_name",'Top Customers'!A912),""))</f>
        <v>3700</v>
      </c>
      <c r="C910" t="str">
        <f t="shared" si="56"/>
        <v>Regular</v>
      </c>
      <c r="D910">
        <f t="shared" si="57"/>
        <v>96300</v>
      </c>
      <c r="E910" s="6">
        <f t="shared" si="58"/>
        <v>6.4620955895056063E-5</v>
      </c>
      <c r="F910" s="5">
        <f ca="1">TODAY()-GETPIVOTDATA("LastPurchaseDate",MaxDate!$A$3,"Customer_name",MaxDate!A912)</f>
        <v>265</v>
      </c>
      <c r="G910" t="str">
        <f t="shared" ca="1" si="59"/>
        <v>Inactive</v>
      </c>
      <c r="H910" s="13">
        <f>RANK(B910,Customer_Tiers[Total_Sales])</f>
        <v>909</v>
      </c>
    </row>
    <row r="911" spans="1:8">
      <c r="A911" t="str">
        <f>'Top Customers'!A913</f>
        <v>TUTTU CHANDRA</v>
      </c>
      <c r="B911" s="5">
        <f>IF(A911="","",IFERROR(GETPIVOTDATA("Sales Amount",'Top Customers'!$A$3,"Customer_name",'Top Customers'!A913),""))</f>
        <v>3690</v>
      </c>
      <c r="C911" t="str">
        <f t="shared" si="56"/>
        <v>Regular</v>
      </c>
      <c r="D911">
        <f t="shared" si="57"/>
        <v>96310</v>
      </c>
      <c r="E911" s="6">
        <f t="shared" si="58"/>
        <v>6.444630466290726E-5</v>
      </c>
      <c r="F911" s="5">
        <f ca="1">TODAY()-GETPIVOTDATA("LastPurchaseDate",MaxDate!$A$3,"Customer_name",MaxDate!A913)</f>
        <v>97</v>
      </c>
      <c r="G911" t="str">
        <f t="shared" ca="1" si="59"/>
        <v>At Risk</v>
      </c>
      <c r="H911" s="13">
        <f>RANK(B911,Customer_Tiers[Total_Sales])</f>
        <v>910</v>
      </c>
    </row>
    <row r="912" spans="1:8">
      <c r="A912" t="str">
        <f>'Top Customers'!A914</f>
        <v>CHRISTY KUMMANODE</v>
      </c>
      <c r="B912" s="5">
        <f>IF(A912="","",IFERROR(GETPIVOTDATA("Sales Amount",'Top Customers'!$A$3,"Customer_name",'Top Customers'!A914),""))</f>
        <v>3645</v>
      </c>
      <c r="C912" t="str">
        <f t="shared" si="56"/>
        <v>Regular</v>
      </c>
      <c r="D912">
        <f t="shared" si="57"/>
        <v>96355</v>
      </c>
      <c r="E912" s="6">
        <f t="shared" si="58"/>
        <v>6.3660374118237661E-5</v>
      </c>
      <c r="F912" s="5">
        <f ca="1">TODAY()-GETPIVOTDATA("LastPurchaseDate",MaxDate!$A$3,"Customer_name",MaxDate!A914)</f>
        <v>198</v>
      </c>
      <c r="G912" t="str">
        <f t="shared" ca="1" si="59"/>
        <v>Inactive</v>
      </c>
      <c r="H912" s="13">
        <f>RANK(B912,Customer_Tiers[Total_Sales])</f>
        <v>911</v>
      </c>
    </row>
    <row r="913" spans="1:8">
      <c r="A913" t="str">
        <f>'Top Customers'!A915</f>
        <v>BEERAN , THANDAKKALA</v>
      </c>
      <c r="B913" s="5">
        <f>IF(A913="","",IFERROR(GETPIVOTDATA("Sales Amount",'Top Customers'!$A$3,"Customer_name",'Top Customers'!A915),""))</f>
        <v>3627</v>
      </c>
      <c r="C913" t="str">
        <f t="shared" si="56"/>
        <v>Regular</v>
      </c>
      <c r="D913">
        <f t="shared" si="57"/>
        <v>96373</v>
      </c>
      <c r="E913" s="6">
        <f t="shared" si="58"/>
        <v>6.3346001900369822E-5</v>
      </c>
      <c r="F913" s="5">
        <f ca="1">TODAY()-GETPIVOTDATA("LastPurchaseDate",MaxDate!$A$3,"Customer_name",MaxDate!A915)</f>
        <v>60</v>
      </c>
      <c r="G913" t="str">
        <f t="shared" ca="1" si="59"/>
        <v>Active</v>
      </c>
      <c r="H913" s="13">
        <f>RANK(B913,Customer_Tiers[Total_Sales])</f>
        <v>912</v>
      </c>
    </row>
    <row r="914" spans="1:8">
      <c r="A914" t="str">
        <f>'Top Customers'!A916</f>
        <v>PRAMOD KADAYIRUPPU</v>
      </c>
      <c r="B914" s="5">
        <f>IF(A914="","",IFERROR(GETPIVOTDATA("Sales Amount",'Top Customers'!$A$3,"Customer_name",'Top Customers'!A916),""))</f>
        <v>3600</v>
      </c>
      <c r="C914" t="str">
        <f t="shared" si="56"/>
        <v>Regular</v>
      </c>
      <c r="D914">
        <f t="shared" si="57"/>
        <v>96400</v>
      </c>
      <c r="E914" s="6">
        <f t="shared" si="58"/>
        <v>6.2874443573568062E-5</v>
      </c>
      <c r="F914" s="5">
        <f ca="1">TODAY()-GETPIVOTDATA("LastPurchaseDate",MaxDate!$A$3,"Customer_name",MaxDate!A916)</f>
        <v>304</v>
      </c>
      <c r="G914" t="str">
        <f t="shared" ca="1" si="59"/>
        <v>Inactive</v>
      </c>
      <c r="H914" s="13">
        <f>RANK(B914,Customer_Tiers[Total_Sales])</f>
        <v>913</v>
      </c>
    </row>
    <row r="915" spans="1:8">
      <c r="A915" t="str">
        <f>'Top Customers'!A917</f>
        <v>ALIAS</v>
      </c>
      <c r="B915" s="5">
        <f>IF(A915="","",IFERROR(GETPIVOTDATA("Sales Amount",'Top Customers'!$A$3,"Customer_name",'Top Customers'!A917),""))</f>
        <v>3580</v>
      </c>
      <c r="C915" t="str">
        <f t="shared" si="56"/>
        <v>Regular</v>
      </c>
      <c r="D915">
        <f t="shared" si="57"/>
        <v>96420</v>
      </c>
      <c r="E915" s="6">
        <f t="shared" si="58"/>
        <v>6.2525141109270456E-5</v>
      </c>
      <c r="F915" s="5">
        <f ca="1">TODAY()-GETPIVOTDATA("LastPurchaseDate",MaxDate!$A$3,"Customer_name",MaxDate!A917)</f>
        <v>215</v>
      </c>
      <c r="G915" t="str">
        <f t="shared" ca="1" si="59"/>
        <v>Inactive</v>
      </c>
      <c r="H915" s="13">
        <f>RANK(B915,Customer_Tiers[Total_Sales])</f>
        <v>914</v>
      </c>
    </row>
    <row r="916" spans="1:8">
      <c r="A916" t="str">
        <f>'Top Customers'!A918</f>
        <v>JOHNSON NJARALLOOR</v>
      </c>
      <c r="B916" s="5">
        <f>IF(A916="","",IFERROR(GETPIVOTDATA("Sales Amount",'Top Customers'!$A$3,"Customer_name",'Top Customers'!A918),""))</f>
        <v>3580</v>
      </c>
      <c r="C916" t="str">
        <f t="shared" si="56"/>
        <v>Regular</v>
      </c>
      <c r="D916">
        <f t="shared" si="57"/>
        <v>96420</v>
      </c>
      <c r="E916" s="6">
        <f t="shared" si="58"/>
        <v>6.2525141109270456E-5</v>
      </c>
      <c r="F916" s="5">
        <f ca="1">TODAY()-GETPIVOTDATA("LastPurchaseDate",MaxDate!$A$3,"Customer_name",MaxDate!A918)</f>
        <v>83</v>
      </c>
      <c r="G916" t="str">
        <f t="shared" ca="1" si="59"/>
        <v>At Risk</v>
      </c>
      <c r="H916" s="13">
        <f>RANK(B916,Customer_Tiers[Total_Sales])</f>
        <v>914</v>
      </c>
    </row>
    <row r="917" spans="1:8">
      <c r="A917" t="str">
        <f>'Top Customers'!A919</f>
        <v>JACOB K M</v>
      </c>
      <c r="B917" s="5">
        <f>IF(A917="","",IFERROR(GETPIVOTDATA("Sales Amount",'Top Customers'!$A$3,"Customer_name",'Top Customers'!A919),""))</f>
        <v>3577</v>
      </c>
      <c r="C917" t="str">
        <f t="shared" si="56"/>
        <v>Regular</v>
      </c>
      <c r="D917">
        <f t="shared" si="57"/>
        <v>96423</v>
      </c>
      <c r="E917" s="6">
        <f t="shared" si="58"/>
        <v>6.2472745739625821E-5</v>
      </c>
      <c r="F917" s="5">
        <f ca="1">TODAY()-GETPIVOTDATA("LastPurchaseDate",MaxDate!$A$3,"Customer_name",MaxDate!A919)</f>
        <v>323</v>
      </c>
      <c r="G917" t="str">
        <f t="shared" ca="1" si="59"/>
        <v>Inactive</v>
      </c>
      <c r="H917" s="13">
        <f>RANK(B917,Customer_Tiers[Total_Sales])</f>
        <v>916</v>
      </c>
    </row>
    <row r="918" spans="1:8">
      <c r="A918" t="str">
        <f>'Top Customers'!A920</f>
        <v>ASHLIN MAZHAUVANNOOR</v>
      </c>
      <c r="B918" s="5">
        <f>IF(A918="","",IFERROR(GETPIVOTDATA("Sales Amount",'Top Customers'!$A$3,"Customer_name",'Top Customers'!A920),""))</f>
        <v>3543</v>
      </c>
      <c r="C918" t="str">
        <f t="shared" si="56"/>
        <v>Regular</v>
      </c>
      <c r="D918">
        <f t="shared" si="57"/>
        <v>96457</v>
      </c>
      <c r="E918" s="6">
        <f t="shared" si="58"/>
        <v>6.1878931550319907E-5</v>
      </c>
      <c r="F918" s="5">
        <f ca="1">TODAY()-GETPIVOTDATA("LastPurchaseDate",MaxDate!$A$3,"Customer_name",MaxDate!A920)</f>
        <v>101</v>
      </c>
      <c r="G918" t="str">
        <f t="shared" ca="1" si="59"/>
        <v>At Risk</v>
      </c>
      <c r="H918" s="13">
        <f>RANK(B918,Customer_Tiers[Total_Sales])</f>
        <v>917</v>
      </c>
    </row>
    <row r="919" spans="1:8">
      <c r="A919" t="str">
        <f>'Top Customers'!A921</f>
        <v>BIJU , KADAYIRUPPU</v>
      </c>
      <c r="B919" s="5">
        <f>IF(A919="","",IFERROR(GETPIVOTDATA("Sales Amount",'Top Customers'!$A$3,"Customer_name",'Top Customers'!A921),""))</f>
        <v>3537</v>
      </c>
      <c r="C919" t="str">
        <f t="shared" si="56"/>
        <v>Regular</v>
      </c>
      <c r="D919">
        <f t="shared" si="57"/>
        <v>96463</v>
      </c>
      <c r="E919" s="6">
        <f t="shared" si="58"/>
        <v>6.1774140811030623E-5</v>
      </c>
      <c r="F919" s="5">
        <f ca="1">TODAY()-GETPIVOTDATA("LastPurchaseDate",MaxDate!$A$3,"Customer_name",MaxDate!A921)</f>
        <v>320</v>
      </c>
      <c r="G919" t="str">
        <f t="shared" ca="1" si="59"/>
        <v>Inactive</v>
      </c>
      <c r="H919" s="13">
        <f>RANK(B919,Customer_Tiers[Total_Sales])</f>
        <v>918</v>
      </c>
    </row>
    <row r="920" spans="1:8">
      <c r="A920" t="str">
        <f>'Top Customers'!A922</f>
        <v>SUBRAMANIAN</v>
      </c>
      <c r="B920" s="5">
        <f>IF(A920="","",IFERROR(GETPIVOTDATA("Sales Amount",'Top Customers'!$A$3,"Customer_name",'Top Customers'!A922),""))</f>
        <v>3530</v>
      </c>
      <c r="C920" t="str">
        <f t="shared" si="56"/>
        <v>Regular</v>
      </c>
      <c r="D920">
        <f t="shared" si="57"/>
        <v>96470</v>
      </c>
      <c r="E920" s="6">
        <f t="shared" si="58"/>
        <v>6.1651884948526456E-5</v>
      </c>
      <c r="F920" s="5">
        <f ca="1">TODAY()-GETPIVOTDATA("LastPurchaseDate",MaxDate!$A$3,"Customer_name",MaxDate!A922)</f>
        <v>285</v>
      </c>
      <c r="G920" t="str">
        <f t="shared" ca="1" si="59"/>
        <v>Inactive</v>
      </c>
      <c r="H920" s="13">
        <f>RANK(B920,Customer_Tiers[Total_Sales])</f>
        <v>919</v>
      </c>
    </row>
    <row r="921" spans="1:8">
      <c r="A921" t="str">
        <f>'Top Customers'!A923</f>
        <v>ISMAIL CNTR</v>
      </c>
      <c r="B921" s="5">
        <f>IF(A921="","",IFERROR(GETPIVOTDATA("Sales Amount",'Top Customers'!$A$3,"Customer_name",'Top Customers'!A923),""))</f>
        <v>3500</v>
      </c>
      <c r="C921" t="str">
        <f t="shared" si="56"/>
        <v>Regular</v>
      </c>
      <c r="D921">
        <f t="shared" si="57"/>
        <v>96500</v>
      </c>
      <c r="E921" s="6">
        <f t="shared" si="58"/>
        <v>6.1127931252080061E-5</v>
      </c>
      <c r="F921" s="5">
        <f ca="1">TODAY()-GETPIVOTDATA("LastPurchaseDate",MaxDate!$A$3,"Customer_name",MaxDate!A923)</f>
        <v>150</v>
      </c>
      <c r="G921" t="str">
        <f t="shared" ca="1" si="59"/>
        <v>Inactive</v>
      </c>
      <c r="H921" s="13">
        <f>RANK(B921,Customer_Tiers[Total_Sales])</f>
        <v>920</v>
      </c>
    </row>
    <row r="922" spans="1:8">
      <c r="A922" t="str">
        <f>'Top Customers'!A924</f>
        <v>MOHANAN , PULINCHUVADU</v>
      </c>
      <c r="B922" s="5">
        <f>IF(A922="","",IFERROR(GETPIVOTDATA("Sales Amount",'Top Customers'!$A$3,"Customer_name",'Top Customers'!A924),""))</f>
        <v>3500</v>
      </c>
      <c r="C922" t="str">
        <f t="shared" si="56"/>
        <v>Regular</v>
      </c>
      <c r="D922">
        <f t="shared" si="57"/>
        <v>96500</v>
      </c>
      <c r="E922" s="6">
        <f t="shared" si="58"/>
        <v>6.1127931252080061E-5</v>
      </c>
      <c r="F922" s="5">
        <f ca="1">TODAY()-GETPIVOTDATA("LastPurchaseDate",MaxDate!$A$3,"Customer_name",MaxDate!A924)</f>
        <v>163</v>
      </c>
      <c r="G922" t="str">
        <f t="shared" ca="1" si="59"/>
        <v>Inactive</v>
      </c>
      <c r="H922" s="13">
        <f>RANK(B922,Customer_Tiers[Total_Sales])</f>
        <v>920</v>
      </c>
    </row>
    <row r="923" spans="1:8">
      <c r="A923" t="str">
        <f>'Top Customers'!A925</f>
        <v>ST.THOMAS CHAPPEL</v>
      </c>
      <c r="B923" s="5">
        <f>IF(A923="","",IFERROR(GETPIVOTDATA("Sales Amount",'Top Customers'!$A$3,"Customer_name",'Top Customers'!A925),""))</f>
        <v>3500</v>
      </c>
      <c r="C923" t="str">
        <f t="shared" si="56"/>
        <v>Regular</v>
      </c>
      <c r="D923">
        <f t="shared" si="57"/>
        <v>96500</v>
      </c>
      <c r="E923" s="6">
        <f t="shared" si="58"/>
        <v>6.1127931252080061E-5</v>
      </c>
      <c r="F923" s="5">
        <f ca="1">TODAY()-GETPIVOTDATA("LastPurchaseDate",MaxDate!$A$3,"Customer_name",MaxDate!A925)</f>
        <v>94</v>
      </c>
      <c r="G923" t="str">
        <f t="shared" ca="1" si="59"/>
        <v>At Risk</v>
      </c>
      <c r="H923" s="13">
        <f>RANK(B923,Customer_Tiers[Total_Sales])</f>
        <v>920</v>
      </c>
    </row>
    <row r="924" spans="1:8">
      <c r="A924" t="str">
        <f>'Top Customers'!A926</f>
        <v>RAJAMMA</v>
      </c>
      <c r="B924" s="5">
        <f>IF(A924="","",IFERROR(GETPIVOTDATA("Sales Amount",'Top Customers'!$A$3,"Customer_name",'Top Customers'!A926),""))</f>
        <v>3480</v>
      </c>
      <c r="C924" t="str">
        <f t="shared" si="56"/>
        <v>Regular</v>
      </c>
      <c r="D924">
        <f t="shared" si="57"/>
        <v>96520</v>
      </c>
      <c r="E924" s="6">
        <f t="shared" si="58"/>
        <v>6.0778628787782462E-5</v>
      </c>
      <c r="F924" s="5">
        <f ca="1">TODAY()-GETPIVOTDATA("LastPurchaseDate",MaxDate!$A$3,"Customer_name",MaxDate!A926)</f>
        <v>305</v>
      </c>
      <c r="G924" t="str">
        <f t="shared" ca="1" si="59"/>
        <v>Inactive</v>
      </c>
      <c r="H924" s="13">
        <f>RANK(B924,Customer_Tiers[Total_Sales])</f>
        <v>923</v>
      </c>
    </row>
    <row r="925" spans="1:8">
      <c r="A925" t="str">
        <f>'Top Customers'!A927</f>
        <v>PRADEEP ATHANI</v>
      </c>
      <c r="B925" s="5">
        <f>IF(A925="","",IFERROR(GETPIVOTDATA("Sales Amount",'Top Customers'!$A$3,"Customer_name",'Top Customers'!A927),""))</f>
        <v>3460</v>
      </c>
      <c r="C925" t="str">
        <f t="shared" si="56"/>
        <v>Regular</v>
      </c>
      <c r="D925">
        <f t="shared" si="57"/>
        <v>96540</v>
      </c>
      <c r="E925" s="6">
        <f t="shared" si="58"/>
        <v>6.0429326323484863E-5</v>
      </c>
      <c r="F925" s="5">
        <f ca="1">TODAY()-GETPIVOTDATA("LastPurchaseDate",MaxDate!$A$3,"Customer_name",MaxDate!A927)</f>
        <v>18</v>
      </c>
      <c r="G925" t="str">
        <f t="shared" ca="1" si="59"/>
        <v>Active</v>
      </c>
      <c r="H925" s="13">
        <f>RANK(B925,Customer_Tiers[Total_Sales])</f>
        <v>924</v>
      </c>
    </row>
    <row r="926" spans="1:8">
      <c r="A926" t="str">
        <f>'Top Customers'!A928</f>
        <v>SULAIMAN CNTR</v>
      </c>
      <c r="B926" s="5">
        <f>IF(A926="","",IFERROR(GETPIVOTDATA("Sales Amount",'Top Customers'!$A$3,"Customer_name",'Top Customers'!A928),""))</f>
        <v>3456</v>
      </c>
      <c r="C926" t="str">
        <f t="shared" si="56"/>
        <v>Regular</v>
      </c>
      <c r="D926">
        <f t="shared" si="57"/>
        <v>96544</v>
      </c>
      <c r="E926" s="6">
        <f t="shared" si="58"/>
        <v>6.0359465830625338E-5</v>
      </c>
      <c r="F926" s="5">
        <f ca="1">TODAY()-GETPIVOTDATA("LastPurchaseDate",MaxDate!$A$3,"Customer_name",MaxDate!A928)</f>
        <v>195</v>
      </c>
      <c r="G926" t="str">
        <f t="shared" ca="1" si="59"/>
        <v>Inactive</v>
      </c>
      <c r="H926" s="13">
        <f>RANK(B926,Customer_Tiers[Total_Sales])</f>
        <v>925</v>
      </c>
    </row>
    <row r="927" spans="1:8">
      <c r="A927" t="str">
        <f>'Top Customers'!A929</f>
        <v>BENNY JOSEPH (BROOK SIDE)</v>
      </c>
      <c r="B927" s="5">
        <f>IF(A927="","",IFERROR(GETPIVOTDATA("Sales Amount",'Top Customers'!$A$3,"Customer_name",'Top Customers'!A929),""))</f>
        <v>3450</v>
      </c>
      <c r="C927" t="str">
        <f t="shared" si="56"/>
        <v>Regular</v>
      </c>
      <c r="D927">
        <f t="shared" si="57"/>
        <v>96550</v>
      </c>
      <c r="E927" s="6">
        <f t="shared" si="58"/>
        <v>6.025467509133606E-5</v>
      </c>
      <c r="F927" s="5">
        <f ca="1">TODAY()-GETPIVOTDATA("LastPurchaseDate",MaxDate!$A$3,"Customer_name",MaxDate!A929)</f>
        <v>144</v>
      </c>
      <c r="G927" t="str">
        <f t="shared" ca="1" si="59"/>
        <v>Inactive</v>
      </c>
      <c r="H927" s="13">
        <f>RANK(B927,Customer_Tiers[Total_Sales])</f>
        <v>926</v>
      </c>
    </row>
    <row r="928" spans="1:8">
      <c r="A928" t="str">
        <f>'Top Customers'!A930</f>
        <v>BINI INNOVATIONS</v>
      </c>
      <c r="B928" s="5">
        <f>IF(A928="","",IFERROR(GETPIVOTDATA("Sales Amount",'Top Customers'!$A$3,"Customer_name",'Top Customers'!A930),""))</f>
        <v>3448</v>
      </c>
      <c r="C928" t="str">
        <f t="shared" si="56"/>
        <v>Regular</v>
      </c>
      <c r="D928">
        <f t="shared" si="57"/>
        <v>96552</v>
      </c>
      <c r="E928" s="6">
        <f t="shared" si="58"/>
        <v>6.0219744844906301E-5</v>
      </c>
      <c r="F928" s="5">
        <f ca="1">TODAY()-GETPIVOTDATA("LastPurchaseDate",MaxDate!$A$3,"Customer_name",MaxDate!A930)</f>
        <v>143</v>
      </c>
      <c r="G928" t="str">
        <f t="shared" ca="1" si="59"/>
        <v>Inactive</v>
      </c>
      <c r="H928" s="13">
        <f>RANK(B928,Customer_Tiers[Total_Sales])</f>
        <v>927</v>
      </c>
    </row>
    <row r="929" spans="1:8">
      <c r="A929" t="str">
        <f>'Top Customers'!A931</f>
        <v>ALEX KIZHAKKAMBALAM</v>
      </c>
      <c r="B929" s="5">
        <f>IF(A929="","",IFERROR(GETPIVOTDATA("Sales Amount",'Top Customers'!$A$3,"Customer_name",'Top Customers'!A931),""))</f>
        <v>3445</v>
      </c>
      <c r="C929" t="str">
        <f t="shared" si="56"/>
        <v>Regular</v>
      </c>
      <c r="D929">
        <f t="shared" si="57"/>
        <v>96555</v>
      </c>
      <c r="E929" s="6">
        <f t="shared" si="58"/>
        <v>6.0167349475261659E-5</v>
      </c>
      <c r="F929" s="5">
        <f ca="1">TODAY()-GETPIVOTDATA("LastPurchaseDate",MaxDate!$A$3,"Customer_name",MaxDate!A931)</f>
        <v>300</v>
      </c>
      <c r="G929" t="str">
        <f t="shared" ca="1" si="59"/>
        <v>Inactive</v>
      </c>
      <c r="H929" s="13">
        <f>RANK(B929,Customer_Tiers[Total_Sales])</f>
        <v>928</v>
      </c>
    </row>
    <row r="930" spans="1:8">
      <c r="A930" t="str">
        <f>'Top Customers'!A932</f>
        <v>E TECH INDUSTRIES</v>
      </c>
      <c r="B930" s="5">
        <f>IF(A930="","",IFERROR(GETPIVOTDATA("Sales Amount",'Top Customers'!$A$3,"Customer_name",'Top Customers'!A932),""))</f>
        <v>3431</v>
      </c>
      <c r="C930" t="str">
        <f t="shared" si="56"/>
        <v>Regular</v>
      </c>
      <c r="D930">
        <f t="shared" si="57"/>
        <v>96569</v>
      </c>
      <c r="E930" s="6">
        <f t="shared" si="58"/>
        <v>5.9922837750253337E-5</v>
      </c>
      <c r="F930" s="5">
        <f ca="1">TODAY()-GETPIVOTDATA("LastPurchaseDate",MaxDate!$A$3,"Customer_name",MaxDate!A932)</f>
        <v>258</v>
      </c>
      <c r="G930" t="str">
        <f t="shared" ca="1" si="59"/>
        <v>Inactive</v>
      </c>
      <c r="H930" s="13">
        <f>RANK(B930,Customer_Tiers[Total_Sales])</f>
        <v>929</v>
      </c>
    </row>
    <row r="931" spans="1:8">
      <c r="A931" t="str">
        <f>'Top Customers'!A933</f>
        <v>JIJI KOLOTHUMKUDY</v>
      </c>
      <c r="B931" s="5">
        <f>IF(A931="","",IFERROR(GETPIVOTDATA("Sales Amount",'Top Customers'!$A$3,"Customer_name",'Top Customers'!A933),""))</f>
        <v>3400</v>
      </c>
      <c r="C931" t="str">
        <f t="shared" si="56"/>
        <v>Regular</v>
      </c>
      <c r="D931">
        <f t="shared" si="57"/>
        <v>96600</v>
      </c>
      <c r="E931" s="6">
        <f t="shared" si="58"/>
        <v>5.9381418930592059E-5</v>
      </c>
      <c r="F931" s="5">
        <f ca="1">TODAY()-GETPIVOTDATA("LastPurchaseDate",MaxDate!$A$3,"Customer_name",MaxDate!A933)</f>
        <v>320</v>
      </c>
      <c r="G931" t="str">
        <f t="shared" ca="1" si="59"/>
        <v>Inactive</v>
      </c>
      <c r="H931" s="13">
        <f>RANK(B931,Customer_Tiers[Total_Sales])</f>
        <v>930</v>
      </c>
    </row>
    <row r="932" spans="1:8">
      <c r="A932" t="str">
        <f>'Top Customers'!A934</f>
        <v>JOY NJATTUMKALA , VALAMBOOR</v>
      </c>
      <c r="B932" s="5">
        <f>IF(A932="","",IFERROR(GETPIVOTDATA("Sales Amount",'Top Customers'!$A$3,"Customer_name",'Top Customers'!A934),""))</f>
        <v>3400</v>
      </c>
      <c r="C932" t="str">
        <f t="shared" si="56"/>
        <v>Regular</v>
      </c>
      <c r="D932">
        <f t="shared" si="57"/>
        <v>96600</v>
      </c>
      <c r="E932" s="6">
        <f t="shared" si="58"/>
        <v>5.9381418930592059E-5</v>
      </c>
      <c r="F932" s="5">
        <f ca="1">TODAY()-GETPIVOTDATA("LastPurchaseDate",MaxDate!$A$3,"Customer_name",MaxDate!A934)</f>
        <v>142</v>
      </c>
      <c r="G932" t="str">
        <f t="shared" ca="1" si="59"/>
        <v>Inactive</v>
      </c>
      <c r="H932" s="13">
        <f>RANK(B932,Customer_Tiers[Total_Sales])</f>
        <v>930</v>
      </c>
    </row>
    <row r="933" spans="1:8">
      <c r="A933" t="str">
        <f>'Top Customers'!A935</f>
        <v>SAJI THATTAMUGAL</v>
      </c>
      <c r="B933" s="5">
        <f>IF(A933="","",IFERROR(GETPIVOTDATA("Sales Amount",'Top Customers'!$A$3,"Customer_name",'Top Customers'!A935),""))</f>
        <v>3400</v>
      </c>
      <c r="C933" t="str">
        <f t="shared" si="56"/>
        <v>Regular</v>
      </c>
      <c r="D933">
        <f t="shared" si="57"/>
        <v>96600</v>
      </c>
      <c r="E933" s="6">
        <f t="shared" si="58"/>
        <v>5.9381418930592059E-5</v>
      </c>
      <c r="F933" s="5">
        <f ca="1">TODAY()-GETPIVOTDATA("LastPurchaseDate",MaxDate!$A$3,"Customer_name",MaxDate!A935)</f>
        <v>104</v>
      </c>
      <c r="G933" t="str">
        <f t="shared" ca="1" si="59"/>
        <v>At Risk</v>
      </c>
      <c r="H933" s="13">
        <f>RANK(B933,Customer_Tiers[Total_Sales])</f>
        <v>930</v>
      </c>
    </row>
    <row r="934" spans="1:8">
      <c r="A934" t="str">
        <f>'Top Customers'!A936</f>
        <v>SHANAVAS KIZHAKAMURI</v>
      </c>
      <c r="B934" s="5">
        <f>IF(A934="","",IFERROR(GETPIVOTDATA("Sales Amount",'Top Customers'!$A$3,"Customer_name",'Top Customers'!A936),""))</f>
        <v>3351</v>
      </c>
      <c r="C934" t="str">
        <f t="shared" si="56"/>
        <v>Regular</v>
      </c>
      <c r="D934">
        <f t="shared" si="57"/>
        <v>96649</v>
      </c>
      <c r="E934" s="6">
        <f t="shared" si="58"/>
        <v>5.8525627893062935E-5</v>
      </c>
      <c r="F934" s="5">
        <f ca="1">TODAY()-GETPIVOTDATA("LastPurchaseDate",MaxDate!$A$3,"Customer_name",MaxDate!A936)</f>
        <v>74</v>
      </c>
      <c r="G934" t="str">
        <f t="shared" ca="1" si="59"/>
        <v>At Risk</v>
      </c>
      <c r="H934" s="13">
        <f>RANK(B934,Customer_Tiers[Total_Sales])</f>
        <v>933</v>
      </c>
    </row>
    <row r="935" spans="1:8">
      <c r="A935" t="str">
        <f>'Top Customers'!A937</f>
        <v>JOHN THANNIKKODAN</v>
      </c>
      <c r="B935" s="5">
        <f>IF(A935="","",IFERROR(GETPIVOTDATA("Sales Amount",'Top Customers'!$A$3,"Customer_name",'Top Customers'!A937),""))</f>
        <v>3342</v>
      </c>
      <c r="C935" t="str">
        <f t="shared" si="56"/>
        <v>Regular</v>
      </c>
      <c r="D935">
        <f t="shared" si="57"/>
        <v>96658</v>
      </c>
      <c r="E935" s="6">
        <f t="shared" si="58"/>
        <v>5.8368441784129015E-5</v>
      </c>
      <c r="F935" s="5">
        <f ca="1">TODAY()-GETPIVOTDATA("LastPurchaseDate",MaxDate!$A$3,"Customer_name",MaxDate!A937)</f>
        <v>40</v>
      </c>
      <c r="G935" t="str">
        <f t="shared" ca="1" si="59"/>
        <v>Active</v>
      </c>
      <c r="H935" s="13">
        <f>RANK(B935,Customer_Tiers[Total_Sales])</f>
        <v>934</v>
      </c>
    </row>
    <row r="936" spans="1:8">
      <c r="A936" t="str">
        <f>'Top Customers'!A938</f>
        <v>SATHAR ACE</v>
      </c>
      <c r="B936" s="5">
        <f>IF(A936="","",IFERROR(GETPIVOTDATA("Sales Amount",'Top Customers'!$A$3,"Customer_name",'Top Customers'!A938),""))</f>
        <v>3321</v>
      </c>
      <c r="C936" t="str">
        <f t="shared" si="56"/>
        <v>Regular</v>
      </c>
      <c r="D936">
        <f t="shared" si="57"/>
        <v>96679</v>
      </c>
      <c r="E936" s="6">
        <f t="shared" si="58"/>
        <v>5.800167419661654E-5</v>
      </c>
      <c r="F936" s="5">
        <f ca="1">TODAY()-GETPIVOTDATA("LastPurchaseDate",MaxDate!$A$3,"Customer_name",MaxDate!A938)</f>
        <v>246</v>
      </c>
      <c r="G936" t="str">
        <f t="shared" ca="1" si="59"/>
        <v>Inactive</v>
      </c>
      <c r="H936" s="13">
        <f>RANK(B936,Customer_Tiers[Total_Sales])</f>
        <v>935</v>
      </c>
    </row>
    <row r="937" spans="1:8">
      <c r="A937" t="str">
        <f>'Top Customers'!A939</f>
        <v>N J CONSTRUCTION</v>
      </c>
      <c r="B937" s="5">
        <f>IF(A937="","",IFERROR(GETPIVOTDATA("Sales Amount",'Top Customers'!$A$3,"Customer_name",'Top Customers'!A939),""))</f>
        <v>3306</v>
      </c>
      <c r="C937" t="str">
        <f t="shared" si="56"/>
        <v>Regular</v>
      </c>
      <c r="D937">
        <f t="shared" si="57"/>
        <v>96694</v>
      </c>
      <c r="E937" s="6">
        <f t="shared" si="58"/>
        <v>5.7739697348393336E-5</v>
      </c>
      <c r="F937" s="5">
        <f ca="1">TODAY()-GETPIVOTDATA("LastPurchaseDate",MaxDate!$A$3,"Customer_name",MaxDate!A939)</f>
        <v>167</v>
      </c>
      <c r="G937" t="str">
        <f t="shared" ca="1" si="59"/>
        <v>Inactive</v>
      </c>
      <c r="H937" s="13">
        <f>RANK(B937,Customer_Tiers[Total_Sales])</f>
        <v>936</v>
      </c>
    </row>
    <row r="938" spans="1:8">
      <c r="A938" t="str">
        <f>'Top Customers'!A940</f>
        <v>NADARAJAN CHAKKASSERY</v>
      </c>
      <c r="B938" s="5">
        <f>IF(A938="","",IFERROR(GETPIVOTDATA("Sales Amount",'Top Customers'!$A$3,"Customer_name",'Top Customers'!A940),""))</f>
        <v>3296</v>
      </c>
      <c r="C938" t="str">
        <f t="shared" si="56"/>
        <v>Regular</v>
      </c>
      <c r="D938">
        <f t="shared" si="57"/>
        <v>96704</v>
      </c>
      <c r="E938" s="6">
        <f t="shared" si="58"/>
        <v>5.756504611624454E-5</v>
      </c>
      <c r="F938" s="5">
        <f ca="1">TODAY()-GETPIVOTDATA("LastPurchaseDate",MaxDate!$A$3,"Customer_name",MaxDate!A940)</f>
        <v>167</v>
      </c>
      <c r="G938" t="str">
        <f t="shared" ca="1" si="59"/>
        <v>Inactive</v>
      </c>
      <c r="H938" s="13">
        <f>RANK(B938,Customer_Tiers[Total_Sales])</f>
        <v>937</v>
      </c>
    </row>
    <row r="939" spans="1:8">
      <c r="A939" t="str">
        <f>'Top Customers'!A941</f>
        <v>MAR COORILOSE MEMMORIAL HIGHER SECONDARY SCHOOL</v>
      </c>
      <c r="B939" s="5">
        <f>IF(A939="","",IFERROR(GETPIVOTDATA("Sales Amount",'Top Customers'!$A$3,"Customer_name",'Top Customers'!A941),""))</f>
        <v>3277</v>
      </c>
      <c r="C939" t="str">
        <f t="shared" si="56"/>
        <v>Regular</v>
      </c>
      <c r="D939">
        <f t="shared" si="57"/>
        <v>96723</v>
      </c>
      <c r="E939" s="6">
        <f t="shared" si="58"/>
        <v>5.7233208775161817E-5</v>
      </c>
      <c r="F939" s="5">
        <f ca="1">TODAY()-GETPIVOTDATA("LastPurchaseDate",MaxDate!$A$3,"Customer_name",MaxDate!A941)</f>
        <v>24</v>
      </c>
      <c r="G939" t="str">
        <f t="shared" ca="1" si="59"/>
        <v>Active</v>
      </c>
      <c r="H939" s="13">
        <f>RANK(B939,Customer_Tiers[Total_Sales])</f>
        <v>938</v>
      </c>
    </row>
    <row r="940" spans="1:8">
      <c r="A940" t="str">
        <f>'Top Customers'!A942</f>
        <v>BANANSO IRAPURAM</v>
      </c>
      <c r="B940" s="5">
        <f>IF(A940="","",IFERROR(GETPIVOTDATA("Sales Amount",'Top Customers'!$A$3,"Customer_name",'Top Customers'!A942),""))</f>
        <v>3274</v>
      </c>
      <c r="C940" t="str">
        <f t="shared" si="56"/>
        <v>Regular</v>
      </c>
      <c r="D940">
        <f t="shared" si="57"/>
        <v>96726</v>
      </c>
      <c r="E940" s="6">
        <f t="shared" si="58"/>
        <v>5.7180813405517175E-5</v>
      </c>
      <c r="F940" s="5">
        <f ca="1">TODAY()-GETPIVOTDATA("LastPurchaseDate",MaxDate!$A$3,"Customer_name",MaxDate!A942)</f>
        <v>121</v>
      </c>
      <c r="G940" t="str">
        <f t="shared" ca="1" si="59"/>
        <v>Inactive</v>
      </c>
      <c r="H940" s="13">
        <f>RANK(B940,Customer_Tiers[Total_Sales])</f>
        <v>939</v>
      </c>
    </row>
    <row r="941" spans="1:8">
      <c r="A941" t="str">
        <f>'Top Customers'!A943</f>
        <v>SREEJITH , VALAMBOOR</v>
      </c>
      <c r="B941" s="5">
        <f>IF(A941="","",IFERROR(GETPIVOTDATA("Sales Amount",'Top Customers'!$A$3,"Customer_name",'Top Customers'!A943),""))</f>
        <v>3262</v>
      </c>
      <c r="C941" t="str">
        <f t="shared" si="56"/>
        <v>Regular</v>
      </c>
      <c r="D941">
        <f t="shared" si="57"/>
        <v>96738</v>
      </c>
      <c r="E941" s="6">
        <f t="shared" si="58"/>
        <v>5.6971231926938619E-5</v>
      </c>
      <c r="F941" s="5">
        <f ca="1">TODAY()-GETPIVOTDATA("LastPurchaseDate",MaxDate!$A$3,"Customer_name",MaxDate!A943)</f>
        <v>79</v>
      </c>
      <c r="G941" t="str">
        <f t="shared" ca="1" si="59"/>
        <v>At Risk</v>
      </c>
      <c r="H941" s="13">
        <f>RANK(B941,Customer_Tiers[Total_Sales])</f>
        <v>940</v>
      </c>
    </row>
    <row r="942" spans="1:8">
      <c r="A942" t="str">
        <f>'Top Customers'!A944</f>
        <v>RAJESH , PATTIMATTAM</v>
      </c>
      <c r="B942" s="5">
        <f>IF(A942="","",IFERROR(GETPIVOTDATA("Sales Amount",'Top Customers'!$A$3,"Customer_name",'Top Customers'!A944),""))</f>
        <v>3258</v>
      </c>
      <c r="C942" t="str">
        <f t="shared" si="56"/>
        <v>Regular</v>
      </c>
      <c r="D942">
        <f t="shared" si="57"/>
        <v>96742</v>
      </c>
      <c r="E942" s="6">
        <f t="shared" si="58"/>
        <v>5.6901371434079094E-5</v>
      </c>
      <c r="F942" s="5">
        <f ca="1">TODAY()-GETPIVOTDATA("LastPurchaseDate",MaxDate!$A$3,"Customer_name",MaxDate!A944)</f>
        <v>74</v>
      </c>
      <c r="G942" t="str">
        <f t="shared" ca="1" si="59"/>
        <v>At Risk</v>
      </c>
      <c r="H942" s="13">
        <f>RANK(B942,Customer_Tiers[Total_Sales])</f>
        <v>941</v>
      </c>
    </row>
    <row r="943" spans="1:8">
      <c r="A943" t="str">
        <f>'Top Customers'!A945</f>
        <v>JOSHY AIRAPURAM</v>
      </c>
      <c r="B943" s="5">
        <f>IF(A943="","",IFERROR(GETPIVOTDATA("Sales Amount",'Top Customers'!$A$3,"Customer_name",'Top Customers'!A945),""))</f>
        <v>3237</v>
      </c>
      <c r="C943" t="str">
        <f t="shared" si="56"/>
        <v>Regular</v>
      </c>
      <c r="D943">
        <f t="shared" si="57"/>
        <v>96763</v>
      </c>
      <c r="E943" s="6">
        <f t="shared" si="58"/>
        <v>5.6534603846566619E-5</v>
      </c>
      <c r="F943" s="5">
        <f ca="1">TODAY()-GETPIVOTDATA("LastPurchaseDate",MaxDate!$A$3,"Customer_name",MaxDate!A945)</f>
        <v>74</v>
      </c>
      <c r="G943" t="str">
        <f t="shared" ca="1" si="59"/>
        <v>At Risk</v>
      </c>
      <c r="H943" s="13">
        <f>RANK(B943,Customer_Tiers[Total_Sales])</f>
        <v>942</v>
      </c>
    </row>
    <row r="944" spans="1:8">
      <c r="A944" t="str">
        <f>'Top Customers'!A946</f>
        <v>RAVI KILIKULAM</v>
      </c>
      <c r="B944" s="5">
        <f>IF(A944="","",IFERROR(GETPIVOTDATA("Sales Amount",'Top Customers'!$A$3,"Customer_name",'Top Customers'!A946),""))</f>
        <v>3234</v>
      </c>
      <c r="C944" t="str">
        <f t="shared" si="56"/>
        <v>Regular</v>
      </c>
      <c r="D944">
        <f t="shared" si="57"/>
        <v>96766</v>
      </c>
      <c r="E944" s="6">
        <f t="shared" si="58"/>
        <v>5.6482208476921977E-5</v>
      </c>
      <c r="F944" s="5">
        <f ca="1">TODAY()-GETPIVOTDATA("LastPurchaseDate",MaxDate!$A$3,"Customer_name",MaxDate!A946)</f>
        <v>10</v>
      </c>
      <c r="G944" t="str">
        <f t="shared" ca="1" si="59"/>
        <v>Active</v>
      </c>
      <c r="H944" s="13">
        <f>RANK(B944,Customer_Tiers[Total_Sales])</f>
        <v>943</v>
      </c>
    </row>
    <row r="945" spans="1:8">
      <c r="A945" t="str">
        <f>'Top Customers'!A947</f>
        <v>BIJU , PATTIMATTOM</v>
      </c>
      <c r="B945" s="5">
        <f>IF(A945="","",IFERROR(GETPIVOTDATA("Sales Amount",'Top Customers'!$A$3,"Customer_name",'Top Customers'!A947),""))</f>
        <v>3230</v>
      </c>
      <c r="C945" t="str">
        <f t="shared" si="56"/>
        <v>Regular</v>
      </c>
      <c r="D945">
        <f t="shared" si="57"/>
        <v>96770</v>
      </c>
      <c r="E945" s="6">
        <f t="shared" si="58"/>
        <v>5.6412347984062458E-5</v>
      </c>
      <c r="F945" s="5">
        <f ca="1">TODAY()-GETPIVOTDATA("LastPurchaseDate",MaxDate!$A$3,"Customer_name",MaxDate!A947)</f>
        <v>39</v>
      </c>
      <c r="G945" t="str">
        <f t="shared" ca="1" si="59"/>
        <v>Active</v>
      </c>
      <c r="H945" s="13">
        <f>RANK(B945,Customer_Tiers[Total_Sales])</f>
        <v>944</v>
      </c>
    </row>
    <row r="946" spans="1:8">
      <c r="A946" t="str">
        <f>'Top Customers'!A948</f>
        <v>BINU VALAMBOOR</v>
      </c>
      <c r="B946" s="5">
        <f>IF(A946="","",IFERROR(GETPIVOTDATA("Sales Amount",'Top Customers'!$A$3,"Customer_name",'Top Customers'!A948),""))</f>
        <v>3200</v>
      </c>
      <c r="C946" t="str">
        <f t="shared" si="56"/>
        <v>Regular</v>
      </c>
      <c r="D946">
        <f t="shared" si="57"/>
        <v>96800</v>
      </c>
      <c r="E946" s="6">
        <f t="shared" si="58"/>
        <v>5.5888394287616057E-5</v>
      </c>
      <c r="F946" s="5">
        <f ca="1">TODAY()-GETPIVOTDATA("LastPurchaseDate",MaxDate!$A$3,"Customer_name",MaxDate!A948)</f>
        <v>47</v>
      </c>
      <c r="G946" t="str">
        <f t="shared" ca="1" si="59"/>
        <v>Active</v>
      </c>
      <c r="H946" s="13">
        <f>RANK(B946,Customer_Tiers[Total_Sales])</f>
        <v>945</v>
      </c>
    </row>
    <row r="947" spans="1:8">
      <c r="A947" t="str">
        <f>'Top Customers'!A949</f>
        <v>SIRAJ ARACKKAPADY</v>
      </c>
      <c r="B947" s="5">
        <f>IF(A947="","",IFERROR(GETPIVOTDATA("Sales Amount",'Top Customers'!$A$3,"Customer_name",'Top Customers'!A949),""))</f>
        <v>3192</v>
      </c>
      <c r="C947" t="str">
        <f t="shared" si="56"/>
        <v>Regular</v>
      </c>
      <c r="D947">
        <f t="shared" si="57"/>
        <v>96808</v>
      </c>
      <c r="E947" s="6">
        <f t="shared" si="58"/>
        <v>5.5748673301897013E-5</v>
      </c>
      <c r="F947" s="5">
        <f ca="1">TODAY()-GETPIVOTDATA("LastPurchaseDate",MaxDate!$A$3,"Customer_name",MaxDate!A949)</f>
        <v>290</v>
      </c>
      <c r="G947" t="str">
        <f t="shared" ca="1" si="59"/>
        <v>Inactive</v>
      </c>
      <c r="H947" s="13">
        <f>RANK(B947,Customer_Tiers[Total_Sales])</f>
        <v>946</v>
      </c>
    </row>
    <row r="948" spans="1:8">
      <c r="A948" t="str">
        <f>'Top Customers'!A950</f>
        <v>HYDROSE VALAMBOOR</v>
      </c>
      <c r="B948" s="5">
        <f>IF(A948="","",IFERROR(GETPIVOTDATA("Sales Amount",'Top Customers'!$A$3,"Customer_name",'Top Customers'!A950),""))</f>
        <v>3177</v>
      </c>
      <c r="C948" t="str">
        <f t="shared" si="56"/>
        <v>Regular</v>
      </c>
      <c r="D948">
        <f t="shared" si="57"/>
        <v>96823</v>
      </c>
      <c r="E948" s="6">
        <f t="shared" si="58"/>
        <v>5.5486696453673815E-5</v>
      </c>
      <c r="F948" s="5">
        <f ca="1">TODAY()-GETPIVOTDATA("LastPurchaseDate",MaxDate!$A$3,"Customer_name",MaxDate!A950)</f>
        <v>269</v>
      </c>
      <c r="G948" t="str">
        <f t="shared" ca="1" si="59"/>
        <v>Inactive</v>
      </c>
      <c r="H948" s="13">
        <f>RANK(B948,Customer_Tiers[Total_Sales])</f>
        <v>947</v>
      </c>
    </row>
    <row r="949" spans="1:8">
      <c r="A949" t="str">
        <f>'Top Customers'!A951</f>
        <v>GEORGE KIZHAKKAMBALAM</v>
      </c>
      <c r="B949" s="5">
        <f>IF(A949="","",IFERROR(GETPIVOTDATA("Sales Amount",'Top Customers'!$A$3,"Customer_name",'Top Customers'!A951),""))</f>
        <v>3162</v>
      </c>
      <c r="C949" t="str">
        <f t="shared" si="56"/>
        <v>Regular</v>
      </c>
      <c r="D949">
        <f t="shared" si="57"/>
        <v>96838</v>
      </c>
      <c r="E949" s="6">
        <f t="shared" si="58"/>
        <v>5.5224719605450618E-5</v>
      </c>
      <c r="F949" s="5">
        <f ca="1">TODAY()-GETPIVOTDATA("LastPurchaseDate",MaxDate!$A$3,"Customer_name",MaxDate!A951)</f>
        <v>88</v>
      </c>
      <c r="G949" t="str">
        <f t="shared" ca="1" si="59"/>
        <v>At Risk</v>
      </c>
      <c r="H949" s="13">
        <f>RANK(B949,Customer_Tiers[Total_Sales])</f>
        <v>948</v>
      </c>
    </row>
    <row r="950" spans="1:8">
      <c r="A950" t="str">
        <f>'Top Customers'!A952</f>
        <v>MARY KUMMANODE</v>
      </c>
      <c r="B950" s="5">
        <f>IF(A950="","",IFERROR(GETPIVOTDATA("Sales Amount",'Top Customers'!$A$3,"Customer_name",'Top Customers'!A952),""))</f>
        <v>3150</v>
      </c>
      <c r="C950" t="str">
        <f t="shared" si="56"/>
        <v>Regular</v>
      </c>
      <c r="D950">
        <f t="shared" si="57"/>
        <v>96850</v>
      </c>
      <c r="E950" s="6">
        <f t="shared" si="58"/>
        <v>5.5015138126872056E-5</v>
      </c>
      <c r="F950" s="5">
        <f ca="1">TODAY()-GETPIVOTDATA("LastPurchaseDate",MaxDate!$A$3,"Customer_name",MaxDate!A952)</f>
        <v>152</v>
      </c>
      <c r="G950" t="str">
        <f t="shared" ca="1" si="59"/>
        <v>Inactive</v>
      </c>
      <c r="H950" s="13">
        <f>RANK(B950,Customer_Tiers[Total_Sales])</f>
        <v>949</v>
      </c>
    </row>
    <row r="951" spans="1:8">
      <c r="A951" t="str">
        <f>'Top Customers'!A953</f>
        <v>ABY</v>
      </c>
      <c r="B951" s="5">
        <f>IF(A951="","",IFERROR(GETPIVOTDATA("Sales Amount",'Top Customers'!$A$3,"Customer_name",'Top Customers'!A953),""))</f>
        <v>3124</v>
      </c>
      <c r="C951" t="str">
        <f t="shared" si="56"/>
        <v>Regular</v>
      </c>
      <c r="D951">
        <f t="shared" si="57"/>
        <v>96876</v>
      </c>
      <c r="E951" s="6">
        <f t="shared" si="58"/>
        <v>5.4561044923285173E-5</v>
      </c>
      <c r="F951" s="5">
        <f ca="1">TODAY()-GETPIVOTDATA("LastPurchaseDate",MaxDate!$A$3,"Customer_name",MaxDate!A953)</f>
        <v>5</v>
      </c>
      <c r="G951" t="str">
        <f t="shared" ca="1" si="59"/>
        <v>Active</v>
      </c>
      <c r="H951" s="13">
        <f>RANK(B951,Customer_Tiers[Total_Sales])</f>
        <v>950</v>
      </c>
    </row>
    <row r="952" spans="1:8">
      <c r="A952" t="str">
        <f>'Top Customers'!A954</f>
        <v>VINAYAN</v>
      </c>
      <c r="B952" s="5">
        <f>IF(A952="","",IFERROR(GETPIVOTDATA("Sales Amount",'Top Customers'!$A$3,"Customer_name",'Top Customers'!A954),""))</f>
        <v>3123</v>
      </c>
      <c r="C952" t="str">
        <f t="shared" si="56"/>
        <v>Regular</v>
      </c>
      <c r="D952">
        <f t="shared" si="57"/>
        <v>96877</v>
      </c>
      <c r="E952" s="6">
        <f t="shared" si="58"/>
        <v>5.4543579800070296E-5</v>
      </c>
      <c r="F952" s="5">
        <f ca="1">TODAY()-GETPIVOTDATA("LastPurchaseDate",MaxDate!$A$3,"Customer_name",MaxDate!A954)</f>
        <v>158</v>
      </c>
      <c r="G952" t="str">
        <f t="shared" ca="1" si="59"/>
        <v>Inactive</v>
      </c>
      <c r="H952" s="13">
        <f>RANK(B952,Customer_Tiers[Total_Sales])</f>
        <v>951</v>
      </c>
    </row>
    <row r="953" spans="1:8">
      <c r="A953" t="str">
        <f>'Top Customers'!A955</f>
        <v>ALEN KUMMANODE</v>
      </c>
      <c r="B953" s="5">
        <f>IF(A953="","",IFERROR(GETPIVOTDATA("Sales Amount",'Top Customers'!$A$3,"Customer_name",'Top Customers'!A955),""))</f>
        <v>3106</v>
      </c>
      <c r="C953" t="str">
        <f t="shared" si="56"/>
        <v>Regular</v>
      </c>
      <c r="D953">
        <f t="shared" si="57"/>
        <v>96894</v>
      </c>
      <c r="E953" s="6">
        <f t="shared" si="58"/>
        <v>5.4246672705417333E-5</v>
      </c>
      <c r="F953" s="5">
        <f ca="1">TODAY()-GETPIVOTDATA("LastPurchaseDate",MaxDate!$A$3,"Customer_name",MaxDate!A955)</f>
        <v>31</v>
      </c>
      <c r="G953" t="str">
        <f t="shared" ca="1" si="59"/>
        <v>Active</v>
      </c>
      <c r="H953" s="13">
        <f>RANK(B953,Customer_Tiers[Total_Sales])</f>
        <v>952</v>
      </c>
    </row>
    <row r="954" spans="1:8">
      <c r="A954" t="str">
        <f>'Top Customers'!A956</f>
        <v>SAJU , VALAMBOOR</v>
      </c>
      <c r="B954" s="5">
        <f>IF(A954="","",IFERROR(GETPIVOTDATA("Sales Amount",'Top Customers'!$A$3,"Customer_name",'Top Customers'!A956),""))</f>
        <v>3100</v>
      </c>
      <c r="C954" t="str">
        <f t="shared" si="56"/>
        <v>Regular</v>
      </c>
      <c r="D954">
        <f t="shared" si="57"/>
        <v>96900</v>
      </c>
      <c r="E954" s="6">
        <f t="shared" si="58"/>
        <v>5.4141881966128055E-5</v>
      </c>
      <c r="F954" s="5">
        <f ca="1">TODAY()-GETPIVOTDATA("LastPurchaseDate",MaxDate!$A$3,"Customer_name",MaxDate!A956)</f>
        <v>52</v>
      </c>
      <c r="G954" t="str">
        <f t="shared" ca="1" si="59"/>
        <v>Active</v>
      </c>
      <c r="H954" s="13">
        <f>RANK(B954,Customer_Tiers[Total_Sales])</f>
        <v>953</v>
      </c>
    </row>
    <row r="955" spans="1:8">
      <c r="A955" t="str">
        <f>'Top Customers'!A957</f>
        <v>SUBHADRA</v>
      </c>
      <c r="B955" s="5">
        <f>IF(A955="","",IFERROR(GETPIVOTDATA("Sales Amount",'Top Customers'!$A$3,"Customer_name",'Top Customers'!A957),""))</f>
        <v>3100</v>
      </c>
      <c r="C955" t="str">
        <f t="shared" si="56"/>
        <v>Regular</v>
      </c>
      <c r="D955">
        <f t="shared" si="57"/>
        <v>96900</v>
      </c>
      <c r="E955" s="6">
        <f t="shared" si="58"/>
        <v>5.4141881966128055E-5</v>
      </c>
      <c r="F955" s="5">
        <f ca="1">TODAY()-GETPIVOTDATA("LastPurchaseDate",MaxDate!$A$3,"Customer_name",MaxDate!A957)</f>
        <v>27</v>
      </c>
      <c r="G955" t="str">
        <f t="shared" ca="1" si="59"/>
        <v>Active</v>
      </c>
      <c r="H955" s="13">
        <f>RANK(B955,Customer_Tiers[Total_Sales])</f>
        <v>953</v>
      </c>
    </row>
    <row r="956" spans="1:8">
      <c r="A956" t="str">
        <f>'Top Customers'!A958</f>
        <v>NAZEER PATTIMATTOM</v>
      </c>
      <c r="B956" s="5">
        <f>IF(A956="","",IFERROR(GETPIVOTDATA("Sales Amount",'Top Customers'!$A$3,"Customer_name",'Top Customers'!A958),""))</f>
        <v>3082</v>
      </c>
      <c r="C956" t="str">
        <f t="shared" si="56"/>
        <v>Regular</v>
      </c>
      <c r="D956">
        <f t="shared" si="57"/>
        <v>96918</v>
      </c>
      <c r="E956" s="6">
        <f t="shared" si="58"/>
        <v>5.3827509748260216E-5</v>
      </c>
      <c r="F956" s="5">
        <f ca="1">TODAY()-GETPIVOTDATA("LastPurchaseDate",MaxDate!$A$3,"Customer_name",MaxDate!A958)</f>
        <v>26</v>
      </c>
      <c r="G956" t="str">
        <f t="shared" ca="1" si="59"/>
        <v>Active</v>
      </c>
      <c r="H956" s="13">
        <f>RANK(B956,Customer_Tiers[Total_Sales])</f>
        <v>955</v>
      </c>
    </row>
    <row r="957" spans="1:8">
      <c r="A957" t="str">
        <f>'Top Customers'!A959</f>
        <v>JOMON , KUMMANODU</v>
      </c>
      <c r="B957" s="5">
        <f>IF(A957="","",IFERROR(GETPIVOTDATA("Sales Amount",'Top Customers'!$A$3,"Customer_name",'Top Customers'!A959),""))</f>
        <v>3080</v>
      </c>
      <c r="C957" t="str">
        <f t="shared" si="56"/>
        <v>Regular</v>
      </c>
      <c r="D957">
        <f t="shared" si="57"/>
        <v>96920</v>
      </c>
      <c r="E957" s="6">
        <f t="shared" si="58"/>
        <v>5.3792579501830456E-5</v>
      </c>
      <c r="F957" s="5">
        <f ca="1">TODAY()-GETPIVOTDATA("LastPurchaseDate",MaxDate!$A$3,"Customer_name",MaxDate!A959)</f>
        <v>149</v>
      </c>
      <c r="G957" t="str">
        <f t="shared" ca="1" si="59"/>
        <v>Inactive</v>
      </c>
      <c r="H957" s="13">
        <f>RANK(B957,Customer_Tiers[Total_Sales])</f>
        <v>956</v>
      </c>
    </row>
    <row r="958" spans="1:8">
      <c r="A958" t="str">
        <f>'Top Customers'!A960</f>
        <v>ELDHOSE KIZHAKKUMBAGAM</v>
      </c>
      <c r="B958" s="5">
        <f>IF(A958="","",IFERROR(GETPIVOTDATA("Sales Amount",'Top Customers'!$A$3,"Customer_name",'Top Customers'!A960),""))</f>
        <v>3060</v>
      </c>
      <c r="C958" t="str">
        <f t="shared" si="56"/>
        <v>Regular</v>
      </c>
      <c r="D958">
        <f t="shared" si="57"/>
        <v>96940</v>
      </c>
      <c r="E958" s="6">
        <f t="shared" si="58"/>
        <v>5.3443277037532851E-5</v>
      </c>
      <c r="F958" s="5">
        <f ca="1">TODAY()-GETPIVOTDATA("LastPurchaseDate",MaxDate!$A$3,"Customer_name",MaxDate!A960)</f>
        <v>13</v>
      </c>
      <c r="G958" t="str">
        <f t="shared" ca="1" si="59"/>
        <v>Active</v>
      </c>
      <c r="H958" s="13">
        <f>RANK(B958,Customer_Tiers[Total_Sales])</f>
        <v>957</v>
      </c>
    </row>
    <row r="959" spans="1:8">
      <c r="A959" t="str">
        <f>'Top Customers'!A961</f>
        <v>UNNIKRISHNAN THATTAMUGAL</v>
      </c>
      <c r="B959" s="5">
        <f>IF(A959="","",IFERROR(GETPIVOTDATA("Sales Amount",'Top Customers'!$A$3,"Customer_name",'Top Customers'!A961),""))</f>
        <v>3048</v>
      </c>
      <c r="C959" t="str">
        <f t="shared" si="56"/>
        <v>Regular</v>
      </c>
      <c r="D959">
        <f t="shared" si="57"/>
        <v>96952</v>
      </c>
      <c r="E959" s="6">
        <f t="shared" si="58"/>
        <v>5.3233695558954295E-5</v>
      </c>
      <c r="F959" s="5">
        <f ca="1">TODAY()-GETPIVOTDATA("LastPurchaseDate",MaxDate!$A$3,"Customer_name",MaxDate!A961)</f>
        <v>257</v>
      </c>
      <c r="G959" t="str">
        <f t="shared" ca="1" si="59"/>
        <v>Inactive</v>
      </c>
      <c r="H959" s="13">
        <f>RANK(B959,Customer_Tiers[Total_Sales])</f>
        <v>958</v>
      </c>
    </row>
    <row r="960" spans="1:8">
      <c r="A960" t="str">
        <f>'Top Customers'!A962</f>
        <v>ROY PANCODE</v>
      </c>
      <c r="B960" s="5">
        <f>IF(A960="","",IFERROR(GETPIVOTDATA("Sales Amount",'Top Customers'!$A$3,"Customer_name",'Top Customers'!A962),""))</f>
        <v>3044</v>
      </c>
      <c r="C960" t="str">
        <f t="shared" si="56"/>
        <v>Regular</v>
      </c>
      <c r="D960">
        <f t="shared" si="57"/>
        <v>96956</v>
      </c>
      <c r="E960" s="6">
        <f t="shared" si="58"/>
        <v>5.316383506609477E-5</v>
      </c>
      <c r="F960" s="5">
        <f ca="1">TODAY()-GETPIVOTDATA("LastPurchaseDate",MaxDate!$A$3,"Customer_name",MaxDate!A962)</f>
        <v>288</v>
      </c>
      <c r="G960" t="str">
        <f t="shared" ca="1" si="59"/>
        <v>Inactive</v>
      </c>
      <c r="H960" s="13">
        <f>RANK(B960,Customer_Tiers[Total_Sales])</f>
        <v>959</v>
      </c>
    </row>
    <row r="961" spans="1:8">
      <c r="A961" t="str">
        <f>'Top Customers'!A963</f>
        <v>ASHIF - 9562979002</v>
      </c>
      <c r="B961" s="5">
        <f>IF(A961="","",IFERROR(GETPIVOTDATA("Sales Amount",'Top Customers'!$A$3,"Customer_name",'Top Customers'!A963),""))</f>
        <v>3041</v>
      </c>
      <c r="C961" t="str">
        <f t="shared" si="56"/>
        <v>Regular</v>
      </c>
      <c r="D961">
        <f t="shared" si="57"/>
        <v>96959</v>
      </c>
      <c r="E961" s="6">
        <f t="shared" si="58"/>
        <v>5.3111439696450135E-5</v>
      </c>
      <c r="F961" s="5">
        <f ca="1">TODAY()-GETPIVOTDATA("LastPurchaseDate",MaxDate!$A$3,"Customer_name",MaxDate!A963)</f>
        <v>137</v>
      </c>
      <c r="G961" t="str">
        <f t="shared" ca="1" si="59"/>
        <v>Inactive</v>
      </c>
      <c r="H961" s="13">
        <f>RANK(B961,Customer_Tiers[Total_Sales])</f>
        <v>960</v>
      </c>
    </row>
    <row r="962" spans="1:8">
      <c r="A962" t="str">
        <f>'Top Customers'!A964</f>
        <v>GEORGE , ERAPPUMPARA</v>
      </c>
      <c r="B962" s="5">
        <f>IF(A962="","",IFERROR(GETPIVOTDATA("Sales Amount",'Top Customers'!$A$3,"Customer_name",'Top Customers'!A964),""))</f>
        <v>3019</v>
      </c>
      <c r="C962" t="str">
        <f t="shared" ref="C962:C1025" si="60">IF(B962&gt;=1000000,"Platinum",
 IF(B962&gt;=500000,"Gold",
 IF(B962&gt;=100000,"Silver","Regular")))</f>
        <v>Regular</v>
      </c>
      <c r="D962">
        <f t="shared" ref="D962:D1025" si="61">IF(C962="Platinum",0,
 IF(C962="Gold",1000000-B962,
 IF(C962="Silver",500000-B962,
 IF(C962="Regular",100000-B962,0))))</f>
        <v>96981</v>
      </c>
      <c r="E962" s="6">
        <f t="shared" ref="E962:E1025" si="62">B962/SUM(B:B)</f>
        <v>5.272720698572277E-5</v>
      </c>
      <c r="F962" s="5">
        <f ca="1">TODAY()-GETPIVOTDATA("LastPurchaseDate",MaxDate!$A$3,"Customer_name",MaxDate!A964)</f>
        <v>11</v>
      </c>
      <c r="G962" t="str">
        <f t="shared" ref="G962:G1025" ca="1" si="63">IF(F962="","",
 IF(F962&lt;=60,"Active",
 IF(F962&lt;=120,"At Risk","Inactive")))</f>
        <v>Active</v>
      </c>
      <c r="H962" s="13">
        <f>RANK(B962,Customer_Tiers[Total_Sales])</f>
        <v>961</v>
      </c>
    </row>
    <row r="963" spans="1:8">
      <c r="A963" t="str">
        <f>'Top Customers'!A965</f>
        <v>MURALI KADAYATHU</v>
      </c>
      <c r="B963" s="5">
        <f>IF(A963="","",IFERROR(GETPIVOTDATA("Sales Amount",'Top Customers'!$A$3,"Customer_name",'Top Customers'!A965),""))</f>
        <v>3018</v>
      </c>
      <c r="C963" t="str">
        <f t="shared" si="60"/>
        <v>Regular</v>
      </c>
      <c r="D963">
        <f t="shared" si="61"/>
        <v>96982</v>
      </c>
      <c r="E963" s="6">
        <f t="shared" si="62"/>
        <v>5.2709741862507894E-5</v>
      </c>
      <c r="F963" s="5">
        <f ca="1">TODAY()-GETPIVOTDATA("LastPurchaseDate",MaxDate!$A$3,"Customer_name",MaxDate!A965)</f>
        <v>242</v>
      </c>
      <c r="G963" t="str">
        <f t="shared" ca="1" si="63"/>
        <v>Inactive</v>
      </c>
      <c r="H963" s="13">
        <f>RANK(B963,Customer_Tiers[Total_Sales])</f>
        <v>962</v>
      </c>
    </row>
    <row r="964" spans="1:8">
      <c r="A964" t="str">
        <f>'Top Customers'!A966</f>
        <v>SAJI EZHIPURAM</v>
      </c>
      <c r="B964" s="5">
        <f>IF(A964="","",IFERROR(GETPIVOTDATA("Sales Amount",'Top Customers'!$A$3,"Customer_name",'Top Customers'!A966),""))</f>
        <v>3016</v>
      </c>
      <c r="C964" t="str">
        <f t="shared" si="60"/>
        <v>Regular</v>
      </c>
      <c r="D964">
        <f t="shared" si="61"/>
        <v>96984</v>
      </c>
      <c r="E964" s="6">
        <f t="shared" si="62"/>
        <v>5.2674811616078134E-5</v>
      </c>
      <c r="F964" s="5">
        <f ca="1">TODAY()-GETPIVOTDATA("LastPurchaseDate",MaxDate!$A$3,"Customer_name",MaxDate!A966)</f>
        <v>41</v>
      </c>
      <c r="G964" t="str">
        <f t="shared" ca="1" si="63"/>
        <v>Active</v>
      </c>
      <c r="H964" s="13">
        <f>RANK(B964,Customer_Tiers[Total_Sales])</f>
        <v>963</v>
      </c>
    </row>
    <row r="965" spans="1:8">
      <c r="A965" t="str">
        <f>'Top Customers'!A967</f>
        <v>JITHIN KUMMANODE</v>
      </c>
      <c r="B965" s="5">
        <f>IF(A965="","",IFERROR(GETPIVOTDATA("Sales Amount",'Top Customers'!$A$3,"Customer_name",'Top Customers'!A967),""))</f>
        <v>2982</v>
      </c>
      <c r="C965" t="str">
        <f t="shared" si="60"/>
        <v>Regular</v>
      </c>
      <c r="D965">
        <f t="shared" si="61"/>
        <v>97018</v>
      </c>
      <c r="E965" s="6">
        <f t="shared" si="62"/>
        <v>5.2080997426772214E-5</v>
      </c>
      <c r="F965" s="5">
        <f ca="1">TODAY()-GETPIVOTDATA("LastPurchaseDate",MaxDate!$A$3,"Customer_name",MaxDate!A967)</f>
        <v>268</v>
      </c>
      <c r="G965" t="str">
        <f t="shared" ca="1" si="63"/>
        <v>Inactive</v>
      </c>
      <c r="H965" s="13">
        <f>RANK(B965,Customer_Tiers[Total_Sales])</f>
        <v>964</v>
      </c>
    </row>
    <row r="966" spans="1:8">
      <c r="A966" t="str">
        <f>'Top Customers'!A968</f>
        <v>AJI MANAKALMARY</v>
      </c>
      <c r="B966" s="5">
        <f>IF(A966="","",IFERROR(GETPIVOTDATA("Sales Amount",'Top Customers'!$A$3,"Customer_name",'Top Customers'!A968),""))</f>
        <v>2981</v>
      </c>
      <c r="C966" t="str">
        <f t="shared" si="60"/>
        <v>Regular</v>
      </c>
      <c r="D966">
        <f t="shared" si="61"/>
        <v>97019</v>
      </c>
      <c r="E966" s="6">
        <f t="shared" si="62"/>
        <v>5.2063532303557331E-5</v>
      </c>
      <c r="F966" s="5">
        <f ca="1">TODAY()-GETPIVOTDATA("LastPurchaseDate",MaxDate!$A$3,"Customer_name",MaxDate!A968)</f>
        <v>50</v>
      </c>
      <c r="G966" t="str">
        <f t="shared" ca="1" si="63"/>
        <v>Active</v>
      </c>
      <c r="H966" s="13">
        <f>RANK(B966,Customer_Tiers[Total_Sales])</f>
        <v>965</v>
      </c>
    </row>
    <row r="967" spans="1:8">
      <c r="A967" t="str">
        <f>'Top Customers'!A969</f>
        <v>SANDEEP PANAKKAL</v>
      </c>
      <c r="B967" s="5">
        <f>IF(A967="","",IFERROR(GETPIVOTDATA("Sales Amount",'Top Customers'!$A$3,"Customer_name",'Top Customers'!A969),""))</f>
        <v>2980</v>
      </c>
      <c r="C967" t="str">
        <f t="shared" si="60"/>
        <v>Regular</v>
      </c>
      <c r="D967">
        <f t="shared" si="61"/>
        <v>97020</v>
      </c>
      <c r="E967" s="6">
        <f t="shared" si="62"/>
        <v>5.2046067180342455E-5</v>
      </c>
      <c r="F967" s="5">
        <f ca="1">TODAY()-GETPIVOTDATA("LastPurchaseDate",MaxDate!$A$3,"Customer_name",MaxDate!A969)</f>
        <v>8</v>
      </c>
      <c r="G967" t="str">
        <f t="shared" ca="1" si="63"/>
        <v>Active</v>
      </c>
      <c r="H967" s="13">
        <f>RANK(B967,Customer_Tiers[Total_Sales])</f>
        <v>966</v>
      </c>
    </row>
    <row r="968" spans="1:8">
      <c r="A968" t="str">
        <f>'Top Customers'!A970</f>
        <v>JOHN DANIEL</v>
      </c>
      <c r="B968" s="5">
        <f>IF(A968="","",IFERROR(GETPIVOTDATA("Sales Amount",'Top Customers'!$A$3,"Customer_name",'Top Customers'!A970),""))</f>
        <v>2960</v>
      </c>
      <c r="C968" t="str">
        <f t="shared" si="60"/>
        <v>Regular</v>
      </c>
      <c r="D968">
        <f t="shared" si="61"/>
        <v>97040</v>
      </c>
      <c r="E968" s="6">
        <f t="shared" si="62"/>
        <v>5.1696764716044849E-5</v>
      </c>
      <c r="F968" s="5">
        <f ca="1">TODAY()-GETPIVOTDATA("LastPurchaseDate",MaxDate!$A$3,"Customer_name",MaxDate!A970)</f>
        <v>292</v>
      </c>
      <c r="G968" t="str">
        <f t="shared" ca="1" si="63"/>
        <v>Inactive</v>
      </c>
      <c r="H968" s="13">
        <f>RANK(B968,Customer_Tiers[Total_Sales])</f>
        <v>967</v>
      </c>
    </row>
    <row r="969" spans="1:8">
      <c r="A969" t="str">
        <f>'Top Customers'!A971</f>
        <v>PALLAKKU ARTS</v>
      </c>
      <c r="B969" s="5">
        <f>IF(A969="","",IFERROR(GETPIVOTDATA("Sales Amount",'Top Customers'!$A$3,"Customer_name",'Top Customers'!A971),""))</f>
        <v>2960</v>
      </c>
      <c r="C969" t="str">
        <f t="shared" si="60"/>
        <v>Regular</v>
      </c>
      <c r="D969">
        <f t="shared" si="61"/>
        <v>97040</v>
      </c>
      <c r="E969" s="6">
        <f t="shared" si="62"/>
        <v>5.1696764716044849E-5</v>
      </c>
      <c r="F969" s="5">
        <f ca="1">TODAY()-GETPIVOTDATA("LastPurchaseDate",MaxDate!$A$3,"Customer_name",MaxDate!A971)</f>
        <v>193</v>
      </c>
      <c r="G969" t="str">
        <f t="shared" ca="1" si="63"/>
        <v>Inactive</v>
      </c>
      <c r="H969" s="13">
        <f>RANK(B969,Customer_Tiers[Total_Sales])</f>
        <v>967</v>
      </c>
    </row>
    <row r="970" spans="1:8">
      <c r="A970" t="str">
        <f>'Top Customers'!A972</f>
        <v>GEORGE KEERANKUZHY</v>
      </c>
      <c r="B970" s="5">
        <f>IF(A970="","",IFERROR(GETPIVOTDATA("Sales Amount",'Top Customers'!$A$3,"Customer_name",'Top Customers'!A972),""))</f>
        <v>2931</v>
      </c>
      <c r="C970" t="str">
        <f t="shared" si="60"/>
        <v>Regular</v>
      </c>
      <c r="D970">
        <f t="shared" si="61"/>
        <v>97069</v>
      </c>
      <c r="E970" s="6">
        <f t="shared" si="62"/>
        <v>5.1190276142813331E-5</v>
      </c>
      <c r="F970" s="5">
        <f ca="1">TODAY()-GETPIVOTDATA("LastPurchaseDate",MaxDate!$A$3,"Customer_name",MaxDate!A972)</f>
        <v>55</v>
      </c>
      <c r="G970" t="str">
        <f t="shared" ca="1" si="63"/>
        <v>Active</v>
      </c>
      <c r="H970" s="13">
        <f>RANK(B970,Customer_Tiers[Total_Sales])</f>
        <v>969</v>
      </c>
    </row>
    <row r="971" spans="1:8">
      <c r="A971" t="str">
        <f>'Top Customers'!A973</f>
        <v>SHAJAS MANAKKAPADY</v>
      </c>
      <c r="B971" s="5">
        <f>IF(A971="","",IFERROR(GETPIVOTDATA("Sales Amount",'Top Customers'!$A$3,"Customer_name",'Top Customers'!A973),""))</f>
        <v>2906</v>
      </c>
      <c r="C971" t="str">
        <f t="shared" si="60"/>
        <v>Regular</v>
      </c>
      <c r="D971">
        <f t="shared" si="61"/>
        <v>97094</v>
      </c>
      <c r="E971" s="6">
        <f t="shared" si="62"/>
        <v>5.075364806244133E-5</v>
      </c>
      <c r="F971" s="5">
        <f ca="1">TODAY()-GETPIVOTDATA("LastPurchaseDate",MaxDate!$A$3,"Customer_name",MaxDate!A973)</f>
        <v>134</v>
      </c>
      <c r="G971" t="str">
        <f t="shared" ca="1" si="63"/>
        <v>Inactive</v>
      </c>
      <c r="H971" s="13">
        <f>RANK(B971,Customer_Tiers[Total_Sales])</f>
        <v>970</v>
      </c>
    </row>
    <row r="972" spans="1:8">
      <c r="A972" t="str">
        <f>'Top Customers'!A974</f>
        <v>HOME TECH TRADERS</v>
      </c>
      <c r="B972" s="5">
        <f>IF(A972="","",IFERROR(GETPIVOTDATA("Sales Amount",'Top Customers'!$A$3,"Customer_name",'Top Customers'!A974),""))</f>
        <v>2870</v>
      </c>
      <c r="C972" t="str">
        <f t="shared" si="60"/>
        <v>Regular</v>
      </c>
      <c r="D972">
        <f t="shared" si="61"/>
        <v>97130</v>
      </c>
      <c r="E972" s="6">
        <f t="shared" si="62"/>
        <v>5.0124903626705651E-5</v>
      </c>
      <c r="F972" s="5">
        <f ca="1">TODAY()-GETPIVOTDATA("LastPurchaseDate",MaxDate!$A$3,"Customer_name",MaxDate!A974)</f>
        <v>111</v>
      </c>
      <c r="G972" t="str">
        <f t="shared" ca="1" si="63"/>
        <v>At Risk</v>
      </c>
      <c r="H972" s="13">
        <f>RANK(B972,Customer_Tiers[Total_Sales])</f>
        <v>971</v>
      </c>
    </row>
    <row r="973" spans="1:8">
      <c r="A973" t="str">
        <f>'Top Customers'!A975</f>
        <v>ATHUL BIJU PATTIMATTOM</v>
      </c>
      <c r="B973" s="5">
        <f>IF(A973="","",IFERROR(GETPIVOTDATA("Sales Amount",'Top Customers'!$A$3,"Customer_name",'Top Customers'!A975),""))</f>
        <v>2847</v>
      </c>
      <c r="C973" t="str">
        <f t="shared" si="60"/>
        <v>Regular</v>
      </c>
      <c r="D973">
        <f t="shared" si="61"/>
        <v>97153</v>
      </c>
      <c r="E973" s="6">
        <f t="shared" si="62"/>
        <v>4.972320579276341E-5</v>
      </c>
      <c r="F973" s="5">
        <f ca="1">TODAY()-GETPIVOTDATA("LastPurchaseDate",MaxDate!$A$3,"Customer_name",MaxDate!A975)</f>
        <v>183</v>
      </c>
      <c r="G973" t="str">
        <f t="shared" ca="1" si="63"/>
        <v>Inactive</v>
      </c>
      <c r="H973" s="13">
        <f>RANK(B973,Customer_Tiers[Total_Sales])</f>
        <v>972</v>
      </c>
    </row>
    <row r="974" spans="1:8">
      <c r="A974" t="str">
        <f>'Top Customers'!A976</f>
        <v>SANTHOSH</v>
      </c>
      <c r="B974" s="5">
        <f>IF(A974="","",IFERROR(GETPIVOTDATA("Sales Amount",'Top Customers'!$A$3,"Customer_name",'Top Customers'!A976),""))</f>
        <v>2823</v>
      </c>
      <c r="C974" t="str">
        <f t="shared" si="60"/>
        <v>Regular</v>
      </c>
      <c r="D974">
        <f t="shared" si="61"/>
        <v>97177</v>
      </c>
      <c r="E974" s="6">
        <f t="shared" si="62"/>
        <v>4.9304042835606286E-5</v>
      </c>
      <c r="F974" s="5">
        <f ca="1">TODAY()-GETPIVOTDATA("LastPurchaseDate",MaxDate!$A$3,"Customer_name",MaxDate!A976)</f>
        <v>47</v>
      </c>
      <c r="G974" t="str">
        <f t="shared" ca="1" si="63"/>
        <v>Active</v>
      </c>
      <c r="H974" s="13">
        <f>RANK(B974,Customer_Tiers[Total_Sales])</f>
        <v>973</v>
      </c>
    </row>
    <row r="975" spans="1:8">
      <c r="A975" t="str">
        <f>'Top Customers'!A977</f>
        <v>BIJU MATHEW - 9947439674</v>
      </c>
      <c r="B975" s="5">
        <f>IF(A975="","",IFERROR(GETPIVOTDATA("Sales Amount",'Top Customers'!$A$3,"Customer_name",'Top Customers'!A977),""))</f>
        <v>2800</v>
      </c>
      <c r="C975" t="str">
        <f t="shared" si="60"/>
        <v>Regular</v>
      </c>
      <c r="D975">
        <f t="shared" si="61"/>
        <v>97200</v>
      </c>
      <c r="E975" s="6">
        <f t="shared" si="62"/>
        <v>4.8902345001664051E-5</v>
      </c>
      <c r="F975" s="5">
        <f ca="1">TODAY()-GETPIVOTDATA("LastPurchaseDate",MaxDate!$A$3,"Customer_name",MaxDate!A977)</f>
        <v>253</v>
      </c>
      <c r="G975" t="str">
        <f t="shared" ca="1" si="63"/>
        <v>Inactive</v>
      </c>
      <c r="H975" s="13">
        <f>RANK(B975,Customer_Tiers[Total_Sales])</f>
        <v>974</v>
      </c>
    </row>
    <row r="976" spans="1:8">
      <c r="A976" t="str">
        <f>'Top Customers'!A978</f>
        <v>VINOD RAMAKRISHNAN</v>
      </c>
      <c r="B976" s="5">
        <f>IF(A976="","",IFERROR(GETPIVOTDATA("Sales Amount",'Top Customers'!$A$3,"Customer_name",'Top Customers'!A978),""))</f>
        <v>2792</v>
      </c>
      <c r="C976" t="str">
        <f t="shared" si="60"/>
        <v>Regular</v>
      </c>
      <c r="D976">
        <f t="shared" si="61"/>
        <v>97208</v>
      </c>
      <c r="E976" s="6">
        <f t="shared" si="62"/>
        <v>4.8762624015945008E-5</v>
      </c>
      <c r="F976" s="5">
        <f ca="1">TODAY()-GETPIVOTDATA("LastPurchaseDate",MaxDate!$A$3,"Customer_name",MaxDate!A978)</f>
        <v>191</v>
      </c>
      <c r="G976" t="str">
        <f t="shared" ca="1" si="63"/>
        <v>Inactive</v>
      </c>
      <c r="H976" s="13">
        <f>RANK(B976,Customer_Tiers[Total_Sales])</f>
        <v>975</v>
      </c>
    </row>
    <row r="977" spans="1:8">
      <c r="A977" t="str">
        <f>'Top Customers'!A979</f>
        <v>JAYAN PATTIMATTOM</v>
      </c>
      <c r="B977" s="5">
        <f>IF(A977="","",IFERROR(GETPIVOTDATA("Sales Amount",'Top Customers'!$A$3,"Customer_name",'Top Customers'!A979),""))</f>
        <v>2790</v>
      </c>
      <c r="C977" t="str">
        <f t="shared" si="60"/>
        <v>Regular</v>
      </c>
      <c r="D977">
        <f t="shared" si="61"/>
        <v>97210</v>
      </c>
      <c r="E977" s="6">
        <f t="shared" si="62"/>
        <v>4.8727693769515248E-5</v>
      </c>
      <c r="F977" s="5">
        <f ca="1">TODAY()-GETPIVOTDATA("LastPurchaseDate",MaxDate!$A$3,"Customer_name",MaxDate!A979)</f>
        <v>8</v>
      </c>
      <c r="G977" t="str">
        <f t="shared" ca="1" si="63"/>
        <v>Active</v>
      </c>
      <c r="H977" s="13">
        <f>RANK(B977,Customer_Tiers[Total_Sales])</f>
        <v>976</v>
      </c>
    </row>
    <row r="978" spans="1:8">
      <c r="A978" t="str">
        <f>'Top Customers'!A980</f>
        <v>JAYAKRISHNAN</v>
      </c>
      <c r="B978" s="5">
        <f>IF(A978="","",IFERROR(GETPIVOTDATA("Sales Amount",'Top Customers'!$A$3,"Customer_name",'Top Customers'!A980),""))</f>
        <v>2772</v>
      </c>
      <c r="C978" t="str">
        <f t="shared" si="60"/>
        <v>Regular</v>
      </c>
      <c r="D978">
        <f t="shared" si="61"/>
        <v>97228</v>
      </c>
      <c r="E978" s="6">
        <f t="shared" si="62"/>
        <v>4.8413321551647409E-5</v>
      </c>
      <c r="F978" s="5">
        <f ca="1">TODAY()-GETPIVOTDATA("LastPurchaseDate",MaxDate!$A$3,"Customer_name",MaxDate!A980)</f>
        <v>253</v>
      </c>
      <c r="G978" t="str">
        <f t="shared" ca="1" si="63"/>
        <v>Inactive</v>
      </c>
      <c r="H978" s="13">
        <f>RANK(B978,Customer_Tiers[Total_Sales])</f>
        <v>977</v>
      </c>
    </row>
    <row r="979" spans="1:8">
      <c r="A979" t="str">
        <f>'Top Customers'!A981</f>
        <v>PAILY  VALAMBOOR</v>
      </c>
      <c r="B979" s="5">
        <f>IF(A979="","",IFERROR(GETPIVOTDATA("Sales Amount",'Top Customers'!$A$3,"Customer_name",'Top Customers'!A981),""))</f>
        <v>2772</v>
      </c>
      <c r="C979" t="str">
        <f t="shared" si="60"/>
        <v>Regular</v>
      </c>
      <c r="D979">
        <f t="shared" si="61"/>
        <v>97228</v>
      </c>
      <c r="E979" s="6">
        <f t="shared" si="62"/>
        <v>4.8413321551647409E-5</v>
      </c>
      <c r="F979" s="5">
        <f ca="1">TODAY()-GETPIVOTDATA("LastPurchaseDate",MaxDate!$A$3,"Customer_name",MaxDate!A981)</f>
        <v>170</v>
      </c>
      <c r="G979" t="str">
        <f t="shared" ca="1" si="63"/>
        <v>Inactive</v>
      </c>
      <c r="H979" s="13">
        <f>RANK(B979,Customer_Tiers[Total_Sales])</f>
        <v>977</v>
      </c>
    </row>
    <row r="980" spans="1:8">
      <c r="A980" t="str">
        <f>'Top Customers'!A982</f>
        <v>ALI KOLENCHERY</v>
      </c>
      <c r="B980" s="5">
        <f>IF(A980="","",IFERROR(GETPIVOTDATA("Sales Amount",'Top Customers'!$A$3,"Customer_name",'Top Customers'!A982),""))</f>
        <v>2760</v>
      </c>
      <c r="C980" t="str">
        <f t="shared" si="60"/>
        <v>Regular</v>
      </c>
      <c r="D980">
        <f t="shared" si="61"/>
        <v>97240</v>
      </c>
      <c r="E980" s="6">
        <f t="shared" si="62"/>
        <v>4.8203740073068847E-5</v>
      </c>
      <c r="F980" s="5">
        <f ca="1">TODAY()-GETPIVOTDATA("LastPurchaseDate",MaxDate!$A$3,"Customer_name",MaxDate!A982)</f>
        <v>303</v>
      </c>
      <c r="G980" t="str">
        <f t="shared" ca="1" si="63"/>
        <v>Inactive</v>
      </c>
      <c r="H980" s="13">
        <f>RANK(B980,Customer_Tiers[Total_Sales])</f>
        <v>979</v>
      </c>
    </row>
    <row r="981" spans="1:8">
      <c r="A981" t="str">
        <f>'Top Customers'!A983</f>
        <v>AFSAL APE</v>
      </c>
      <c r="B981" s="5">
        <f>IF(A981="","",IFERROR(GETPIVOTDATA("Sales Amount",'Top Customers'!$A$3,"Customer_name",'Top Customers'!A983),""))</f>
        <v>2740</v>
      </c>
      <c r="C981" t="str">
        <f t="shared" si="60"/>
        <v>Regular</v>
      </c>
      <c r="D981">
        <f t="shared" si="61"/>
        <v>97260</v>
      </c>
      <c r="E981" s="6">
        <f t="shared" si="62"/>
        <v>4.7854437608771248E-5</v>
      </c>
      <c r="F981" s="5">
        <f ca="1">TODAY()-GETPIVOTDATA("LastPurchaseDate",MaxDate!$A$3,"Customer_name",MaxDate!A983)</f>
        <v>3</v>
      </c>
      <c r="G981" t="str">
        <f t="shared" ca="1" si="63"/>
        <v>Active</v>
      </c>
      <c r="H981" s="13">
        <f>RANK(B981,Customer_Tiers[Total_Sales])</f>
        <v>980</v>
      </c>
    </row>
    <row r="982" spans="1:8">
      <c r="A982" t="str">
        <f>'Top Customers'!A984</f>
        <v>MUKUNDAN , KAITHAKKADU</v>
      </c>
      <c r="B982" s="5">
        <f>IF(A982="","",IFERROR(GETPIVOTDATA("Sales Amount",'Top Customers'!$A$3,"Customer_name",'Top Customers'!A984),""))</f>
        <v>2740</v>
      </c>
      <c r="C982" t="str">
        <f t="shared" si="60"/>
        <v>Regular</v>
      </c>
      <c r="D982">
        <f t="shared" si="61"/>
        <v>97260</v>
      </c>
      <c r="E982" s="6">
        <f t="shared" si="62"/>
        <v>4.7854437608771248E-5</v>
      </c>
      <c r="F982" s="5">
        <f ca="1">TODAY()-GETPIVOTDATA("LastPurchaseDate",MaxDate!$A$3,"Customer_name",MaxDate!A984)</f>
        <v>8</v>
      </c>
      <c r="G982" t="str">
        <f t="shared" ca="1" si="63"/>
        <v>Active</v>
      </c>
      <c r="H982" s="13">
        <f>RANK(B982,Customer_Tiers[Total_Sales])</f>
        <v>980</v>
      </c>
    </row>
    <row r="983" spans="1:8">
      <c r="A983" t="str">
        <f>'Top Customers'!A985</f>
        <v>STEPHEN VARGHESE</v>
      </c>
      <c r="B983" s="5">
        <f>IF(A983="","",IFERROR(GETPIVOTDATA("Sales Amount",'Top Customers'!$A$3,"Customer_name",'Top Customers'!A985),""))</f>
        <v>2740</v>
      </c>
      <c r="C983" t="str">
        <f t="shared" si="60"/>
        <v>Regular</v>
      </c>
      <c r="D983">
        <f t="shared" si="61"/>
        <v>97260</v>
      </c>
      <c r="E983" s="6">
        <f t="shared" si="62"/>
        <v>4.7854437608771248E-5</v>
      </c>
      <c r="F983" s="5">
        <f ca="1">TODAY()-GETPIVOTDATA("LastPurchaseDate",MaxDate!$A$3,"Customer_name",MaxDate!A985)</f>
        <v>85</v>
      </c>
      <c r="G983" t="str">
        <f t="shared" ca="1" si="63"/>
        <v>At Risk</v>
      </c>
      <c r="H983" s="13">
        <f>RANK(B983,Customer_Tiers[Total_Sales])</f>
        <v>980</v>
      </c>
    </row>
    <row r="984" spans="1:8">
      <c r="A984" t="str">
        <f>'Top Customers'!A986</f>
        <v>SAMAD CHELAKULAM</v>
      </c>
      <c r="B984" s="5">
        <f>IF(A984="","",IFERROR(GETPIVOTDATA("Sales Amount",'Top Customers'!$A$3,"Customer_name",'Top Customers'!A986),""))</f>
        <v>2717</v>
      </c>
      <c r="C984" t="str">
        <f t="shared" si="60"/>
        <v>Regular</v>
      </c>
      <c r="D984">
        <f t="shared" si="61"/>
        <v>97283</v>
      </c>
      <c r="E984" s="6">
        <f t="shared" si="62"/>
        <v>4.7452739774829007E-5</v>
      </c>
      <c r="F984" s="5">
        <f ca="1">TODAY()-GETPIVOTDATA("LastPurchaseDate",MaxDate!$A$3,"Customer_name",MaxDate!A986)</f>
        <v>15</v>
      </c>
      <c r="G984" t="str">
        <f t="shared" ca="1" si="63"/>
        <v>Active</v>
      </c>
      <c r="H984" s="13">
        <f>RANK(B984,Customer_Tiers[Total_Sales])</f>
        <v>983</v>
      </c>
    </row>
    <row r="985" spans="1:8">
      <c r="A985" t="str">
        <f>'Top Customers'!A987</f>
        <v>MATHAI</v>
      </c>
      <c r="B985" s="5">
        <f>IF(A985="","",IFERROR(GETPIVOTDATA("Sales Amount",'Top Customers'!$A$3,"Customer_name",'Top Customers'!A987),""))</f>
        <v>2697</v>
      </c>
      <c r="C985" t="str">
        <f t="shared" si="60"/>
        <v>Regular</v>
      </c>
      <c r="D985">
        <f t="shared" si="61"/>
        <v>97303</v>
      </c>
      <c r="E985" s="6">
        <f t="shared" si="62"/>
        <v>4.7103437310531408E-5</v>
      </c>
      <c r="F985" s="5">
        <f ca="1">TODAY()-GETPIVOTDATA("LastPurchaseDate",MaxDate!$A$3,"Customer_name",MaxDate!A987)</f>
        <v>148</v>
      </c>
      <c r="G985" t="str">
        <f t="shared" ca="1" si="63"/>
        <v>Inactive</v>
      </c>
      <c r="H985" s="13">
        <f>RANK(B985,Customer_Tiers[Total_Sales])</f>
        <v>984</v>
      </c>
    </row>
    <row r="986" spans="1:8">
      <c r="A986" t="str">
        <f>'Top Customers'!A988</f>
        <v>NEELAMBARAN</v>
      </c>
      <c r="B986" s="5">
        <f>IF(A986="","",IFERROR(GETPIVOTDATA("Sales Amount",'Top Customers'!$A$3,"Customer_name",'Top Customers'!A988),""))</f>
        <v>2680</v>
      </c>
      <c r="C986" t="str">
        <f t="shared" si="60"/>
        <v>Regular</v>
      </c>
      <c r="D986">
        <f t="shared" si="61"/>
        <v>97320</v>
      </c>
      <c r="E986" s="6">
        <f t="shared" si="62"/>
        <v>4.6806530215878444E-5</v>
      </c>
      <c r="F986" s="5">
        <f ca="1">TODAY()-GETPIVOTDATA("LastPurchaseDate",MaxDate!$A$3,"Customer_name",MaxDate!A988)</f>
        <v>111</v>
      </c>
      <c r="G986" t="str">
        <f t="shared" ca="1" si="63"/>
        <v>At Risk</v>
      </c>
      <c r="H986" s="13">
        <f>RANK(B986,Customer_Tiers[Total_Sales])</f>
        <v>985</v>
      </c>
    </row>
    <row r="987" spans="1:8">
      <c r="A987" t="str">
        <f>'Top Customers'!A989</f>
        <v>ABDUL KHADAR</v>
      </c>
      <c r="B987" s="5">
        <f>IF(A987="","",IFERROR(GETPIVOTDATA("Sales Amount",'Top Customers'!$A$3,"Customer_name",'Top Customers'!A989),""))</f>
        <v>2660</v>
      </c>
      <c r="C987" t="str">
        <f t="shared" si="60"/>
        <v>Regular</v>
      </c>
      <c r="D987">
        <f t="shared" si="61"/>
        <v>97340</v>
      </c>
      <c r="E987" s="6">
        <f t="shared" si="62"/>
        <v>4.6457227751580845E-5</v>
      </c>
      <c r="F987" s="5">
        <f ca="1">TODAY()-GETPIVOTDATA("LastPurchaseDate",MaxDate!$A$3,"Customer_name",MaxDate!A989)</f>
        <v>34</v>
      </c>
      <c r="G987" t="str">
        <f t="shared" ca="1" si="63"/>
        <v>Active</v>
      </c>
      <c r="H987" s="13">
        <f>RANK(B987,Customer_Tiers[Total_Sales])</f>
        <v>986</v>
      </c>
    </row>
    <row r="988" spans="1:8">
      <c r="A988" t="str">
        <f>'Top Customers'!A990</f>
        <v>ANOOP</v>
      </c>
      <c r="B988" s="5">
        <f>IF(A988="","",IFERROR(GETPIVOTDATA("Sales Amount",'Top Customers'!$A$3,"Customer_name",'Top Customers'!A990),""))</f>
        <v>2631</v>
      </c>
      <c r="C988" t="str">
        <f t="shared" si="60"/>
        <v>Regular</v>
      </c>
      <c r="D988">
        <f t="shared" si="61"/>
        <v>97369</v>
      </c>
      <c r="E988" s="6">
        <f t="shared" si="62"/>
        <v>4.5950739178349327E-5</v>
      </c>
      <c r="F988" s="5">
        <f ca="1">TODAY()-GETPIVOTDATA("LastPurchaseDate",MaxDate!$A$3,"Customer_name",MaxDate!A990)</f>
        <v>64</v>
      </c>
      <c r="G988" t="str">
        <f t="shared" ca="1" si="63"/>
        <v>At Risk</v>
      </c>
      <c r="H988" s="13">
        <f>RANK(B988,Customer_Tiers[Total_Sales])</f>
        <v>987</v>
      </c>
    </row>
    <row r="989" spans="1:8">
      <c r="A989" t="str">
        <f>'Top Customers'!A991</f>
        <v>NISHAD PLAPPILLY HOME</v>
      </c>
      <c r="B989" s="5">
        <f>IF(A989="","",IFERROR(GETPIVOTDATA("Sales Amount",'Top Customers'!$A$3,"Customer_name",'Top Customers'!A991),""))</f>
        <v>2621</v>
      </c>
      <c r="C989" t="str">
        <f t="shared" si="60"/>
        <v>Regular</v>
      </c>
      <c r="D989">
        <f t="shared" si="61"/>
        <v>97379</v>
      </c>
      <c r="E989" s="6">
        <f t="shared" si="62"/>
        <v>4.5776087946200524E-5</v>
      </c>
      <c r="F989" s="5">
        <f ca="1">TODAY()-GETPIVOTDATA("LastPurchaseDate",MaxDate!$A$3,"Customer_name",MaxDate!A991)</f>
        <v>109</v>
      </c>
      <c r="G989" t="str">
        <f t="shared" ca="1" si="63"/>
        <v>At Risk</v>
      </c>
      <c r="H989" s="13">
        <f>RANK(B989,Customer_Tiers[Total_Sales])</f>
        <v>988</v>
      </c>
    </row>
    <row r="990" spans="1:8">
      <c r="A990" t="str">
        <f>'Top Customers'!A992</f>
        <v>SHYJU , PATTIMATTAM</v>
      </c>
      <c r="B990" s="5">
        <f>IF(A990="","",IFERROR(GETPIVOTDATA("Sales Amount",'Top Customers'!$A$3,"Customer_name",'Top Customers'!A992),""))</f>
        <v>2618</v>
      </c>
      <c r="C990" t="str">
        <f t="shared" si="60"/>
        <v>Regular</v>
      </c>
      <c r="D990">
        <f t="shared" si="61"/>
        <v>97382</v>
      </c>
      <c r="E990" s="6">
        <f t="shared" si="62"/>
        <v>4.5723692576555888E-5</v>
      </c>
      <c r="F990" s="5">
        <f ca="1">TODAY()-GETPIVOTDATA("LastPurchaseDate",MaxDate!$A$3,"Customer_name",MaxDate!A992)</f>
        <v>171</v>
      </c>
      <c r="G990" t="str">
        <f t="shared" ca="1" si="63"/>
        <v>Inactive</v>
      </c>
      <c r="H990" s="13">
        <f>RANK(B990,Customer_Tiers[Total_Sales])</f>
        <v>989</v>
      </c>
    </row>
    <row r="991" spans="1:8">
      <c r="A991" t="str">
        <f>'Top Customers'!A993</f>
        <v>VARKEY KUNNATHUKUDY</v>
      </c>
      <c r="B991" s="5">
        <f>IF(A991="","",IFERROR(GETPIVOTDATA("Sales Amount",'Top Customers'!$A$3,"Customer_name",'Top Customers'!A993),""))</f>
        <v>2617</v>
      </c>
      <c r="C991" t="str">
        <f t="shared" si="60"/>
        <v>Regular</v>
      </c>
      <c r="D991">
        <f t="shared" si="61"/>
        <v>97383</v>
      </c>
      <c r="E991" s="6">
        <f t="shared" si="62"/>
        <v>4.5706227453341005E-5</v>
      </c>
      <c r="F991" s="5">
        <f ca="1">TODAY()-GETPIVOTDATA("LastPurchaseDate",MaxDate!$A$3,"Customer_name",MaxDate!A993)</f>
        <v>55</v>
      </c>
      <c r="G991" t="str">
        <f t="shared" ca="1" si="63"/>
        <v>Active</v>
      </c>
      <c r="H991" s="13">
        <f>RANK(B991,Customer_Tiers[Total_Sales])</f>
        <v>990</v>
      </c>
    </row>
    <row r="992" spans="1:8">
      <c r="A992" t="str">
        <f>'Top Customers'!A994</f>
        <v>ABY KUMMANODE</v>
      </c>
      <c r="B992" s="5">
        <f>IF(A992="","",IFERROR(GETPIVOTDATA("Sales Amount",'Top Customers'!$A$3,"Customer_name",'Top Customers'!A994),""))</f>
        <v>2608</v>
      </c>
      <c r="C992" t="str">
        <f t="shared" si="60"/>
        <v>Regular</v>
      </c>
      <c r="D992">
        <f t="shared" si="61"/>
        <v>97392</v>
      </c>
      <c r="E992" s="6">
        <f t="shared" si="62"/>
        <v>4.5549041344407085E-5</v>
      </c>
      <c r="F992" s="5">
        <f ca="1">TODAY()-GETPIVOTDATA("LastPurchaseDate",MaxDate!$A$3,"Customer_name",MaxDate!A994)</f>
        <v>67</v>
      </c>
      <c r="G992" t="str">
        <f t="shared" ca="1" si="63"/>
        <v>At Risk</v>
      </c>
      <c r="H992" s="13">
        <f>RANK(B992,Customer_Tiers[Total_Sales])</f>
        <v>991</v>
      </c>
    </row>
    <row r="993" spans="1:8">
      <c r="A993" t="str">
        <f>'Top Customers'!A995</f>
        <v>NAJEEB DOUBLE PALAM</v>
      </c>
      <c r="B993" s="5">
        <f>IF(A993="","",IFERROR(GETPIVOTDATA("Sales Amount",'Top Customers'!$A$3,"Customer_name",'Top Customers'!A995),""))</f>
        <v>2580</v>
      </c>
      <c r="C993" t="str">
        <f t="shared" si="60"/>
        <v>Regular</v>
      </c>
      <c r="D993">
        <f t="shared" si="61"/>
        <v>97420</v>
      </c>
      <c r="E993" s="6">
        <f t="shared" si="62"/>
        <v>4.5060017894390443E-5</v>
      </c>
      <c r="F993" s="5">
        <f ca="1">TODAY()-GETPIVOTDATA("LastPurchaseDate",MaxDate!$A$3,"Customer_name",MaxDate!A995)</f>
        <v>265</v>
      </c>
      <c r="G993" t="str">
        <f t="shared" ca="1" si="63"/>
        <v>Inactive</v>
      </c>
      <c r="H993" s="13">
        <f>RANK(B993,Customer_Tiers[Total_Sales])</f>
        <v>992</v>
      </c>
    </row>
    <row r="994" spans="1:8">
      <c r="A994" t="str">
        <f>'Top Customers'!A996</f>
        <v>ETHICS AGENCIES</v>
      </c>
      <c r="B994" s="5">
        <f>IF(A994="","",IFERROR(GETPIVOTDATA("Sales Amount",'Top Customers'!$A$3,"Customer_name",'Top Customers'!A996),""))</f>
        <v>2576</v>
      </c>
      <c r="C994" t="str">
        <f t="shared" si="60"/>
        <v>Regular</v>
      </c>
      <c r="D994">
        <f t="shared" si="61"/>
        <v>97424</v>
      </c>
      <c r="E994" s="6">
        <f t="shared" si="62"/>
        <v>4.4990157401530924E-5</v>
      </c>
      <c r="F994" s="5">
        <f ca="1">TODAY()-GETPIVOTDATA("LastPurchaseDate",MaxDate!$A$3,"Customer_name",MaxDate!A996)</f>
        <v>288</v>
      </c>
      <c r="G994" t="str">
        <f t="shared" ca="1" si="63"/>
        <v>Inactive</v>
      </c>
      <c r="H994" s="13">
        <f>RANK(B994,Customer_Tiers[Total_Sales])</f>
        <v>993</v>
      </c>
    </row>
    <row r="995" spans="1:8">
      <c r="A995" t="str">
        <f>'Top Customers'!A997</f>
        <v>BABU KADAYIRUPPU</v>
      </c>
      <c r="B995" s="5">
        <f>IF(A995="","",IFERROR(GETPIVOTDATA("Sales Amount",'Top Customers'!$A$3,"Customer_name",'Top Customers'!A997),""))</f>
        <v>2553</v>
      </c>
      <c r="C995" t="str">
        <f t="shared" si="60"/>
        <v>Regular</v>
      </c>
      <c r="D995">
        <f t="shared" si="61"/>
        <v>97447</v>
      </c>
      <c r="E995" s="6">
        <f t="shared" si="62"/>
        <v>4.4588459567588683E-5</v>
      </c>
      <c r="F995" s="5">
        <f ca="1">TODAY()-GETPIVOTDATA("LastPurchaseDate",MaxDate!$A$3,"Customer_name",MaxDate!A997)</f>
        <v>145</v>
      </c>
      <c r="G995" t="str">
        <f t="shared" ca="1" si="63"/>
        <v>Inactive</v>
      </c>
      <c r="H995" s="13">
        <f>RANK(B995,Customer_Tiers[Total_Sales])</f>
        <v>994</v>
      </c>
    </row>
    <row r="996" spans="1:8">
      <c r="A996" t="str">
        <f>'Top Customers'!A998</f>
        <v>ABU  , CHENGARA</v>
      </c>
      <c r="B996" s="5">
        <f>IF(A996="","",IFERROR(GETPIVOTDATA("Sales Amount",'Top Customers'!$A$3,"Customer_name",'Top Customers'!A998),""))</f>
        <v>2543</v>
      </c>
      <c r="C996" t="str">
        <f t="shared" si="60"/>
        <v>Regular</v>
      </c>
      <c r="D996">
        <f t="shared" si="61"/>
        <v>97457</v>
      </c>
      <c r="E996" s="6">
        <f t="shared" si="62"/>
        <v>4.4413808335439887E-5</v>
      </c>
      <c r="F996" s="5">
        <f ca="1">TODAY()-GETPIVOTDATA("LastPurchaseDate",MaxDate!$A$3,"Customer_name",MaxDate!A998)</f>
        <v>190</v>
      </c>
      <c r="G996" t="str">
        <f t="shared" ca="1" si="63"/>
        <v>Inactive</v>
      </c>
      <c r="H996" s="13">
        <f>RANK(B996,Customer_Tiers[Total_Sales])</f>
        <v>995</v>
      </c>
    </row>
    <row r="997" spans="1:8">
      <c r="A997" t="str">
        <f>'Top Customers'!A999</f>
        <v>NAUSHAD EARVADY APE</v>
      </c>
      <c r="B997" s="5">
        <f>IF(A997="","",IFERROR(GETPIVOTDATA("Sales Amount",'Top Customers'!$A$3,"Customer_name",'Top Customers'!A999),""))</f>
        <v>2530</v>
      </c>
      <c r="C997" t="str">
        <f t="shared" si="60"/>
        <v>Regular</v>
      </c>
      <c r="D997">
        <f t="shared" si="61"/>
        <v>97470</v>
      </c>
      <c r="E997" s="6">
        <f t="shared" si="62"/>
        <v>4.4186761733646442E-5</v>
      </c>
      <c r="F997" s="5">
        <f ca="1">TODAY()-GETPIVOTDATA("LastPurchaseDate",MaxDate!$A$3,"Customer_name",MaxDate!A999)</f>
        <v>43</v>
      </c>
      <c r="G997" t="str">
        <f t="shared" ca="1" si="63"/>
        <v>Active</v>
      </c>
      <c r="H997" s="13">
        <f>RANK(B997,Customer_Tiers[Total_Sales])</f>
        <v>996</v>
      </c>
    </row>
    <row r="998" spans="1:8">
      <c r="A998" t="str">
        <f>'Top Customers'!A1000</f>
        <v>SUDHEESH KOLENCHERY</v>
      </c>
      <c r="B998" s="5">
        <f>IF(A998="","",IFERROR(GETPIVOTDATA("Sales Amount",'Top Customers'!$A$3,"Customer_name",'Top Customers'!A1000),""))</f>
        <v>2505</v>
      </c>
      <c r="C998" t="str">
        <f t="shared" si="60"/>
        <v>Regular</v>
      </c>
      <c r="D998">
        <f t="shared" si="61"/>
        <v>97495</v>
      </c>
      <c r="E998" s="6">
        <f t="shared" si="62"/>
        <v>4.3750133653274442E-5</v>
      </c>
      <c r="F998" s="5">
        <f ca="1">TODAY()-GETPIVOTDATA("LastPurchaseDate",MaxDate!$A$3,"Customer_name",MaxDate!A1000)</f>
        <v>246</v>
      </c>
      <c r="G998" t="str">
        <f t="shared" ca="1" si="63"/>
        <v>Inactive</v>
      </c>
      <c r="H998" s="13">
        <f>RANK(B998,Customer_Tiers[Total_Sales])</f>
        <v>997</v>
      </c>
    </row>
    <row r="999" spans="1:8">
      <c r="A999" t="str">
        <f>'Top Customers'!A1001</f>
        <v>MOHANAN PATTIMATTOM</v>
      </c>
      <c r="B999" s="5">
        <f>IF(A999="","",IFERROR(GETPIVOTDATA("Sales Amount",'Top Customers'!$A$3,"Customer_name",'Top Customers'!A1001),""))</f>
        <v>2490</v>
      </c>
      <c r="C999" t="str">
        <f t="shared" si="60"/>
        <v>Regular</v>
      </c>
      <c r="D999">
        <f t="shared" si="61"/>
        <v>97510</v>
      </c>
      <c r="E999" s="6">
        <f t="shared" si="62"/>
        <v>4.3488156805051244E-5</v>
      </c>
      <c r="F999" s="5">
        <f ca="1">TODAY()-GETPIVOTDATA("LastPurchaseDate",MaxDate!$A$3,"Customer_name",MaxDate!A1001)</f>
        <v>64</v>
      </c>
      <c r="G999" t="str">
        <f t="shared" ca="1" si="63"/>
        <v>At Risk</v>
      </c>
      <c r="H999" s="13">
        <f>RANK(B999,Customer_Tiers[Total_Sales])</f>
        <v>998</v>
      </c>
    </row>
    <row r="1000" spans="1:8">
      <c r="A1000" t="str">
        <f>'Top Customers'!A1002</f>
        <v>SHINU</v>
      </c>
      <c r="B1000" s="5">
        <f>IF(A1000="","",IFERROR(GETPIVOTDATA("Sales Amount",'Top Customers'!$A$3,"Customer_name",'Top Customers'!A1002),""))</f>
        <v>2463</v>
      </c>
      <c r="C1000" t="str">
        <f t="shared" si="60"/>
        <v>Regular</v>
      </c>
      <c r="D1000">
        <f t="shared" si="61"/>
        <v>97537</v>
      </c>
      <c r="E1000" s="6">
        <f t="shared" si="62"/>
        <v>4.3016598478249485E-5</v>
      </c>
      <c r="F1000" s="5">
        <f ca="1">TODAY()-GETPIVOTDATA("LastPurchaseDate",MaxDate!$A$3,"Customer_name",MaxDate!A1002)</f>
        <v>36</v>
      </c>
      <c r="G1000" t="str">
        <f t="shared" ca="1" si="63"/>
        <v>Active</v>
      </c>
      <c r="H1000" s="13">
        <f>RANK(B1000,Customer_Tiers[Total_Sales])</f>
        <v>999</v>
      </c>
    </row>
    <row r="1001" spans="1:8">
      <c r="A1001" t="str">
        <f>'Top Customers'!A1003</f>
        <v>SUKUMARAN KILIKUALM</v>
      </c>
      <c r="B1001" s="5">
        <f>IF(A1001="","",IFERROR(GETPIVOTDATA("Sales Amount",'Top Customers'!$A$3,"Customer_name",'Top Customers'!A1003),""))</f>
        <v>2446</v>
      </c>
      <c r="C1001" t="str">
        <f t="shared" si="60"/>
        <v>Regular</v>
      </c>
      <c r="D1001">
        <f t="shared" si="61"/>
        <v>97554</v>
      </c>
      <c r="E1001" s="6">
        <f t="shared" si="62"/>
        <v>4.2719691383596521E-5</v>
      </c>
      <c r="F1001" s="5">
        <f ca="1">TODAY()-GETPIVOTDATA("LastPurchaseDate",MaxDate!$A$3,"Customer_name",MaxDate!A1003)</f>
        <v>114</v>
      </c>
      <c r="G1001" t="str">
        <f t="shared" ca="1" si="63"/>
        <v>At Risk</v>
      </c>
      <c r="H1001" s="13">
        <f>RANK(B1001,Customer_Tiers[Total_Sales])</f>
        <v>1000</v>
      </c>
    </row>
    <row r="1002" spans="1:8">
      <c r="A1002" t="str">
        <f>'Top Customers'!A1004</f>
        <v>ALEX VITY THOMAS</v>
      </c>
      <c r="B1002" s="5">
        <f>IF(A1002="","",IFERROR(GETPIVOTDATA("Sales Amount",'Top Customers'!$A$3,"Customer_name",'Top Customers'!A1004),""))</f>
        <v>2435</v>
      </c>
      <c r="C1002" t="str">
        <f t="shared" si="60"/>
        <v>Regular</v>
      </c>
      <c r="D1002">
        <f t="shared" si="61"/>
        <v>97565</v>
      </c>
      <c r="E1002" s="6">
        <f t="shared" si="62"/>
        <v>4.2527575028232842E-5</v>
      </c>
      <c r="F1002" s="5">
        <f ca="1">TODAY()-GETPIVOTDATA("LastPurchaseDate",MaxDate!$A$3,"Customer_name",MaxDate!A1004)</f>
        <v>326</v>
      </c>
      <c r="G1002" t="str">
        <f t="shared" ca="1" si="63"/>
        <v>Inactive</v>
      </c>
      <c r="H1002" s="13">
        <f>RANK(B1002,Customer_Tiers[Total_Sales])</f>
        <v>1001</v>
      </c>
    </row>
    <row r="1003" spans="1:8">
      <c r="A1003" t="str">
        <f>'Top Customers'!A1005</f>
        <v>GEORGE , THADIYAN</v>
      </c>
      <c r="B1003" s="5">
        <f>IF(A1003="","",IFERROR(GETPIVOTDATA("Sales Amount",'Top Customers'!$A$3,"Customer_name",'Top Customers'!A1005),""))</f>
        <v>2435</v>
      </c>
      <c r="C1003" t="str">
        <f t="shared" si="60"/>
        <v>Regular</v>
      </c>
      <c r="D1003">
        <f t="shared" si="61"/>
        <v>97565</v>
      </c>
      <c r="E1003" s="6">
        <f t="shared" si="62"/>
        <v>4.2527575028232842E-5</v>
      </c>
      <c r="F1003" s="5">
        <f ca="1">TODAY()-GETPIVOTDATA("LastPurchaseDate",MaxDate!$A$3,"Customer_name",MaxDate!A1005)</f>
        <v>179</v>
      </c>
      <c r="G1003" t="str">
        <f t="shared" ca="1" si="63"/>
        <v>Inactive</v>
      </c>
      <c r="H1003" s="13">
        <f>RANK(B1003,Customer_Tiers[Total_Sales])</f>
        <v>1001</v>
      </c>
    </row>
    <row r="1004" spans="1:8">
      <c r="A1004" t="str">
        <f>'Top Customers'!A1006</f>
        <v>SAJI VARGHESE , CHENGARAKUDIYIL</v>
      </c>
      <c r="B1004" s="5">
        <f>IF(A1004="","",IFERROR(GETPIVOTDATA("Sales Amount",'Top Customers'!$A$3,"Customer_name",'Top Customers'!A1006),""))</f>
        <v>2420</v>
      </c>
      <c r="C1004" t="str">
        <f t="shared" si="60"/>
        <v>Regular</v>
      </c>
      <c r="D1004">
        <f t="shared" si="61"/>
        <v>97580</v>
      </c>
      <c r="E1004" s="6">
        <f t="shared" si="62"/>
        <v>4.2265598180009645E-5</v>
      </c>
      <c r="F1004" s="5">
        <f ca="1">TODAY()-GETPIVOTDATA("LastPurchaseDate",MaxDate!$A$3,"Customer_name",MaxDate!A1006)</f>
        <v>78</v>
      </c>
      <c r="G1004" t="str">
        <f t="shared" ca="1" si="63"/>
        <v>At Risk</v>
      </c>
      <c r="H1004" s="13">
        <f>RANK(B1004,Customer_Tiers[Total_Sales])</f>
        <v>1003</v>
      </c>
    </row>
    <row r="1005" spans="1:8">
      <c r="A1005" t="str">
        <f>'Top Customers'!A1007</f>
        <v>SRS ELECTRICALS</v>
      </c>
      <c r="B1005" s="5">
        <f>IF(A1005="","",IFERROR(GETPIVOTDATA("Sales Amount",'Top Customers'!$A$3,"Customer_name",'Top Customers'!A1007),""))</f>
        <v>2387</v>
      </c>
      <c r="C1005" t="str">
        <f t="shared" si="60"/>
        <v>Regular</v>
      </c>
      <c r="D1005">
        <f t="shared" si="61"/>
        <v>97613</v>
      </c>
      <c r="E1005" s="6">
        <f t="shared" si="62"/>
        <v>4.1689249113918601E-5</v>
      </c>
      <c r="F1005" s="5">
        <f ca="1">TODAY()-GETPIVOTDATA("LastPurchaseDate",MaxDate!$A$3,"Customer_name",MaxDate!A1007)</f>
        <v>36</v>
      </c>
      <c r="G1005" t="str">
        <f t="shared" ca="1" si="63"/>
        <v>Active</v>
      </c>
      <c r="H1005" s="13">
        <f>RANK(B1005,Customer_Tiers[Total_Sales])</f>
        <v>1004</v>
      </c>
    </row>
    <row r="1006" spans="1:8">
      <c r="A1006" t="str">
        <f>'Top Customers'!A1008</f>
        <v>VARKEY , PAZHAMPILLY</v>
      </c>
      <c r="B1006" s="5">
        <f>IF(A1006="","",IFERROR(GETPIVOTDATA("Sales Amount",'Top Customers'!$A$3,"Customer_name",'Top Customers'!A1008),""))</f>
        <v>2354</v>
      </c>
      <c r="C1006" t="str">
        <f t="shared" si="60"/>
        <v>Regular</v>
      </c>
      <c r="D1006">
        <f t="shared" si="61"/>
        <v>97646</v>
      </c>
      <c r="E1006" s="6">
        <f t="shared" si="62"/>
        <v>4.1112900047827564E-5</v>
      </c>
      <c r="F1006" s="5">
        <f ca="1">TODAY()-GETPIVOTDATA("LastPurchaseDate",MaxDate!$A$3,"Customer_name",MaxDate!A1008)</f>
        <v>240</v>
      </c>
      <c r="G1006" t="str">
        <f t="shared" ca="1" si="63"/>
        <v>Inactive</v>
      </c>
      <c r="H1006" s="13">
        <f>RANK(B1006,Customer_Tiers[Total_Sales])</f>
        <v>1005</v>
      </c>
    </row>
    <row r="1007" spans="1:8">
      <c r="A1007" t="str">
        <f>'Top Customers'!A1009</f>
        <v>SAMAD ACE , KUZHIPPILLY</v>
      </c>
      <c r="B1007" s="5">
        <f>IF(A1007="","",IFERROR(GETPIVOTDATA("Sales Amount",'Top Customers'!$A$3,"Customer_name",'Top Customers'!A1009),""))</f>
        <v>2350</v>
      </c>
      <c r="C1007" t="str">
        <f t="shared" si="60"/>
        <v>Regular</v>
      </c>
      <c r="D1007">
        <f t="shared" si="61"/>
        <v>97650</v>
      </c>
      <c r="E1007" s="6">
        <f t="shared" si="62"/>
        <v>4.1043039554968038E-5</v>
      </c>
      <c r="F1007" s="5">
        <f ca="1">TODAY()-GETPIVOTDATA("LastPurchaseDate",MaxDate!$A$3,"Customer_name",MaxDate!A1009)</f>
        <v>8</v>
      </c>
      <c r="G1007" t="str">
        <f t="shared" ca="1" si="63"/>
        <v>Active</v>
      </c>
      <c r="H1007" s="13">
        <f>RANK(B1007,Customer_Tiers[Total_Sales])</f>
        <v>1006</v>
      </c>
    </row>
    <row r="1008" spans="1:8">
      <c r="A1008" t="str">
        <f>'Top Customers'!A1010</f>
        <v>ABBAS CHELAKULAM</v>
      </c>
      <c r="B1008" s="5">
        <f>IF(A1008="","",IFERROR(GETPIVOTDATA("Sales Amount",'Top Customers'!$A$3,"Customer_name",'Top Customers'!A1010),""))</f>
        <v>2340</v>
      </c>
      <c r="C1008" t="str">
        <f t="shared" si="60"/>
        <v>Regular</v>
      </c>
      <c r="D1008">
        <f t="shared" si="61"/>
        <v>97660</v>
      </c>
      <c r="E1008" s="6">
        <f t="shared" si="62"/>
        <v>4.0868388322819242E-5</v>
      </c>
      <c r="F1008" s="5">
        <f ca="1">TODAY()-GETPIVOTDATA("LastPurchaseDate",MaxDate!$A$3,"Customer_name",MaxDate!A1010)</f>
        <v>170</v>
      </c>
      <c r="G1008" t="str">
        <f t="shared" ca="1" si="63"/>
        <v>Inactive</v>
      </c>
      <c r="H1008" s="13">
        <f>RANK(B1008,Customer_Tiers[Total_Sales])</f>
        <v>1007</v>
      </c>
    </row>
    <row r="1009" spans="1:8">
      <c r="A1009" t="str">
        <f>'Top Customers'!A1011</f>
        <v>SHAJI PASSENGER</v>
      </c>
      <c r="B1009" s="5">
        <f>IF(A1009="","",IFERROR(GETPIVOTDATA("Sales Amount",'Top Customers'!$A$3,"Customer_name",'Top Customers'!A1011),""))</f>
        <v>2333</v>
      </c>
      <c r="C1009" t="str">
        <f t="shared" si="60"/>
        <v>Regular</v>
      </c>
      <c r="D1009">
        <f t="shared" si="61"/>
        <v>97667</v>
      </c>
      <c r="E1009" s="6">
        <f t="shared" si="62"/>
        <v>4.0746132460315082E-5</v>
      </c>
      <c r="F1009" s="5">
        <f ca="1">TODAY()-GETPIVOTDATA("LastPurchaseDate",MaxDate!$A$3,"Customer_name",MaxDate!A1011)</f>
        <v>296</v>
      </c>
      <c r="G1009" t="str">
        <f t="shared" ca="1" si="63"/>
        <v>Inactive</v>
      </c>
      <c r="H1009" s="13">
        <f>RANK(B1009,Customer_Tiers[Total_Sales])</f>
        <v>1008</v>
      </c>
    </row>
    <row r="1010" spans="1:8">
      <c r="A1010" t="str">
        <f>'Top Customers'!A1012</f>
        <v>BHASKARAN</v>
      </c>
      <c r="B1010" s="5">
        <f>IF(A1010="","",IFERROR(GETPIVOTDATA("Sales Amount",'Top Customers'!$A$3,"Customer_name",'Top Customers'!A1012),""))</f>
        <v>2327</v>
      </c>
      <c r="C1010" t="str">
        <f t="shared" si="60"/>
        <v>Regular</v>
      </c>
      <c r="D1010">
        <f t="shared" si="61"/>
        <v>97673</v>
      </c>
      <c r="E1010" s="6">
        <f t="shared" si="62"/>
        <v>4.0641341721025797E-5</v>
      </c>
      <c r="F1010" s="5">
        <f ca="1">TODAY()-GETPIVOTDATA("LastPurchaseDate",MaxDate!$A$3,"Customer_name",MaxDate!A1012)</f>
        <v>263</v>
      </c>
      <c r="G1010" t="str">
        <f t="shared" ca="1" si="63"/>
        <v>Inactive</v>
      </c>
      <c r="H1010" s="13">
        <f>RANK(B1010,Customer_Tiers[Total_Sales])</f>
        <v>1009</v>
      </c>
    </row>
    <row r="1011" spans="1:8">
      <c r="A1011" t="str">
        <f>'Top Customers'!A1013</f>
        <v>BASHEER DOUBLEPALAM</v>
      </c>
      <c r="B1011" s="5">
        <f>IF(A1011="","",IFERROR(GETPIVOTDATA("Sales Amount",'Top Customers'!$A$3,"Customer_name",'Top Customers'!A1013),""))</f>
        <v>2320</v>
      </c>
      <c r="C1011" t="str">
        <f t="shared" si="60"/>
        <v>Regular</v>
      </c>
      <c r="D1011">
        <f t="shared" si="61"/>
        <v>97680</v>
      </c>
      <c r="E1011" s="6">
        <f t="shared" si="62"/>
        <v>4.0519085858521643E-5</v>
      </c>
      <c r="F1011" s="5">
        <f ca="1">TODAY()-GETPIVOTDATA("LastPurchaseDate",MaxDate!$A$3,"Customer_name",MaxDate!A1013)</f>
        <v>114</v>
      </c>
      <c r="G1011" t="str">
        <f t="shared" ca="1" si="63"/>
        <v>At Risk</v>
      </c>
      <c r="H1011" s="13">
        <f>RANK(B1011,Customer_Tiers[Total_Sales])</f>
        <v>1010</v>
      </c>
    </row>
    <row r="1012" spans="1:8">
      <c r="A1012" t="str">
        <f>'Top Customers'!A1014</f>
        <v>DREAM STONE BUILDERS</v>
      </c>
      <c r="B1012" s="5">
        <f>IF(A1012="","",IFERROR(GETPIVOTDATA("Sales Amount",'Top Customers'!$A$3,"Customer_name",'Top Customers'!A1014),""))</f>
        <v>2280</v>
      </c>
      <c r="C1012" t="str">
        <f t="shared" si="60"/>
        <v>Regular</v>
      </c>
      <c r="D1012">
        <f t="shared" si="61"/>
        <v>97720</v>
      </c>
      <c r="E1012" s="6">
        <f t="shared" si="62"/>
        <v>3.9820480929926439E-5</v>
      </c>
      <c r="F1012" s="5">
        <f ca="1">TODAY()-GETPIVOTDATA("LastPurchaseDate",MaxDate!$A$3,"Customer_name",MaxDate!A1014)</f>
        <v>34</v>
      </c>
      <c r="G1012" t="str">
        <f t="shared" ca="1" si="63"/>
        <v>Active</v>
      </c>
      <c r="H1012" s="13">
        <f>RANK(B1012,Customer_Tiers[Total_Sales])</f>
        <v>1011</v>
      </c>
    </row>
    <row r="1013" spans="1:8">
      <c r="A1013" t="str">
        <f>'Top Customers'!A1015</f>
        <v>ELDHOSE VALAMBOOR</v>
      </c>
      <c r="B1013" s="5">
        <f>IF(A1013="","",IFERROR(GETPIVOTDATA("Sales Amount",'Top Customers'!$A$3,"Customer_name",'Top Customers'!A1015),""))</f>
        <v>2234</v>
      </c>
      <c r="C1013" t="str">
        <f t="shared" si="60"/>
        <v>Regular</v>
      </c>
      <c r="D1013">
        <f t="shared" si="61"/>
        <v>97766</v>
      </c>
      <c r="E1013" s="6">
        <f t="shared" si="62"/>
        <v>3.9017085262041957E-5</v>
      </c>
      <c r="F1013" s="5">
        <f ca="1">TODAY()-GETPIVOTDATA("LastPurchaseDate",MaxDate!$A$3,"Customer_name",MaxDate!A1015)</f>
        <v>76</v>
      </c>
      <c r="G1013" t="str">
        <f t="shared" ca="1" si="63"/>
        <v>At Risk</v>
      </c>
      <c r="H1013" s="13">
        <f>RANK(B1013,Customer_Tiers[Total_Sales])</f>
        <v>1012</v>
      </c>
    </row>
    <row r="1014" spans="1:8">
      <c r="A1014" t="str">
        <f>'Top Customers'!A1016</f>
        <v>SANDEEP DOUBLEPALAM</v>
      </c>
      <c r="B1014" s="5">
        <f>IF(A1014="","",IFERROR(GETPIVOTDATA("Sales Amount",'Top Customers'!$A$3,"Customer_name",'Top Customers'!A1016),""))</f>
        <v>2228</v>
      </c>
      <c r="C1014" t="str">
        <f t="shared" si="60"/>
        <v>Regular</v>
      </c>
      <c r="D1014">
        <f t="shared" si="61"/>
        <v>97772</v>
      </c>
      <c r="E1014" s="6">
        <f t="shared" si="62"/>
        <v>3.8912294522752679E-5</v>
      </c>
      <c r="F1014" s="5">
        <f ca="1">TODAY()-GETPIVOTDATA("LastPurchaseDate",MaxDate!$A$3,"Customer_name",MaxDate!A1016)</f>
        <v>155</v>
      </c>
      <c r="G1014" t="str">
        <f t="shared" ca="1" si="63"/>
        <v>Inactive</v>
      </c>
      <c r="H1014" s="13">
        <f>RANK(B1014,Customer_Tiers[Total_Sales])</f>
        <v>1013</v>
      </c>
    </row>
    <row r="1015" spans="1:8">
      <c r="A1015" t="str">
        <f>'Top Customers'!A1017</f>
        <v>BALI , ALAPPUZHA</v>
      </c>
      <c r="B1015" s="5">
        <f>IF(A1015="","",IFERROR(GETPIVOTDATA("Sales Amount",'Top Customers'!$A$3,"Customer_name",'Top Customers'!A1017),""))</f>
        <v>2220</v>
      </c>
      <c r="C1015" t="str">
        <f t="shared" si="60"/>
        <v>Regular</v>
      </c>
      <c r="D1015">
        <f t="shared" si="61"/>
        <v>97780</v>
      </c>
      <c r="E1015" s="6">
        <f t="shared" si="62"/>
        <v>3.8772573537033635E-5</v>
      </c>
      <c r="F1015" s="5">
        <f ca="1">TODAY()-GETPIVOTDATA("LastPurchaseDate",MaxDate!$A$3,"Customer_name",MaxDate!A1017)</f>
        <v>180</v>
      </c>
      <c r="G1015" t="str">
        <f t="shared" ca="1" si="63"/>
        <v>Inactive</v>
      </c>
      <c r="H1015" s="13">
        <f>RANK(B1015,Customer_Tiers[Total_Sales])</f>
        <v>1014</v>
      </c>
    </row>
    <row r="1016" spans="1:8">
      <c r="A1016" t="str">
        <f>'Top Customers'!A1018</f>
        <v>KUNJU KURUMBAN</v>
      </c>
      <c r="B1016" s="5">
        <f>IF(A1016="","",IFERROR(GETPIVOTDATA("Sales Amount",'Top Customers'!$A$3,"Customer_name",'Top Customers'!A1018),""))</f>
        <v>2205</v>
      </c>
      <c r="C1016" t="str">
        <f t="shared" si="60"/>
        <v>Regular</v>
      </c>
      <c r="D1016">
        <f t="shared" si="61"/>
        <v>97795</v>
      </c>
      <c r="E1016" s="6">
        <f t="shared" si="62"/>
        <v>3.8510596688810438E-5</v>
      </c>
      <c r="F1016" s="5">
        <f ca="1">TODAY()-GETPIVOTDATA("LastPurchaseDate",MaxDate!$A$3,"Customer_name",MaxDate!A1018)</f>
        <v>13</v>
      </c>
      <c r="G1016" t="str">
        <f t="shared" ca="1" si="63"/>
        <v>Active</v>
      </c>
      <c r="H1016" s="13">
        <f>RANK(B1016,Customer_Tiers[Total_Sales])</f>
        <v>1015</v>
      </c>
    </row>
    <row r="1017" spans="1:8">
      <c r="A1017" t="str">
        <f>'Top Customers'!A1019</f>
        <v>KAREEM ACE</v>
      </c>
      <c r="B1017" s="5">
        <f>IF(A1017="","",IFERROR(GETPIVOTDATA("Sales Amount",'Top Customers'!$A$3,"Customer_name",'Top Customers'!A1019),""))</f>
        <v>2200</v>
      </c>
      <c r="C1017" t="str">
        <f t="shared" si="60"/>
        <v>Regular</v>
      </c>
      <c r="D1017">
        <f t="shared" si="61"/>
        <v>97800</v>
      </c>
      <c r="E1017" s="6">
        <f t="shared" si="62"/>
        <v>3.8423271072736036E-5</v>
      </c>
      <c r="F1017" s="5">
        <f ca="1">TODAY()-GETPIVOTDATA("LastPurchaseDate",MaxDate!$A$3,"Customer_name",MaxDate!A1019)</f>
        <v>29</v>
      </c>
      <c r="G1017" t="str">
        <f t="shared" ca="1" si="63"/>
        <v>Active</v>
      </c>
      <c r="H1017" s="13">
        <f>RANK(B1017,Customer_Tiers[Total_Sales])</f>
        <v>1016</v>
      </c>
    </row>
    <row r="1018" spans="1:8">
      <c r="A1018" t="str">
        <f>'Top Customers'!A1020</f>
        <v>MOHANAN VALAMBOOR</v>
      </c>
      <c r="B1018" s="5">
        <f>IF(A1018="","",IFERROR(GETPIVOTDATA("Sales Amount",'Top Customers'!$A$3,"Customer_name",'Top Customers'!A1020),""))</f>
        <v>2200</v>
      </c>
      <c r="C1018" t="str">
        <f t="shared" si="60"/>
        <v>Regular</v>
      </c>
      <c r="D1018">
        <f t="shared" si="61"/>
        <v>97800</v>
      </c>
      <c r="E1018" s="6">
        <f t="shared" si="62"/>
        <v>3.8423271072736036E-5</v>
      </c>
      <c r="F1018" s="5">
        <f ca="1">TODAY()-GETPIVOTDATA("LastPurchaseDate",MaxDate!$A$3,"Customer_name",MaxDate!A1020)</f>
        <v>299</v>
      </c>
      <c r="G1018" t="str">
        <f t="shared" ca="1" si="63"/>
        <v>Inactive</v>
      </c>
      <c r="H1018" s="13">
        <f>RANK(B1018,Customer_Tiers[Total_Sales])</f>
        <v>1016</v>
      </c>
    </row>
    <row r="1019" spans="1:8">
      <c r="A1019" t="str">
        <f>'Top Customers'!A1021</f>
        <v>ELDHO THATTAMUGAL</v>
      </c>
      <c r="B1019" s="5">
        <f>IF(A1019="","",IFERROR(GETPIVOTDATA("Sales Amount",'Top Customers'!$A$3,"Customer_name",'Top Customers'!A1021),""))</f>
        <v>2190</v>
      </c>
      <c r="C1019" t="str">
        <f t="shared" si="60"/>
        <v>Regular</v>
      </c>
      <c r="D1019">
        <f t="shared" si="61"/>
        <v>97810</v>
      </c>
      <c r="E1019" s="6">
        <f t="shared" si="62"/>
        <v>3.824861984058724E-5</v>
      </c>
      <c r="F1019" s="5">
        <f ca="1">TODAY()-GETPIVOTDATA("LastPurchaseDate",MaxDate!$A$3,"Customer_name",MaxDate!A1021)</f>
        <v>141</v>
      </c>
      <c r="G1019" t="str">
        <f t="shared" ca="1" si="63"/>
        <v>Inactive</v>
      </c>
      <c r="H1019" s="13">
        <f>RANK(B1019,Customer_Tiers[Total_Sales])</f>
        <v>1018</v>
      </c>
    </row>
    <row r="1020" spans="1:8">
      <c r="A1020" t="str">
        <f>'Top Customers'!A1022</f>
        <v>MUBEENA</v>
      </c>
      <c r="B1020" s="5">
        <f>IF(A1020="","",IFERROR(GETPIVOTDATA("Sales Amount",'Top Customers'!$A$3,"Customer_name",'Top Customers'!A1022),""))</f>
        <v>2174</v>
      </c>
      <c r="C1020" t="str">
        <f t="shared" si="60"/>
        <v>Regular</v>
      </c>
      <c r="D1020">
        <f t="shared" si="61"/>
        <v>97826</v>
      </c>
      <c r="E1020" s="6">
        <f t="shared" si="62"/>
        <v>3.796917786914916E-5</v>
      </c>
      <c r="F1020" s="5">
        <f ca="1">TODAY()-GETPIVOTDATA("LastPurchaseDate",MaxDate!$A$3,"Customer_name",MaxDate!A1022)</f>
        <v>143</v>
      </c>
      <c r="G1020" t="str">
        <f t="shared" ca="1" si="63"/>
        <v>Inactive</v>
      </c>
      <c r="H1020" s="13">
        <f>RANK(B1020,Customer_Tiers[Total_Sales])</f>
        <v>1019</v>
      </c>
    </row>
    <row r="1021" spans="1:8">
      <c r="A1021" t="str">
        <f>'Top Customers'!A1023</f>
        <v>Bakker Mundekudy</v>
      </c>
      <c r="B1021" s="5">
        <f>IF(A1021="","",IFERROR(GETPIVOTDATA("Sales Amount",'Top Customers'!$A$3,"Customer_name",'Top Customers'!A1023),""))</f>
        <v>2160</v>
      </c>
      <c r="C1021" t="str">
        <f t="shared" si="60"/>
        <v>Regular</v>
      </c>
      <c r="D1021">
        <f t="shared" si="61"/>
        <v>97840</v>
      </c>
      <c r="E1021" s="6">
        <f t="shared" si="62"/>
        <v>3.7724666144140839E-5</v>
      </c>
      <c r="F1021" s="5">
        <f ca="1">TODAY()-GETPIVOTDATA("LastPurchaseDate",MaxDate!$A$3,"Customer_name",MaxDate!A1023)</f>
        <v>248</v>
      </c>
      <c r="G1021" t="str">
        <f t="shared" ca="1" si="63"/>
        <v>Inactive</v>
      </c>
      <c r="H1021" s="13">
        <f>RANK(B1021,Customer_Tiers[Total_Sales])</f>
        <v>1020</v>
      </c>
    </row>
    <row r="1022" spans="1:8">
      <c r="A1022" t="str">
        <f>'Top Customers'!A1024</f>
        <v>SUBEESH PALAKUZHA</v>
      </c>
      <c r="B1022" s="5">
        <f>IF(A1022="","",IFERROR(GETPIVOTDATA("Sales Amount",'Top Customers'!$A$3,"Customer_name",'Top Customers'!A1024),""))</f>
        <v>2160</v>
      </c>
      <c r="C1022" t="str">
        <f t="shared" si="60"/>
        <v>Regular</v>
      </c>
      <c r="D1022">
        <f t="shared" si="61"/>
        <v>97840</v>
      </c>
      <c r="E1022" s="6">
        <f t="shared" si="62"/>
        <v>3.7724666144140839E-5</v>
      </c>
      <c r="F1022" s="5">
        <f ca="1">TODAY()-GETPIVOTDATA("LastPurchaseDate",MaxDate!$A$3,"Customer_name",MaxDate!A1024)</f>
        <v>285</v>
      </c>
      <c r="G1022" t="str">
        <f t="shared" ca="1" si="63"/>
        <v>Inactive</v>
      </c>
      <c r="H1022" s="13">
        <f>RANK(B1022,Customer_Tiers[Total_Sales])</f>
        <v>1020</v>
      </c>
    </row>
    <row r="1023" spans="1:8">
      <c r="A1023" t="str">
        <f>'Top Customers'!A1025</f>
        <v>MANOJ POYYAKUNNAM</v>
      </c>
      <c r="B1023" s="5">
        <f>IF(A1023="","",IFERROR(GETPIVOTDATA("Sales Amount",'Top Customers'!$A$3,"Customer_name",'Top Customers'!A1025),""))</f>
        <v>2158</v>
      </c>
      <c r="C1023" t="str">
        <f t="shared" si="60"/>
        <v>Regular</v>
      </c>
      <c r="D1023">
        <f t="shared" si="61"/>
        <v>97842</v>
      </c>
      <c r="E1023" s="6">
        <f t="shared" si="62"/>
        <v>3.7689735897711079E-5</v>
      </c>
      <c r="F1023" s="5">
        <f ca="1">TODAY()-GETPIVOTDATA("LastPurchaseDate",MaxDate!$A$3,"Customer_name",MaxDate!A1025)</f>
        <v>173</v>
      </c>
      <c r="G1023" t="str">
        <f t="shared" ca="1" si="63"/>
        <v>Inactive</v>
      </c>
      <c r="H1023" s="13">
        <f>RANK(B1023,Customer_Tiers[Total_Sales])</f>
        <v>1022</v>
      </c>
    </row>
    <row r="1024" spans="1:8">
      <c r="A1024" t="str">
        <f>'Top Customers'!A1026</f>
        <v>JINTO AKKAMPARA</v>
      </c>
      <c r="B1024" s="5">
        <f>IF(A1024="","",IFERROR(GETPIVOTDATA("Sales Amount",'Top Customers'!$A$3,"Customer_name",'Top Customers'!A1026),""))</f>
        <v>2137</v>
      </c>
      <c r="C1024" t="str">
        <f t="shared" si="60"/>
        <v>Regular</v>
      </c>
      <c r="D1024">
        <f t="shared" si="61"/>
        <v>97863</v>
      </c>
      <c r="E1024" s="6">
        <f t="shared" si="62"/>
        <v>3.7322968310198597E-5</v>
      </c>
      <c r="F1024" s="5">
        <f ca="1">TODAY()-GETPIVOTDATA("LastPurchaseDate",MaxDate!$A$3,"Customer_name",MaxDate!A1026)</f>
        <v>94</v>
      </c>
      <c r="G1024" t="str">
        <f t="shared" ca="1" si="63"/>
        <v>At Risk</v>
      </c>
      <c r="H1024" s="13">
        <f>RANK(B1024,Customer_Tiers[Total_Sales])</f>
        <v>1023</v>
      </c>
    </row>
    <row r="1025" spans="1:8">
      <c r="A1025" t="str">
        <f>'Top Customers'!A1027</f>
        <v>MADATHIKUDY PATHROSE JACOB</v>
      </c>
      <c r="B1025" s="5">
        <f>IF(A1025="","",IFERROR(GETPIVOTDATA("Sales Amount",'Top Customers'!$A$3,"Customer_name",'Top Customers'!A1027),""))</f>
        <v>2125</v>
      </c>
      <c r="C1025" t="str">
        <f t="shared" si="60"/>
        <v>Regular</v>
      </c>
      <c r="D1025">
        <f t="shared" si="61"/>
        <v>97875</v>
      </c>
      <c r="E1025" s="6">
        <f t="shared" si="62"/>
        <v>3.7113386831620035E-5</v>
      </c>
      <c r="F1025" s="5">
        <f ca="1">TODAY()-GETPIVOTDATA("LastPurchaseDate",MaxDate!$A$3,"Customer_name",MaxDate!A1027)</f>
        <v>207</v>
      </c>
      <c r="G1025" t="str">
        <f t="shared" ca="1" si="63"/>
        <v>Inactive</v>
      </c>
      <c r="H1025" s="13">
        <f>RANK(B1025,Customer_Tiers[Total_Sales])</f>
        <v>1024</v>
      </c>
    </row>
    <row r="1026" spans="1:8">
      <c r="A1026" t="str">
        <f>'Top Customers'!A1028</f>
        <v>YACOB , PATTIMATTOM</v>
      </c>
      <c r="B1026" s="5">
        <f>IF(A1026="","",IFERROR(GETPIVOTDATA("Sales Amount",'Top Customers'!$A$3,"Customer_name",'Top Customers'!A1028),""))</f>
        <v>2120</v>
      </c>
      <c r="C1026" t="str">
        <f t="shared" ref="C1026:C1089" si="64">IF(B1026&gt;=1000000,"Platinum",
 IF(B1026&gt;=500000,"Gold",
 IF(B1026&gt;=100000,"Silver","Regular")))</f>
        <v>Regular</v>
      </c>
      <c r="D1026">
        <f t="shared" ref="D1026:D1089" si="65">IF(C1026="Platinum",0,
 IF(C1026="Gold",1000000-B1026,
 IF(C1026="Silver",500000-B1026,
 IF(C1026="Regular",100000-B1026,0))))</f>
        <v>97880</v>
      </c>
      <c r="E1026" s="6">
        <f t="shared" ref="E1026:E1089" si="66">B1026/SUM(B:B)</f>
        <v>3.7026061215545634E-5</v>
      </c>
      <c r="F1026" s="5">
        <f ca="1">TODAY()-GETPIVOTDATA("LastPurchaseDate",MaxDate!$A$3,"Customer_name",MaxDate!A1028)</f>
        <v>254</v>
      </c>
      <c r="G1026" t="str">
        <f t="shared" ref="G1026:G1089" ca="1" si="67">IF(F1026="","",
 IF(F1026&lt;=60,"Active",
 IF(F1026&lt;=120,"At Risk","Inactive")))</f>
        <v>Inactive</v>
      </c>
      <c r="H1026" s="13">
        <f>RANK(B1026,Customer_Tiers[Total_Sales])</f>
        <v>1025</v>
      </c>
    </row>
    <row r="1027" spans="1:8">
      <c r="A1027" t="str">
        <f>'Top Customers'!A1029</f>
        <v>ELDHO VARIAMPURAM</v>
      </c>
      <c r="B1027" s="5">
        <f>IF(A1027="","",IFERROR(GETPIVOTDATA("Sales Amount",'Top Customers'!$A$3,"Customer_name",'Top Customers'!A1029),""))</f>
        <v>2100</v>
      </c>
      <c r="C1027" t="str">
        <f t="shared" si="64"/>
        <v>Regular</v>
      </c>
      <c r="D1027">
        <f t="shared" si="65"/>
        <v>97900</v>
      </c>
      <c r="E1027" s="6">
        <f t="shared" si="66"/>
        <v>3.6676758751248035E-5</v>
      </c>
      <c r="F1027" s="5">
        <f ca="1">TODAY()-GETPIVOTDATA("LastPurchaseDate",MaxDate!$A$3,"Customer_name",MaxDate!A1029)</f>
        <v>193</v>
      </c>
      <c r="G1027" t="str">
        <f t="shared" ca="1" si="67"/>
        <v>Inactive</v>
      </c>
      <c r="H1027" s="13">
        <f>RANK(B1027,Customer_Tiers[Total_Sales])</f>
        <v>1026</v>
      </c>
    </row>
    <row r="1028" spans="1:8">
      <c r="A1028" t="str">
        <f>'Top Customers'!A1030</f>
        <v>SOMAN PILLA</v>
      </c>
      <c r="B1028" s="5">
        <f>IF(A1028="","",IFERROR(GETPIVOTDATA("Sales Amount",'Top Customers'!$A$3,"Customer_name",'Top Customers'!A1030),""))</f>
        <v>2085</v>
      </c>
      <c r="C1028" t="str">
        <f t="shared" si="64"/>
        <v>Regular</v>
      </c>
      <c r="D1028">
        <f t="shared" si="65"/>
        <v>97915</v>
      </c>
      <c r="E1028" s="6">
        <f t="shared" si="66"/>
        <v>3.6414781903024838E-5</v>
      </c>
      <c r="F1028" s="5">
        <f ca="1">TODAY()-GETPIVOTDATA("LastPurchaseDate",MaxDate!$A$3,"Customer_name",MaxDate!A1030)</f>
        <v>227</v>
      </c>
      <c r="G1028" t="str">
        <f t="shared" ca="1" si="67"/>
        <v>Inactive</v>
      </c>
      <c r="H1028" s="13">
        <f>RANK(B1028,Customer_Tiers[Total_Sales])</f>
        <v>1027</v>
      </c>
    </row>
    <row r="1029" spans="1:8">
      <c r="A1029" t="str">
        <f>'Top Customers'!A1031</f>
        <v>ANTONY KILIKULAM</v>
      </c>
      <c r="B1029" s="5">
        <f>IF(A1029="","",IFERROR(GETPIVOTDATA("Sales Amount",'Top Customers'!$A$3,"Customer_name",'Top Customers'!A1031),""))</f>
        <v>2080</v>
      </c>
      <c r="C1029" t="str">
        <f t="shared" si="64"/>
        <v>Regular</v>
      </c>
      <c r="D1029">
        <f t="shared" si="65"/>
        <v>97920</v>
      </c>
      <c r="E1029" s="6">
        <f t="shared" si="66"/>
        <v>3.6327456286950436E-5</v>
      </c>
      <c r="F1029" s="5">
        <f ca="1">TODAY()-GETPIVOTDATA("LastPurchaseDate",MaxDate!$A$3,"Customer_name",MaxDate!A1031)</f>
        <v>114</v>
      </c>
      <c r="G1029" t="str">
        <f t="shared" ca="1" si="67"/>
        <v>At Risk</v>
      </c>
      <c r="H1029" s="13">
        <f>RANK(B1029,Customer_Tiers[Total_Sales])</f>
        <v>1028</v>
      </c>
    </row>
    <row r="1030" spans="1:8">
      <c r="A1030" t="str">
        <f>'Top Customers'!A1032</f>
        <v>NAUSHAD PATTIMATTOM</v>
      </c>
      <c r="B1030" s="5">
        <f>IF(A1030="","",IFERROR(GETPIVOTDATA("Sales Amount",'Top Customers'!$A$3,"Customer_name",'Top Customers'!A1032),""))</f>
        <v>2065</v>
      </c>
      <c r="C1030" t="str">
        <f t="shared" si="64"/>
        <v>Regular</v>
      </c>
      <c r="D1030">
        <f t="shared" si="65"/>
        <v>97935</v>
      </c>
      <c r="E1030" s="6">
        <f t="shared" si="66"/>
        <v>3.6065479438727239E-5</v>
      </c>
      <c r="F1030" s="5">
        <f ca="1">TODAY()-GETPIVOTDATA("LastPurchaseDate",MaxDate!$A$3,"Customer_name",MaxDate!A1032)</f>
        <v>36</v>
      </c>
      <c r="G1030" t="str">
        <f t="shared" ca="1" si="67"/>
        <v>Active</v>
      </c>
      <c r="H1030" s="13">
        <f>RANK(B1030,Customer_Tiers[Total_Sales])</f>
        <v>1029</v>
      </c>
    </row>
    <row r="1031" spans="1:8">
      <c r="A1031" t="str">
        <f>'Top Customers'!A1033</f>
        <v>M K CHACKO</v>
      </c>
      <c r="B1031" s="5">
        <f>IF(A1031="","",IFERROR(GETPIVOTDATA("Sales Amount",'Top Customers'!$A$3,"Customer_name",'Top Customers'!A1033),""))</f>
        <v>2060</v>
      </c>
      <c r="C1031" t="str">
        <f t="shared" si="64"/>
        <v>Regular</v>
      </c>
      <c r="D1031">
        <f t="shared" si="65"/>
        <v>97940</v>
      </c>
      <c r="E1031" s="6">
        <f t="shared" si="66"/>
        <v>3.5978153822652837E-5</v>
      </c>
      <c r="F1031" s="5">
        <f ca="1">TODAY()-GETPIVOTDATA("LastPurchaseDate",MaxDate!$A$3,"Customer_name",MaxDate!A1033)</f>
        <v>129</v>
      </c>
      <c r="G1031" t="str">
        <f t="shared" ca="1" si="67"/>
        <v>Inactive</v>
      </c>
      <c r="H1031" s="13">
        <f>RANK(B1031,Customer_Tiers[Total_Sales])</f>
        <v>1030</v>
      </c>
    </row>
    <row r="1032" spans="1:8">
      <c r="A1032" t="str">
        <f>'Top Customers'!A1034</f>
        <v>SAJU , THENGANAL</v>
      </c>
      <c r="B1032" s="5">
        <f>IF(A1032="","",IFERROR(GETPIVOTDATA("Sales Amount",'Top Customers'!$A$3,"Customer_name",'Top Customers'!A1034),""))</f>
        <v>2055</v>
      </c>
      <c r="C1032" t="str">
        <f t="shared" si="64"/>
        <v>Regular</v>
      </c>
      <c r="D1032">
        <f t="shared" si="65"/>
        <v>97945</v>
      </c>
      <c r="E1032" s="6">
        <f t="shared" si="66"/>
        <v>3.5890828206578436E-5</v>
      </c>
      <c r="F1032" s="5">
        <f ca="1">TODAY()-GETPIVOTDATA("LastPurchaseDate",MaxDate!$A$3,"Customer_name",MaxDate!A1034)</f>
        <v>65</v>
      </c>
      <c r="G1032" t="str">
        <f t="shared" ca="1" si="67"/>
        <v>At Risk</v>
      </c>
      <c r="H1032" s="13">
        <f>RANK(B1032,Customer_Tiers[Total_Sales])</f>
        <v>1031</v>
      </c>
    </row>
    <row r="1033" spans="1:8">
      <c r="A1033" t="str">
        <f>'Top Customers'!A1035</f>
        <v>JIMMY, CHUNAMGAMVELY</v>
      </c>
      <c r="B1033" s="5">
        <f>IF(A1033="","",IFERROR(GETPIVOTDATA("Sales Amount",'Top Customers'!$A$3,"Customer_name",'Top Customers'!A1035),""))</f>
        <v>2025</v>
      </c>
      <c r="C1033" t="str">
        <f t="shared" si="64"/>
        <v>Regular</v>
      </c>
      <c r="D1033">
        <f t="shared" si="65"/>
        <v>97975</v>
      </c>
      <c r="E1033" s="6">
        <f t="shared" si="66"/>
        <v>3.5366874510132034E-5</v>
      </c>
      <c r="F1033" s="5">
        <f ca="1">TODAY()-GETPIVOTDATA("LastPurchaseDate",MaxDate!$A$3,"Customer_name",MaxDate!A1035)</f>
        <v>321</v>
      </c>
      <c r="G1033" t="str">
        <f t="shared" ca="1" si="67"/>
        <v>Inactive</v>
      </c>
      <c r="H1033" s="13">
        <f>RANK(B1033,Customer_Tiers[Total_Sales])</f>
        <v>1032</v>
      </c>
    </row>
    <row r="1034" spans="1:8">
      <c r="A1034" t="str">
        <f>'Top Customers'!A1036</f>
        <v>FAIZAL KUMMANODE</v>
      </c>
      <c r="B1034" s="5">
        <f>IF(A1034="","",IFERROR(GETPIVOTDATA("Sales Amount",'Top Customers'!$A$3,"Customer_name",'Top Customers'!A1036),""))</f>
        <v>2020</v>
      </c>
      <c r="C1034" t="str">
        <f t="shared" si="64"/>
        <v>Regular</v>
      </c>
      <c r="D1034">
        <f t="shared" si="65"/>
        <v>97980</v>
      </c>
      <c r="E1034" s="6">
        <f t="shared" si="66"/>
        <v>3.5279548894057633E-5</v>
      </c>
      <c r="F1034" s="5">
        <f ca="1">TODAY()-GETPIVOTDATA("LastPurchaseDate",MaxDate!$A$3,"Customer_name",MaxDate!A1036)</f>
        <v>78</v>
      </c>
      <c r="G1034" t="str">
        <f t="shared" ca="1" si="67"/>
        <v>At Risk</v>
      </c>
      <c r="H1034" s="13">
        <f>RANK(B1034,Customer_Tiers[Total_Sales])</f>
        <v>1033</v>
      </c>
    </row>
    <row r="1035" spans="1:8">
      <c r="A1035" t="str">
        <f>'Top Customers'!A1037</f>
        <v>JABBAR THOTTUNGAL</v>
      </c>
      <c r="B1035" s="5">
        <f>IF(A1035="","",IFERROR(GETPIVOTDATA("Sales Amount",'Top Customers'!$A$3,"Customer_name",'Top Customers'!A1037),""))</f>
        <v>2000</v>
      </c>
      <c r="C1035" t="str">
        <f t="shared" si="64"/>
        <v>Regular</v>
      </c>
      <c r="D1035">
        <f t="shared" si="65"/>
        <v>98000</v>
      </c>
      <c r="E1035" s="6">
        <f t="shared" si="66"/>
        <v>3.4930246429760034E-5</v>
      </c>
      <c r="F1035" s="5">
        <f ca="1">TODAY()-GETPIVOTDATA("LastPurchaseDate",MaxDate!$A$3,"Customer_name",MaxDate!A1037)</f>
        <v>19</v>
      </c>
      <c r="G1035" t="str">
        <f t="shared" ca="1" si="67"/>
        <v>Active</v>
      </c>
      <c r="H1035" s="13">
        <f>RANK(B1035,Customer_Tiers[Total_Sales])</f>
        <v>1034</v>
      </c>
    </row>
    <row r="1036" spans="1:8">
      <c r="A1036" t="str">
        <f>'Top Customers'!A1038</f>
        <v>YADHU KRISHNA</v>
      </c>
      <c r="B1036" s="5">
        <f>IF(A1036="","",IFERROR(GETPIVOTDATA("Sales Amount",'Top Customers'!$A$3,"Customer_name",'Top Customers'!A1038),""))</f>
        <v>1997</v>
      </c>
      <c r="C1036" t="str">
        <f t="shared" si="64"/>
        <v>Regular</v>
      </c>
      <c r="D1036">
        <f t="shared" si="65"/>
        <v>98003</v>
      </c>
      <c r="E1036" s="6">
        <f t="shared" si="66"/>
        <v>3.4877851060115391E-5</v>
      </c>
      <c r="F1036" s="5">
        <f ca="1">TODAY()-GETPIVOTDATA("LastPurchaseDate",MaxDate!$A$3,"Customer_name",MaxDate!A1038)</f>
        <v>18</v>
      </c>
      <c r="G1036" t="str">
        <f t="shared" ca="1" si="67"/>
        <v>Active</v>
      </c>
      <c r="H1036" s="13">
        <f>RANK(B1036,Customer_Tiers[Total_Sales])</f>
        <v>1035</v>
      </c>
    </row>
    <row r="1037" spans="1:8">
      <c r="A1037" t="str">
        <f>'Top Customers'!A1039</f>
        <v>FRANCIS DAYARAPADY</v>
      </c>
      <c r="B1037" s="5">
        <f>IF(A1037="","",IFERROR(GETPIVOTDATA("Sales Amount",'Top Customers'!$A$3,"Customer_name",'Top Customers'!A1039),""))</f>
        <v>1980</v>
      </c>
      <c r="C1037" t="str">
        <f t="shared" si="64"/>
        <v>Regular</v>
      </c>
      <c r="D1037">
        <f t="shared" si="65"/>
        <v>98020</v>
      </c>
      <c r="E1037" s="6">
        <f t="shared" si="66"/>
        <v>3.4580943965462435E-5</v>
      </c>
      <c r="F1037" s="5">
        <f ca="1">TODAY()-GETPIVOTDATA("LastPurchaseDate",MaxDate!$A$3,"Customer_name",MaxDate!A1039)</f>
        <v>141</v>
      </c>
      <c r="G1037" t="str">
        <f t="shared" ca="1" si="67"/>
        <v>Inactive</v>
      </c>
      <c r="H1037" s="13">
        <f>RANK(B1037,Customer_Tiers[Total_Sales])</f>
        <v>1036</v>
      </c>
    </row>
    <row r="1038" spans="1:8">
      <c r="A1038" t="str">
        <f>'Top Customers'!A1040</f>
        <v>PRINCE STEEL FABRICATION</v>
      </c>
      <c r="B1038" s="5">
        <f>IF(A1038="","",IFERROR(GETPIVOTDATA("Sales Amount",'Top Customers'!$A$3,"Customer_name",'Top Customers'!A1040),""))</f>
        <v>1966</v>
      </c>
      <c r="C1038" t="str">
        <f t="shared" si="64"/>
        <v>Regular</v>
      </c>
      <c r="D1038">
        <f t="shared" si="65"/>
        <v>98034</v>
      </c>
      <c r="E1038" s="6">
        <f t="shared" si="66"/>
        <v>3.4336432240454113E-5</v>
      </c>
      <c r="F1038" s="5">
        <f ca="1">TODAY()-GETPIVOTDATA("LastPurchaseDate",MaxDate!$A$3,"Customer_name",MaxDate!A1040)</f>
        <v>205</v>
      </c>
      <c r="G1038" t="str">
        <f t="shared" ca="1" si="67"/>
        <v>Inactive</v>
      </c>
      <c r="H1038" s="13">
        <f>RANK(B1038,Customer_Tiers[Total_Sales])</f>
        <v>1037</v>
      </c>
    </row>
    <row r="1039" spans="1:8">
      <c r="A1039" t="str">
        <f>'Top Customers'!A1041</f>
        <v>NIRMAL PATTIMATTOM</v>
      </c>
      <c r="B1039" s="5">
        <f>IF(A1039="","",IFERROR(GETPIVOTDATA("Sales Amount",'Top Customers'!$A$3,"Customer_name",'Top Customers'!A1041),""))</f>
        <v>1957</v>
      </c>
      <c r="C1039" t="str">
        <f t="shared" si="64"/>
        <v>Regular</v>
      </c>
      <c r="D1039">
        <f t="shared" si="65"/>
        <v>98043</v>
      </c>
      <c r="E1039" s="6">
        <f t="shared" si="66"/>
        <v>3.4179246131520194E-5</v>
      </c>
      <c r="F1039" s="5">
        <f ca="1">TODAY()-GETPIVOTDATA("LastPurchaseDate",MaxDate!$A$3,"Customer_name",MaxDate!A1041)</f>
        <v>25</v>
      </c>
      <c r="G1039" t="str">
        <f t="shared" ca="1" si="67"/>
        <v>Active</v>
      </c>
      <c r="H1039" s="13">
        <f>RANK(B1039,Customer_Tiers[Total_Sales])</f>
        <v>1038</v>
      </c>
    </row>
    <row r="1040" spans="1:8">
      <c r="A1040" t="str">
        <f>'Top Customers'!A1042</f>
        <v>LINK MANAGEMENT SOLUTIONS PVT.LTD.</v>
      </c>
      <c r="B1040" s="5">
        <f>IF(A1040="","",IFERROR(GETPIVOTDATA("Sales Amount",'Top Customers'!$A$3,"Customer_name",'Top Customers'!A1042),""))</f>
        <v>1947</v>
      </c>
      <c r="C1040" t="str">
        <f t="shared" si="64"/>
        <v>Regular</v>
      </c>
      <c r="D1040">
        <f t="shared" si="65"/>
        <v>98053</v>
      </c>
      <c r="E1040" s="6">
        <f t="shared" si="66"/>
        <v>3.4004594899371391E-5</v>
      </c>
      <c r="F1040" s="5">
        <f ca="1">TODAY()-GETPIVOTDATA("LastPurchaseDate",MaxDate!$A$3,"Customer_name",MaxDate!A1042)</f>
        <v>331</v>
      </c>
      <c r="G1040" t="str">
        <f t="shared" ca="1" si="67"/>
        <v>Inactive</v>
      </c>
      <c r="H1040" s="13">
        <f>RANK(B1040,Customer_Tiers[Total_Sales])</f>
        <v>1039</v>
      </c>
    </row>
    <row r="1041" spans="1:8">
      <c r="A1041" t="str">
        <f>'Top Customers'!A1043</f>
        <v>KANNAN CHENGARA</v>
      </c>
      <c r="B1041" s="5">
        <f>IF(A1041="","",IFERROR(GETPIVOTDATA("Sales Amount",'Top Customers'!$A$3,"Customer_name",'Top Customers'!A1043),""))</f>
        <v>1920</v>
      </c>
      <c r="C1041" t="str">
        <f t="shared" si="64"/>
        <v>Regular</v>
      </c>
      <c r="D1041">
        <f t="shared" si="65"/>
        <v>98080</v>
      </c>
      <c r="E1041" s="6">
        <f t="shared" si="66"/>
        <v>3.3533036572569631E-5</v>
      </c>
      <c r="F1041" s="5">
        <f ca="1">TODAY()-GETPIVOTDATA("LastPurchaseDate",MaxDate!$A$3,"Customer_name",MaxDate!A1043)</f>
        <v>299</v>
      </c>
      <c r="G1041" t="str">
        <f t="shared" ca="1" si="67"/>
        <v>Inactive</v>
      </c>
      <c r="H1041" s="13">
        <f>RANK(B1041,Customer_Tiers[Total_Sales])</f>
        <v>1040</v>
      </c>
    </row>
    <row r="1042" spans="1:8">
      <c r="A1042" t="str">
        <f>'Top Customers'!A1044</f>
        <v>R.SAJIKUMAR</v>
      </c>
      <c r="B1042" s="5">
        <f>IF(A1042="","",IFERROR(GETPIVOTDATA("Sales Amount",'Top Customers'!$A$3,"Customer_name",'Top Customers'!A1044),""))</f>
        <v>1920</v>
      </c>
      <c r="C1042" t="str">
        <f t="shared" si="64"/>
        <v>Regular</v>
      </c>
      <c r="D1042">
        <f t="shared" si="65"/>
        <v>98080</v>
      </c>
      <c r="E1042" s="6">
        <f t="shared" si="66"/>
        <v>3.3533036572569631E-5</v>
      </c>
      <c r="F1042" s="5">
        <f ca="1">TODAY()-GETPIVOTDATA("LastPurchaseDate",MaxDate!$A$3,"Customer_name",MaxDate!A1044)</f>
        <v>38</v>
      </c>
      <c r="G1042" t="str">
        <f t="shared" ca="1" si="67"/>
        <v>Active</v>
      </c>
      <c r="H1042" s="13">
        <f>RANK(B1042,Customer_Tiers[Total_Sales])</f>
        <v>1040</v>
      </c>
    </row>
    <row r="1043" spans="1:8">
      <c r="A1043" t="str">
        <f>'Top Customers'!A1045</f>
        <v>BAVA  THOTTUNGAL</v>
      </c>
      <c r="B1043" s="5">
        <f>IF(A1043="","",IFERROR(GETPIVOTDATA("Sales Amount",'Top Customers'!$A$3,"Customer_name",'Top Customers'!A1045),""))</f>
        <v>1900</v>
      </c>
      <c r="C1043" t="str">
        <f t="shared" si="64"/>
        <v>Regular</v>
      </c>
      <c r="D1043">
        <f t="shared" si="65"/>
        <v>98100</v>
      </c>
      <c r="E1043" s="6">
        <f t="shared" si="66"/>
        <v>3.3183734108272032E-5</v>
      </c>
      <c r="F1043" s="5">
        <f ca="1">TODAY()-GETPIVOTDATA("LastPurchaseDate",MaxDate!$A$3,"Customer_name",MaxDate!A1045)</f>
        <v>44</v>
      </c>
      <c r="G1043" t="str">
        <f t="shared" ca="1" si="67"/>
        <v>Active</v>
      </c>
      <c r="H1043" s="13">
        <f>RANK(B1043,Customer_Tiers[Total_Sales])</f>
        <v>1042</v>
      </c>
    </row>
    <row r="1044" spans="1:8">
      <c r="A1044" t="str">
        <f>'Top Customers'!A1046</f>
        <v>BIJU MECHANIC</v>
      </c>
      <c r="B1044" s="5">
        <f>IF(A1044="","",IFERROR(GETPIVOTDATA("Sales Amount",'Top Customers'!$A$3,"Customer_name",'Top Customers'!A1046),""))</f>
        <v>1896</v>
      </c>
      <c r="C1044" t="str">
        <f t="shared" si="64"/>
        <v>Regular</v>
      </c>
      <c r="D1044">
        <f t="shared" si="65"/>
        <v>98104</v>
      </c>
      <c r="E1044" s="6">
        <f t="shared" si="66"/>
        <v>3.3113873615412514E-5</v>
      </c>
      <c r="F1044" s="5">
        <f ca="1">TODAY()-GETPIVOTDATA("LastPurchaseDate",MaxDate!$A$3,"Customer_name",MaxDate!A1046)</f>
        <v>25</v>
      </c>
      <c r="G1044" t="str">
        <f t="shared" ca="1" si="67"/>
        <v>Active</v>
      </c>
      <c r="H1044" s="13">
        <f>RANK(B1044,Customer_Tiers[Total_Sales])</f>
        <v>1043</v>
      </c>
    </row>
    <row r="1045" spans="1:8">
      <c r="A1045" t="str">
        <f>'Top Customers'!A1047</f>
        <v>BIJO ,KURIAN</v>
      </c>
      <c r="B1045" s="5">
        <f>IF(A1045="","",IFERROR(GETPIVOTDATA("Sales Amount",'Top Customers'!$A$3,"Customer_name",'Top Customers'!A1047),""))</f>
        <v>1883</v>
      </c>
      <c r="C1045" t="str">
        <f t="shared" si="64"/>
        <v>Regular</v>
      </c>
      <c r="D1045">
        <f t="shared" si="65"/>
        <v>98117</v>
      </c>
      <c r="E1045" s="6">
        <f t="shared" si="66"/>
        <v>3.2886827013619076E-5</v>
      </c>
      <c r="F1045" s="5">
        <f ca="1">TODAY()-GETPIVOTDATA("LastPurchaseDate",MaxDate!$A$3,"Customer_name",MaxDate!A1047)</f>
        <v>142</v>
      </c>
      <c r="G1045" t="str">
        <f t="shared" ca="1" si="67"/>
        <v>Inactive</v>
      </c>
      <c r="H1045" s="13">
        <f>RANK(B1045,Customer_Tiers[Total_Sales])</f>
        <v>1044</v>
      </c>
    </row>
    <row r="1046" spans="1:8">
      <c r="A1046" t="str">
        <f>'Top Customers'!A1048</f>
        <v>UMMER CHENGARA</v>
      </c>
      <c r="B1046" s="5">
        <f>IF(A1046="","",IFERROR(GETPIVOTDATA("Sales Amount",'Top Customers'!$A$3,"Customer_name",'Top Customers'!A1048),""))</f>
        <v>1862</v>
      </c>
      <c r="C1046" t="str">
        <f t="shared" si="64"/>
        <v>Regular</v>
      </c>
      <c r="D1046">
        <f t="shared" si="65"/>
        <v>98138</v>
      </c>
      <c r="E1046" s="6">
        <f t="shared" si="66"/>
        <v>3.2520059426106594E-5</v>
      </c>
      <c r="F1046" s="5">
        <f ca="1">TODAY()-GETPIVOTDATA("LastPurchaseDate",MaxDate!$A$3,"Customer_name",MaxDate!A1048)</f>
        <v>202</v>
      </c>
      <c r="G1046" t="str">
        <f t="shared" ca="1" si="67"/>
        <v>Inactive</v>
      </c>
      <c r="H1046" s="13">
        <f>RANK(B1046,Customer_Tiers[Total_Sales])</f>
        <v>1045</v>
      </c>
    </row>
    <row r="1047" spans="1:8">
      <c r="A1047" t="str">
        <f>'Top Customers'!A1049</f>
        <v>RAJESH NAIR CHENGARA</v>
      </c>
      <c r="B1047" s="5">
        <f>IF(A1047="","",IFERROR(GETPIVOTDATA("Sales Amount",'Top Customers'!$A$3,"Customer_name",'Top Customers'!A1049),""))</f>
        <v>1860</v>
      </c>
      <c r="C1047" t="str">
        <f t="shared" si="64"/>
        <v>Regular</v>
      </c>
      <c r="D1047">
        <f t="shared" si="65"/>
        <v>98140</v>
      </c>
      <c r="E1047" s="6">
        <f t="shared" si="66"/>
        <v>3.2485129179676835E-5</v>
      </c>
      <c r="F1047" s="5">
        <f ca="1">TODAY()-GETPIVOTDATA("LastPurchaseDate",MaxDate!$A$3,"Customer_name",MaxDate!A1049)</f>
        <v>85</v>
      </c>
      <c r="G1047" t="str">
        <f t="shared" ca="1" si="67"/>
        <v>At Risk</v>
      </c>
      <c r="H1047" s="13">
        <f>RANK(B1047,Customer_Tiers[Total_Sales])</f>
        <v>1046</v>
      </c>
    </row>
    <row r="1048" spans="1:8">
      <c r="A1048" t="str">
        <f>'Top Customers'!A1050</f>
        <v>SAJU E.N</v>
      </c>
      <c r="B1048" s="5">
        <f>IF(A1048="","",IFERROR(GETPIVOTDATA("Sales Amount",'Top Customers'!$A$3,"Customer_name",'Top Customers'!A1050),""))</f>
        <v>1850</v>
      </c>
      <c r="C1048" t="str">
        <f t="shared" si="64"/>
        <v>Regular</v>
      </c>
      <c r="D1048">
        <f t="shared" si="65"/>
        <v>98150</v>
      </c>
      <c r="E1048" s="6">
        <f t="shared" si="66"/>
        <v>3.2310477947528032E-5</v>
      </c>
      <c r="F1048" s="5">
        <f ca="1">TODAY()-GETPIVOTDATA("LastPurchaseDate",MaxDate!$A$3,"Customer_name",MaxDate!A1050)</f>
        <v>295</v>
      </c>
      <c r="G1048" t="str">
        <f t="shared" ca="1" si="67"/>
        <v>Inactive</v>
      </c>
      <c r="H1048" s="13">
        <f>RANK(B1048,Customer_Tiers[Total_Sales])</f>
        <v>1047</v>
      </c>
    </row>
    <row r="1049" spans="1:8">
      <c r="A1049" t="str">
        <f>'Top Customers'!A1051</f>
        <v>SANDEEP NJARALLOOR</v>
      </c>
      <c r="B1049" s="5">
        <f>IF(A1049="","",IFERROR(GETPIVOTDATA("Sales Amount",'Top Customers'!$A$3,"Customer_name",'Top Customers'!A1051),""))</f>
        <v>1850</v>
      </c>
      <c r="C1049" t="str">
        <f t="shared" si="64"/>
        <v>Regular</v>
      </c>
      <c r="D1049">
        <f t="shared" si="65"/>
        <v>98150</v>
      </c>
      <c r="E1049" s="6">
        <f t="shared" si="66"/>
        <v>3.2310477947528032E-5</v>
      </c>
      <c r="F1049" s="5">
        <f ca="1">TODAY()-GETPIVOTDATA("LastPurchaseDate",MaxDate!$A$3,"Customer_name",MaxDate!A1051)</f>
        <v>178</v>
      </c>
      <c r="G1049" t="str">
        <f t="shared" ca="1" si="67"/>
        <v>Inactive</v>
      </c>
      <c r="H1049" s="13">
        <f>RANK(B1049,Customer_Tiers[Total_Sales])</f>
        <v>1047</v>
      </c>
    </row>
    <row r="1050" spans="1:8">
      <c r="A1050" t="str">
        <f>'Top Customers'!A1052</f>
        <v>SINDHU NJARALLOOR</v>
      </c>
      <c r="B1050" s="5">
        <f>IF(A1050="","",IFERROR(GETPIVOTDATA("Sales Amount",'Top Customers'!$A$3,"Customer_name",'Top Customers'!A1052),""))</f>
        <v>1842</v>
      </c>
      <c r="C1050" t="str">
        <f t="shared" si="64"/>
        <v>Regular</v>
      </c>
      <c r="D1050">
        <f t="shared" si="65"/>
        <v>98158</v>
      </c>
      <c r="E1050" s="6">
        <f t="shared" si="66"/>
        <v>3.2170756961808995E-5</v>
      </c>
      <c r="F1050" s="5">
        <f ca="1">TODAY()-GETPIVOTDATA("LastPurchaseDate",MaxDate!$A$3,"Customer_name",MaxDate!A1052)</f>
        <v>311</v>
      </c>
      <c r="G1050" t="str">
        <f t="shared" ca="1" si="67"/>
        <v>Inactive</v>
      </c>
      <c r="H1050" s="13">
        <f>RANK(B1050,Customer_Tiers[Total_Sales])</f>
        <v>1049</v>
      </c>
    </row>
    <row r="1051" spans="1:8">
      <c r="A1051" t="str">
        <f>'Top Customers'!A1053</f>
        <v>GEORGE NJATTUMKALA</v>
      </c>
      <c r="B1051" s="5">
        <f>IF(A1051="","",IFERROR(GETPIVOTDATA("Sales Amount",'Top Customers'!$A$3,"Customer_name",'Top Customers'!A1053),""))</f>
        <v>1840</v>
      </c>
      <c r="C1051" t="str">
        <f t="shared" si="64"/>
        <v>Regular</v>
      </c>
      <c r="D1051">
        <f t="shared" si="65"/>
        <v>98160</v>
      </c>
      <c r="E1051" s="6">
        <f t="shared" si="66"/>
        <v>3.2135826715379229E-5</v>
      </c>
      <c r="F1051" s="5">
        <f ca="1">TODAY()-GETPIVOTDATA("LastPurchaseDate",MaxDate!$A$3,"Customer_name",MaxDate!A1053)</f>
        <v>202</v>
      </c>
      <c r="G1051" t="str">
        <f t="shared" ca="1" si="67"/>
        <v>Inactive</v>
      </c>
      <c r="H1051" s="13">
        <f>RANK(B1051,Customer_Tiers[Total_Sales])</f>
        <v>1050</v>
      </c>
    </row>
    <row r="1052" spans="1:8">
      <c r="A1052" t="str">
        <f>'Top Customers'!A1054</f>
        <v>KUKKU , KUMMANODU</v>
      </c>
      <c r="B1052" s="5">
        <f>IF(A1052="","",IFERROR(GETPIVOTDATA("Sales Amount",'Top Customers'!$A$3,"Customer_name",'Top Customers'!A1054),""))</f>
        <v>1836</v>
      </c>
      <c r="C1052" t="str">
        <f t="shared" si="64"/>
        <v>Regular</v>
      </c>
      <c r="D1052">
        <f t="shared" si="65"/>
        <v>98164</v>
      </c>
      <c r="E1052" s="6">
        <f t="shared" si="66"/>
        <v>3.206596622251971E-5</v>
      </c>
      <c r="F1052" s="5">
        <f ca="1">TODAY()-GETPIVOTDATA("LastPurchaseDate",MaxDate!$A$3,"Customer_name",MaxDate!A1054)</f>
        <v>13</v>
      </c>
      <c r="G1052" t="str">
        <f t="shared" ca="1" si="67"/>
        <v>Active</v>
      </c>
      <c r="H1052" s="13">
        <f>RANK(B1052,Customer_Tiers[Total_Sales])</f>
        <v>1051</v>
      </c>
    </row>
    <row r="1053" spans="1:8">
      <c r="A1053" t="str">
        <f>'Top Customers'!A1055</f>
        <v>SURESH MAZVANOOR</v>
      </c>
      <c r="B1053" s="5">
        <f>IF(A1053="","",IFERROR(GETPIVOTDATA("Sales Amount",'Top Customers'!$A$3,"Customer_name",'Top Customers'!A1055),""))</f>
        <v>1833</v>
      </c>
      <c r="C1053" t="str">
        <f t="shared" si="64"/>
        <v>Regular</v>
      </c>
      <c r="D1053">
        <f t="shared" si="65"/>
        <v>98167</v>
      </c>
      <c r="E1053" s="6">
        <f t="shared" si="66"/>
        <v>3.2013570852875075E-5</v>
      </c>
      <c r="F1053" s="5">
        <f ca="1">TODAY()-GETPIVOTDATA("LastPurchaseDate",MaxDate!$A$3,"Customer_name",MaxDate!A1055)</f>
        <v>43</v>
      </c>
      <c r="G1053" t="str">
        <f t="shared" ca="1" si="67"/>
        <v>Active</v>
      </c>
      <c r="H1053" s="13">
        <f>RANK(B1053,Customer_Tiers[Total_Sales])</f>
        <v>1052</v>
      </c>
    </row>
    <row r="1054" spans="1:8">
      <c r="A1054" t="str">
        <f>'Top Customers'!A1056</f>
        <v>ANIL KILIKULAM</v>
      </c>
      <c r="B1054" s="5">
        <f>IF(A1054="","",IFERROR(GETPIVOTDATA("Sales Amount",'Top Customers'!$A$3,"Customer_name",'Top Customers'!A1056),""))</f>
        <v>1800</v>
      </c>
      <c r="C1054" t="str">
        <f t="shared" si="64"/>
        <v>Regular</v>
      </c>
      <c r="D1054">
        <f t="shared" si="65"/>
        <v>98200</v>
      </c>
      <c r="E1054" s="6">
        <f t="shared" si="66"/>
        <v>3.1437221786784031E-5</v>
      </c>
      <c r="F1054" s="5">
        <f ca="1">TODAY()-GETPIVOTDATA("LastPurchaseDate",MaxDate!$A$3,"Customer_name",MaxDate!A1056)</f>
        <v>242</v>
      </c>
      <c r="G1054" t="str">
        <f t="shared" ca="1" si="67"/>
        <v>Inactive</v>
      </c>
      <c r="H1054" s="13">
        <f>RANK(B1054,Customer_Tiers[Total_Sales])</f>
        <v>1053</v>
      </c>
    </row>
    <row r="1055" spans="1:8">
      <c r="A1055" t="str">
        <f>'Top Customers'!A1057</f>
        <v>JOHNY PASSENGER</v>
      </c>
      <c r="B1055" s="5">
        <f>IF(A1055="","",IFERROR(GETPIVOTDATA("Sales Amount",'Top Customers'!$A$3,"Customer_name",'Top Customers'!A1057),""))</f>
        <v>1800</v>
      </c>
      <c r="C1055" t="str">
        <f t="shared" si="64"/>
        <v>Regular</v>
      </c>
      <c r="D1055">
        <f t="shared" si="65"/>
        <v>98200</v>
      </c>
      <c r="E1055" s="6">
        <f t="shared" si="66"/>
        <v>3.1437221786784031E-5</v>
      </c>
      <c r="F1055" s="5">
        <f ca="1">TODAY()-GETPIVOTDATA("LastPurchaseDate",MaxDate!$A$3,"Customer_name",MaxDate!A1057)</f>
        <v>303</v>
      </c>
      <c r="G1055" t="str">
        <f t="shared" ca="1" si="67"/>
        <v>Inactive</v>
      </c>
      <c r="H1055" s="13">
        <f>RANK(B1055,Customer_Tiers[Total_Sales])</f>
        <v>1053</v>
      </c>
    </row>
    <row r="1056" spans="1:8">
      <c r="A1056" t="str">
        <f>'Top Customers'!A1058</f>
        <v>KM ASSI</v>
      </c>
      <c r="B1056" s="5">
        <f>IF(A1056="","",IFERROR(GETPIVOTDATA("Sales Amount",'Top Customers'!$A$3,"Customer_name",'Top Customers'!A1058),""))</f>
        <v>1788</v>
      </c>
      <c r="C1056" t="str">
        <f t="shared" si="64"/>
        <v>Regular</v>
      </c>
      <c r="D1056">
        <f t="shared" si="65"/>
        <v>98212</v>
      </c>
      <c r="E1056" s="6">
        <f t="shared" si="66"/>
        <v>3.1227640308205469E-5</v>
      </c>
      <c r="F1056" s="5">
        <f ca="1">TODAY()-GETPIVOTDATA("LastPurchaseDate",MaxDate!$A$3,"Customer_name",MaxDate!A1058)</f>
        <v>3</v>
      </c>
      <c r="G1056" t="str">
        <f t="shared" ca="1" si="67"/>
        <v>Active</v>
      </c>
      <c r="H1056" s="13">
        <f>RANK(B1056,Customer_Tiers[Total_Sales])</f>
        <v>1055</v>
      </c>
    </row>
    <row r="1057" spans="1:8">
      <c r="A1057" t="str">
        <f>'Top Customers'!A1059</f>
        <v>SAJI PASSENGER</v>
      </c>
      <c r="B1057" s="5">
        <f>IF(A1057="","",IFERROR(GETPIVOTDATA("Sales Amount",'Top Customers'!$A$3,"Customer_name",'Top Customers'!A1059),""))</f>
        <v>1782</v>
      </c>
      <c r="C1057" t="str">
        <f t="shared" si="64"/>
        <v>Regular</v>
      </c>
      <c r="D1057">
        <f t="shared" si="65"/>
        <v>98218</v>
      </c>
      <c r="E1057" s="6">
        <f t="shared" si="66"/>
        <v>3.1122849568916191E-5</v>
      </c>
      <c r="F1057" s="5">
        <f ca="1">TODAY()-GETPIVOTDATA("LastPurchaseDate",MaxDate!$A$3,"Customer_name",MaxDate!A1059)</f>
        <v>311</v>
      </c>
      <c r="G1057" t="str">
        <f t="shared" ca="1" si="67"/>
        <v>Inactive</v>
      </c>
      <c r="H1057" s="13">
        <f>RANK(B1057,Customer_Tiers[Total_Sales])</f>
        <v>1056</v>
      </c>
    </row>
    <row r="1058" spans="1:8">
      <c r="A1058" t="str">
        <f>'Top Customers'!A1060</f>
        <v>ROYAL GEORGE KILIKULAM</v>
      </c>
      <c r="B1058" s="5">
        <f>IF(A1058="","",IFERROR(GETPIVOTDATA("Sales Amount",'Top Customers'!$A$3,"Customer_name",'Top Customers'!A1060),""))</f>
        <v>1771</v>
      </c>
      <c r="C1058" t="str">
        <f t="shared" si="64"/>
        <v>Regular</v>
      </c>
      <c r="D1058">
        <f t="shared" si="65"/>
        <v>98229</v>
      </c>
      <c r="E1058" s="6">
        <f t="shared" si="66"/>
        <v>3.0930733213552512E-5</v>
      </c>
      <c r="F1058" s="5">
        <f ca="1">TODAY()-GETPIVOTDATA("LastPurchaseDate",MaxDate!$A$3,"Customer_name",MaxDate!A1060)</f>
        <v>24</v>
      </c>
      <c r="G1058" t="str">
        <f t="shared" ca="1" si="67"/>
        <v>Active</v>
      </c>
      <c r="H1058" s="13">
        <f>RANK(B1058,Customer_Tiers[Total_Sales])</f>
        <v>1057</v>
      </c>
    </row>
    <row r="1059" spans="1:8">
      <c r="A1059" t="str">
        <f>'Top Customers'!A1061</f>
        <v>RATHEESH RAMAKRISHNAN</v>
      </c>
      <c r="B1059" s="5">
        <f>IF(A1059="","",IFERROR(GETPIVOTDATA("Sales Amount",'Top Customers'!$A$3,"Customer_name",'Top Customers'!A1061),""))</f>
        <v>1750</v>
      </c>
      <c r="C1059" t="str">
        <f t="shared" si="64"/>
        <v>Regular</v>
      </c>
      <c r="D1059">
        <f t="shared" si="65"/>
        <v>98250</v>
      </c>
      <c r="E1059" s="6">
        <f t="shared" si="66"/>
        <v>3.056396562604003E-5</v>
      </c>
      <c r="F1059" s="5">
        <f ca="1">TODAY()-GETPIVOTDATA("LastPurchaseDate",MaxDate!$A$3,"Customer_name",MaxDate!A1061)</f>
        <v>150</v>
      </c>
      <c r="G1059" t="str">
        <f t="shared" ca="1" si="67"/>
        <v>Inactive</v>
      </c>
      <c r="H1059" s="13">
        <f>RANK(B1059,Customer_Tiers[Total_Sales])</f>
        <v>1058</v>
      </c>
    </row>
    <row r="1060" spans="1:8">
      <c r="A1060" t="str">
        <f>'Top Customers'!A1062</f>
        <v>MADHU NJARALLOOR</v>
      </c>
      <c r="B1060" s="5">
        <f>IF(A1060="","",IFERROR(GETPIVOTDATA("Sales Amount",'Top Customers'!$A$3,"Customer_name",'Top Customers'!A1062),""))</f>
        <v>1746</v>
      </c>
      <c r="C1060" t="str">
        <f t="shared" si="64"/>
        <v>Regular</v>
      </c>
      <c r="D1060">
        <f t="shared" si="65"/>
        <v>98254</v>
      </c>
      <c r="E1060" s="6">
        <f t="shared" si="66"/>
        <v>3.0494105133180512E-5</v>
      </c>
      <c r="F1060" s="5">
        <f ca="1">TODAY()-GETPIVOTDATA("LastPurchaseDate",MaxDate!$A$3,"Customer_name",MaxDate!A1062)</f>
        <v>143</v>
      </c>
      <c r="G1060" t="str">
        <f t="shared" ca="1" si="67"/>
        <v>Inactive</v>
      </c>
      <c r="H1060" s="13">
        <f>RANK(B1060,Customer_Tiers[Total_Sales])</f>
        <v>1059</v>
      </c>
    </row>
    <row r="1061" spans="1:8">
      <c r="A1061" t="str">
        <f>'Top Customers'!A1063</f>
        <v>THOMSON KZHM</v>
      </c>
      <c r="B1061" s="5">
        <f>IF(A1061="","",IFERROR(GETPIVOTDATA("Sales Amount",'Top Customers'!$A$3,"Customer_name",'Top Customers'!A1063),""))</f>
        <v>1737</v>
      </c>
      <c r="C1061" t="str">
        <f t="shared" si="64"/>
        <v>Regular</v>
      </c>
      <c r="D1061">
        <f t="shared" si="65"/>
        <v>98263</v>
      </c>
      <c r="E1061" s="6">
        <f t="shared" si="66"/>
        <v>3.0336919024246589E-5</v>
      </c>
      <c r="F1061" s="5">
        <f ca="1">TODAY()-GETPIVOTDATA("LastPurchaseDate",MaxDate!$A$3,"Customer_name",MaxDate!A1063)</f>
        <v>174</v>
      </c>
      <c r="G1061" t="str">
        <f t="shared" ca="1" si="67"/>
        <v>Inactive</v>
      </c>
      <c r="H1061" s="13">
        <f>RANK(B1061,Customer_Tiers[Total_Sales])</f>
        <v>1060</v>
      </c>
    </row>
    <row r="1062" spans="1:8">
      <c r="A1062" t="str">
        <f>'Top Customers'!A1064</f>
        <v>AZIZ APE</v>
      </c>
      <c r="B1062" s="5">
        <f>IF(A1062="","",IFERROR(GETPIVOTDATA("Sales Amount",'Top Customers'!$A$3,"Customer_name",'Top Customers'!A1064),""))</f>
        <v>1720</v>
      </c>
      <c r="C1062" t="str">
        <f t="shared" si="64"/>
        <v>Regular</v>
      </c>
      <c r="D1062">
        <f t="shared" si="65"/>
        <v>98280</v>
      </c>
      <c r="E1062" s="6">
        <f t="shared" si="66"/>
        <v>3.0040011929593629E-5</v>
      </c>
      <c r="F1062" s="5">
        <f ca="1">TODAY()-GETPIVOTDATA("LastPurchaseDate",MaxDate!$A$3,"Customer_name",MaxDate!A1064)</f>
        <v>109</v>
      </c>
      <c r="G1062" t="str">
        <f t="shared" ca="1" si="67"/>
        <v>At Risk</v>
      </c>
      <c r="H1062" s="13">
        <f>RANK(B1062,Customer_Tiers[Total_Sales])</f>
        <v>1061</v>
      </c>
    </row>
    <row r="1063" spans="1:8">
      <c r="A1063" t="str">
        <f>'Top Customers'!A1065</f>
        <v>ANSARI KUMMANODE</v>
      </c>
      <c r="B1063" s="5">
        <f>IF(A1063="","",IFERROR(GETPIVOTDATA("Sales Amount",'Top Customers'!$A$3,"Customer_name",'Top Customers'!A1065),""))</f>
        <v>1712</v>
      </c>
      <c r="C1063" t="str">
        <f t="shared" si="64"/>
        <v>Regular</v>
      </c>
      <c r="D1063">
        <f t="shared" si="65"/>
        <v>98288</v>
      </c>
      <c r="E1063" s="6">
        <f t="shared" si="66"/>
        <v>2.9900290943874588E-5</v>
      </c>
      <c r="F1063" s="5">
        <f ca="1">TODAY()-GETPIVOTDATA("LastPurchaseDate",MaxDate!$A$3,"Customer_name",MaxDate!A1065)</f>
        <v>2</v>
      </c>
      <c r="G1063" t="str">
        <f t="shared" ca="1" si="67"/>
        <v>Active</v>
      </c>
      <c r="H1063" s="13">
        <f>RANK(B1063,Customer_Tiers[Total_Sales])</f>
        <v>1062</v>
      </c>
    </row>
    <row r="1064" spans="1:8">
      <c r="A1064" t="str">
        <f>'Top Customers'!A1066</f>
        <v>BAIJU C PAUL</v>
      </c>
      <c r="B1064" s="5">
        <f>IF(A1064="","",IFERROR(GETPIVOTDATA("Sales Amount",'Top Customers'!$A$3,"Customer_name",'Top Customers'!A1066),""))</f>
        <v>1702</v>
      </c>
      <c r="C1064" t="str">
        <f t="shared" si="64"/>
        <v>Regular</v>
      </c>
      <c r="D1064">
        <f t="shared" si="65"/>
        <v>98298</v>
      </c>
      <c r="E1064" s="6">
        <f t="shared" si="66"/>
        <v>2.9725639711725789E-5</v>
      </c>
      <c r="F1064" s="5">
        <f ca="1">TODAY()-GETPIVOTDATA("LastPurchaseDate",MaxDate!$A$3,"Customer_name",MaxDate!A1066)</f>
        <v>190</v>
      </c>
      <c r="G1064" t="str">
        <f t="shared" ca="1" si="67"/>
        <v>Inactive</v>
      </c>
      <c r="H1064" s="13">
        <f>RANK(B1064,Customer_Tiers[Total_Sales])</f>
        <v>1063</v>
      </c>
    </row>
    <row r="1065" spans="1:8">
      <c r="A1065" t="str">
        <f>'Top Customers'!A1067</f>
        <v>RATHEESH ,MAZHUVANNOOR</v>
      </c>
      <c r="B1065" s="5">
        <f>IF(A1065="","",IFERROR(GETPIVOTDATA("Sales Amount",'Top Customers'!$A$3,"Customer_name",'Top Customers'!A1067),""))</f>
        <v>1700</v>
      </c>
      <c r="C1065" t="str">
        <f t="shared" si="64"/>
        <v>Regular</v>
      </c>
      <c r="D1065">
        <f t="shared" si="65"/>
        <v>98300</v>
      </c>
      <c r="E1065" s="6">
        <f t="shared" si="66"/>
        <v>2.969070946529603E-5</v>
      </c>
      <c r="F1065" s="5">
        <f ca="1">TODAY()-GETPIVOTDATA("LastPurchaseDate",MaxDate!$A$3,"Customer_name",MaxDate!A1067)</f>
        <v>323</v>
      </c>
      <c r="G1065" t="str">
        <f t="shared" ca="1" si="67"/>
        <v>Inactive</v>
      </c>
      <c r="H1065" s="13">
        <f>RANK(B1065,Customer_Tiers[Total_Sales])</f>
        <v>1064</v>
      </c>
    </row>
    <row r="1066" spans="1:8">
      <c r="A1066" t="str">
        <f>'Top Customers'!A1068</f>
        <v>RENJITH DYFI</v>
      </c>
      <c r="B1066" s="5">
        <f>IF(A1066="","",IFERROR(GETPIVOTDATA("Sales Amount",'Top Customers'!$A$3,"Customer_name",'Top Customers'!A1068),""))</f>
        <v>1700</v>
      </c>
      <c r="C1066" t="str">
        <f t="shared" si="64"/>
        <v>Regular</v>
      </c>
      <c r="D1066">
        <f t="shared" si="65"/>
        <v>98300</v>
      </c>
      <c r="E1066" s="6">
        <f t="shared" si="66"/>
        <v>2.969070946529603E-5</v>
      </c>
      <c r="F1066" s="5">
        <f ca="1">TODAY()-GETPIVOTDATA("LastPurchaseDate",MaxDate!$A$3,"Customer_name",MaxDate!A1068)</f>
        <v>90</v>
      </c>
      <c r="G1066" t="str">
        <f t="shared" ca="1" si="67"/>
        <v>At Risk</v>
      </c>
      <c r="H1066" s="13">
        <f>RANK(B1066,Customer_Tiers[Total_Sales])</f>
        <v>1064</v>
      </c>
    </row>
    <row r="1067" spans="1:8">
      <c r="A1067" t="str">
        <f>'Top Customers'!A1069</f>
        <v>DIJU (DEEPA HARDWARES)</v>
      </c>
      <c r="B1067" s="5">
        <f>IF(A1067="","",IFERROR(GETPIVOTDATA("Sales Amount",'Top Customers'!$A$3,"Customer_name",'Top Customers'!A1069),""))</f>
        <v>1699</v>
      </c>
      <c r="C1067" t="str">
        <f t="shared" si="64"/>
        <v>Regular</v>
      </c>
      <c r="D1067">
        <f t="shared" si="65"/>
        <v>98301</v>
      </c>
      <c r="E1067" s="6">
        <f t="shared" si="66"/>
        <v>2.967324434208115E-5</v>
      </c>
      <c r="F1067" s="5">
        <f ca="1">TODAY()-GETPIVOTDATA("LastPurchaseDate",MaxDate!$A$3,"Customer_name",MaxDate!A1069)</f>
        <v>303</v>
      </c>
      <c r="G1067" t="str">
        <f t="shared" ca="1" si="67"/>
        <v>Inactive</v>
      </c>
      <c r="H1067" s="13">
        <f>RANK(B1067,Customer_Tiers[Total_Sales])</f>
        <v>1066</v>
      </c>
    </row>
    <row r="1068" spans="1:8">
      <c r="A1068" t="str">
        <f>'Top Customers'!A1070</f>
        <v>NAVAS CHENGARA</v>
      </c>
      <c r="B1068" s="5">
        <f>IF(A1068="","",IFERROR(GETPIVOTDATA("Sales Amount",'Top Customers'!$A$3,"Customer_name",'Top Customers'!A1070),""))</f>
        <v>1677</v>
      </c>
      <c r="C1068" t="str">
        <f t="shared" si="64"/>
        <v>Regular</v>
      </c>
      <c r="D1068">
        <f t="shared" si="65"/>
        <v>98323</v>
      </c>
      <c r="E1068" s="6">
        <f t="shared" si="66"/>
        <v>2.9289011631353789E-5</v>
      </c>
      <c r="F1068" s="5">
        <f ca="1">TODAY()-GETPIVOTDATA("LastPurchaseDate",MaxDate!$A$3,"Customer_name",MaxDate!A1070)</f>
        <v>244</v>
      </c>
      <c r="G1068" t="str">
        <f t="shared" ca="1" si="67"/>
        <v>Inactive</v>
      </c>
      <c r="H1068" s="13">
        <f>RANK(B1068,Customer_Tiers[Total_Sales])</f>
        <v>1067</v>
      </c>
    </row>
    <row r="1069" spans="1:8">
      <c r="A1069" t="str">
        <f>'Top Customers'!A1071</f>
        <v>RAJESH KADAYIRUPPU</v>
      </c>
      <c r="B1069" s="5">
        <f>IF(A1069="","",IFERROR(GETPIVOTDATA("Sales Amount",'Top Customers'!$A$3,"Customer_name",'Top Customers'!A1071),""))</f>
        <v>1607</v>
      </c>
      <c r="C1069" t="str">
        <f t="shared" si="64"/>
        <v>Regular</v>
      </c>
      <c r="D1069">
        <f t="shared" si="65"/>
        <v>98393</v>
      </c>
      <c r="E1069" s="6">
        <f t="shared" si="66"/>
        <v>2.8066453006312189E-5</v>
      </c>
      <c r="F1069" s="5">
        <f ca="1">TODAY()-GETPIVOTDATA("LastPurchaseDate",MaxDate!$A$3,"Customer_name",MaxDate!A1071)</f>
        <v>176</v>
      </c>
      <c r="G1069" t="str">
        <f t="shared" ca="1" si="67"/>
        <v>Inactive</v>
      </c>
      <c r="H1069" s="13">
        <f>RANK(B1069,Customer_Tiers[Total_Sales])</f>
        <v>1068</v>
      </c>
    </row>
    <row r="1070" spans="1:8">
      <c r="A1070" t="str">
        <f>'Top Customers'!A1072</f>
        <v>JAMAL PASSENGER</v>
      </c>
      <c r="B1070" s="5">
        <f>IF(A1070="","",IFERROR(GETPIVOTDATA("Sales Amount",'Top Customers'!$A$3,"Customer_name",'Top Customers'!A1072),""))</f>
        <v>1600</v>
      </c>
      <c r="C1070" t="str">
        <f t="shared" si="64"/>
        <v>Regular</v>
      </c>
      <c r="D1070">
        <f t="shared" si="65"/>
        <v>98400</v>
      </c>
      <c r="E1070" s="6">
        <f t="shared" si="66"/>
        <v>2.7944197143808028E-5</v>
      </c>
      <c r="F1070" s="5">
        <f ca="1">TODAY()-GETPIVOTDATA("LastPurchaseDate",MaxDate!$A$3,"Customer_name",MaxDate!A1072)</f>
        <v>16</v>
      </c>
      <c r="G1070" t="str">
        <f t="shared" ca="1" si="67"/>
        <v>Active</v>
      </c>
      <c r="H1070" s="13">
        <f>RANK(B1070,Customer_Tiers[Total_Sales])</f>
        <v>1069</v>
      </c>
    </row>
    <row r="1071" spans="1:8">
      <c r="A1071" t="str">
        <f>'Top Customers'!A1073</f>
        <v>EBRAHIM DOUBLEPALAM</v>
      </c>
      <c r="B1071" s="5">
        <f>IF(A1071="","",IFERROR(GETPIVOTDATA("Sales Amount",'Top Customers'!$A$3,"Customer_name",'Top Customers'!A1073),""))</f>
        <v>1600</v>
      </c>
      <c r="C1071" t="str">
        <f t="shared" si="64"/>
        <v>Regular</v>
      </c>
      <c r="D1071">
        <f t="shared" si="65"/>
        <v>98400</v>
      </c>
      <c r="E1071" s="6">
        <f t="shared" si="66"/>
        <v>2.7944197143808028E-5</v>
      </c>
      <c r="F1071" s="5">
        <f ca="1">TODAY()-GETPIVOTDATA("LastPurchaseDate",MaxDate!$A$3,"Customer_name",MaxDate!A1073)</f>
        <v>285</v>
      </c>
      <c r="G1071" t="str">
        <f t="shared" ca="1" si="67"/>
        <v>Inactive</v>
      </c>
      <c r="H1071" s="13">
        <f>RANK(B1071,Customer_Tiers[Total_Sales])</f>
        <v>1069</v>
      </c>
    </row>
    <row r="1072" spans="1:8">
      <c r="A1072" t="str">
        <f>'Top Customers'!A1074</f>
        <v>MERLY JOSEPH</v>
      </c>
      <c r="B1072" s="5">
        <f>IF(A1072="","",IFERROR(GETPIVOTDATA("Sales Amount",'Top Customers'!$A$3,"Customer_name",'Top Customers'!A1074),""))</f>
        <v>1600</v>
      </c>
      <c r="C1072" t="str">
        <f t="shared" si="64"/>
        <v>Regular</v>
      </c>
      <c r="D1072">
        <f t="shared" si="65"/>
        <v>98400</v>
      </c>
      <c r="E1072" s="6">
        <f t="shared" si="66"/>
        <v>2.7944197143808028E-5</v>
      </c>
      <c r="F1072" s="5">
        <f ca="1">TODAY()-GETPIVOTDATA("LastPurchaseDate",MaxDate!$A$3,"Customer_name",MaxDate!A1074)</f>
        <v>20</v>
      </c>
      <c r="G1072" t="str">
        <f t="shared" ca="1" si="67"/>
        <v>Active</v>
      </c>
      <c r="H1072" s="13">
        <f>RANK(B1072,Customer_Tiers[Total_Sales])</f>
        <v>1069</v>
      </c>
    </row>
    <row r="1073" spans="1:8">
      <c r="A1073" t="str">
        <f>'Top Customers'!A1075</f>
        <v>SHAMEER , K.KUMMANODU</v>
      </c>
      <c r="B1073" s="5">
        <f>IF(A1073="","",IFERROR(GETPIVOTDATA("Sales Amount",'Top Customers'!$A$3,"Customer_name",'Top Customers'!A1075),""))</f>
        <v>1600</v>
      </c>
      <c r="C1073" t="str">
        <f t="shared" si="64"/>
        <v>Regular</v>
      </c>
      <c r="D1073">
        <f t="shared" si="65"/>
        <v>98400</v>
      </c>
      <c r="E1073" s="6">
        <f t="shared" si="66"/>
        <v>2.7944197143808028E-5</v>
      </c>
      <c r="F1073" s="5">
        <f ca="1">TODAY()-GETPIVOTDATA("LastPurchaseDate",MaxDate!$A$3,"Customer_name",MaxDate!A1075)</f>
        <v>20</v>
      </c>
      <c r="G1073" t="str">
        <f t="shared" ca="1" si="67"/>
        <v>Active</v>
      </c>
      <c r="H1073" s="13">
        <f>RANK(B1073,Customer_Tiers[Total_Sales])</f>
        <v>1069</v>
      </c>
    </row>
    <row r="1074" spans="1:8">
      <c r="A1074" t="str">
        <f>'Top Customers'!A1076</f>
        <v>SHAJI , VALAMBOOR</v>
      </c>
      <c r="B1074" s="5">
        <f>IF(A1074="","",IFERROR(GETPIVOTDATA("Sales Amount",'Top Customers'!$A$3,"Customer_name",'Top Customers'!A1076),""))</f>
        <v>1593</v>
      </c>
      <c r="C1074" t="str">
        <f t="shared" si="64"/>
        <v>Regular</v>
      </c>
      <c r="D1074">
        <f t="shared" si="65"/>
        <v>98407</v>
      </c>
      <c r="E1074" s="6">
        <f t="shared" si="66"/>
        <v>2.7821941281303868E-5</v>
      </c>
      <c r="F1074" s="5">
        <f ca="1">TODAY()-GETPIVOTDATA("LastPurchaseDate",MaxDate!$A$3,"Customer_name",MaxDate!A1076)</f>
        <v>188</v>
      </c>
      <c r="G1074" t="str">
        <f t="shared" ca="1" si="67"/>
        <v>Inactive</v>
      </c>
      <c r="H1074" s="13">
        <f>RANK(B1074,Customer_Tiers[Total_Sales])</f>
        <v>1073</v>
      </c>
    </row>
    <row r="1075" spans="1:8">
      <c r="A1075" t="str">
        <f>'Top Customers'!A1077</f>
        <v>SHAJIL ALLAPPARA</v>
      </c>
      <c r="B1075" s="5">
        <f>IF(A1075="","",IFERROR(GETPIVOTDATA("Sales Amount",'Top Customers'!$A$3,"Customer_name",'Top Customers'!A1077),""))</f>
        <v>1590</v>
      </c>
      <c r="C1075" t="str">
        <f t="shared" si="64"/>
        <v>Regular</v>
      </c>
      <c r="D1075">
        <f t="shared" si="65"/>
        <v>98410</v>
      </c>
      <c r="E1075" s="6">
        <f t="shared" si="66"/>
        <v>2.7769545911659229E-5</v>
      </c>
      <c r="F1075" s="5">
        <f ca="1">TODAY()-GETPIVOTDATA("LastPurchaseDate",MaxDate!$A$3,"Customer_name",MaxDate!A1077)</f>
        <v>194</v>
      </c>
      <c r="G1075" t="str">
        <f t="shared" ca="1" si="67"/>
        <v>Inactive</v>
      </c>
      <c r="H1075" s="13">
        <f>RANK(B1075,Customer_Tiers[Total_Sales])</f>
        <v>1074</v>
      </c>
    </row>
    <row r="1076" spans="1:8">
      <c r="A1076" t="str">
        <f>'Top Customers'!A1078</f>
        <v>SUNRISE BLOCKS &amp; PAVERS</v>
      </c>
      <c r="B1076" s="5">
        <f>IF(A1076="","",IFERROR(GETPIVOTDATA("Sales Amount",'Top Customers'!$A$3,"Customer_name",'Top Customers'!A1078),""))</f>
        <v>1580</v>
      </c>
      <c r="C1076" t="str">
        <f t="shared" si="64"/>
        <v>Regular</v>
      </c>
      <c r="D1076">
        <f t="shared" si="65"/>
        <v>98420</v>
      </c>
      <c r="E1076" s="6">
        <f t="shared" si="66"/>
        <v>2.7594894679510426E-5</v>
      </c>
      <c r="F1076" s="5">
        <f ca="1">TODAY()-GETPIVOTDATA("LastPurchaseDate",MaxDate!$A$3,"Customer_name",MaxDate!A1078)</f>
        <v>283</v>
      </c>
      <c r="G1076" t="str">
        <f t="shared" ca="1" si="67"/>
        <v>Inactive</v>
      </c>
      <c r="H1076" s="13">
        <f>RANK(B1076,Customer_Tiers[Total_Sales])</f>
        <v>1075</v>
      </c>
    </row>
    <row r="1077" spans="1:8">
      <c r="A1077" t="str">
        <f>'Top Customers'!A1079</f>
        <v>AKKAMPARA ANGANVADY</v>
      </c>
      <c r="B1077" s="5">
        <f>IF(A1077="","",IFERROR(GETPIVOTDATA("Sales Amount",'Top Customers'!$A$3,"Customer_name",'Top Customers'!A1079),""))</f>
        <v>1578</v>
      </c>
      <c r="C1077" t="str">
        <f t="shared" si="64"/>
        <v>Regular</v>
      </c>
      <c r="D1077">
        <f t="shared" si="65"/>
        <v>98422</v>
      </c>
      <c r="E1077" s="6">
        <f t="shared" si="66"/>
        <v>2.7559964433080667E-5</v>
      </c>
      <c r="F1077" s="5">
        <f ca="1">TODAY()-GETPIVOTDATA("LastPurchaseDate",MaxDate!$A$3,"Customer_name",MaxDate!A1079)</f>
        <v>289</v>
      </c>
      <c r="G1077" t="str">
        <f t="shared" ca="1" si="67"/>
        <v>Inactive</v>
      </c>
      <c r="H1077" s="13">
        <f>RANK(B1077,Customer_Tiers[Total_Sales])</f>
        <v>1076</v>
      </c>
    </row>
    <row r="1078" spans="1:8">
      <c r="A1078" t="str">
        <f>'Top Customers'!A1080</f>
        <v>JOY , THATTAMUGAL</v>
      </c>
      <c r="B1078" s="5">
        <f>IF(A1078="","",IFERROR(GETPIVOTDATA("Sales Amount",'Top Customers'!$A$3,"Customer_name",'Top Customers'!A1080),""))</f>
        <v>1578</v>
      </c>
      <c r="C1078" t="str">
        <f t="shared" si="64"/>
        <v>Regular</v>
      </c>
      <c r="D1078">
        <f t="shared" si="65"/>
        <v>98422</v>
      </c>
      <c r="E1078" s="6">
        <f t="shared" si="66"/>
        <v>2.7559964433080667E-5</v>
      </c>
      <c r="F1078" s="5">
        <f ca="1">TODAY()-GETPIVOTDATA("LastPurchaseDate",MaxDate!$A$3,"Customer_name",MaxDate!A1080)</f>
        <v>117</v>
      </c>
      <c r="G1078" t="str">
        <f t="shared" ca="1" si="67"/>
        <v>At Risk</v>
      </c>
      <c r="H1078" s="13">
        <f>RANK(B1078,Customer_Tiers[Total_Sales])</f>
        <v>1076</v>
      </c>
    </row>
    <row r="1079" spans="1:8">
      <c r="A1079" t="str">
        <f>'Top Customers'!A1081</f>
        <v>SARATH CHENGARA</v>
      </c>
      <c r="B1079" s="5">
        <f>IF(A1079="","",IFERROR(GETPIVOTDATA("Sales Amount",'Top Customers'!$A$3,"Customer_name",'Top Customers'!A1081),""))</f>
        <v>1575</v>
      </c>
      <c r="C1079" t="str">
        <f t="shared" si="64"/>
        <v>Regular</v>
      </c>
      <c r="D1079">
        <f t="shared" si="65"/>
        <v>98425</v>
      </c>
      <c r="E1079" s="6">
        <f t="shared" si="66"/>
        <v>2.7507569063436028E-5</v>
      </c>
      <c r="F1079" s="5">
        <f ca="1">TODAY()-GETPIVOTDATA("LastPurchaseDate",MaxDate!$A$3,"Customer_name",MaxDate!A1081)</f>
        <v>102</v>
      </c>
      <c r="G1079" t="str">
        <f t="shared" ca="1" si="67"/>
        <v>At Risk</v>
      </c>
      <c r="H1079" s="13">
        <f>RANK(B1079,Customer_Tiers[Total_Sales])</f>
        <v>1078</v>
      </c>
    </row>
    <row r="1080" spans="1:8">
      <c r="A1080" t="str">
        <f>'Top Customers'!A1082</f>
        <v>MADHU VALAMBOOR</v>
      </c>
      <c r="B1080" s="5">
        <f>IF(A1080="","",IFERROR(GETPIVOTDATA("Sales Amount",'Top Customers'!$A$3,"Customer_name",'Top Customers'!A1082),""))</f>
        <v>1573</v>
      </c>
      <c r="C1080" t="str">
        <f t="shared" si="64"/>
        <v>Regular</v>
      </c>
      <c r="D1080">
        <f t="shared" si="65"/>
        <v>98427</v>
      </c>
      <c r="E1080" s="6">
        <f t="shared" si="66"/>
        <v>2.7472638817006269E-5</v>
      </c>
      <c r="F1080" s="5">
        <f ca="1">TODAY()-GETPIVOTDATA("LastPurchaseDate",MaxDate!$A$3,"Customer_name",MaxDate!A1082)</f>
        <v>209</v>
      </c>
      <c r="G1080" t="str">
        <f t="shared" ca="1" si="67"/>
        <v>Inactive</v>
      </c>
      <c r="H1080" s="13">
        <f>RANK(B1080,Customer_Tiers[Total_Sales])</f>
        <v>1079</v>
      </c>
    </row>
    <row r="1081" spans="1:8">
      <c r="A1081" t="str">
        <f>'Top Customers'!A1083</f>
        <v>ABU KUMMANODE</v>
      </c>
      <c r="B1081" s="5">
        <f>IF(A1081="","",IFERROR(GETPIVOTDATA("Sales Amount",'Top Customers'!$A$3,"Customer_name",'Top Customers'!A1083),""))</f>
        <v>1568</v>
      </c>
      <c r="C1081" t="str">
        <f t="shared" si="64"/>
        <v>Regular</v>
      </c>
      <c r="D1081">
        <f t="shared" si="65"/>
        <v>98432</v>
      </c>
      <c r="E1081" s="6">
        <f t="shared" si="66"/>
        <v>2.7385313200931867E-5</v>
      </c>
      <c r="F1081" s="5">
        <f ca="1">TODAY()-GETPIVOTDATA("LastPurchaseDate",MaxDate!$A$3,"Customer_name",MaxDate!A1083)</f>
        <v>82</v>
      </c>
      <c r="G1081" t="str">
        <f t="shared" ca="1" si="67"/>
        <v>At Risk</v>
      </c>
      <c r="H1081" s="13">
        <f>RANK(B1081,Customer_Tiers[Total_Sales])</f>
        <v>1080</v>
      </c>
    </row>
    <row r="1082" spans="1:8">
      <c r="A1082" t="str">
        <f>'Top Customers'!A1084</f>
        <v>ANIL ASHARIKUDY</v>
      </c>
      <c r="B1082" s="5">
        <f>IF(A1082="","",IFERROR(GETPIVOTDATA("Sales Amount",'Top Customers'!$A$3,"Customer_name",'Top Customers'!A1084),""))</f>
        <v>1560</v>
      </c>
      <c r="C1082" t="str">
        <f t="shared" si="64"/>
        <v>Regular</v>
      </c>
      <c r="D1082">
        <f t="shared" si="65"/>
        <v>98440</v>
      </c>
      <c r="E1082" s="6">
        <f t="shared" si="66"/>
        <v>2.7245592215212827E-5</v>
      </c>
      <c r="F1082" s="5">
        <f ca="1">TODAY()-GETPIVOTDATA("LastPurchaseDate",MaxDate!$A$3,"Customer_name",MaxDate!A1084)</f>
        <v>38</v>
      </c>
      <c r="G1082" t="str">
        <f t="shared" ca="1" si="67"/>
        <v>Active</v>
      </c>
      <c r="H1082" s="13">
        <f>RANK(B1082,Customer_Tiers[Total_Sales])</f>
        <v>1081</v>
      </c>
    </row>
    <row r="1083" spans="1:8">
      <c r="A1083" t="str">
        <f>'Top Customers'!A1085</f>
        <v>Aji , Pottakkan</v>
      </c>
      <c r="B1083" s="5">
        <f>IF(A1083="","",IFERROR(GETPIVOTDATA("Sales Amount",'Top Customers'!$A$3,"Customer_name",'Top Customers'!A1085),""))</f>
        <v>1550</v>
      </c>
      <c r="C1083" t="str">
        <f t="shared" si="64"/>
        <v>Regular</v>
      </c>
      <c r="D1083">
        <f t="shared" si="65"/>
        <v>98450</v>
      </c>
      <c r="E1083" s="6">
        <f t="shared" si="66"/>
        <v>2.7070940983064028E-5</v>
      </c>
      <c r="F1083" s="5">
        <f ca="1">TODAY()-GETPIVOTDATA("LastPurchaseDate",MaxDate!$A$3,"Customer_name",MaxDate!A1085)</f>
        <v>67</v>
      </c>
      <c r="G1083" t="str">
        <f t="shared" ca="1" si="67"/>
        <v>At Risk</v>
      </c>
      <c r="H1083" s="13">
        <f>RANK(B1083,Customer_Tiers[Total_Sales])</f>
        <v>1082</v>
      </c>
    </row>
    <row r="1084" spans="1:8">
      <c r="A1084" t="str">
        <f>'Top Customers'!A1086</f>
        <v>SHAJI WORKSHOP</v>
      </c>
      <c r="B1084" s="5">
        <f>IF(A1084="","",IFERROR(GETPIVOTDATA("Sales Amount",'Top Customers'!$A$3,"Customer_name",'Top Customers'!A1086),""))</f>
        <v>1547</v>
      </c>
      <c r="C1084" t="str">
        <f t="shared" si="64"/>
        <v>Regular</v>
      </c>
      <c r="D1084">
        <f t="shared" si="65"/>
        <v>98453</v>
      </c>
      <c r="E1084" s="6">
        <f t="shared" si="66"/>
        <v>2.7018545613419385E-5</v>
      </c>
      <c r="F1084" s="5">
        <f ca="1">TODAY()-GETPIVOTDATA("LastPurchaseDate",MaxDate!$A$3,"Customer_name",MaxDate!A1086)</f>
        <v>219</v>
      </c>
      <c r="G1084" t="str">
        <f t="shared" ca="1" si="67"/>
        <v>Inactive</v>
      </c>
      <c r="H1084" s="13">
        <f>RANK(B1084,Customer_Tiers[Total_Sales])</f>
        <v>1083</v>
      </c>
    </row>
    <row r="1085" spans="1:8">
      <c r="A1085" t="str">
        <f>'Top Customers'!A1087</f>
        <v>DHANOOP VALAMBOOR</v>
      </c>
      <c r="B1085" s="5">
        <f>IF(A1085="","",IFERROR(GETPIVOTDATA("Sales Amount",'Top Customers'!$A$3,"Customer_name",'Top Customers'!A1087),""))</f>
        <v>1540</v>
      </c>
      <c r="C1085" t="str">
        <f t="shared" si="64"/>
        <v>Regular</v>
      </c>
      <c r="D1085">
        <f t="shared" si="65"/>
        <v>98460</v>
      </c>
      <c r="E1085" s="6">
        <f t="shared" si="66"/>
        <v>2.6896289750915228E-5</v>
      </c>
      <c r="F1085" s="5">
        <f ca="1">TODAY()-GETPIVOTDATA("LastPurchaseDate",MaxDate!$A$3,"Customer_name",MaxDate!A1087)</f>
        <v>311</v>
      </c>
      <c r="G1085" t="str">
        <f t="shared" ca="1" si="67"/>
        <v>Inactive</v>
      </c>
      <c r="H1085" s="13">
        <f>RANK(B1085,Customer_Tiers[Total_Sales])</f>
        <v>1084</v>
      </c>
    </row>
    <row r="1086" spans="1:8">
      <c r="A1086" t="str">
        <f>'Top Customers'!A1088</f>
        <v>SAJI PADINJAREKUDY</v>
      </c>
      <c r="B1086" s="5">
        <f>IF(A1086="","",IFERROR(GETPIVOTDATA("Sales Amount",'Top Customers'!$A$3,"Customer_name",'Top Customers'!A1088),""))</f>
        <v>1540</v>
      </c>
      <c r="C1086" t="str">
        <f t="shared" si="64"/>
        <v>Regular</v>
      </c>
      <c r="D1086">
        <f t="shared" si="65"/>
        <v>98460</v>
      </c>
      <c r="E1086" s="6">
        <f t="shared" si="66"/>
        <v>2.6896289750915228E-5</v>
      </c>
      <c r="F1086" s="5">
        <f ca="1">TODAY()-GETPIVOTDATA("LastPurchaseDate",MaxDate!$A$3,"Customer_name",MaxDate!A1088)</f>
        <v>333</v>
      </c>
      <c r="G1086" t="str">
        <f t="shared" ca="1" si="67"/>
        <v>Inactive</v>
      </c>
      <c r="H1086" s="13">
        <f>RANK(B1086,Customer_Tiers[Total_Sales])</f>
        <v>1084</v>
      </c>
    </row>
    <row r="1087" spans="1:8">
      <c r="A1087" t="str">
        <f>'Top Customers'!A1089</f>
        <v>VINU PATTIMATTOM</v>
      </c>
      <c r="B1087" s="5">
        <f>IF(A1087="","",IFERROR(GETPIVOTDATA("Sales Amount",'Top Customers'!$A$3,"Customer_name",'Top Customers'!A1089),""))</f>
        <v>1538</v>
      </c>
      <c r="C1087" t="str">
        <f t="shared" si="64"/>
        <v>Regular</v>
      </c>
      <c r="D1087">
        <f t="shared" si="65"/>
        <v>98462</v>
      </c>
      <c r="E1087" s="6">
        <f t="shared" si="66"/>
        <v>2.6861359504485466E-5</v>
      </c>
      <c r="F1087" s="5">
        <f ca="1">TODAY()-GETPIVOTDATA("LastPurchaseDate",MaxDate!$A$3,"Customer_name",MaxDate!A1089)</f>
        <v>159</v>
      </c>
      <c r="G1087" t="str">
        <f t="shared" ca="1" si="67"/>
        <v>Inactive</v>
      </c>
      <c r="H1087" s="13">
        <f>RANK(B1087,Customer_Tiers[Total_Sales])</f>
        <v>1086</v>
      </c>
    </row>
    <row r="1088" spans="1:8">
      <c r="A1088" t="str">
        <f>'Top Customers'!A1090</f>
        <v>VIBIN CHENGARA</v>
      </c>
      <c r="B1088" s="5">
        <f>IF(A1088="","",IFERROR(GETPIVOTDATA("Sales Amount",'Top Customers'!$A$3,"Customer_name",'Top Customers'!A1090),""))</f>
        <v>1536</v>
      </c>
      <c r="C1088" t="str">
        <f t="shared" si="64"/>
        <v>Regular</v>
      </c>
      <c r="D1088">
        <f t="shared" si="65"/>
        <v>98464</v>
      </c>
      <c r="E1088" s="6">
        <f t="shared" si="66"/>
        <v>2.6826429258055706E-5</v>
      </c>
      <c r="F1088" s="5">
        <f ca="1">TODAY()-GETPIVOTDATA("LastPurchaseDate",MaxDate!$A$3,"Customer_name",MaxDate!A1090)</f>
        <v>216</v>
      </c>
      <c r="G1088" t="str">
        <f t="shared" ca="1" si="67"/>
        <v>Inactive</v>
      </c>
      <c r="H1088" s="13">
        <f>RANK(B1088,Customer_Tiers[Total_Sales])</f>
        <v>1087</v>
      </c>
    </row>
    <row r="1089" spans="1:8">
      <c r="A1089" t="str">
        <f>'Top Customers'!A1091</f>
        <v>MANOJ KADAYIRUPPU</v>
      </c>
      <c r="B1089" s="5">
        <f>IF(A1089="","",IFERROR(GETPIVOTDATA("Sales Amount",'Top Customers'!$A$3,"Customer_name",'Top Customers'!A1091),""))</f>
        <v>1535</v>
      </c>
      <c r="C1089" t="str">
        <f t="shared" si="64"/>
        <v>Regular</v>
      </c>
      <c r="D1089">
        <f t="shared" si="65"/>
        <v>98465</v>
      </c>
      <c r="E1089" s="6">
        <f t="shared" si="66"/>
        <v>2.6808964134840827E-5</v>
      </c>
      <c r="F1089" s="5">
        <f ca="1">TODAY()-GETPIVOTDATA("LastPurchaseDate",MaxDate!$A$3,"Customer_name",MaxDate!A1091)</f>
        <v>194</v>
      </c>
      <c r="G1089" t="str">
        <f t="shared" ca="1" si="67"/>
        <v>Inactive</v>
      </c>
      <c r="H1089" s="13">
        <f>RANK(B1089,Customer_Tiers[Total_Sales])</f>
        <v>1088</v>
      </c>
    </row>
    <row r="1090" spans="1:8">
      <c r="A1090" t="str">
        <f>'Top Customers'!A1092</f>
        <v>JOY KUMMANODE</v>
      </c>
      <c r="B1090" s="5">
        <f>IF(A1090="","",IFERROR(GETPIVOTDATA("Sales Amount",'Top Customers'!$A$3,"Customer_name",'Top Customers'!A1092),""))</f>
        <v>1521</v>
      </c>
      <c r="C1090" t="str">
        <f t="shared" ref="C1090:C1153" si="68">IF(B1090&gt;=1000000,"Platinum",
 IF(B1090&gt;=500000,"Gold",
 IF(B1090&gt;=100000,"Silver","Regular")))</f>
        <v>Regular</v>
      </c>
      <c r="D1090">
        <f t="shared" ref="D1090:D1153" si="69">IF(C1090="Platinum",0,
 IF(C1090="Gold",1000000-B1090,
 IF(C1090="Silver",500000-B1090,
 IF(C1090="Regular",100000-B1090,0))))</f>
        <v>98479</v>
      </c>
      <c r="E1090" s="6">
        <f t="shared" ref="E1090:E1153" si="70">B1090/SUM(B:B)</f>
        <v>2.6564452409832505E-5</v>
      </c>
      <c r="F1090" s="5">
        <f ca="1">TODAY()-GETPIVOTDATA("LastPurchaseDate",MaxDate!$A$3,"Customer_name",MaxDate!A1092)</f>
        <v>6</v>
      </c>
      <c r="G1090" t="str">
        <f t="shared" ref="G1090:G1153" ca="1" si="71">IF(F1090="","",
 IF(F1090&lt;=60,"Active",
 IF(F1090&lt;=120,"At Risk","Inactive")))</f>
        <v>Active</v>
      </c>
      <c r="H1090" s="13">
        <f>RANK(B1090,Customer_Tiers[Total_Sales])</f>
        <v>1089</v>
      </c>
    </row>
    <row r="1091" spans="1:8">
      <c r="A1091" t="str">
        <f>'Top Customers'!A1093</f>
        <v>JOBY DOUBLE PALM</v>
      </c>
      <c r="B1091" s="5">
        <f>IF(A1091="","",IFERROR(GETPIVOTDATA("Sales Amount",'Top Customers'!$A$3,"Customer_name",'Top Customers'!A1093),""))</f>
        <v>1516</v>
      </c>
      <c r="C1091" t="str">
        <f t="shared" si="68"/>
        <v>Regular</v>
      </c>
      <c r="D1091">
        <f t="shared" si="69"/>
        <v>98484</v>
      </c>
      <c r="E1091" s="6">
        <f t="shared" si="70"/>
        <v>2.6477126793758107E-5</v>
      </c>
      <c r="F1091" s="5">
        <f ca="1">TODAY()-GETPIVOTDATA("LastPurchaseDate",MaxDate!$A$3,"Customer_name",MaxDate!A1093)</f>
        <v>219</v>
      </c>
      <c r="G1091" t="str">
        <f t="shared" ca="1" si="71"/>
        <v>Inactive</v>
      </c>
      <c r="H1091" s="13">
        <f>RANK(B1091,Customer_Tiers[Total_Sales])</f>
        <v>1090</v>
      </c>
    </row>
    <row r="1092" spans="1:8">
      <c r="A1092" t="str">
        <f>'Top Customers'!A1094</f>
        <v>SHAMEER C.P</v>
      </c>
      <c r="B1092" s="5">
        <f>IF(A1092="","",IFERROR(GETPIVOTDATA("Sales Amount",'Top Customers'!$A$3,"Customer_name",'Top Customers'!A1094),""))</f>
        <v>1495</v>
      </c>
      <c r="C1092" t="str">
        <f t="shared" si="68"/>
        <v>Regular</v>
      </c>
      <c r="D1092">
        <f t="shared" si="69"/>
        <v>98505</v>
      </c>
      <c r="E1092" s="6">
        <f t="shared" si="70"/>
        <v>2.6110359206245626E-5</v>
      </c>
      <c r="F1092" s="5">
        <f ca="1">TODAY()-GETPIVOTDATA("LastPurchaseDate",MaxDate!$A$3,"Customer_name",MaxDate!A1094)</f>
        <v>44</v>
      </c>
      <c r="G1092" t="str">
        <f t="shared" ca="1" si="71"/>
        <v>Active</v>
      </c>
      <c r="H1092" s="13">
        <f>RANK(B1092,Customer_Tiers[Total_Sales])</f>
        <v>1091</v>
      </c>
    </row>
    <row r="1093" spans="1:8">
      <c r="A1093" t="str">
        <f>'Top Customers'!A1095</f>
        <v>AJMAL , PATTIMATTAM</v>
      </c>
      <c r="B1093" s="5">
        <f>IF(A1093="","",IFERROR(GETPIVOTDATA("Sales Amount",'Top Customers'!$A$3,"Customer_name",'Top Customers'!A1095),""))</f>
        <v>1486</v>
      </c>
      <c r="C1093" t="str">
        <f t="shared" si="68"/>
        <v>Regular</v>
      </c>
      <c r="D1093">
        <f t="shared" si="69"/>
        <v>98514</v>
      </c>
      <c r="E1093" s="6">
        <f t="shared" si="70"/>
        <v>2.5953173097311706E-5</v>
      </c>
      <c r="F1093" s="5">
        <f ca="1">TODAY()-GETPIVOTDATA("LastPurchaseDate",MaxDate!$A$3,"Customer_name",MaxDate!A1095)</f>
        <v>218</v>
      </c>
      <c r="G1093" t="str">
        <f t="shared" ca="1" si="71"/>
        <v>Inactive</v>
      </c>
      <c r="H1093" s="13">
        <f>RANK(B1093,Customer_Tiers[Total_Sales])</f>
        <v>1092</v>
      </c>
    </row>
    <row r="1094" spans="1:8">
      <c r="A1094" t="str">
        <f>'Top Customers'!A1096</f>
        <v>CHOTTU BHAI</v>
      </c>
      <c r="B1094" s="5">
        <f>IF(A1094="","",IFERROR(GETPIVOTDATA("Sales Amount",'Top Customers'!$A$3,"Customer_name",'Top Customers'!A1096),""))</f>
        <v>1486</v>
      </c>
      <c r="C1094" t="str">
        <f t="shared" si="68"/>
        <v>Regular</v>
      </c>
      <c r="D1094">
        <f t="shared" si="69"/>
        <v>98514</v>
      </c>
      <c r="E1094" s="6">
        <f t="shared" si="70"/>
        <v>2.5953173097311706E-5</v>
      </c>
      <c r="F1094" s="5">
        <f ca="1">TODAY()-GETPIVOTDATA("LastPurchaseDate",MaxDate!$A$3,"Customer_name",MaxDate!A1096)</f>
        <v>36</v>
      </c>
      <c r="G1094" t="str">
        <f t="shared" ca="1" si="71"/>
        <v>Active</v>
      </c>
      <c r="H1094" s="13">
        <f>RANK(B1094,Customer_Tiers[Total_Sales])</f>
        <v>1092</v>
      </c>
    </row>
    <row r="1095" spans="1:8">
      <c r="A1095" t="str">
        <f>'Top Customers'!A1097</f>
        <v>AJAMAL , CHOORAKKODU</v>
      </c>
      <c r="B1095" s="5">
        <f>IF(A1095="","",IFERROR(GETPIVOTDATA("Sales Amount",'Top Customers'!$A$3,"Customer_name",'Top Customers'!A1097),""))</f>
        <v>1480</v>
      </c>
      <c r="C1095" t="str">
        <f t="shared" si="68"/>
        <v>Regular</v>
      </c>
      <c r="D1095">
        <f t="shared" si="69"/>
        <v>98520</v>
      </c>
      <c r="E1095" s="6">
        <f t="shared" si="70"/>
        <v>2.5848382358022425E-5</v>
      </c>
      <c r="F1095" s="5">
        <f ca="1">TODAY()-GETPIVOTDATA("LastPurchaseDate",MaxDate!$A$3,"Customer_name",MaxDate!A1097)</f>
        <v>236</v>
      </c>
      <c r="G1095" t="str">
        <f t="shared" ca="1" si="71"/>
        <v>Inactive</v>
      </c>
      <c r="H1095" s="13">
        <f>RANK(B1095,Customer_Tiers[Total_Sales])</f>
        <v>1094</v>
      </c>
    </row>
    <row r="1096" spans="1:8">
      <c r="A1096" t="str">
        <f>'Top Customers'!A1098</f>
        <v>SATHAR , KUMMANODU</v>
      </c>
      <c r="B1096" s="5">
        <f>IF(A1096="","",IFERROR(GETPIVOTDATA("Sales Amount",'Top Customers'!$A$3,"Customer_name",'Top Customers'!A1098),""))</f>
        <v>1480</v>
      </c>
      <c r="C1096" t="str">
        <f t="shared" si="68"/>
        <v>Regular</v>
      </c>
      <c r="D1096">
        <f t="shared" si="69"/>
        <v>98520</v>
      </c>
      <c r="E1096" s="6">
        <f t="shared" si="70"/>
        <v>2.5848382358022425E-5</v>
      </c>
      <c r="F1096" s="5">
        <f ca="1">TODAY()-GETPIVOTDATA("LastPurchaseDate",MaxDate!$A$3,"Customer_name",MaxDate!A1098)</f>
        <v>232</v>
      </c>
      <c r="G1096" t="str">
        <f t="shared" ca="1" si="71"/>
        <v>Inactive</v>
      </c>
      <c r="H1096" s="13">
        <f>RANK(B1096,Customer_Tiers[Total_Sales])</f>
        <v>1094</v>
      </c>
    </row>
    <row r="1097" spans="1:8">
      <c r="A1097" t="str">
        <f>'Top Customers'!A1099</f>
        <v>SHIJO ,AKKAMBARA</v>
      </c>
      <c r="B1097" s="5">
        <f>IF(A1097="","",IFERROR(GETPIVOTDATA("Sales Amount",'Top Customers'!$A$3,"Customer_name",'Top Customers'!A1099),""))</f>
        <v>1480</v>
      </c>
      <c r="C1097" t="str">
        <f t="shared" si="68"/>
        <v>Regular</v>
      </c>
      <c r="D1097">
        <f t="shared" si="69"/>
        <v>98520</v>
      </c>
      <c r="E1097" s="6">
        <f t="shared" si="70"/>
        <v>2.5848382358022425E-5</v>
      </c>
      <c r="F1097" s="5">
        <f ca="1">TODAY()-GETPIVOTDATA("LastPurchaseDate",MaxDate!$A$3,"Customer_name",MaxDate!A1099)</f>
        <v>248</v>
      </c>
      <c r="G1097" t="str">
        <f t="shared" ca="1" si="71"/>
        <v>Inactive</v>
      </c>
      <c r="H1097" s="13">
        <f>RANK(B1097,Customer_Tiers[Total_Sales])</f>
        <v>1094</v>
      </c>
    </row>
    <row r="1098" spans="1:8">
      <c r="A1098" t="str">
        <f>'Top Customers'!A1100</f>
        <v>SELBIN AKKAMPARA</v>
      </c>
      <c r="B1098" s="5">
        <f>IF(A1098="","",IFERROR(GETPIVOTDATA("Sales Amount",'Top Customers'!$A$3,"Customer_name",'Top Customers'!A1100),""))</f>
        <v>1478</v>
      </c>
      <c r="C1098" t="str">
        <f t="shared" si="68"/>
        <v>Regular</v>
      </c>
      <c r="D1098">
        <f t="shared" si="69"/>
        <v>98522</v>
      </c>
      <c r="E1098" s="6">
        <f t="shared" si="70"/>
        <v>2.5813452111592665E-5</v>
      </c>
      <c r="F1098" s="5">
        <f ca="1">TODAY()-GETPIVOTDATA("LastPurchaseDate",MaxDate!$A$3,"Customer_name",MaxDate!A1100)</f>
        <v>241</v>
      </c>
      <c r="G1098" t="str">
        <f t="shared" ca="1" si="71"/>
        <v>Inactive</v>
      </c>
      <c r="H1098" s="13">
        <f>RANK(B1098,Customer_Tiers[Total_Sales])</f>
        <v>1097</v>
      </c>
    </row>
    <row r="1099" spans="1:8">
      <c r="A1099" t="str">
        <f>'Top Customers'!A1101</f>
        <v>SUNNY GEORGE</v>
      </c>
      <c r="B1099" s="5">
        <f>IF(A1099="","",IFERROR(GETPIVOTDATA("Sales Amount",'Top Customers'!$A$3,"Customer_name",'Top Customers'!A1101),""))</f>
        <v>1476</v>
      </c>
      <c r="C1099" t="str">
        <f t="shared" si="68"/>
        <v>Regular</v>
      </c>
      <c r="D1099">
        <f t="shared" si="69"/>
        <v>98524</v>
      </c>
      <c r="E1099" s="6">
        <f t="shared" si="70"/>
        <v>2.5778521865162906E-5</v>
      </c>
      <c r="F1099" s="5">
        <f ca="1">TODAY()-GETPIVOTDATA("LastPurchaseDate",MaxDate!$A$3,"Customer_name",MaxDate!A1101)</f>
        <v>323</v>
      </c>
      <c r="G1099" t="str">
        <f t="shared" ca="1" si="71"/>
        <v>Inactive</v>
      </c>
      <c r="H1099" s="13">
        <f>RANK(B1099,Customer_Tiers[Total_Sales])</f>
        <v>1098</v>
      </c>
    </row>
    <row r="1100" spans="1:8">
      <c r="A1100" t="str">
        <f>'Top Customers'!A1102</f>
        <v>SATHYAN , PAZHAMTHOTTAM</v>
      </c>
      <c r="B1100" s="5">
        <f>IF(A1100="","",IFERROR(GETPIVOTDATA("Sales Amount",'Top Customers'!$A$3,"Customer_name",'Top Customers'!A1102),""))</f>
        <v>1465</v>
      </c>
      <c r="C1100" t="str">
        <f t="shared" si="68"/>
        <v>Regular</v>
      </c>
      <c r="D1100">
        <f t="shared" si="69"/>
        <v>98535</v>
      </c>
      <c r="E1100" s="6">
        <f t="shared" si="70"/>
        <v>2.5586405509799224E-5</v>
      </c>
      <c r="F1100" s="5">
        <f ca="1">TODAY()-GETPIVOTDATA("LastPurchaseDate",MaxDate!$A$3,"Customer_name",MaxDate!A1102)</f>
        <v>134</v>
      </c>
      <c r="G1100" t="str">
        <f t="shared" ca="1" si="71"/>
        <v>Inactive</v>
      </c>
      <c r="H1100" s="13">
        <f>RANK(B1100,Customer_Tiers[Total_Sales])</f>
        <v>1099</v>
      </c>
    </row>
    <row r="1101" spans="1:8">
      <c r="A1101" t="str">
        <f>'Top Customers'!A1103</f>
        <v>ADS N ART</v>
      </c>
      <c r="B1101" s="5">
        <f>IF(A1101="","",IFERROR(GETPIVOTDATA("Sales Amount",'Top Customers'!$A$3,"Customer_name",'Top Customers'!A1103),""))</f>
        <v>1452</v>
      </c>
      <c r="C1101" t="str">
        <f t="shared" si="68"/>
        <v>Regular</v>
      </c>
      <c r="D1101">
        <f t="shared" si="69"/>
        <v>98548</v>
      </c>
      <c r="E1101" s="6">
        <f t="shared" si="70"/>
        <v>2.5359358908005785E-5</v>
      </c>
      <c r="F1101" s="5">
        <f ca="1">TODAY()-GETPIVOTDATA("LastPurchaseDate",MaxDate!$A$3,"Customer_name",MaxDate!A1103)</f>
        <v>60</v>
      </c>
      <c r="G1101" t="str">
        <f t="shared" ca="1" si="71"/>
        <v>Active</v>
      </c>
      <c r="H1101" s="13">
        <f>RANK(B1101,Customer_Tiers[Total_Sales])</f>
        <v>1100</v>
      </c>
    </row>
    <row r="1102" spans="1:8">
      <c r="A1102" t="str">
        <f>'Top Customers'!A1104</f>
        <v>VISHNU VENNIPARAMBIL</v>
      </c>
      <c r="B1102" s="5">
        <f>IF(A1102="","",IFERROR(GETPIVOTDATA("Sales Amount",'Top Customers'!$A$3,"Customer_name",'Top Customers'!A1104),""))</f>
        <v>1451</v>
      </c>
      <c r="C1102" t="str">
        <f t="shared" si="68"/>
        <v>Regular</v>
      </c>
      <c r="D1102">
        <f t="shared" si="69"/>
        <v>98549</v>
      </c>
      <c r="E1102" s="6">
        <f t="shared" si="70"/>
        <v>2.5341893784790906E-5</v>
      </c>
      <c r="F1102" s="5">
        <f ca="1">TODAY()-GETPIVOTDATA("LastPurchaseDate",MaxDate!$A$3,"Customer_name",MaxDate!A1104)</f>
        <v>73</v>
      </c>
      <c r="G1102" t="str">
        <f t="shared" ca="1" si="71"/>
        <v>At Risk</v>
      </c>
      <c r="H1102" s="13">
        <f>RANK(B1102,Customer_Tiers[Total_Sales])</f>
        <v>1101</v>
      </c>
    </row>
    <row r="1103" spans="1:8">
      <c r="A1103" t="str">
        <f>'Top Customers'!A1105</f>
        <v>SHYJU VALAMBOOR</v>
      </c>
      <c r="B1103" s="5">
        <f>IF(A1103="","",IFERROR(GETPIVOTDATA("Sales Amount",'Top Customers'!$A$3,"Customer_name",'Top Customers'!A1105),""))</f>
        <v>1450</v>
      </c>
      <c r="C1103" t="str">
        <f t="shared" si="68"/>
        <v>Regular</v>
      </c>
      <c r="D1103">
        <f t="shared" si="69"/>
        <v>98550</v>
      </c>
      <c r="E1103" s="6">
        <f t="shared" si="70"/>
        <v>2.5324428661576026E-5</v>
      </c>
      <c r="F1103" s="5">
        <f ca="1">TODAY()-GETPIVOTDATA("LastPurchaseDate",MaxDate!$A$3,"Customer_name",MaxDate!A1105)</f>
        <v>68</v>
      </c>
      <c r="G1103" t="str">
        <f t="shared" ca="1" si="71"/>
        <v>At Risk</v>
      </c>
      <c r="H1103" s="13">
        <f>RANK(B1103,Customer_Tiers[Total_Sales])</f>
        <v>1102</v>
      </c>
    </row>
    <row r="1104" spans="1:8">
      <c r="A1104" t="str">
        <f>'Top Customers'!A1106</f>
        <v>PEBBLE OF TRADING</v>
      </c>
      <c r="B1104" s="5">
        <f>IF(A1104="","",IFERROR(GETPIVOTDATA("Sales Amount",'Top Customers'!$A$3,"Customer_name",'Top Customers'!A1106),""))</f>
        <v>1440</v>
      </c>
      <c r="C1104" t="str">
        <f t="shared" si="68"/>
        <v>Regular</v>
      </c>
      <c r="D1104">
        <f t="shared" si="69"/>
        <v>98560</v>
      </c>
      <c r="E1104" s="6">
        <f t="shared" si="70"/>
        <v>2.5149777429427223E-5</v>
      </c>
      <c r="F1104" s="5">
        <f ca="1">TODAY()-GETPIVOTDATA("LastPurchaseDate",MaxDate!$A$3,"Customer_name",MaxDate!A1106)</f>
        <v>267</v>
      </c>
      <c r="G1104" t="str">
        <f t="shared" ca="1" si="71"/>
        <v>Inactive</v>
      </c>
      <c r="H1104" s="13">
        <f>RANK(B1104,Customer_Tiers[Total_Sales])</f>
        <v>1103</v>
      </c>
    </row>
    <row r="1105" spans="1:8">
      <c r="A1105" t="str">
        <f>'Top Customers'!A1107</f>
        <v>COSE VARGHESE</v>
      </c>
      <c r="B1105" s="5">
        <f>IF(A1105="","",IFERROR(GETPIVOTDATA("Sales Amount",'Top Customers'!$A$3,"Customer_name",'Top Customers'!A1107),""))</f>
        <v>1438</v>
      </c>
      <c r="C1105" t="str">
        <f t="shared" si="68"/>
        <v>Regular</v>
      </c>
      <c r="D1105">
        <f t="shared" si="69"/>
        <v>98562</v>
      </c>
      <c r="E1105" s="6">
        <f t="shared" si="70"/>
        <v>2.5114847182997464E-5</v>
      </c>
      <c r="F1105" s="5">
        <f ca="1">TODAY()-GETPIVOTDATA("LastPurchaseDate",MaxDate!$A$3,"Customer_name",MaxDate!A1107)</f>
        <v>229</v>
      </c>
      <c r="G1105" t="str">
        <f t="shared" ca="1" si="71"/>
        <v>Inactive</v>
      </c>
      <c r="H1105" s="13">
        <f>RANK(B1105,Customer_Tiers[Total_Sales])</f>
        <v>1104</v>
      </c>
    </row>
    <row r="1106" spans="1:8">
      <c r="A1106" t="str">
        <f>'Top Customers'!A1108</f>
        <v>INDWARE HARDWARE STEEL</v>
      </c>
      <c r="B1106" s="5">
        <f>IF(A1106="","",IFERROR(GETPIVOTDATA("Sales Amount",'Top Customers'!$A$3,"Customer_name",'Top Customers'!A1108),""))</f>
        <v>1436</v>
      </c>
      <c r="C1106" t="str">
        <f t="shared" si="68"/>
        <v>Regular</v>
      </c>
      <c r="D1106">
        <f t="shared" si="69"/>
        <v>98564</v>
      </c>
      <c r="E1106" s="6">
        <f t="shared" si="70"/>
        <v>2.5079916936567705E-5</v>
      </c>
      <c r="F1106" s="5">
        <f ca="1">TODAY()-GETPIVOTDATA("LastPurchaseDate",MaxDate!$A$3,"Customer_name",MaxDate!A1108)</f>
        <v>110</v>
      </c>
      <c r="G1106" t="str">
        <f t="shared" ca="1" si="71"/>
        <v>At Risk</v>
      </c>
      <c r="H1106" s="13">
        <f>RANK(B1106,Customer_Tiers[Total_Sales])</f>
        <v>1105</v>
      </c>
    </row>
    <row r="1107" spans="1:8">
      <c r="A1107" t="str">
        <f>'Top Customers'!A1109</f>
        <v>MILLY JACOB</v>
      </c>
      <c r="B1107" s="5">
        <f>IF(A1107="","",IFERROR(GETPIVOTDATA("Sales Amount",'Top Customers'!$A$3,"Customer_name",'Top Customers'!A1109),""))</f>
        <v>1420</v>
      </c>
      <c r="C1107" t="str">
        <f t="shared" si="68"/>
        <v>Regular</v>
      </c>
      <c r="D1107">
        <f t="shared" si="69"/>
        <v>98580</v>
      </c>
      <c r="E1107" s="6">
        <f t="shared" si="70"/>
        <v>2.4800474965129625E-5</v>
      </c>
      <c r="F1107" s="5">
        <f ca="1">TODAY()-GETPIVOTDATA("LastPurchaseDate",MaxDate!$A$3,"Customer_name",MaxDate!A1109)</f>
        <v>102</v>
      </c>
      <c r="G1107" t="str">
        <f t="shared" ca="1" si="71"/>
        <v>At Risk</v>
      </c>
      <c r="H1107" s="13">
        <f>RANK(B1107,Customer_Tiers[Total_Sales])</f>
        <v>1106</v>
      </c>
    </row>
    <row r="1108" spans="1:8">
      <c r="A1108" t="str">
        <f>'Top Customers'!A1110</f>
        <v>ABDULKHADER THANDAKALA</v>
      </c>
      <c r="B1108" s="5">
        <f>IF(A1108="","",IFERROR(GETPIVOTDATA("Sales Amount",'Top Customers'!$A$3,"Customer_name",'Top Customers'!A1110),""))</f>
        <v>1411</v>
      </c>
      <c r="C1108" t="str">
        <f t="shared" si="68"/>
        <v>Regular</v>
      </c>
      <c r="D1108">
        <f t="shared" si="69"/>
        <v>98589</v>
      </c>
      <c r="E1108" s="6">
        <f t="shared" si="70"/>
        <v>2.4643288856195705E-5</v>
      </c>
      <c r="F1108" s="5">
        <f ca="1">TODAY()-GETPIVOTDATA("LastPurchaseDate",MaxDate!$A$3,"Customer_name",MaxDate!A1110)</f>
        <v>32</v>
      </c>
      <c r="G1108" t="str">
        <f t="shared" ca="1" si="71"/>
        <v>Active</v>
      </c>
      <c r="H1108" s="13">
        <f>RANK(B1108,Customer_Tiers[Total_Sales])</f>
        <v>1107</v>
      </c>
    </row>
    <row r="1109" spans="1:8">
      <c r="A1109" t="str">
        <f>'Top Customers'!A1111</f>
        <v>SANDEEP KUMMANODE</v>
      </c>
      <c r="B1109" s="5">
        <f>IF(A1109="","",IFERROR(GETPIVOTDATA("Sales Amount",'Top Customers'!$A$3,"Customer_name",'Top Customers'!A1111),""))</f>
        <v>1402</v>
      </c>
      <c r="C1109" t="str">
        <f t="shared" si="68"/>
        <v>Regular</v>
      </c>
      <c r="D1109">
        <f t="shared" si="69"/>
        <v>98598</v>
      </c>
      <c r="E1109" s="6">
        <f t="shared" si="70"/>
        <v>2.4486102747261785E-5</v>
      </c>
      <c r="F1109" s="5">
        <f ca="1">TODAY()-GETPIVOTDATA("LastPurchaseDate",MaxDate!$A$3,"Customer_name",MaxDate!A1111)</f>
        <v>247</v>
      </c>
      <c r="G1109" t="str">
        <f t="shared" ca="1" si="71"/>
        <v>Inactive</v>
      </c>
      <c r="H1109" s="13">
        <f>RANK(B1109,Customer_Tiers[Total_Sales])</f>
        <v>1108</v>
      </c>
    </row>
    <row r="1110" spans="1:8">
      <c r="A1110" t="str">
        <f>'Top Customers'!A1112</f>
        <v>JIBU K.P</v>
      </c>
      <c r="B1110" s="5">
        <f>IF(A1110="","",IFERROR(GETPIVOTDATA("Sales Amount",'Top Customers'!$A$3,"Customer_name",'Top Customers'!A1112),""))</f>
        <v>1400</v>
      </c>
      <c r="C1110" t="str">
        <f t="shared" si="68"/>
        <v>Regular</v>
      </c>
      <c r="D1110">
        <f t="shared" si="69"/>
        <v>98600</v>
      </c>
      <c r="E1110" s="6">
        <f t="shared" si="70"/>
        <v>2.4451172500832026E-5</v>
      </c>
      <c r="F1110" s="5">
        <f ca="1">TODAY()-GETPIVOTDATA("LastPurchaseDate",MaxDate!$A$3,"Customer_name",MaxDate!A1112)</f>
        <v>149</v>
      </c>
      <c r="G1110" t="str">
        <f t="shared" ca="1" si="71"/>
        <v>Inactive</v>
      </c>
      <c r="H1110" s="13">
        <f>RANK(B1110,Customer_Tiers[Total_Sales])</f>
        <v>1109</v>
      </c>
    </row>
    <row r="1111" spans="1:8">
      <c r="A1111" t="str">
        <f>'Top Customers'!A1113</f>
        <v>SIJU KOLANKUDY</v>
      </c>
      <c r="B1111" s="5">
        <f>IF(A1111="","",IFERROR(GETPIVOTDATA("Sales Amount",'Top Customers'!$A$3,"Customer_name",'Top Customers'!A1113),""))</f>
        <v>1400</v>
      </c>
      <c r="C1111" t="str">
        <f t="shared" si="68"/>
        <v>Regular</v>
      </c>
      <c r="D1111">
        <f t="shared" si="69"/>
        <v>98600</v>
      </c>
      <c r="E1111" s="6">
        <f t="shared" si="70"/>
        <v>2.4451172500832026E-5</v>
      </c>
      <c r="F1111" s="5">
        <f ca="1">TODAY()-GETPIVOTDATA("LastPurchaseDate",MaxDate!$A$3,"Customer_name",MaxDate!A1113)</f>
        <v>320</v>
      </c>
      <c r="G1111" t="str">
        <f t="shared" ca="1" si="71"/>
        <v>Inactive</v>
      </c>
      <c r="H1111" s="13">
        <f>RANK(B1111,Customer_Tiers[Total_Sales])</f>
        <v>1109</v>
      </c>
    </row>
    <row r="1112" spans="1:8">
      <c r="A1112" t="str">
        <f>'Top Customers'!A1114</f>
        <v>SAKEER PATTIMATTOM</v>
      </c>
      <c r="B1112" s="5">
        <f>IF(A1112="","",IFERROR(GETPIVOTDATA("Sales Amount",'Top Customers'!$A$3,"Customer_name",'Top Customers'!A1114),""))</f>
        <v>1396</v>
      </c>
      <c r="C1112" t="str">
        <f t="shared" si="68"/>
        <v>Regular</v>
      </c>
      <c r="D1112">
        <f t="shared" si="69"/>
        <v>98604</v>
      </c>
      <c r="E1112" s="6">
        <f t="shared" si="70"/>
        <v>2.4381312007972504E-5</v>
      </c>
      <c r="F1112" s="5">
        <f ca="1">TODAY()-GETPIVOTDATA("LastPurchaseDate",MaxDate!$A$3,"Customer_name",MaxDate!A1114)</f>
        <v>122</v>
      </c>
      <c r="G1112" t="str">
        <f t="shared" ca="1" si="71"/>
        <v>Inactive</v>
      </c>
      <c r="H1112" s="13">
        <f>RANK(B1112,Customer_Tiers[Total_Sales])</f>
        <v>1111</v>
      </c>
    </row>
    <row r="1113" spans="1:8">
      <c r="A1113" t="str">
        <f>'Top Customers'!A1115</f>
        <v>RAKESH KAITHAKKAD</v>
      </c>
      <c r="B1113" s="5">
        <f>IF(A1113="","",IFERROR(GETPIVOTDATA("Sales Amount",'Top Customers'!$A$3,"Customer_name",'Top Customers'!A1115),""))</f>
        <v>1390</v>
      </c>
      <c r="C1113" t="str">
        <f t="shared" si="68"/>
        <v>Regular</v>
      </c>
      <c r="D1113">
        <f t="shared" si="69"/>
        <v>98610</v>
      </c>
      <c r="E1113" s="6">
        <f t="shared" si="70"/>
        <v>2.4276521268683223E-5</v>
      </c>
      <c r="F1113" s="5">
        <f ca="1">TODAY()-GETPIVOTDATA("LastPurchaseDate",MaxDate!$A$3,"Customer_name",MaxDate!A1115)</f>
        <v>64</v>
      </c>
      <c r="G1113" t="str">
        <f t="shared" ca="1" si="71"/>
        <v>At Risk</v>
      </c>
      <c r="H1113" s="13">
        <f>RANK(B1113,Customer_Tiers[Total_Sales])</f>
        <v>1112</v>
      </c>
    </row>
    <row r="1114" spans="1:8">
      <c r="A1114" t="str">
        <f>'Top Customers'!A1116</f>
        <v>AMBUJAN</v>
      </c>
      <c r="B1114" s="5">
        <f>IF(A1114="","",IFERROR(GETPIVOTDATA("Sales Amount",'Top Customers'!$A$3,"Customer_name",'Top Customers'!A1116),""))</f>
        <v>1360</v>
      </c>
      <c r="C1114" t="str">
        <f t="shared" si="68"/>
        <v>Regular</v>
      </c>
      <c r="D1114">
        <f t="shared" si="69"/>
        <v>98640</v>
      </c>
      <c r="E1114" s="6">
        <f t="shared" si="70"/>
        <v>2.3752567572236824E-5</v>
      </c>
      <c r="F1114" s="5">
        <f ca="1">TODAY()-GETPIVOTDATA("LastPurchaseDate",MaxDate!$A$3,"Customer_name",MaxDate!A1116)</f>
        <v>145</v>
      </c>
      <c r="G1114" t="str">
        <f t="shared" ca="1" si="71"/>
        <v>Inactive</v>
      </c>
      <c r="H1114" s="13">
        <f>RANK(B1114,Customer_Tiers[Total_Sales])</f>
        <v>1113</v>
      </c>
    </row>
    <row r="1115" spans="1:8">
      <c r="A1115" t="str">
        <f>'Top Customers'!A1117</f>
        <v>ELDHO KOKKAT, KUMMANODE</v>
      </c>
      <c r="B1115" s="5">
        <f>IF(A1115="","",IFERROR(GETPIVOTDATA("Sales Amount",'Top Customers'!$A$3,"Customer_name",'Top Customers'!A1117),""))</f>
        <v>1357</v>
      </c>
      <c r="C1115" t="str">
        <f t="shared" si="68"/>
        <v>Regular</v>
      </c>
      <c r="D1115">
        <f t="shared" si="69"/>
        <v>98643</v>
      </c>
      <c r="E1115" s="6">
        <f t="shared" si="70"/>
        <v>2.3700172202592182E-5</v>
      </c>
      <c r="F1115" s="5">
        <f ca="1">TODAY()-GETPIVOTDATA("LastPurchaseDate",MaxDate!$A$3,"Customer_name",MaxDate!A1117)</f>
        <v>275</v>
      </c>
      <c r="G1115" t="str">
        <f t="shared" ca="1" si="71"/>
        <v>Inactive</v>
      </c>
      <c r="H1115" s="13">
        <f>RANK(B1115,Customer_Tiers[Total_Sales])</f>
        <v>1114</v>
      </c>
    </row>
    <row r="1116" spans="1:8">
      <c r="A1116" t="str">
        <f>'Top Customers'!A1118</f>
        <v>JINS PATTIMATTOM</v>
      </c>
      <c r="B1116" s="5">
        <f>IF(A1116="","",IFERROR(GETPIVOTDATA("Sales Amount",'Top Customers'!$A$3,"Customer_name",'Top Customers'!A1118),""))</f>
        <v>1350</v>
      </c>
      <c r="C1116" t="str">
        <f t="shared" si="68"/>
        <v>Regular</v>
      </c>
      <c r="D1116">
        <f t="shared" si="69"/>
        <v>98650</v>
      </c>
      <c r="E1116" s="6">
        <f t="shared" si="70"/>
        <v>2.3577916340088025E-5</v>
      </c>
      <c r="F1116" s="5">
        <f ca="1">TODAY()-GETPIVOTDATA("LastPurchaseDate",MaxDate!$A$3,"Customer_name",MaxDate!A1118)</f>
        <v>48</v>
      </c>
      <c r="G1116" t="str">
        <f t="shared" ca="1" si="71"/>
        <v>Active</v>
      </c>
      <c r="H1116" s="13">
        <f>RANK(B1116,Customer_Tiers[Total_Sales])</f>
        <v>1115</v>
      </c>
    </row>
    <row r="1117" spans="1:8">
      <c r="A1117" t="str">
        <f>'Top Customers'!A1119</f>
        <v>ANIL TRUSS  MANGALATHUNADA</v>
      </c>
      <c r="B1117" s="5">
        <f>IF(A1117="","",IFERROR(GETPIVOTDATA("Sales Amount",'Top Customers'!$A$3,"Customer_name",'Top Customers'!A1119),""))</f>
        <v>1334</v>
      </c>
      <c r="C1117" t="str">
        <f t="shared" si="68"/>
        <v>Regular</v>
      </c>
      <c r="D1117">
        <f t="shared" si="69"/>
        <v>98666</v>
      </c>
      <c r="E1117" s="6">
        <f t="shared" si="70"/>
        <v>2.3298474368649944E-5</v>
      </c>
      <c r="F1117" s="5">
        <f ca="1">TODAY()-GETPIVOTDATA("LastPurchaseDate",MaxDate!$A$3,"Customer_name",MaxDate!A1119)</f>
        <v>72</v>
      </c>
      <c r="G1117" t="str">
        <f t="shared" ca="1" si="71"/>
        <v>At Risk</v>
      </c>
      <c r="H1117" s="13">
        <f>RANK(B1117,Customer_Tiers[Total_Sales])</f>
        <v>1116</v>
      </c>
    </row>
    <row r="1118" spans="1:8">
      <c r="A1118" t="str">
        <f>'Top Customers'!A1120</f>
        <v>SHINU HANDRAIL (ROYALENGINEERING)</v>
      </c>
      <c r="B1118" s="5">
        <f>IF(A1118="","",IFERROR(GETPIVOTDATA("Sales Amount",'Top Customers'!$A$3,"Customer_name",'Top Customers'!A1120),""))</f>
        <v>1327</v>
      </c>
      <c r="C1118" t="str">
        <f t="shared" si="68"/>
        <v>Regular</v>
      </c>
      <c r="D1118">
        <f t="shared" si="69"/>
        <v>98673</v>
      </c>
      <c r="E1118" s="6">
        <f t="shared" si="70"/>
        <v>2.3176218506145784E-5</v>
      </c>
      <c r="F1118" s="5">
        <f ca="1">TODAY()-GETPIVOTDATA("LastPurchaseDate",MaxDate!$A$3,"Customer_name",MaxDate!A1120)</f>
        <v>57</v>
      </c>
      <c r="G1118" t="str">
        <f t="shared" ca="1" si="71"/>
        <v>Active</v>
      </c>
      <c r="H1118" s="13">
        <f>RANK(B1118,Customer_Tiers[Total_Sales])</f>
        <v>1117</v>
      </c>
    </row>
    <row r="1119" spans="1:8">
      <c r="A1119" t="str">
        <f>'Top Customers'!A1121</f>
        <v>VARGHESE MANGALATHUNADA</v>
      </c>
      <c r="B1119" s="5">
        <f>IF(A1119="","",IFERROR(GETPIVOTDATA("Sales Amount",'Top Customers'!$A$3,"Customer_name",'Top Customers'!A1121),""))</f>
        <v>1326</v>
      </c>
      <c r="C1119" t="str">
        <f t="shared" si="68"/>
        <v>Regular</v>
      </c>
      <c r="D1119">
        <f t="shared" si="69"/>
        <v>98674</v>
      </c>
      <c r="E1119" s="6">
        <f t="shared" si="70"/>
        <v>2.3158753382930904E-5</v>
      </c>
      <c r="F1119" s="5">
        <f ca="1">TODAY()-GETPIVOTDATA("LastPurchaseDate",MaxDate!$A$3,"Customer_name",MaxDate!A1121)</f>
        <v>178</v>
      </c>
      <c r="G1119" t="str">
        <f t="shared" ca="1" si="71"/>
        <v>Inactive</v>
      </c>
      <c r="H1119" s="13">
        <f>RANK(B1119,Customer_Tiers[Total_Sales])</f>
        <v>1118</v>
      </c>
    </row>
    <row r="1120" spans="1:8">
      <c r="A1120" t="str">
        <f>'Top Customers'!A1122</f>
        <v>KUTTAI NAVAS PATTIMATTOM</v>
      </c>
      <c r="B1120" s="5">
        <f>IF(A1120="","",IFERROR(GETPIVOTDATA("Sales Amount",'Top Customers'!$A$3,"Customer_name",'Top Customers'!A1122),""))</f>
        <v>1305</v>
      </c>
      <c r="C1120" t="str">
        <f t="shared" si="68"/>
        <v>Regular</v>
      </c>
      <c r="D1120">
        <f t="shared" si="69"/>
        <v>98695</v>
      </c>
      <c r="E1120" s="6">
        <f t="shared" si="70"/>
        <v>2.2791985795418422E-5</v>
      </c>
      <c r="F1120" s="5">
        <f ca="1">TODAY()-GETPIVOTDATA("LastPurchaseDate",MaxDate!$A$3,"Customer_name",MaxDate!A1122)</f>
        <v>117</v>
      </c>
      <c r="G1120" t="str">
        <f t="shared" ca="1" si="71"/>
        <v>At Risk</v>
      </c>
      <c r="H1120" s="13">
        <f>RANK(B1120,Customer_Tiers[Total_Sales])</f>
        <v>1119</v>
      </c>
    </row>
    <row r="1121" spans="1:8">
      <c r="A1121" t="str">
        <f>'Top Customers'!A1123</f>
        <v>ALIYAR BISMI</v>
      </c>
      <c r="B1121" s="5">
        <f>IF(A1121="","",IFERROR(GETPIVOTDATA("Sales Amount",'Top Customers'!$A$3,"Customer_name",'Top Customers'!A1123),""))</f>
        <v>1300</v>
      </c>
      <c r="C1121" t="str">
        <f t="shared" si="68"/>
        <v>Regular</v>
      </c>
      <c r="D1121">
        <f t="shared" si="69"/>
        <v>98700</v>
      </c>
      <c r="E1121" s="6">
        <f t="shared" si="70"/>
        <v>2.2704660179344021E-5</v>
      </c>
      <c r="F1121" s="5">
        <f ca="1">TODAY()-GETPIVOTDATA("LastPurchaseDate",MaxDate!$A$3,"Customer_name",MaxDate!A1123)</f>
        <v>255</v>
      </c>
      <c r="G1121" t="str">
        <f t="shared" ca="1" si="71"/>
        <v>Inactive</v>
      </c>
      <c r="H1121" s="13">
        <f>RANK(B1121,Customer_Tiers[Total_Sales])</f>
        <v>1120</v>
      </c>
    </row>
    <row r="1122" spans="1:8">
      <c r="A1122" t="str">
        <f>'Top Customers'!A1124</f>
        <v>UMA SANKAR</v>
      </c>
      <c r="B1122" s="5">
        <f>IF(A1122="","",IFERROR(GETPIVOTDATA("Sales Amount",'Top Customers'!$A$3,"Customer_name",'Top Customers'!A1124),""))</f>
        <v>1295</v>
      </c>
      <c r="C1122" t="str">
        <f t="shared" si="68"/>
        <v>Regular</v>
      </c>
      <c r="D1122">
        <f t="shared" si="69"/>
        <v>98705</v>
      </c>
      <c r="E1122" s="6">
        <f t="shared" si="70"/>
        <v>2.2617334563269623E-5</v>
      </c>
      <c r="F1122" s="5">
        <f ca="1">TODAY()-GETPIVOTDATA("LastPurchaseDate",MaxDate!$A$3,"Customer_name",MaxDate!A1124)</f>
        <v>123</v>
      </c>
      <c r="G1122" t="str">
        <f t="shared" ca="1" si="71"/>
        <v>Inactive</v>
      </c>
      <c r="H1122" s="13">
        <f>RANK(B1122,Customer_Tiers[Total_Sales])</f>
        <v>1121</v>
      </c>
    </row>
    <row r="1123" spans="1:8">
      <c r="A1123" t="str">
        <f>'Top Customers'!A1125</f>
        <v>U K ENGINEERING AND POWDER COATING</v>
      </c>
      <c r="B1123" s="5">
        <f>IF(A1123="","",IFERROR(GETPIVOTDATA("Sales Amount",'Top Customers'!$A$3,"Customer_name",'Top Customers'!A1125),""))</f>
        <v>1293</v>
      </c>
      <c r="C1123" t="str">
        <f t="shared" si="68"/>
        <v>Regular</v>
      </c>
      <c r="D1123">
        <f t="shared" si="69"/>
        <v>98707</v>
      </c>
      <c r="E1123" s="6">
        <f t="shared" si="70"/>
        <v>2.2582404316839864E-5</v>
      </c>
      <c r="F1123" s="5">
        <f ca="1">TODAY()-GETPIVOTDATA("LastPurchaseDate",MaxDate!$A$3,"Customer_name",MaxDate!A1125)</f>
        <v>319</v>
      </c>
      <c r="G1123" t="str">
        <f t="shared" ca="1" si="71"/>
        <v>Inactive</v>
      </c>
      <c r="H1123" s="13">
        <f>RANK(B1123,Customer_Tiers[Total_Sales])</f>
        <v>1122</v>
      </c>
    </row>
    <row r="1124" spans="1:8">
      <c r="A1124" t="str">
        <f>'Top Customers'!A1126</f>
        <v>ANEESH</v>
      </c>
      <c r="B1124" s="5">
        <f>IF(A1124="","",IFERROR(GETPIVOTDATA("Sales Amount",'Top Customers'!$A$3,"Customer_name",'Top Customers'!A1126),""))</f>
        <v>1283</v>
      </c>
      <c r="C1124" t="str">
        <f t="shared" si="68"/>
        <v>Regular</v>
      </c>
      <c r="D1124">
        <f t="shared" si="69"/>
        <v>98717</v>
      </c>
      <c r="E1124" s="6">
        <f t="shared" si="70"/>
        <v>2.2407753084691061E-5</v>
      </c>
      <c r="F1124" s="5">
        <f ca="1">TODAY()-GETPIVOTDATA("LastPurchaseDate",MaxDate!$A$3,"Customer_name",MaxDate!A1126)</f>
        <v>58</v>
      </c>
      <c r="G1124" t="str">
        <f t="shared" ca="1" si="71"/>
        <v>Active</v>
      </c>
      <c r="H1124" s="13">
        <f>RANK(B1124,Customer_Tiers[Total_Sales])</f>
        <v>1123</v>
      </c>
    </row>
    <row r="1125" spans="1:8">
      <c r="A1125" t="str">
        <f>'Top Customers'!A1127</f>
        <v>PRAISE MATHEWS</v>
      </c>
      <c r="B1125" s="5">
        <f>IF(A1125="","",IFERROR(GETPIVOTDATA("Sales Amount",'Top Customers'!$A$3,"Customer_name",'Top Customers'!A1127),""))</f>
        <v>1280</v>
      </c>
      <c r="C1125" t="str">
        <f t="shared" si="68"/>
        <v>Regular</v>
      </c>
      <c r="D1125">
        <f t="shared" si="69"/>
        <v>98720</v>
      </c>
      <c r="E1125" s="6">
        <f t="shared" si="70"/>
        <v>2.2355357715046422E-5</v>
      </c>
      <c r="F1125" s="5">
        <f ca="1">TODAY()-GETPIVOTDATA("LastPurchaseDate",MaxDate!$A$3,"Customer_name",MaxDate!A1127)</f>
        <v>6</v>
      </c>
      <c r="G1125" t="str">
        <f t="shared" ca="1" si="71"/>
        <v>Active</v>
      </c>
      <c r="H1125" s="13">
        <f>RANK(B1125,Customer_Tiers[Total_Sales])</f>
        <v>1124</v>
      </c>
    </row>
    <row r="1126" spans="1:8">
      <c r="A1126" t="str">
        <f>'Top Customers'!A1128</f>
        <v>GEORGE PATTIMATTOM</v>
      </c>
      <c r="B1126" s="5">
        <f>IF(A1126="","",IFERROR(GETPIVOTDATA("Sales Amount",'Top Customers'!$A$3,"Customer_name",'Top Customers'!A1128),""))</f>
        <v>1264</v>
      </c>
      <c r="C1126" t="str">
        <f t="shared" si="68"/>
        <v>Regular</v>
      </c>
      <c r="D1126">
        <f t="shared" si="69"/>
        <v>98736</v>
      </c>
      <c r="E1126" s="6">
        <f t="shared" si="70"/>
        <v>2.2075915743608341E-5</v>
      </c>
      <c r="F1126" s="5">
        <f ca="1">TODAY()-GETPIVOTDATA("LastPurchaseDate",MaxDate!$A$3,"Customer_name",MaxDate!A1128)</f>
        <v>241</v>
      </c>
      <c r="G1126" t="str">
        <f t="shared" ca="1" si="71"/>
        <v>Inactive</v>
      </c>
      <c r="H1126" s="13">
        <f>RANK(B1126,Customer_Tiers[Total_Sales])</f>
        <v>1125</v>
      </c>
    </row>
    <row r="1127" spans="1:8">
      <c r="A1127" t="str">
        <f>'Top Customers'!A1129</f>
        <v>AJMAL.P.P</v>
      </c>
      <c r="B1127" s="5">
        <f>IF(A1127="","",IFERROR(GETPIVOTDATA("Sales Amount",'Top Customers'!$A$3,"Customer_name",'Top Customers'!A1129),""))</f>
        <v>1254</v>
      </c>
      <c r="C1127" t="str">
        <f t="shared" si="68"/>
        <v>Regular</v>
      </c>
      <c r="D1127">
        <f t="shared" si="69"/>
        <v>98746</v>
      </c>
      <c r="E1127" s="6">
        <f t="shared" si="70"/>
        <v>2.1901264511459542E-5</v>
      </c>
      <c r="F1127" s="5">
        <f ca="1">TODAY()-GETPIVOTDATA("LastPurchaseDate",MaxDate!$A$3,"Customer_name",MaxDate!A1129)</f>
        <v>136</v>
      </c>
      <c r="G1127" t="str">
        <f t="shared" ca="1" si="71"/>
        <v>Inactive</v>
      </c>
      <c r="H1127" s="13">
        <f>RANK(B1127,Customer_Tiers[Total_Sales])</f>
        <v>1126</v>
      </c>
    </row>
    <row r="1128" spans="1:8">
      <c r="A1128" t="str">
        <f>'Top Customers'!A1130</f>
        <v>DINIL VALMBOOR</v>
      </c>
      <c r="B1128" s="5">
        <f>IF(A1128="","",IFERROR(GETPIVOTDATA("Sales Amount",'Top Customers'!$A$3,"Customer_name",'Top Customers'!A1130),""))</f>
        <v>1250</v>
      </c>
      <c r="C1128" t="str">
        <f t="shared" si="68"/>
        <v>Regular</v>
      </c>
      <c r="D1128">
        <f t="shared" si="69"/>
        <v>98750</v>
      </c>
      <c r="E1128" s="6">
        <f t="shared" si="70"/>
        <v>2.183140401860002E-5</v>
      </c>
      <c r="F1128" s="5">
        <f ca="1">TODAY()-GETPIVOTDATA("LastPurchaseDate",MaxDate!$A$3,"Customer_name",MaxDate!A1130)</f>
        <v>332</v>
      </c>
      <c r="G1128" t="str">
        <f t="shared" ca="1" si="71"/>
        <v>Inactive</v>
      </c>
      <c r="H1128" s="13">
        <f>RANK(B1128,Customer_Tiers[Total_Sales])</f>
        <v>1127</v>
      </c>
    </row>
    <row r="1129" spans="1:8">
      <c r="A1129" t="str">
        <f>'Top Customers'!A1131</f>
        <v>JOE ANTONY</v>
      </c>
      <c r="B1129" s="5">
        <f>IF(A1129="","",IFERROR(GETPIVOTDATA("Sales Amount",'Top Customers'!$A$3,"Customer_name",'Top Customers'!A1131),""))</f>
        <v>1240</v>
      </c>
      <c r="C1129" t="str">
        <f t="shared" si="68"/>
        <v>Regular</v>
      </c>
      <c r="D1129">
        <f t="shared" si="69"/>
        <v>98760</v>
      </c>
      <c r="E1129" s="6">
        <f t="shared" si="70"/>
        <v>2.1656752786451221E-5</v>
      </c>
      <c r="F1129" s="5">
        <f ca="1">TODAY()-GETPIVOTDATA("LastPurchaseDate",MaxDate!$A$3,"Customer_name",MaxDate!A1131)</f>
        <v>83</v>
      </c>
      <c r="G1129" t="str">
        <f t="shared" ca="1" si="71"/>
        <v>At Risk</v>
      </c>
      <c r="H1129" s="13">
        <f>RANK(B1129,Customer_Tiers[Total_Sales])</f>
        <v>1128</v>
      </c>
    </row>
    <row r="1130" spans="1:8">
      <c r="A1130" t="str">
        <f>'Top Customers'!A1132</f>
        <v>MATHEW</v>
      </c>
      <c r="B1130" s="5">
        <f>IF(A1130="","",IFERROR(GETPIVOTDATA("Sales Amount",'Top Customers'!$A$3,"Customer_name",'Top Customers'!A1132),""))</f>
        <v>1240</v>
      </c>
      <c r="C1130" t="str">
        <f t="shared" si="68"/>
        <v>Regular</v>
      </c>
      <c r="D1130">
        <f t="shared" si="69"/>
        <v>98760</v>
      </c>
      <c r="E1130" s="6">
        <f t="shared" si="70"/>
        <v>2.1656752786451221E-5</v>
      </c>
      <c r="F1130" s="5">
        <f ca="1">TODAY()-GETPIVOTDATA("LastPurchaseDate",MaxDate!$A$3,"Customer_name",MaxDate!A1132)</f>
        <v>325</v>
      </c>
      <c r="G1130" t="str">
        <f t="shared" ca="1" si="71"/>
        <v>Inactive</v>
      </c>
      <c r="H1130" s="13">
        <f>RANK(B1130,Customer_Tiers[Total_Sales])</f>
        <v>1128</v>
      </c>
    </row>
    <row r="1131" spans="1:8">
      <c r="A1131" t="str">
        <f>'Top Customers'!A1133</f>
        <v>ARUN KUMMANODE</v>
      </c>
      <c r="B1131" s="5">
        <f>IF(A1131="","",IFERROR(GETPIVOTDATA("Sales Amount",'Top Customers'!$A$3,"Customer_name",'Top Customers'!A1133),""))</f>
        <v>1227</v>
      </c>
      <c r="C1131" t="str">
        <f t="shared" si="68"/>
        <v>Regular</v>
      </c>
      <c r="D1131">
        <f t="shared" si="69"/>
        <v>98773</v>
      </c>
      <c r="E1131" s="6">
        <f t="shared" si="70"/>
        <v>2.1429706184657782E-5</v>
      </c>
      <c r="F1131" s="5">
        <f ca="1">TODAY()-GETPIVOTDATA("LastPurchaseDate",MaxDate!$A$3,"Customer_name",MaxDate!A1133)</f>
        <v>185</v>
      </c>
      <c r="G1131" t="str">
        <f t="shared" ca="1" si="71"/>
        <v>Inactive</v>
      </c>
      <c r="H1131" s="13">
        <f>RANK(B1131,Customer_Tiers[Total_Sales])</f>
        <v>1130</v>
      </c>
    </row>
    <row r="1132" spans="1:8">
      <c r="A1132" t="str">
        <f>'Top Customers'!A1134</f>
        <v>MUJEEB , PATTIMATTOM</v>
      </c>
      <c r="B1132" s="5">
        <f>IF(A1132="","",IFERROR(GETPIVOTDATA("Sales Amount",'Top Customers'!$A$3,"Customer_name",'Top Customers'!A1134),""))</f>
        <v>1224</v>
      </c>
      <c r="C1132" t="str">
        <f t="shared" si="68"/>
        <v>Regular</v>
      </c>
      <c r="D1132">
        <f t="shared" si="69"/>
        <v>98776</v>
      </c>
      <c r="E1132" s="6">
        <f t="shared" si="70"/>
        <v>2.137731081501314E-5</v>
      </c>
      <c r="F1132" s="5">
        <f ca="1">TODAY()-GETPIVOTDATA("LastPurchaseDate",MaxDate!$A$3,"Customer_name",MaxDate!A1134)</f>
        <v>296</v>
      </c>
      <c r="G1132" t="str">
        <f t="shared" ca="1" si="71"/>
        <v>Inactive</v>
      </c>
      <c r="H1132" s="13">
        <f>RANK(B1132,Customer_Tiers[Total_Sales])</f>
        <v>1131</v>
      </c>
    </row>
    <row r="1133" spans="1:8">
      <c r="A1133" t="str">
        <f>'Top Customers'!A1135</f>
        <v>SHIHAB, PATTIMATTOM</v>
      </c>
      <c r="B1133" s="5">
        <f>IF(A1133="","",IFERROR(GETPIVOTDATA("Sales Amount",'Top Customers'!$A$3,"Customer_name",'Top Customers'!A1135),""))</f>
        <v>1211</v>
      </c>
      <c r="C1133" t="str">
        <f t="shared" si="68"/>
        <v>Regular</v>
      </c>
      <c r="D1133">
        <f t="shared" si="69"/>
        <v>98789</v>
      </c>
      <c r="E1133" s="6">
        <f t="shared" si="70"/>
        <v>2.1150264213219702E-5</v>
      </c>
      <c r="F1133" s="5">
        <f ca="1">TODAY()-GETPIVOTDATA("LastPurchaseDate",MaxDate!$A$3,"Customer_name",MaxDate!A1135)</f>
        <v>261</v>
      </c>
      <c r="G1133" t="str">
        <f t="shared" ca="1" si="71"/>
        <v>Inactive</v>
      </c>
      <c r="H1133" s="13">
        <f>RANK(B1133,Customer_Tiers[Total_Sales])</f>
        <v>1132</v>
      </c>
    </row>
    <row r="1134" spans="1:8">
      <c r="A1134" t="str">
        <f>'Top Customers'!A1136</f>
        <v>RATHEESH ERAPPUMPARA</v>
      </c>
      <c r="B1134" s="5">
        <f>IF(A1134="","",IFERROR(GETPIVOTDATA("Sales Amount",'Top Customers'!$A$3,"Customer_name",'Top Customers'!A1136),""))</f>
        <v>1200</v>
      </c>
      <c r="C1134" t="str">
        <f t="shared" si="68"/>
        <v>Regular</v>
      </c>
      <c r="D1134">
        <f t="shared" si="69"/>
        <v>98800</v>
      </c>
      <c r="E1134" s="6">
        <f t="shared" si="70"/>
        <v>2.095814785785602E-5</v>
      </c>
      <c r="F1134" s="5">
        <f ca="1">TODAY()-GETPIVOTDATA("LastPurchaseDate",MaxDate!$A$3,"Customer_name",MaxDate!A1136)</f>
        <v>141</v>
      </c>
      <c r="G1134" t="str">
        <f t="shared" ca="1" si="71"/>
        <v>Inactive</v>
      </c>
      <c r="H1134" s="13">
        <f>RANK(B1134,Customer_Tiers[Total_Sales])</f>
        <v>1133</v>
      </c>
    </row>
    <row r="1135" spans="1:8">
      <c r="A1135" t="str">
        <f>'Top Customers'!A1137</f>
        <v>SAJI , MORAKKALA</v>
      </c>
      <c r="B1135" s="5">
        <f>IF(A1135="","",IFERROR(GETPIVOTDATA("Sales Amount",'Top Customers'!$A$3,"Customer_name",'Top Customers'!A1137),""))</f>
        <v>1200</v>
      </c>
      <c r="C1135" t="str">
        <f t="shared" si="68"/>
        <v>Regular</v>
      </c>
      <c r="D1135">
        <f t="shared" si="69"/>
        <v>98800</v>
      </c>
      <c r="E1135" s="6">
        <f t="shared" si="70"/>
        <v>2.095814785785602E-5</v>
      </c>
      <c r="F1135" s="5">
        <f ca="1">TODAY()-GETPIVOTDATA("LastPurchaseDate",MaxDate!$A$3,"Customer_name",MaxDate!A1137)</f>
        <v>39</v>
      </c>
      <c r="G1135" t="str">
        <f t="shared" ca="1" si="71"/>
        <v>Active</v>
      </c>
      <c r="H1135" s="13">
        <f>RANK(B1135,Customer_Tiers[Total_Sales])</f>
        <v>1133</v>
      </c>
    </row>
    <row r="1136" spans="1:8">
      <c r="A1136" t="str">
        <f>'Top Customers'!A1138</f>
        <v>RIYAS, PATTIMATTOM</v>
      </c>
      <c r="B1136" s="5">
        <f>IF(A1136="","",IFERROR(GETPIVOTDATA("Sales Amount",'Top Customers'!$A$3,"Customer_name",'Top Customers'!A1138),""))</f>
        <v>1194</v>
      </c>
      <c r="C1136" t="str">
        <f t="shared" si="68"/>
        <v>Regular</v>
      </c>
      <c r="D1136">
        <f t="shared" si="69"/>
        <v>98806</v>
      </c>
      <c r="E1136" s="6">
        <f t="shared" si="70"/>
        <v>2.0853357118566742E-5</v>
      </c>
      <c r="F1136" s="5">
        <f ca="1">TODAY()-GETPIVOTDATA("LastPurchaseDate",MaxDate!$A$3,"Customer_name",MaxDate!A1138)</f>
        <v>156</v>
      </c>
      <c r="G1136" t="str">
        <f t="shared" ca="1" si="71"/>
        <v>Inactive</v>
      </c>
      <c r="H1136" s="13">
        <f>RANK(B1136,Customer_Tiers[Total_Sales])</f>
        <v>1135</v>
      </c>
    </row>
    <row r="1137" spans="1:8">
      <c r="A1137" t="str">
        <f>'Top Customers'!A1139</f>
        <v>ANEESH KIZHAKKAMBALAM</v>
      </c>
      <c r="B1137" s="5">
        <f>IF(A1137="","",IFERROR(GETPIVOTDATA("Sales Amount",'Top Customers'!$A$3,"Customer_name",'Top Customers'!A1139),""))</f>
        <v>1184</v>
      </c>
      <c r="C1137" t="str">
        <f t="shared" si="68"/>
        <v>Regular</v>
      </c>
      <c r="D1137">
        <f t="shared" si="69"/>
        <v>98816</v>
      </c>
      <c r="E1137" s="6">
        <f t="shared" si="70"/>
        <v>2.0678705886417939E-5</v>
      </c>
      <c r="F1137" s="5">
        <f ca="1">TODAY()-GETPIVOTDATA("LastPurchaseDate",MaxDate!$A$3,"Customer_name",MaxDate!A1139)</f>
        <v>22</v>
      </c>
      <c r="G1137" t="str">
        <f t="shared" ca="1" si="71"/>
        <v>Active</v>
      </c>
      <c r="H1137" s="13">
        <f>RANK(B1137,Customer_Tiers[Total_Sales])</f>
        <v>1136</v>
      </c>
    </row>
    <row r="1138" spans="1:8">
      <c r="A1138" t="str">
        <f>'Top Customers'!A1140</f>
        <v>SIVAN</v>
      </c>
      <c r="B1138" s="5">
        <f>IF(A1138="","",IFERROR(GETPIVOTDATA("Sales Amount",'Top Customers'!$A$3,"Customer_name",'Top Customers'!A1140),""))</f>
        <v>1162</v>
      </c>
      <c r="C1138" t="str">
        <f t="shared" si="68"/>
        <v>Regular</v>
      </c>
      <c r="D1138">
        <f t="shared" si="69"/>
        <v>98838</v>
      </c>
      <c r="E1138" s="6">
        <f t="shared" si="70"/>
        <v>2.0294473175690581E-5</v>
      </c>
      <c r="F1138" s="5">
        <f ca="1">TODAY()-GETPIVOTDATA("LastPurchaseDate",MaxDate!$A$3,"Customer_name",MaxDate!A1140)</f>
        <v>125</v>
      </c>
      <c r="G1138" t="str">
        <f t="shared" ca="1" si="71"/>
        <v>Inactive</v>
      </c>
      <c r="H1138" s="13">
        <f>RANK(B1138,Customer_Tiers[Total_Sales])</f>
        <v>1137</v>
      </c>
    </row>
    <row r="1139" spans="1:8">
      <c r="A1139" t="str">
        <f>'Top Customers'!A1141</f>
        <v>VINEETH</v>
      </c>
      <c r="B1139" s="5">
        <f>IF(A1139="","",IFERROR(GETPIVOTDATA("Sales Amount",'Top Customers'!$A$3,"Customer_name",'Top Customers'!A1141),""))</f>
        <v>1161</v>
      </c>
      <c r="C1139" t="str">
        <f t="shared" si="68"/>
        <v>Regular</v>
      </c>
      <c r="D1139">
        <f t="shared" si="69"/>
        <v>98839</v>
      </c>
      <c r="E1139" s="6">
        <f t="shared" si="70"/>
        <v>2.0277008052475701E-5</v>
      </c>
      <c r="F1139" s="5">
        <f ca="1">TODAY()-GETPIVOTDATA("LastPurchaseDate",MaxDate!$A$3,"Customer_name",MaxDate!A1141)</f>
        <v>67</v>
      </c>
      <c r="G1139" t="str">
        <f t="shared" ca="1" si="71"/>
        <v>At Risk</v>
      </c>
      <c r="H1139" s="13">
        <f>RANK(B1139,Customer_Tiers[Total_Sales])</f>
        <v>1138</v>
      </c>
    </row>
    <row r="1140" spans="1:8">
      <c r="A1140" t="str">
        <f>'Top Customers'!A1142</f>
        <v>SASINDRAN NERIYAMPARAMBATH</v>
      </c>
      <c r="B1140" s="5">
        <f>IF(A1140="","",IFERROR(GETPIVOTDATA("Sales Amount",'Top Customers'!$A$3,"Customer_name",'Top Customers'!A1142),""))</f>
        <v>1157</v>
      </c>
      <c r="C1140" t="str">
        <f t="shared" si="68"/>
        <v>Regular</v>
      </c>
      <c r="D1140">
        <f t="shared" si="69"/>
        <v>98843</v>
      </c>
      <c r="E1140" s="6">
        <f t="shared" si="70"/>
        <v>2.0207147559616179E-5</v>
      </c>
      <c r="F1140" s="5">
        <f ca="1">TODAY()-GETPIVOTDATA("LastPurchaseDate",MaxDate!$A$3,"Customer_name",MaxDate!A1142)</f>
        <v>184</v>
      </c>
      <c r="G1140" t="str">
        <f t="shared" ca="1" si="71"/>
        <v>Inactive</v>
      </c>
      <c r="H1140" s="13">
        <f>RANK(B1140,Customer_Tiers[Total_Sales])</f>
        <v>1139</v>
      </c>
    </row>
    <row r="1141" spans="1:8">
      <c r="A1141" t="str">
        <f>'Top Customers'!A1143</f>
        <v>PRAMODH</v>
      </c>
      <c r="B1141" s="5">
        <f>IF(A1141="","",IFERROR(GETPIVOTDATA("Sales Amount",'Top Customers'!$A$3,"Customer_name",'Top Customers'!A1143),""))</f>
        <v>1155</v>
      </c>
      <c r="C1141" t="str">
        <f t="shared" si="68"/>
        <v>Regular</v>
      </c>
      <c r="D1141">
        <f t="shared" si="69"/>
        <v>98845</v>
      </c>
      <c r="E1141" s="6">
        <f t="shared" si="70"/>
        <v>2.017221731318642E-5</v>
      </c>
      <c r="F1141" s="5">
        <f ca="1">TODAY()-GETPIVOTDATA("LastPurchaseDate",MaxDate!$A$3,"Customer_name",MaxDate!A1143)</f>
        <v>61</v>
      </c>
      <c r="G1141" t="str">
        <f t="shared" ca="1" si="71"/>
        <v>At Risk</v>
      </c>
      <c r="H1141" s="13">
        <f>RANK(B1141,Customer_Tiers[Total_Sales])</f>
        <v>1140</v>
      </c>
    </row>
    <row r="1142" spans="1:8">
      <c r="A1142" t="str">
        <f>'Top Customers'!A1144</f>
        <v>ANURAJ</v>
      </c>
      <c r="B1142" s="5">
        <f>IF(A1142="","",IFERROR(GETPIVOTDATA("Sales Amount",'Top Customers'!$A$3,"Customer_name",'Top Customers'!A1144),""))</f>
        <v>1150</v>
      </c>
      <c r="C1142" t="str">
        <f t="shared" si="68"/>
        <v>Regular</v>
      </c>
      <c r="D1142">
        <f t="shared" si="69"/>
        <v>98850</v>
      </c>
      <c r="E1142" s="6">
        <f t="shared" si="70"/>
        <v>2.0084891697112019E-5</v>
      </c>
      <c r="F1142" s="5">
        <f ca="1">TODAY()-GETPIVOTDATA("LastPurchaseDate",MaxDate!$A$3,"Customer_name",MaxDate!A1144)</f>
        <v>162</v>
      </c>
      <c r="G1142" t="str">
        <f t="shared" ca="1" si="71"/>
        <v>Inactive</v>
      </c>
      <c r="H1142" s="13">
        <f>RANK(B1142,Customer_Tiers[Total_Sales])</f>
        <v>1141</v>
      </c>
    </row>
    <row r="1143" spans="1:8">
      <c r="A1143" t="str">
        <f>'Top Customers'!A1145</f>
        <v>SUNEER , CHENGARA</v>
      </c>
      <c r="B1143" s="5">
        <f>IF(A1143="","",IFERROR(GETPIVOTDATA("Sales Amount",'Top Customers'!$A$3,"Customer_name",'Top Customers'!A1145),""))</f>
        <v>1146</v>
      </c>
      <c r="C1143" t="str">
        <f t="shared" si="68"/>
        <v>Regular</v>
      </c>
      <c r="D1143">
        <f t="shared" si="69"/>
        <v>98854</v>
      </c>
      <c r="E1143" s="6">
        <f t="shared" si="70"/>
        <v>2.00150312042525E-5</v>
      </c>
      <c r="F1143" s="5">
        <f ca="1">TODAY()-GETPIVOTDATA("LastPurchaseDate",MaxDate!$A$3,"Customer_name",MaxDate!A1145)</f>
        <v>327</v>
      </c>
      <c r="G1143" t="str">
        <f t="shared" ca="1" si="71"/>
        <v>Inactive</v>
      </c>
      <c r="H1143" s="13">
        <f>RANK(B1143,Customer_Tiers[Total_Sales])</f>
        <v>1142</v>
      </c>
    </row>
    <row r="1144" spans="1:8">
      <c r="A1144" t="str">
        <f>'Top Customers'!A1146</f>
        <v>VIJAYAN ERAPPUMPARA</v>
      </c>
      <c r="B1144" s="5">
        <f>IF(A1144="","",IFERROR(GETPIVOTDATA("Sales Amount",'Top Customers'!$A$3,"Customer_name",'Top Customers'!A1146),""))</f>
        <v>1141</v>
      </c>
      <c r="C1144" t="str">
        <f t="shared" si="68"/>
        <v>Regular</v>
      </c>
      <c r="D1144">
        <f t="shared" si="69"/>
        <v>98859</v>
      </c>
      <c r="E1144" s="6">
        <f t="shared" si="70"/>
        <v>1.9927705588178099E-5</v>
      </c>
      <c r="F1144" s="5">
        <f ca="1">TODAY()-GETPIVOTDATA("LastPurchaseDate",MaxDate!$A$3,"Customer_name",MaxDate!A1146)</f>
        <v>62</v>
      </c>
      <c r="G1144" t="str">
        <f t="shared" ca="1" si="71"/>
        <v>At Risk</v>
      </c>
      <c r="H1144" s="13">
        <f>RANK(B1144,Customer_Tiers[Total_Sales])</f>
        <v>1143</v>
      </c>
    </row>
    <row r="1145" spans="1:8">
      <c r="A1145" t="str">
        <f>'Top Customers'!A1147</f>
        <v>SASI VALAMBOOR</v>
      </c>
      <c r="B1145" s="5">
        <f>IF(A1145="","",IFERROR(GETPIVOTDATA("Sales Amount",'Top Customers'!$A$3,"Customer_name",'Top Customers'!A1147),""))</f>
        <v>1139</v>
      </c>
      <c r="C1145" t="str">
        <f t="shared" si="68"/>
        <v>Regular</v>
      </c>
      <c r="D1145">
        <f t="shared" si="69"/>
        <v>98861</v>
      </c>
      <c r="E1145" s="6">
        <f t="shared" si="70"/>
        <v>1.989277534174834E-5</v>
      </c>
      <c r="F1145" s="5">
        <f ca="1">TODAY()-GETPIVOTDATA("LastPurchaseDate",MaxDate!$A$3,"Customer_name",MaxDate!A1147)</f>
        <v>157</v>
      </c>
      <c r="G1145" t="str">
        <f t="shared" ca="1" si="71"/>
        <v>Inactive</v>
      </c>
      <c r="H1145" s="13">
        <f>RANK(B1145,Customer_Tiers[Total_Sales])</f>
        <v>1144</v>
      </c>
    </row>
    <row r="1146" spans="1:8">
      <c r="A1146" t="str">
        <f>'Top Customers'!A1148</f>
        <v>SAJU PAPPALIL</v>
      </c>
      <c r="B1146" s="5">
        <f>IF(A1146="","",IFERROR(GETPIVOTDATA("Sales Amount",'Top Customers'!$A$3,"Customer_name",'Top Customers'!A1148),""))</f>
        <v>1137</v>
      </c>
      <c r="C1146" t="str">
        <f t="shared" si="68"/>
        <v>Regular</v>
      </c>
      <c r="D1146">
        <f t="shared" si="69"/>
        <v>98863</v>
      </c>
      <c r="E1146" s="6">
        <f t="shared" si="70"/>
        <v>1.9857845095318581E-5</v>
      </c>
      <c r="F1146" s="5">
        <f ca="1">TODAY()-GETPIVOTDATA("LastPurchaseDate",MaxDate!$A$3,"Customer_name",MaxDate!A1148)</f>
        <v>76</v>
      </c>
      <c r="G1146" t="str">
        <f t="shared" ca="1" si="71"/>
        <v>At Risk</v>
      </c>
      <c r="H1146" s="13">
        <f>RANK(B1146,Customer_Tiers[Total_Sales])</f>
        <v>1145</v>
      </c>
    </row>
    <row r="1147" spans="1:8">
      <c r="A1147" t="str">
        <f>'Top Customers'!A1149</f>
        <v>KHADER PASSENGER</v>
      </c>
      <c r="B1147" s="5">
        <f>IF(A1147="","",IFERROR(GETPIVOTDATA("Sales Amount",'Top Customers'!$A$3,"Customer_name",'Top Customers'!A1149),""))</f>
        <v>1130</v>
      </c>
      <c r="C1147" t="str">
        <f t="shared" si="68"/>
        <v>Regular</v>
      </c>
      <c r="D1147">
        <f t="shared" si="69"/>
        <v>98870</v>
      </c>
      <c r="E1147" s="6">
        <f t="shared" si="70"/>
        <v>1.973558923281442E-5</v>
      </c>
      <c r="F1147" s="5">
        <f ca="1">TODAY()-GETPIVOTDATA("LastPurchaseDate",MaxDate!$A$3,"Customer_name",MaxDate!A1149)</f>
        <v>123</v>
      </c>
      <c r="G1147" t="str">
        <f t="shared" ca="1" si="71"/>
        <v>Inactive</v>
      </c>
      <c r="H1147" s="13">
        <f>RANK(B1147,Customer_Tiers[Total_Sales])</f>
        <v>1146</v>
      </c>
    </row>
    <row r="1148" spans="1:8">
      <c r="A1148" t="str">
        <f>'Top Customers'!A1150</f>
        <v>BASIL MARADY</v>
      </c>
      <c r="B1148" s="5">
        <f>IF(A1148="","",IFERROR(GETPIVOTDATA("Sales Amount",'Top Customers'!$A$3,"Customer_name",'Top Customers'!A1150),""))</f>
        <v>1123</v>
      </c>
      <c r="C1148" t="str">
        <f t="shared" si="68"/>
        <v>Regular</v>
      </c>
      <c r="D1148">
        <f t="shared" si="69"/>
        <v>98877</v>
      </c>
      <c r="E1148" s="6">
        <f t="shared" si="70"/>
        <v>1.9613333370310259E-5</v>
      </c>
      <c r="F1148" s="5">
        <f ca="1">TODAY()-GETPIVOTDATA("LastPurchaseDate",MaxDate!$A$3,"Customer_name",MaxDate!A1150)</f>
        <v>300</v>
      </c>
      <c r="G1148" t="str">
        <f t="shared" ca="1" si="71"/>
        <v>Inactive</v>
      </c>
      <c r="H1148" s="13">
        <f>RANK(B1148,Customer_Tiers[Total_Sales])</f>
        <v>1147</v>
      </c>
    </row>
    <row r="1149" spans="1:8">
      <c r="A1149" t="str">
        <f>'Top Customers'!A1151</f>
        <v>ROY MYLATTUMOLAYIL</v>
      </c>
      <c r="B1149" s="5">
        <f>IF(A1149="","",IFERROR(GETPIVOTDATA("Sales Amount",'Top Customers'!$A$3,"Customer_name",'Top Customers'!A1151),""))</f>
        <v>1120</v>
      </c>
      <c r="C1149" t="str">
        <f t="shared" si="68"/>
        <v>Regular</v>
      </c>
      <c r="D1149">
        <f t="shared" si="69"/>
        <v>98880</v>
      </c>
      <c r="E1149" s="6">
        <f t="shared" si="70"/>
        <v>1.956093800066562E-5</v>
      </c>
      <c r="F1149" s="5">
        <f ca="1">TODAY()-GETPIVOTDATA("LastPurchaseDate",MaxDate!$A$3,"Customer_name",MaxDate!A1151)</f>
        <v>314</v>
      </c>
      <c r="G1149" t="str">
        <f t="shared" ca="1" si="71"/>
        <v>Inactive</v>
      </c>
      <c r="H1149" s="13">
        <f>RANK(B1149,Customer_Tiers[Total_Sales])</f>
        <v>1148</v>
      </c>
    </row>
    <row r="1150" spans="1:8">
      <c r="A1150" t="str">
        <f>'Top Customers'!A1152</f>
        <v>ANAS , ANJAMILEPALAM</v>
      </c>
      <c r="B1150" s="5">
        <f>IF(A1150="","",IFERROR(GETPIVOTDATA("Sales Amount",'Top Customers'!$A$3,"Customer_name",'Top Customers'!A1152),""))</f>
        <v>1110</v>
      </c>
      <c r="C1150" t="str">
        <f t="shared" si="68"/>
        <v>Regular</v>
      </c>
      <c r="D1150">
        <f t="shared" si="69"/>
        <v>98890</v>
      </c>
      <c r="E1150" s="6">
        <f t="shared" si="70"/>
        <v>1.9386286768516818E-5</v>
      </c>
      <c r="F1150" s="5">
        <f ca="1">TODAY()-GETPIVOTDATA("LastPurchaseDate",MaxDate!$A$3,"Customer_name",MaxDate!A1152)</f>
        <v>201</v>
      </c>
      <c r="G1150" t="str">
        <f t="shared" ca="1" si="71"/>
        <v>Inactive</v>
      </c>
      <c r="H1150" s="13">
        <f>RANK(B1150,Customer_Tiers[Total_Sales])</f>
        <v>1149</v>
      </c>
    </row>
    <row r="1151" spans="1:8">
      <c r="A1151" t="str">
        <f>'Top Customers'!A1153</f>
        <v>AJAS PATTIMATTOM</v>
      </c>
      <c r="B1151" s="5">
        <f>IF(A1151="","",IFERROR(GETPIVOTDATA("Sales Amount",'Top Customers'!$A$3,"Customer_name",'Top Customers'!A1153),""))</f>
        <v>1110</v>
      </c>
      <c r="C1151" t="str">
        <f t="shared" si="68"/>
        <v>Regular</v>
      </c>
      <c r="D1151">
        <f t="shared" si="69"/>
        <v>98890</v>
      </c>
      <c r="E1151" s="6">
        <f t="shared" si="70"/>
        <v>1.9386286768516818E-5</v>
      </c>
      <c r="F1151" s="5">
        <f ca="1">TODAY()-GETPIVOTDATA("LastPurchaseDate",MaxDate!$A$3,"Customer_name",MaxDate!A1153)</f>
        <v>169</v>
      </c>
      <c r="G1151" t="str">
        <f t="shared" ca="1" si="71"/>
        <v>Inactive</v>
      </c>
      <c r="H1151" s="13">
        <f>RANK(B1151,Customer_Tiers[Total_Sales])</f>
        <v>1149</v>
      </c>
    </row>
    <row r="1152" spans="1:8">
      <c r="A1152" t="str">
        <f>'Top Customers'!A1154</f>
        <v>JOHNSON PATTIMATTOM</v>
      </c>
      <c r="B1152" s="5">
        <f>IF(A1152="","",IFERROR(GETPIVOTDATA("Sales Amount",'Top Customers'!$A$3,"Customer_name",'Top Customers'!A1154),""))</f>
        <v>1110</v>
      </c>
      <c r="C1152" t="str">
        <f t="shared" si="68"/>
        <v>Regular</v>
      </c>
      <c r="D1152">
        <f t="shared" si="69"/>
        <v>98890</v>
      </c>
      <c r="E1152" s="6">
        <f t="shared" si="70"/>
        <v>1.9386286768516818E-5</v>
      </c>
      <c r="F1152" s="5">
        <f ca="1">TODAY()-GETPIVOTDATA("LastPurchaseDate",MaxDate!$A$3,"Customer_name",MaxDate!A1154)</f>
        <v>284</v>
      </c>
      <c r="G1152" t="str">
        <f t="shared" ca="1" si="71"/>
        <v>Inactive</v>
      </c>
      <c r="H1152" s="13">
        <f>RANK(B1152,Customer_Tiers[Total_Sales])</f>
        <v>1149</v>
      </c>
    </row>
    <row r="1153" spans="1:8">
      <c r="A1153" t="str">
        <f>'Top Customers'!A1155</f>
        <v>IBRAHIM UNION</v>
      </c>
      <c r="B1153" s="5">
        <f>IF(A1153="","",IFERROR(GETPIVOTDATA("Sales Amount",'Top Customers'!$A$3,"Customer_name",'Top Customers'!A1155),""))</f>
        <v>1090</v>
      </c>
      <c r="C1153" t="str">
        <f t="shared" si="68"/>
        <v>Regular</v>
      </c>
      <c r="D1153">
        <f t="shared" si="69"/>
        <v>98910</v>
      </c>
      <c r="E1153" s="6">
        <f t="shared" si="70"/>
        <v>1.9036984304219219E-5</v>
      </c>
      <c r="F1153" s="5">
        <f ca="1">TODAY()-GETPIVOTDATA("LastPurchaseDate",MaxDate!$A$3,"Customer_name",MaxDate!A1155)</f>
        <v>11</v>
      </c>
      <c r="G1153" t="str">
        <f t="shared" ca="1" si="71"/>
        <v>Active</v>
      </c>
      <c r="H1153" s="13">
        <f>RANK(B1153,Customer_Tiers[Total_Sales])</f>
        <v>1152</v>
      </c>
    </row>
    <row r="1154" spans="1:8">
      <c r="A1154" t="str">
        <f>'Top Customers'!A1156</f>
        <v>ALIF KUMMANODE</v>
      </c>
      <c r="B1154" s="5">
        <f>IF(A1154="","",IFERROR(GETPIVOTDATA("Sales Amount",'Top Customers'!$A$3,"Customer_name",'Top Customers'!A1156),""))</f>
        <v>1080</v>
      </c>
      <c r="C1154" t="str">
        <f t="shared" ref="C1154:C1217" si="72">IF(B1154&gt;=1000000,"Platinum",
 IF(B1154&gt;=500000,"Gold",
 IF(B1154&gt;=100000,"Silver","Regular")))</f>
        <v>Regular</v>
      </c>
      <c r="D1154">
        <f t="shared" ref="D1154:D1217" si="73">IF(C1154="Platinum",0,
 IF(C1154="Gold",1000000-B1154,
 IF(C1154="Silver",500000-B1154,
 IF(C1154="Regular",100000-B1154,0))))</f>
        <v>98920</v>
      </c>
      <c r="E1154" s="6">
        <f t="shared" ref="E1154:E1217" si="74">B1154/SUM(B:B)</f>
        <v>1.8862333072070419E-5</v>
      </c>
      <c r="F1154" s="5">
        <f ca="1">TODAY()-GETPIVOTDATA("LastPurchaseDate",MaxDate!$A$3,"Customer_name",MaxDate!A1156)</f>
        <v>230</v>
      </c>
      <c r="G1154" t="str">
        <f t="shared" ref="G1154:G1217" ca="1" si="75">IF(F1154="","",
 IF(F1154&lt;=60,"Active",
 IF(F1154&lt;=120,"At Risk","Inactive")))</f>
        <v>Inactive</v>
      </c>
      <c r="H1154" s="13">
        <f>RANK(B1154,Customer_Tiers[Total_Sales])</f>
        <v>1153</v>
      </c>
    </row>
    <row r="1155" spans="1:8">
      <c r="A1155" t="str">
        <f>'Top Customers'!A1157</f>
        <v>BIJU ALINCHUVADU</v>
      </c>
      <c r="B1155" s="5">
        <f>IF(A1155="","",IFERROR(GETPIVOTDATA("Sales Amount",'Top Customers'!$A$3,"Customer_name",'Top Customers'!A1157),""))</f>
        <v>1070</v>
      </c>
      <c r="C1155" t="str">
        <f t="shared" si="72"/>
        <v>Regular</v>
      </c>
      <c r="D1155">
        <f t="shared" si="73"/>
        <v>98930</v>
      </c>
      <c r="E1155" s="6">
        <f t="shared" si="74"/>
        <v>1.868768183992162E-5</v>
      </c>
      <c r="F1155" s="5">
        <f ca="1">TODAY()-GETPIVOTDATA("LastPurchaseDate",MaxDate!$A$3,"Customer_name",MaxDate!A1157)</f>
        <v>305</v>
      </c>
      <c r="G1155" t="str">
        <f t="shared" ca="1" si="75"/>
        <v>Inactive</v>
      </c>
      <c r="H1155" s="13">
        <f>RANK(B1155,Customer_Tiers[Total_Sales])</f>
        <v>1154</v>
      </c>
    </row>
    <row r="1156" spans="1:8">
      <c r="A1156" t="str">
        <f>'Top Customers'!A1158</f>
        <v>DRONIMAGINATION</v>
      </c>
      <c r="B1156" s="5">
        <f>IF(A1156="","",IFERROR(GETPIVOTDATA("Sales Amount",'Top Customers'!$A$3,"Customer_name",'Top Customers'!A1158),""))</f>
        <v>1065</v>
      </c>
      <c r="C1156" t="str">
        <f t="shared" si="72"/>
        <v>Regular</v>
      </c>
      <c r="D1156">
        <f t="shared" si="73"/>
        <v>98935</v>
      </c>
      <c r="E1156" s="6">
        <f t="shared" si="74"/>
        <v>1.8600356223847218E-5</v>
      </c>
      <c r="F1156" s="5">
        <f ca="1">TODAY()-GETPIVOTDATA("LastPurchaseDate",MaxDate!$A$3,"Customer_name",MaxDate!A1158)</f>
        <v>270</v>
      </c>
      <c r="G1156" t="str">
        <f t="shared" ca="1" si="75"/>
        <v>Inactive</v>
      </c>
      <c r="H1156" s="13">
        <f>RANK(B1156,Customer_Tiers[Total_Sales])</f>
        <v>1155</v>
      </c>
    </row>
    <row r="1157" spans="1:8">
      <c r="A1157" t="str">
        <f>'Top Customers'!A1159</f>
        <v>SIBU</v>
      </c>
      <c r="B1157" s="5">
        <f>IF(A1157="","",IFERROR(GETPIVOTDATA("Sales Amount",'Top Customers'!$A$3,"Customer_name",'Top Customers'!A1159),""))</f>
        <v>1060</v>
      </c>
      <c r="C1157" t="str">
        <f t="shared" si="72"/>
        <v>Regular</v>
      </c>
      <c r="D1157">
        <f t="shared" si="73"/>
        <v>98940</v>
      </c>
      <c r="E1157" s="6">
        <f t="shared" si="74"/>
        <v>1.8513030607772817E-5</v>
      </c>
      <c r="F1157" s="5">
        <f ca="1">TODAY()-GETPIVOTDATA("LastPurchaseDate",MaxDate!$A$3,"Customer_name",MaxDate!A1159)</f>
        <v>46</v>
      </c>
      <c r="G1157" t="str">
        <f t="shared" ca="1" si="75"/>
        <v>Active</v>
      </c>
      <c r="H1157" s="13">
        <f>RANK(B1157,Customer_Tiers[Total_Sales])</f>
        <v>1156</v>
      </c>
    </row>
    <row r="1158" spans="1:8">
      <c r="A1158" t="str">
        <f>'Top Customers'!A1160</f>
        <v>FAIZAL</v>
      </c>
      <c r="B1158" s="5">
        <f>IF(A1158="","",IFERROR(GETPIVOTDATA("Sales Amount",'Top Customers'!$A$3,"Customer_name",'Top Customers'!A1160),""))</f>
        <v>1056</v>
      </c>
      <c r="C1158" t="str">
        <f t="shared" si="72"/>
        <v>Regular</v>
      </c>
      <c r="D1158">
        <f t="shared" si="73"/>
        <v>98944</v>
      </c>
      <c r="E1158" s="6">
        <f t="shared" si="74"/>
        <v>1.8443170114913299E-5</v>
      </c>
      <c r="F1158" s="5">
        <f ca="1">TODAY()-GETPIVOTDATA("LastPurchaseDate",MaxDate!$A$3,"Customer_name",MaxDate!A1160)</f>
        <v>143</v>
      </c>
      <c r="G1158" t="str">
        <f t="shared" ca="1" si="75"/>
        <v>Inactive</v>
      </c>
      <c r="H1158" s="13">
        <f>RANK(B1158,Customer_Tiers[Total_Sales])</f>
        <v>1157</v>
      </c>
    </row>
    <row r="1159" spans="1:8">
      <c r="A1159" t="str">
        <f>'Top Customers'!A1161</f>
        <v>BINU PERUMANI</v>
      </c>
      <c r="B1159" s="5">
        <f>IF(A1159="","",IFERROR(GETPIVOTDATA("Sales Amount",'Top Customers'!$A$3,"Customer_name",'Top Customers'!A1161),""))</f>
        <v>1050</v>
      </c>
      <c r="C1159" t="str">
        <f t="shared" si="72"/>
        <v>Regular</v>
      </c>
      <c r="D1159">
        <f t="shared" si="73"/>
        <v>98950</v>
      </c>
      <c r="E1159" s="6">
        <f t="shared" si="74"/>
        <v>1.8338379375624018E-5</v>
      </c>
      <c r="F1159" s="5">
        <f ca="1">TODAY()-GETPIVOTDATA("LastPurchaseDate",MaxDate!$A$3,"Customer_name",MaxDate!A1161)</f>
        <v>158</v>
      </c>
      <c r="G1159" t="str">
        <f t="shared" ca="1" si="75"/>
        <v>Inactive</v>
      </c>
      <c r="H1159" s="13">
        <f>RANK(B1159,Customer_Tiers[Total_Sales])</f>
        <v>1158</v>
      </c>
    </row>
    <row r="1160" spans="1:8">
      <c r="A1160" t="str">
        <f>'Top Customers'!A1162</f>
        <v>RAJEEVAN PATTIMATTOM</v>
      </c>
      <c r="B1160" s="5">
        <f>IF(A1160="","",IFERROR(GETPIVOTDATA("Sales Amount",'Top Customers'!$A$3,"Customer_name",'Top Customers'!A1162),""))</f>
        <v>1050</v>
      </c>
      <c r="C1160" t="str">
        <f t="shared" si="72"/>
        <v>Regular</v>
      </c>
      <c r="D1160">
        <f t="shared" si="73"/>
        <v>98950</v>
      </c>
      <c r="E1160" s="6">
        <f t="shared" si="74"/>
        <v>1.8338379375624018E-5</v>
      </c>
      <c r="F1160" s="5">
        <f ca="1">TODAY()-GETPIVOTDATA("LastPurchaseDate",MaxDate!$A$3,"Customer_name",MaxDate!A1162)</f>
        <v>286</v>
      </c>
      <c r="G1160" t="str">
        <f t="shared" ca="1" si="75"/>
        <v>Inactive</v>
      </c>
      <c r="H1160" s="13">
        <f>RANK(B1160,Customer_Tiers[Total_Sales])</f>
        <v>1158</v>
      </c>
    </row>
    <row r="1161" spans="1:8">
      <c r="A1161" t="str">
        <f>'Top Customers'!A1163</f>
        <v>JINU , PATTIMATTAM</v>
      </c>
      <c r="B1161" s="5">
        <f>IF(A1161="","",IFERROR(GETPIVOTDATA("Sales Amount",'Top Customers'!$A$3,"Customer_name",'Top Customers'!A1163),""))</f>
        <v>1046</v>
      </c>
      <c r="C1161" t="str">
        <f t="shared" si="72"/>
        <v>Regular</v>
      </c>
      <c r="D1161">
        <f t="shared" si="73"/>
        <v>98954</v>
      </c>
      <c r="E1161" s="6">
        <f t="shared" si="74"/>
        <v>1.8268518882764499E-5</v>
      </c>
      <c r="F1161" s="5">
        <f ca="1">TODAY()-GETPIVOTDATA("LastPurchaseDate",MaxDate!$A$3,"Customer_name",MaxDate!A1163)</f>
        <v>5</v>
      </c>
      <c r="G1161" t="str">
        <f t="shared" ca="1" si="75"/>
        <v>Active</v>
      </c>
      <c r="H1161" s="13">
        <f>RANK(B1161,Customer_Tiers[Total_Sales])</f>
        <v>1160</v>
      </c>
    </row>
    <row r="1162" spans="1:8">
      <c r="A1162" t="str">
        <f>'Top Customers'!A1164</f>
        <v>SURESHKUMAR</v>
      </c>
      <c r="B1162" s="5">
        <f>IF(A1162="","",IFERROR(GETPIVOTDATA("Sales Amount",'Top Customers'!$A$3,"Customer_name",'Top Customers'!A1164),""))</f>
        <v>1043</v>
      </c>
      <c r="C1162" t="str">
        <f t="shared" si="72"/>
        <v>Regular</v>
      </c>
      <c r="D1162">
        <f t="shared" si="73"/>
        <v>98957</v>
      </c>
      <c r="E1162" s="6">
        <f t="shared" si="74"/>
        <v>1.8216123513119857E-5</v>
      </c>
      <c r="F1162" s="5">
        <f ca="1">TODAY()-GETPIVOTDATA("LastPurchaseDate",MaxDate!$A$3,"Customer_name",MaxDate!A1164)</f>
        <v>156</v>
      </c>
      <c r="G1162" t="str">
        <f t="shared" ca="1" si="75"/>
        <v>Inactive</v>
      </c>
      <c r="H1162" s="13">
        <f>RANK(B1162,Customer_Tiers[Total_Sales])</f>
        <v>1161</v>
      </c>
    </row>
    <row r="1163" spans="1:8">
      <c r="A1163" t="str">
        <f>'Top Customers'!A1165</f>
        <v>PREJITH KAKKANAD</v>
      </c>
      <c r="B1163" s="5">
        <f>IF(A1163="","",IFERROR(GETPIVOTDATA("Sales Amount",'Top Customers'!$A$3,"Customer_name",'Top Customers'!A1165),""))</f>
        <v>1035</v>
      </c>
      <c r="C1163" t="str">
        <f t="shared" si="72"/>
        <v>Regular</v>
      </c>
      <c r="D1163">
        <f t="shared" si="73"/>
        <v>98965</v>
      </c>
      <c r="E1163" s="6">
        <f t="shared" si="74"/>
        <v>1.8076402527400817E-5</v>
      </c>
      <c r="F1163" s="5">
        <f ca="1">TODAY()-GETPIVOTDATA("LastPurchaseDate",MaxDate!$A$3,"Customer_name",MaxDate!A1165)</f>
        <v>10</v>
      </c>
      <c r="G1163" t="str">
        <f t="shared" ca="1" si="75"/>
        <v>Active</v>
      </c>
      <c r="H1163" s="13">
        <f>RANK(B1163,Customer_Tiers[Total_Sales])</f>
        <v>1162</v>
      </c>
    </row>
    <row r="1164" spans="1:8">
      <c r="A1164" t="str">
        <f>'Top Customers'!A1166</f>
        <v>DILLY FURNITURE MART VALAMBOOR</v>
      </c>
      <c r="B1164" s="5">
        <f>IF(A1164="","",IFERROR(GETPIVOTDATA("Sales Amount",'Top Customers'!$A$3,"Customer_name",'Top Customers'!A1166),""))</f>
        <v>1030</v>
      </c>
      <c r="C1164" t="str">
        <f t="shared" si="72"/>
        <v>Regular</v>
      </c>
      <c r="D1164">
        <f t="shared" si="73"/>
        <v>98970</v>
      </c>
      <c r="E1164" s="6">
        <f t="shared" si="74"/>
        <v>1.7989076911326419E-5</v>
      </c>
      <c r="F1164" s="5">
        <f ca="1">TODAY()-GETPIVOTDATA("LastPurchaseDate",MaxDate!$A$3,"Customer_name",MaxDate!A1166)</f>
        <v>93</v>
      </c>
      <c r="G1164" t="str">
        <f t="shared" ca="1" si="75"/>
        <v>At Risk</v>
      </c>
      <c r="H1164" s="13">
        <f>RANK(B1164,Customer_Tiers[Total_Sales])</f>
        <v>1163</v>
      </c>
    </row>
    <row r="1165" spans="1:8">
      <c r="A1165" t="str">
        <f>'Top Customers'!A1167</f>
        <v>JOBY BABY</v>
      </c>
      <c r="B1165" s="5">
        <f>IF(A1165="","",IFERROR(GETPIVOTDATA("Sales Amount",'Top Customers'!$A$3,"Customer_name",'Top Customers'!A1167),""))</f>
        <v>1025</v>
      </c>
      <c r="C1165" t="str">
        <f t="shared" si="72"/>
        <v>Regular</v>
      </c>
      <c r="D1165">
        <f t="shared" si="73"/>
        <v>98975</v>
      </c>
      <c r="E1165" s="6">
        <f t="shared" si="74"/>
        <v>1.7901751295252017E-5</v>
      </c>
      <c r="F1165" s="5">
        <f ca="1">TODAY()-GETPIVOTDATA("LastPurchaseDate",MaxDate!$A$3,"Customer_name",MaxDate!A1167)</f>
        <v>68</v>
      </c>
      <c r="G1165" t="str">
        <f t="shared" ca="1" si="75"/>
        <v>At Risk</v>
      </c>
      <c r="H1165" s="13">
        <f>RANK(B1165,Customer_Tiers[Total_Sales])</f>
        <v>1164</v>
      </c>
    </row>
    <row r="1166" spans="1:8">
      <c r="A1166" t="str">
        <f>'Top Customers'!A1168</f>
        <v>JAYAN KAITHAKKAD</v>
      </c>
      <c r="B1166" s="5">
        <f>IF(A1166="","",IFERROR(GETPIVOTDATA("Sales Amount",'Top Customers'!$A$3,"Customer_name",'Top Customers'!A1168),""))</f>
        <v>1021</v>
      </c>
      <c r="C1166" t="str">
        <f t="shared" si="72"/>
        <v>Regular</v>
      </c>
      <c r="D1166">
        <f t="shared" si="73"/>
        <v>98979</v>
      </c>
      <c r="E1166" s="6">
        <f t="shared" si="74"/>
        <v>1.7831890802392499E-5</v>
      </c>
      <c r="F1166" s="5">
        <f ca="1">TODAY()-GETPIVOTDATA("LastPurchaseDate",MaxDate!$A$3,"Customer_name",MaxDate!A1168)</f>
        <v>137</v>
      </c>
      <c r="G1166" t="str">
        <f t="shared" ca="1" si="75"/>
        <v>Inactive</v>
      </c>
      <c r="H1166" s="13">
        <f>RANK(B1166,Customer_Tiers[Total_Sales])</f>
        <v>1165</v>
      </c>
    </row>
    <row r="1167" spans="1:8">
      <c r="A1167" t="str">
        <f>'Top Customers'!A1169</f>
        <v>LALU , CHENGARA</v>
      </c>
      <c r="B1167" s="5">
        <f>IF(A1167="","",IFERROR(GETPIVOTDATA("Sales Amount",'Top Customers'!$A$3,"Customer_name",'Top Customers'!A1169),""))</f>
        <v>1020</v>
      </c>
      <c r="C1167" t="str">
        <f t="shared" si="72"/>
        <v>Regular</v>
      </c>
      <c r="D1167">
        <f t="shared" si="73"/>
        <v>98980</v>
      </c>
      <c r="E1167" s="6">
        <f t="shared" si="74"/>
        <v>1.7814425679177619E-5</v>
      </c>
      <c r="F1167" s="5">
        <f ca="1">TODAY()-GETPIVOTDATA("LastPurchaseDate",MaxDate!$A$3,"Customer_name",MaxDate!A1169)</f>
        <v>325</v>
      </c>
      <c r="G1167" t="str">
        <f t="shared" ca="1" si="75"/>
        <v>Inactive</v>
      </c>
      <c r="H1167" s="13">
        <f>RANK(B1167,Customer_Tiers[Total_Sales])</f>
        <v>1166</v>
      </c>
    </row>
    <row r="1168" spans="1:8">
      <c r="A1168" t="str">
        <f>'Top Customers'!A1170</f>
        <v>SHAJAN KANINAD</v>
      </c>
      <c r="B1168" s="5">
        <f>IF(A1168="","",IFERROR(GETPIVOTDATA("Sales Amount",'Top Customers'!$A$3,"Customer_name",'Top Customers'!A1170),""))</f>
        <v>1020</v>
      </c>
      <c r="C1168" t="str">
        <f t="shared" si="72"/>
        <v>Regular</v>
      </c>
      <c r="D1168">
        <f t="shared" si="73"/>
        <v>98980</v>
      </c>
      <c r="E1168" s="6">
        <f t="shared" si="74"/>
        <v>1.7814425679177619E-5</v>
      </c>
      <c r="F1168" s="5">
        <f ca="1">TODAY()-GETPIVOTDATA("LastPurchaseDate",MaxDate!$A$3,"Customer_name",MaxDate!A1170)</f>
        <v>40</v>
      </c>
      <c r="G1168" t="str">
        <f t="shared" ca="1" si="75"/>
        <v>Active</v>
      </c>
      <c r="H1168" s="13">
        <f>RANK(B1168,Customer_Tiers[Total_Sales])</f>
        <v>1166</v>
      </c>
    </row>
    <row r="1169" spans="1:8">
      <c r="A1169" t="str">
        <f>'Top Customers'!A1171</f>
        <v>SAVADH KAITHAKKAD</v>
      </c>
      <c r="B1169" s="5">
        <f>IF(A1169="","",IFERROR(GETPIVOTDATA("Sales Amount",'Top Customers'!$A$3,"Customer_name",'Top Customers'!A1171),""))</f>
        <v>1020</v>
      </c>
      <c r="C1169" t="str">
        <f t="shared" si="72"/>
        <v>Regular</v>
      </c>
      <c r="D1169">
        <f t="shared" si="73"/>
        <v>98980</v>
      </c>
      <c r="E1169" s="6">
        <f t="shared" si="74"/>
        <v>1.7814425679177619E-5</v>
      </c>
      <c r="F1169" s="5">
        <f ca="1">TODAY()-GETPIVOTDATA("LastPurchaseDate",MaxDate!$A$3,"Customer_name",MaxDate!A1171)</f>
        <v>114</v>
      </c>
      <c r="G1169" t="str">
        <f t="shared" ca="1" si="75"/>
        <v>At Risk</v>
      </c>
      <c r="H1169" s="13">
        <f>RANK(B1169,Customer_Tiers[Total_Sales])</f>
        <v>1166</v>
      </c>
    </row>
    <row r="1170" spans="1:8">
      <c r="A1170" t="str">
        <f>'Top Customers'!A1172</f>
        <v>RAMAKRISNAN VALAMBOOR</v>
      </c>
      <c r="B1170" s="5">
        <f>IF(A1170="","",IFERROR(GETPIVOTDATA("Sales Amount",'Top Customers'!$A$3,"Customer_name",'Top Customers'!A1172),""))</f>
        <v>1011</v>
      </c>
      <c r="C1170" t="str">
        <f t="shared" si="72"/>
        <v>Regular</v>
      </c>
      <c r="D1170">
        <f t="shared" si="73"/>
        <v>98989</v>
      </c>
      <c r="E1170" s="6">
        <f t="shared" si="74"/>
        <v>1.7657239570243696E-5</v>
      </c>
      <c r="F1170" s="5">
        <f ca="1">TODAY()-GETPIVOTDATA("LastPurchaseDate",MaxDate!$A$3,"Customer_name",MaxDate!A1172)</f>
        <v>244</v>
      </c>
      <c r="G1170" t="str">
        <f t="shared" ca="1" si="75"/>
        <v>Inactive</v>
      </c>
      <c r="H1170" s="13">
        <f>RANK(B1170,Customer_Tiers[Total_Sales])</f>
        <v>1169</v>
      </c>
    </row>
    <row r="1171" spans="1:8">
      <c r="A1171" t="str">
        <f>'Top Customers'!A1173</f>
        <v>PAREETH</v>
      </c>
      <c r="B1171" s="5">
        <f>IF(A1171="","",IFERROR(GETPIVOTDATA("Sales Amount",'Top Customers'!$A$3,"Customer_name",'Top Customers'!A1173),""))</f>
        <v>1000</v>
      </c>
      <c r="C1171" t="str">
        <f t="shared" si="72"/>
        <v>Regular</v>
      </c>
      <c r="D1171">
        <f t="shared" si="73"/>
        <v>99000</v>
      </c>
      <c r="E1171" s="6">
        <f t="shared" si="74"/>
        <v>1.7465123214880017E-5</v>
      </c>
      <c r="F1171" s="5">
        <f ca="1">TODAY()-GETPIVOTDATA("LastPurchaseDate",MaxDate!$A$3,"Customer_name",MaxDate!A1173)</f>
        <v>134</v>
      </c>
      <c r="G1171" t="str">
        <f t="shared" ca="1" si="75"/>
        <v>Inactive</v>
      </c>
      <c r="H1171" s="13">
        <f>RANK(B1171,Customer_Tiers[Total_Sales])</f>
        <v>1170</v>
      </c>
    </row>
    <row r="1172" spans="1:8">
      <c r="A1172" t="str">
        <f>'Top Customers'!A1174</f>
        <v>PAUL ALIAS</v>
      </c>
      <c r="B1172" s="5">
        <f>IF(A1172="","",IFERROR(GETPIVOTDATA("Sales Amount",'Top Customers'!$A$3,"Customer_name",'Top Customers'!A1174),""))</f>
        <v>985</v>
      </c>
      <c r="C1172" t="str">
        <f t="shared" si="72"/>
        <v>Regular</v>
      </c>
      <c r="D1172">
        <f t="shared" si="73"/>
        <v>99015</v>
      </c>
      <c r="E1172" s="6">
        <f t="shared" si="74"/>
        <v>1.7203146366656816E-5</v>
      </c>
      <c r="F1172" s="5">
        <f ca="1">TODAY()-GETPIVOTDATA("LastPurchaseDate",MaxDate!$A$3,"Customer_name",MaxDate!A1174)</f>
        <v>32</v>
      </c>
      <c r="G1172" t="str">
        <f t="shared" ca="1" si="75"/>
        <v>Active</v>
      </c>
      <c r="H1172" s="13">
        <f>RANK(B1172,Customer_Tiers[Total_Sales])</f>
        <v>1171</v>
      </c>
    </row>
    <row r="1173" spans="1:8">
      <c r="A1173" t="str">
        <f>'Top Customers'!A1175</f>
        <v>KALLU BHAI CNTR</v>
      </c>
      <c r="B1173" s="5">
        <f>IF(A1173="","",IFERROR(GETPIVOTDATA("Sales Amount",'Top Customers'!$A$3,"Customer_name",'Top Customers'!A1175),""))</f>
        <v>980</v>
      </c>
      <c r="C1173" t="str">
        <f t="shared" si="72"/>
        <v>Regular</v>
      </c>
      <c r="D1173">
        <f t="shared" si="73"/>
        <v>99020</v>
      </c>
      <c r="E1173" s="6">
        <f t="shared" si="74"/>
        <v>1.7115820750582418E-5</v>
      </c>
      <c r="F1173" s="5">
        <f ca="1">TODAY()-GETPIVOTDATA("LastPurchaseDate",MaxDate!$A$3,"Customer_name",MaxDate!A1175)</f>
        <v>31</v>
      </c>
      <c r="G1173" t="str">
        <f t="shared" ca="1" si="75"/>
        <v>Active</v>
      </c>
      <c r="H1173" s="13">
        <f>RANK(B1173,Customer_Tiers[Total_Sales])</f>
        <v>1172</v>
      </c>
    </row>
    <row r="1174" spans="1:8">
      <c r="A1174" t="str">
        <f>'Top Customers'!A1176</f>
        <v>ARUN , VALAMBOOR</v>
      </c>
      <c r="B1174" s="5">
        <f>IF(A1174="","",IFERROR(GETPIVOTDATA("Sales Amount",'Top Customers'!$A$3,"Customer_name",'Top Customers'!A1176),""))</f>
        <v>960</v>
      </c>
      <c r="C1174" t="str">
        <f t="shared" si="72"/>
        <v>Regular</v>
      </c>
      <c r="D1174">
        <f t="shared" si="73"/>
        <v>99040</v>
      </c>
      <c r="E1174" s="6">
        <f t="shared" si="74"/>
        <v>1.6766518286284816E-5</v>
      </c>
      <c r="F1174" s="5">
        <f ca="1">TODAY()-GETPIVOTDATA("LastPurchaseDate",MaxDate!$A$3,"Customer_name",MaxDate!A1176)</f>
        <v>241</v>
      </c>
      <c r="G1174" t="str">
        <f t="shared" ca="1" si="75"/>
        <v>Inactive</v>
      </c>
      <c r="H1174" s="13">
        <f>RANK(B1174,Customer_Tiers[Total_Sales])</f>
        <v>1173</v>
      </c>
    </row>
    <row r="1175" spans="1:8">
      <c r="A1175" t="str">
        <f>'Top Customers'!A1177</f>
        <v>SIYAR PANAYAPPILLY</v>
      </c>
      <c r="B1175" s="5">
        <f>IF(A1175="","",IFERROR(GETPIVOTDATA("Sales Amount",'Top Customers'!$A$3,"Customer_name",'Top Customers'!A1177),""))</f>
        <v>960</v>
      </c>
      <c r="C1175" t="str">
        <f t="shared" si="72"/>
        <v>Regular</v>
      </c>
      <c r="D1175">
        <f t="shared" si="73"/>
        <v>99040</v>
      </c>
      <c r="E1175" s="6">
        <f t="shared" si="74"/>
        <v>1.6766518286284816E-5</v>
      </c>
      <c r="F1175" s="5">
        <f ca="1">TODAY()-GETPIVOTDATA("LastPurchaseDate",MaxDate!$A$3,"Customer_name",MaxDate!A1177)</f>
        <v>121</v>
      </c>
      <c r="G1175" t="str">
        <f t="shared" ca="1" si="75"/>
        <v>Inactive</v>
      </c>
      <c r="H1175" s="13">
        <f>RANK(B1175,Customer_Tiers[Total_Sales])</f>
        <v>1173</v>
      </c>
    </row>
    <row r="1176" spans="1:8">
      <c r="A1176" t="str">
        <f>'Top Customers'!A1178</f>
        <v>ABU PAINTER</v>
      </c>
      <c r="B1176" s="5">
        <f>IF(A1176="","",IFERROR(GETPIVOTDATA("Sales Amount",'Top Customers'!$A$3,"Customer_name",'Top Customers'!A1178),""))</f>
        <v>948</v>
      </c>
      <c r="C1176" t="str">
        <f t="shared" si="72"/>
        <v>Regular</v>
      </c>
      <c r="D1176">
        <f t="shared" si="73"/>
        <v>99052</v>
      </c>
      <c r="E1176" s="6">
        <f t="shared" si="74"/>
        <v>1.6556936807706257E-5</v>
      </c>
      <c r="F1176" s="5">
        <f ca="1">TODAY()-GETPIVOTDATA("LastPurchaseDate",MaxDate!$A$3,"Customer_name",MaxDate!A1178)</f>
        <v>34</v>
      </c>
      <c r="G1176" t="str">
        <f t="shared" ca="1" si="75"/>
        <v>Active</v>
      </c>
      <c r="H1176" s="13">
        <f>RANK(B1176,Customer_Tiers[Total_Sales])</f>
        <v>1175</v>
      </c>
    </row>
    <row r="1177" spans="1:8">
      <c r="A1177" t="str">
        <f>'Top Customers'!A1179</f>
        <v>SALIM UNIVERSAL</v>
      </c>
      <c r="B1177" s="5">
        <f>IF(A1177="","",IFERROR(GETPIVOTDATA("Sales Amount",'Top Customers'!$A$3,"Customer_name",'Top Customers'!A1179),""))</f>
        <v>948</v>
      </c>
      <c r="C1177" t="str">
        <f t="shared" si="72"/>
        <v>Regular</v>
      </c>
      <c r="D1177">
        <f t="shared" si="73"/>
        <v>99052</v>
      </c>
      <c r="E1177" s="6">
        <f t="shared" si="74"/>
        <v>1.6556936807706257E-5</v>
      </c>
      <c r="F1177" s="5">
        <f ca="1">TODAY()-GETPIVOTDATA("LastPurchaseDate",MaxDate!$A$3,"Customer_name",MaxDate!A1179)</f>
        <v>60</v>
      </c>
      <c r="G1177" t="str">
        <f t="shared" ca="1" si="75"/>
        <v>Active</v>
      </c>
      <c r="H1177" s="13">
        <f>RANK(B1177,Customer_Tiers[Total_Sales])</f>
        <v>1175</v>
      </c>
    </row>
    <row r="1178" spans="1:8">
      <c r="A1178" t="str">
        <f>'Top Customers'!A1180</f>
        <v>SUNIL , ERAPPUMPARA</v>
      </c>
      <c r="B1178" s="5">
        <f>IF(A1178="","",IFERROR(GETPIVOTDATA("Sales Amount",'Top Customers'!$A$3,"Customer_name",'Top Customers'!A1180),""))</f>
        <v>940</v>
      </c>
      <c r="C1178" t="str">
        <f t="shared" si="72"/>
        <v>Regular</v>
      </c>
      <c r="D1178">
        <f t="shared" si="73"/>
        <v>99060</v>
      </c>
      <c r="E1178" s="6">
        <f t="shared" si="74"/>
        <v>1.6417215821987217E-5</v>
      </c>
      <c r="F1178" s="5">
        <f ca="1">TODAY()-GETPIVOTDATA("LastPurchaseDate",MaxDate!$A$3,"Customer_name",MaxDate!A1180)</f>
        <v>143</v>
      </c>
      <c r="G1178" t="str">
        <f t="shared" ca="1" si="75"/>
        <v>Inactive</v>
      </c>
      <c r="H1178" s="13">
        <f>RANK(B1178,Customer_Tiers[Total_Sales])</f>
        <v>1177</v>
      </c>
    </row>
    <row r="1179" spans="1:8">
      <c r="A1179" t="str">
        <f>'Top Customers'!A1181</f>
        <v>BIJU ARACKKAPADY</v>
      </c>
      <c r="B1179" s="5">
        <f>IF(A1179="","",IFERROR(GETPIVOTDATA("Sales Amount",'Top Customers'!$A$3,"Customer_name",'Top Customers'!A1181),""))</f>
        <v>928</v>
      </c>
      <c r="C1179" t="str">
        <f t="shared" si="72"/>
        <v>Regular</v>
      </c>
      <c r="D1179">
        <f t="shared" si="73"/>
        <v>99072</v>
      </c>
      <c r="E1179" s="6">
        <f t="shared" si="74"/>
        <v>1.6207634343408655E-5</v>
      </c>
      <c r="F1179" s="5">
        <f ca="1">TODAY()-GETPIVOTDATA("LastPurchaseDate",MaxDate!$A$3,"Customer_name",MaxDate!A1181)</f>
        <v>274</v>
      </c>
      <c r="G1179" t="str">
        <f t="shared" ca="1" si="75"/>
        <v>Inactive</v>
      </c>
      <c r="H1179" s="13">
        <f>RANK(B1179,Customer_Tiers[Total_Sales])</f>
        <v>1178</v>
      </c>
    </row>
    <row r="1180" spans="1:8">
      <c r="A1180" t="str">
        <f>'Top Customers'!A1182</f>
        <v>SAJU KOCHAKKAN</v>
      </c>
      <c r="B1180" s="5">
        <f>IF(A1180="","",IFERROR(GETPIVOTDATA("Sales Amount",'Top Customers'!$A$3,"Customer_name",'Top Customers'!A1182),""))</f>
        <v>921</v>
      </c>
      <c r="C1180" t="str">
        <f t="shared" si="72"/>
        <v>Regular</v>
      </c>
      <c r="D1180">
        <f t="shared" si="73"/>
        <v>99079</v>
      </c>
      <c r="E1180" s="6">
        <f t="shared" si="74"/>
        <v>1.6085378480904497E-5</v>
      </c>
      <c r="F1180" s="5">
        <f ca="1">TODAY()-GETPIVOTDATA("LastPurchaseDate",MaxDate!$A$3,"Customer_name",MaxDate!A1182)</f>
        <v>72</v>
      </c>
      <c r="G1180" t="str">
        <f t="shared" ca="1" si="75"/>
        <v>At Risk</v>
      </c>
      <c r="H1180" s="13">
        <f>RANK(B1180,Customer_Tiers[Total_Sales])</f>
        <v>1179</v>
      </c>
    </row>
    <row r="1181" spans="1:8">
      <c r="A1181" t="str">
        <f>'Top Customers'!A1183</f>
        <v>AJIKUMR VALAMBOOR</v>
      </c>
      <c r="B1181" s="5">
        <f>IF(A1181="","",IFERROR(GETPIVOTDATA("Sales Amount",'Top Customers'!$A$3,"Customer_name",'Top Customers'!A1183),""))</f>
        <v>920</v>
      </c>
      <c r="C1181" t="str">
        <f t="shared" si="72"/>
        <v>Regular</v>
      </c>
      <c r="D1181">
        <f t="shared" si="73"/>
        <v>99080</v>
      </c>
      <c r="E1181" s="6">
        <f t="shared" si="74"/>
        <v>1.6067913357689614E-5</v>
      </c>
      <c r="F1181" s="5">
        <f ca="1">TODAY()-GETPIVOTDATA("LastPurchaseDate",MaxDate!$A$3,"Customer_name",MaxDate!A1183)</f>
        <v>39</v>
      </c>
      <c r="G1181" t="str">
        <f t="shared" ca="1" si="75"/>
        <v>Active</v>
      </c>
      <c r="H1181" s="13">
        <f>RANK(B1181,Customer_Tiers[Total_Sales])</f>
        <v>1180</v>
      </c>
    </row>
    <row r="1182" spans="1:8">
      <c r="A1182" t="str">
        <f>'Top Customers'!A1184</f>
        <v>ST. MARYS CHRISTIAN ASSOCIATION</v>
      </c>
      <c r="B1182" s="5">
        <f>IF(A1182="","",IFERROR(GETPIVOTDATA("Sales Amount",'Top Customers'!$A$3,"Customer_name",'Top Customers'!A1184),""))</f>
        <v>920</v>
      </c>
      <c r="C1182" t="str">
        <f t="shared" si="72"/>
        <v>Regular</v>
      </c>
      <c r="D1182">
        <f t="shared" si="73"/>
        <v>99080</v>
      </c>
      <c r="E1182" s="6">
        <f t="shared" si="74"/>
        <v>1.6067913357689614E-5</v>
      </c>
      <c r="F1182" s="5">
        <f ca="1">TODAY()-GETPIVOTDATA("LastPurchaseDate",MaxDate!$A$3,"Customer_name",MaxDate!A1184)</f>
        <v>180</v>
      </c>
      <c r="G1182" t="str">
        <f t="shared" ca="1" si="75"/>
        <v>Inactive</v>
      </c>
      <c r="H1182" s="13">
        <f>RANK(B1182,Customer_Tiers[Total_Sales])</f>
        <v>1180</v>
      </c>
    </row>
    <row r="1183" spans="1:8">
      <c r="A1183" t="str">
        <f>'Top Customers'!A1185</f>
        <v>DE THREE BUILDERS</v>
      </c>
      <c r="B1183" s="5">
        <f>IF(A1183="","",IFERROR(GETPIVOTDATA("Sales Amount",'Top Customers'!$A$3,"Customer_name",'Top Customers'!A1185),""))</f>
        <v>917</v>
      </c>
      <c r="C1183" t="str">
        <f t="shared" si="72"/>
        <v>Regular</v>
      </c>
      <c r="D1183">
        <f t="shared" si="73"/>
        <v>99083</v>
      </c>
      <c r="E1183" s="6">
        <f t="shared" si="74"/>
        <v>1.6015517988044976E-5</v>
      </c>
      <c r="F1183" s="5">
        <f ca="1">TODAY()-GETPIVOTDATA("LastPurchaseDate",MaxDate!$A$3,"Customer_name",MaxDate!A1185)</f>
        <v>272</v>
      </c>
      <c r="G1183" t="str">
        <f t="shared" ca="1" si="75"/>
        <v>Inactive</v>
      </c>
      <c r="H1183" s="13">
        <f>RANK(B1183,Customer_Tiers[Total_Sales])</f>
        <v>1182</v>
      </c>
    </row>
    <row r="1184" spans="1:8">
      <c r="A1184" t="str">
        <f>'Top Customers'!A1186</f>
        <v>BIJU MAZHUVANNOOR</v>
      </c>
      <c r="B1184" s="5">
        <f>IF(A1184="","",IFERROR(GETPIVOTDATA("Sales Amount",'Top Customers'!$A$3,"Customer_name",'Top Customers'!A1186),""))</f>
        <v>916</v>
      </c>
      <c r="C1184" t="str">
        <f t="shared" si="72"/>
        <v>Regular</v>
      </c>
      <c r="D1184">
        <f t="shared" si="73"/>
        <v>99084</v>
      </c>
      <c r="E1184" s="6">
        <f t="shared" si="74"/>
        <v>1.5998052864830096E-5</v>
      </c>
      <c r="F1184" s="5">
        <f ca="1">TODAY()-GETPIVOTDATA("LastPurchaseDate",MaxDate!$A$3,"Customer_name",MaxDate!A1186)</f>
        <v>279</v>
      </c>
      <c r="G1184" t="str">
        <f t="shared" ca="1" si="75"/>
        <v>Inactive</v>
      </c>
      <c r="H1184" s="13">
        <f>RANK(B1184,Customer_Tiers[Total_Sales])</f>
        <v>1183</v>
      </c>
    </row>
    <row r="1185" spans="1:8">
      <c r="A1185" t="str">
        <f>'Top Customers'!A1187</f>
        <v>NAVAS KUZHIPPILLY</v>
      </c>
      <c r="B1185" s="5">
        <f>IF(A1185="","",IFERROR(GETPIVOTDATA("Sales Amount",'Top Customers'!$A$3,"Customer_name",'Top Customers'!A1187),""))</f>
        <v>914</v>
      </c>
      <c r="C1185" t="str">
        <f t="shared" si="72"/>
        <v>Regular</v>
      </c>
      <c r="D1185">
        <f t="shared" si="73"/>
        <v>99086</v>
      </c>
      <c r="E1185" s="6">
        <f t="shared" si="74"/>
        <v>1.5963122618400337E-5</v>
      </c>
      <c r="F1185" s="5">
        <f ca="1">TODAY()-GETPIVOTDATA("LastPurchaseDate",MaxDate!$A$3,"Customer_name",MaxDate!A1187)</f>
        <v>160</v>
      </c>
      <c r="G1185" t="str">
        <f t="shared" ca="1" si="75"/>
        <v>Inactive</v>
      </c>
      <c r="H1185" s="13">
        <f>RANK(B1185,Customer_Tiers[Total_Sales])</f>
        <v>1184</v>
      </c>
    </row>
    <row r="1186" spans="1:8">
      <c r="A1186" t="str">
        <f>'Top Customers'!A1188</f>
        <v>ANANDU , MAZHUVANNOOR</v>
      </c>
      <c r="B1186" s="5">
        <f>IF(A1186="","",IFERROR(GETPIVOTDATA("Sales Amount",'Top Customers'!$A$3,"Customer_name",'Top Customers'!A1188),""))</f>
        <v>900</v>
      </c>
      <c r="C1186" t="str">
        <f t="shared" si="72"/>
        <v>Regular</v>
      </c>
      <c r="D1186">
        <f t="shared" si="73"/>
        <v>99100</v>
      </c>
      <c r="E1186" s="6">
        <f t="shared" si="74"/>
        <v>1.5718610893392015E-5</v>
      </c>
      <c r="F1186" s="5">
        <f ca="1">TODAY()-GETPIVOTDATA("LastPurchaseDate",MaxDate!$A$3,"Customer_name",MaxDate!A1188)</f>
        <v>92</v>
      </c>
      <c r="G1186" t="str">
        <f t="shared" ca="1" si="75"/>
        <v>At Risk</v>
      </c>
      <c r="H1186" s="13">
        <f>RANK(B1186,Customer_Tiers[Total_Sales])</f>
        <v>1185</v>
      </c>
    </row>
    <row r="1187" spans="1:8">
      <c r="A1187" t="str">
        <f>'Top Customers'!A1189</f>
        <v>NISHAD PATTIMATTOM</v>
      </c>
      <c r="B1187" s="5">
        <f>IF(A1187="","",IFERROR(GETPIVOTDATA("Sales Amount",'Top Customers'!$A$3,"Customer_name",'Top Customers'!A1189),""))</f>
        <v>888</v>
      </c>
      <c r="C1187" t="str">
        <f t="shared" si="72"/>
        <v>Regular</v>
      </c>
      <c r="D1187">
        <f t="shared" si="73"/>
        <v>99112</v>
      </c>
      <c r="E1187" s="6">
        <f t="shared" si="74"/>
        <v>1.5509029414813457E-5</v>
      </c>
      <c r="F1187" s="5">
        <f ca="1">TODAY()-GETPIVOTDATA("LastPurchaseDate",MaxDate!$A$3,"Customer_name",MaxDate!A1189)</f>
        <v>152</v>
      </c>
      <c r="G1187" t="str">
        <f t="shared" ca="1" si="75"/>
        <v>Inactive</v>
      </c>
      <c r="H1187" s="13">
        <f>RANK(B1187,Customer_Tiers[Total_Sales])</f>
        <v>1186</v>
      </c>
    </row>
    <row r="1188" spans="1:8">
      <c r="A1188" t="str">
        <f>'Top Customers'!A1190</f>
        <v>VINU MAMBAKKADAN</v>
      </c>
      <c r="B1188" s="5">
        <f>IF(A1188="","",IFERROR(GETPIVOTDATA("Sales Amount",'Top Customers'!$A$3,"Customer_name",'Top Customers'!A1190),""))</f>
        <v>874</v>
      </c>
      <c r="C1188" t="str">
        <f t="shared" si="72"/>
        <v>Regular</v>
      </c>
      <c r="D1188">
        <f t="shared" si="73"/>
        <v>99126</v>
      </c>
      <c r="E1188" s="6">
        <f t="shared" si="74"/>
        <v>1.5264517689805136E-5</v>
      </c>
      <c r="F1188" s="5">
        <f ca="1">TODAY()-GETPIVOTDATA("LastPurchaseDate",MaxDate!$A$3,"Customer_name",MaxDate!A1190)</f>
        <v>300</v>
      </c>
      <c r="G1188" t="str">
        <f t="shared" ca="1" si="75"/>
        <v>Inactive</v>
      </c>
      <c r="H1188" s="13">
        <f>RANK(B1188,Customer_Tiers[Total_Sales])</f>
        <v>1187</v>
      </c>
    </row>
    <row r="1189" spans="1:8">
      <c r="A1189" t="str">
        <f>'Top Customers'!A1191</f>
        <v>KRED ENERGY LTD</v>
      </c>
      <c r="B1189" s="5">
        <f>IF(A1189="","",IFERROR(GETPIVOTDATA("Sales Amount",'Top Customers'!$A$3,"Customer_name",'Top Customers'!A1191),""))</f>
        <v>873</v>
      </c>
      <c r="C1189" t="str">
        <f t="shared" si="72"/>
        <v>Regular</v>
      </c>
      <c r="D1189">
        <f t="shared" si="73"/>
        <v>99127</v>
      </c>
      <c r="E1189" s="6">
        <f t="shared" si="74"/>
        <v>1.5247052566590256E-5</v>
      </c>
      <c r="F1189" s="5">
        <f ca="1">TODAY()-GETPIVOTDATA("LastPurchaseDate",MaxDate!$A$3,"Customer_name",MaxDate!A1191)</f>
        <v>309</v>
      </c>
      <c r="G1189" t="str">
        <f t="shared" ca="1" si="75"/>
        <v>Inactive</v>
      </c>
      <c r="H1189" s="13">
        <f>RANK(B1189,Customer_Tiers[Total_Sales])</f>
        <v>1188</v>
      </c>
    </row>
    <row r="1190" spans="1:8">
      <c r="A1190" t="str">
        <f>'Top Customers'!A1192</f>
        <v>VIJAYAN PATTIMATTOM</v>
      </c>
      <c r="B1190" s="5">
        <f>IF(A1190="","",IFERROR(GETPIVOTDATA("Sales Amount",'Top Customers'!$A$3,"Customer_name",'Top Customers'!A1192),""))</f>
        <v>866</v>
      </c>
      <c r="C1190" t="str">
        <f t="shared" si="72"/>
        <v>Regular</v>
      </c>
      <c r="D1190">
        <f t="shared" si="73"/>
        <v>99134</v>
      </c>
      <c r="E1190" s="6">
        <f t="shared" si="74"/>
        <v>1.5124796704086095E-5</v>
      </c>
      <c r="F1190" s="5">
        <f ca="1">TODAY()-GETPIVOTDATA("LastPurchaseDate",MaxDate!$A$3,"Customer_name",MaxDate!A1192)</f>
        <v>43</v>
      </c>
      <c r="G1190" t="str">
        <f t="shared" ca="1" si="75"/>
        <v>Active</v>
      </c>
      <c r="H1190" s="13">
        <f>RANK(B1190,Customer_Tiers[Total_Sales])</f>
        <v>1189</v>
      </c>
    </row>
    <row r="1191" spans="1:8">
      <c r="A1191" t="str">
        <f>'Top Customers'!A1193</f>
        <v>ELDHOSE AIRAPURAM</v>
      </c>
      <c r="B1191" s="5">
        <f>IF(A1191="","",IFERROR(GETPIVOTDATA("Sales Amount",'Top Customers'!$A$3,"Customer_name",'Top Customers'!A1193),""))</f>
        <v>863</v>
      </c>
      <c r="C1191" t="str">
        <f t="shared" si="72"/>
        <v>Regular</v>
      </c>
      <c r="D1191">
        <f t="shared" si="73"/>
        <v>99137</v>
      </c>
      <c r="E1191" s="6">
        <f t="shared" si="74"/>
        <v>1.5072401334441455E-5</v>
      </c>
      <c r="F1191" s="5">
        <f ca="1">TODAY()-GETPIVOTDATA("LastPurchaseDate",MaxDate!$A$3,"Customer_name",MaxDate!A1193)</f>
        <v>141</v>
      </c>
      <c r="G1191" t="str">
        <f t="shared" ca="1" si="75"/>
        <v>Inactive</v>
      </c>
      <c r="H1191" s="13">
        <f>RANK(B1191,Customer_Tiers[Total_Sales])</f>
        <v>1190</v>
      </c>
    </row>
    <row r="1192" spans="1:8">
      <c r="A1192" t="str">
        <f>'Top Customers'!A1194</f>
        <v>AMAL PANCODE</v>
      </c>
      <c r="B1192" s="5">
        <f>IF(A1192="","",IFERROR(GETPIVOTDATA("Sales Amount",'Top Customers'!$A$3,"Customer_name",'Top Customers'!A1194),""))</f>
        <v>850</v>
      </c>
      <c r="C1192" t="str">
        <f t="shared" si="72"/>
        <v>Regular</v>
      </c>
      <c r="D1192">
        <f t="shared" si="73"/>
        <v>99150</v>
      </c>
      <c r="E1192" s="6">
        <f t="shared" si="74"/>
        <v>1.4845354732648015E-5</v>
      </c>
      <c r="F1192" s="5">
        <f ca="1">TODAY()-GETPIVOTDATA("LastPurchaseDate",MaxDate!$A$3,"Customer_name",MaxDate!A1194)</f>
        <v>72</v>
      </c>
      <c r="G1192" t="str">
        <f t="shared" ca="1" si="75"/>
        <v>At Risk</v>
      </c>
      <c r="H1192" s="13">
        <f>RANK(B1192,Customer_Tiers[Total_Sales])</f>
        <v>1191</v>
      </c>
    </row>
    <row r="1193" spans="1:8">
      <c r="A1193" t="str">
        <f>'Top Customers'!A1195</f>
        <v>VINU NARAYANAN</v>
      </c>
      <c r="B1193" s="5">
        <f>IF(A1193="","",IFERROR(GETPIVOTDATA("Sales Amount",'Top Customers'!$A$3,"Customer_name",'Top Customers'!A1195),""))</f>
        <v>850</v>
      </c>
      <c r="C1193" t="str">
        <f t="shared" si="72"/>
        <v>Regular</v>
      </c>
      <c r="D1193">
        <f t="shared" si="73"/>
        <v>99150</v>
      </c>
      <c r="E1193" s="6">
        <f t="shared" si="74"/>
        <v>1.4845354732648015E-5</v>
      </c>
      <c r="F1193" s="5">
        <f ca="1">TODAY()-GETPIVOTDATA("LastPurchaseDate",MaxDate!$A$3,"Customer_name",MaxDate!A1195)</f>
        <v>293</v>
      </c>
      <c r="G1193" t="str">
        <f t="shared" ca="1" si="75"/>
        <v>Inactive</v>
      </c>
      <c r="H1193" s="13">
        <f>RANK(B1193,Customer_Tiers[Total_Sales])</f>
        <v>1191</v>
      </c>
    </row>
    <row r="1194" spans="1:8">
      <c r="A1194" t="str">
        <f>'Top Customers'!A1196</f>
        <v>Siju</v>
      </c>
      <c r="B1194" s="5">
        <f>IF(A1194="","",IFERROR(GETPIVOTDATA("Sales Amount",'Top Customers'!$A$3,"Customer_name",'Top Customers'!A1196),""))</f>
        <v>839</v>
      </c>
      <c r="C1194" t="str">
        <f t="shared" si="72"/>
        <v>Regular</v>
      </c>
      <c r="D1194">
        <f t="shared" si="73"/>
        <v>99161</v>
      </c>
      <c r="E1194" s="6">
        <f t="shared" si="74"/>
        <v>1.4653238377284334E-5</v>
      </c>
      <c r="F1194" s="5">
        <f ca="1">TODAY()-GETPIVOTDATA("LastPurchaseDate",MaxDate!$A$3,"Customer_name",MaxDate!A1196)</f>
        <v>93</v>
      </c>
      <c r="G1194" t="str">
        <f t="shared" ca="1" si="75"/>
        <v>At Risk</v>
      </c>
      <c r="H1194" s="13">
        <f>RANK(B1194,Customer_Tiers[Total_Sales])</f>
        <v>1193</v>
      </c>
    </row>
    <row r="1195" spans="1:8">
      <c r="A1195" t="str">
        <f>'Top Customers'!A1197</f>
        <v>BIJU DAIVASAHAYAM ACE</v>
      </c>
      <c r="B1195" s="5">
        <f>IF(A1195="","",IFERROR(GETPIVOTDATA("Sales Amount",'Top Customers'!$A$3,"Customer_name",'Top Customers'!A1197),""))</f>
        <v>829</v>
      </c>
      <c r="C1195" t="str">
        <f t="shared" si="72"/>
        <v>Regular</v>
      </c>
      <c r="D1195">
        <f t="shared" si="73"/>
        <v>99171</v>
      </c>
      <c r="E1195" s="6">
        <f t="shared" si="74"/>
        <v>1.4478587145135535E-5</v>
      </c>
      <c r="F1195" s="5">
        <f ca="1">TODAY()-GETPIVOTDATA("LastPurchaseDate",MaxDate!$A$3,"Customer_name",MaxDate!A1197)</f>
        <v>100</v>
      </c>
      <c r="G1195" t="str">
        <f t="shared" ca="1" si="75"/>
        <v>At Risk</v>
      </c>
      <c r="H1195" s="13">
        <f>RANK(B1195,Customer_Tiers[Total_Sales])</f>
        <v>1194</v>
      </c>
    </row>
    <row r="1196" spans="1:8">
      <c r="A1196" t="str">
        <f>'Top Customers'!A1198</f>
        <v>THAMPI , VALAMBOOR</v>
      </c>
      <c r="B1196" s="5">
        <f>IF(A1196="","",IFERROR(GETPIVOTDATA("Sales Amount",'Top Customers'!$A$3,"Customer_name",'Top Customers'!A1198),""))</f>
        <v>825</v>
      </c>
      <c r="C1196" t="str">
        <f t="shared" si="72"/>
        <v>Regular</v>
      </c>
      <c r="D1196">
        <f t="shared" si="73"/>
        <v>99175</v>
      </c>
      <c r="E1196" s="6">
        <f t="shared" si="74"/>
        <v>1.4408726652276014E-5</v>
      </c>
      <c r="F1196" s="5">
        <f ca="1">TODAY()-GETPIVOTDATA("LastPurchaseDate",MaxDate!$A$3,"Customer_name",MaxDate!A1198)</f>
        <v>199</v>
      </c>
      <c r="G1196" t="str">
        <f t="shared" ca="1" si="75"/>
        <v>Inactive</v>
      </c>
      <c r="H1196" s="13">
        <f>RANK(B1196,Customer_Tiers[Total_Sales])</f>
        <v>1195</v>
      </c>
    </row>
    <row r="1197" spans="1:8">
      <c r="A1197" t="str">
        <f>'Top Customers'!A1199</f>
        <v>YUNGSTERS</v>
      </c>
      <c r="B1197" s="5">
        <f>IF(A1197="","",IFERROR(GETPIVOTDATA("Sales Amount",'Top Customers'!$A$3,"Customer_name",'Top Customers'!A1199),""))</f>
        <v>802</v>
      </c>
      <c r="C1197" t="str">
        <f t="shared" si="72"/>
        <v>Regular</v>
      </c>
      <c r="D1197">
        <f t="shared" si="73"/>
        <v>99198</v>
      </c>
      <c r="E1197" s="6">
        <f t="shared" si="74"/>
        <v>1.4007028818333773E-5</v>
      </c>
      <c r="F1197" s="5">
        <f ca="1">TODAY()-GETPIVOTDATA("LastPurchaseDate",MaxDate!$A$3,"Customer_name",MaxDate!A1199)</f>
        <v>134</v>
      </c>
      <c r="G1197" t="str">
        <f t="shared" ca="1" si="75"/>
        <v>Inactive</v>
      </c>
      <c r="H1197" s="13">
        <f>RANK(B1197,Customer_Tiers[Total_Sales])</f>
        <v>1196</v>
      </c>
    </row>
    <row r="1198" spans="1:8">
      <c r="A1198" t="str">
        <f>'Top Customers'!A1200</f>
        <v>JOICE</v>
      </c>
      <c r="B1198" s="5">
        <f>IF(A1198="","",IFERROR(GETPIVOTDATA("Sales Amount",'Top Customers'!$A$3,"Customer_name",'Top Customers'!A1200),""))</f>
        <v>800</v>
      </c>
      <c r="C1198" t="str">
        <f t="shared" si="72"/>
        <v>Regular</v>
      </c>
      <c r="D1198">
        <f t="shared" si="73"/>
        <v>99200</v>
      </c>
      <c r="E1198" s="6">
        <f t="shared" si="74"/>
        <v>1.3972098571904014E-5</v>
      </c>
      <c r="F1198" s="5">
        <f ca="1">TODAY()-GETPIVOTDATA("LastPurchaseDate",MaxDate!$A$3,"Customer_name",MaxDate!A1200)</f>
        <v>313</v>
      </c>
      <c r="G1198" t="str">
        <f t="shared" ca="1" si="75"/>
        <v>Inactive</v>
      </c>
      <c r="H1198" s="13">
        <f>RANK(B1198,Customer_Tiers[Total_Sales])</f>
        <v>1197</v>
      </c>
    </row>
    <row r="1199" spans="1:8">
      <c r="A1199" t="str">
        <f>'Top Customers'!A1201</f>
        <v>JINEESH KUMMANODE</v>
      </c>
      <c r="B1199" s="5">
        <f>IF(A1199="","",IFERROR(GETPIVOTDATA("Sales Amount",'Top Customers'!$A$3,"Customer_name",'Top Customers'!A1201),""))</f>
        <v>786</v>
      </c>
      <c r="C1199" t="str">
        <f t="shared" si="72"/>
        <v>Regular</v>
      </c>
      <c r="D1199">
        <f t="shared" si="73"/>
        <v>99214</v>
      </c>
      <c r="E1199" s="6">
        <f t="shared" si="74"/>
        <v>1.3727586846895693E-5</v>
      </c>
      <c r="F1199" s="5">
        <f ca="1">TODAY()-GETPIVOTDATA("LastPurchaseDate",MaxDate!$A$3,"Customer_name",MaxDate!A1201)</f>
        <v>102</v>
      </c>
      <c r="G1199" t="str">
        <f t="shared" ca="1" si="75"/>
        <v>At Risk</v>
      </c>
      <c r="H1199" s="13">
        <f>RANK(B1199,Customer_Tiers[Total_Sales])</f>
        <v>1198</v>
      </c>
    </row>
    <row r="1200" spans="1:8">
      <c r="A1200" t="str">
        <f>'Top Customers'!A1202</f>
        <v>KHADER ATHANI</v>
      </c>
      <c r="B1200" s="5">
        <f>IF(A1200="","",IFERROR(GETPIVOTDATA("Sales Amount",'Top Customers'!$A$3,"Customer_name",'Top Customers'!A1202),""))</f>
        <v>770</v>
      </c>
      <c r="C1200" t="str">
        <f t="shared" si="72"/>
        <v>Regular</v>
      </c>
      <c r="D1200">
        <f t="shared" si="73"/>
        <v>99230</v>
      </c>
      <c r="E1200" s="6">
        <f t="shared" si="74"/>
        <v>1.3448144875457614E-5</v>
      </c>
      <c r="F1200" s="5">
        <f ca="1">TODAY()-GETPIVOTDATA("LastPurchaseDate",MaxDate!$A$3,"Customer_name",MaxDate!A1202)</f>
        <v>37</v>
      </c>
      <c r="G1200" t="str">
        <f t="shared" ca="1" si="75"/>
        <v>Active</v>
      </c>
      <c r="H1200" s="13">
        <f>RANK(B1200,Customer_Tiers[Total_Sales])</f>
        <v>1199</v>
      </c>
    </row>
    <row r="1201" spans="1:8">
      <c r="A1201" t="str">
        <f>'Top Customers'!A1203</f>
        <v>ANIL KUMAR</v>
      </c>
      <c r="B1201" s="5">
        <f>IF(A1201="","",IFERROR(GETPIVOTDATA("Sales Amount",'Top Customers'!$A$3,"Customer_name",'Top Customers'!A1203),""))</f>
        <v>760</v>
      </c>
      <c r="C1201" t="str">
        <f t="shared" si="72"/>
        <v>Regular</v>
      </c>
      <c r="D1201">
        <f t="shared" si="73"/>
        <v>99240</v>
      </c>
      <c r="E1201" s="6">
        <f t="shared" si="74"/>
        <v>1.3273493643308813E-5</v>
      </c>
      <c r="F1201" s="5">
        <f ca="1">TODAY()-GETPIVOTDATA("LastPurchaseDate",MaxDate!$A$3,"Customer_name",MaxDate!A1203)</f>
        <v>137</v>
      </c>
      <c r="G1201" t="str">
        <f t="shared" ca="1" si="75"/>
        <v>Inactive</v>
      </c>
      <c r="H1201" s="13">
        <f>RANK(B1201,Customer_Tiers[Total_Sales])</f>
        <v>1200</v>
      </c>
    </row>
    <row r="1202" spans="1:8">
      <c r="A1202" t="str">
        <f>'Top Customers'!A1204</f>
        <v>SAM PATTIMATTOM</v>
      </c>
      <c r="B1202" s="5">
        <f>IF(A1202="","",IFERROR(GETPIVOTDATA("Sales Amount",'Top Customers'!$A$3,"Customer_name",'Top Customers'!A1204),""))</f>
        <v>760</v>
      </c>
      <c r="C1202" t="str">
        <f t="shared" si="72"/>
        <v>Regular</v>
      </c>
      <c r="D1202">
        <f t="shared" si="73"/>
        <v>99240</v>
      </c>
      <c r="E1202" s="6">
        <f t="shared" si="74"/>
        <v>1.3273493643308813E-5</v>
      </c>
      <c r="F1202" s="5">
        <f ca="1">TODAY()-GETPIVOTDATA("LastPurchaseDate",MaxDate!$A$3,"Customer_name",MaxDate!A1204)</f>
        <v>183</v>
      </c>
      <c r="G1202" t="str">
        <f t="shared" ca="1" si="75"/>
        <v>Inactive</v>
      </c>
      <c r="H1202" s="13">
        <f>RANK(B1202,Customer_Tiers[Total_Sales])</f>
        <v>1200</v>
      </c>
    </row>
    <row r="1203" spans="1:8">
      <c r="A1203" t="str">
        <f>'Top Customers'!A1205</f>
        <v>DILEEP , KILIKULAM</v>
      </c>
      <c r="B1203" s="5">
        <f>IF(A1203="","",IFERROR(GETPIVOTDATA("Sales Amount",'Top Customers'!$A$3,"Customer_name",'Top Customers'!A1205),""))</f>
        <v>745</v>
      </c>
      <c r="C1203" t="str">
        <f t="shared" si="72"/>
        <v>Regular</v>
      </c>
      <c r="D1203">
        <f t="shared" si="73"/>
        <v>99255</v>
      </c>
      <c r="E1203" s="6">
        <f t="shared" si="74"/>
        <v>1.3011516795085614E-5</v>
      </c>
      <c r="F1203" s="5">
        <f ca="1">TODAY()-GETPIVOTDATA("LastPurchaseDate",MaxDate!$A$3,"Customer_name",MaxDate!A1205)</f>
        <v>130</v>
      </c>
      <c r="G1203" t="str">
        <f t="shared" ca="1" si="75"/>
        <v>Inactive</v>
      </c>
      <c r="H1203" s="13">
        <f>RANK(B1203,Customer_Tiers[Total_Sales])</f>
        <v>1202</v>
      </c>
    </row>
    <row r="1204" spans="1:8">
      <c r="A1204" t="str">
        <f>'Top Customers'!A1206</f>
        <v>ARSHAD VALAMBOOR</v>
      </c>
      <c r="B1204" s="5">
        <f>IF(A1204="","",IFERROR(GETPIVOTDATA("Sales Amount",'Top Customers'!$A$3,"Customer_name",'Top Customers'!A1206),""))</f>
        <v>740</v>
      </c>
      <c r="C1204" t="str">
        <f t="shared" si="72"/>
        <v>Regular</v>
      </c>
      <c r="D1204">
        <f t="shared" si="73"/>
        <v>99260</v>
      </c>
      <c r="E1204" s="6">
        <f t="shared" si="74"/>
        <v>1.2924191179011212E-5</v>
      </c>
      <c r="F1204" s="5">
        <f ca="1">TODAY()-GETPIVOTDATA("LastPurchaseDate",MaxDate!$A$3,"Customer_name",MaxDate!A1206)</f>
        <v>198</v>
      </c>
      <c r="G1204" t="str">
        <f t="shared" ca="1" si="75"/>
        <v>Inactive</v>
      </c>
      <c r="H1204" s="13">
        <f>RANK(B1204,Customer_Tiers[Total_Sales])</f>
        <v>1203</v>
      </c>
    </row>
    <row r="1205" spans="1:8">
      <c r="A1205" t="str">
        <f>'Top Customers'!A1207</f>
        <v>AFZAL , DOUBLEPALM</v>
      </c>
      <c r="B1205" s="5">
        <f>IF(A1205="","",IFERROR(GETPIVOTDATA("Sales Amount",'Top Customers'!$A$3,"Customer_name",'Top Customers'!A1207),""))</f>
        <v>740</v>
      </c>
      <c r="C1205" t="str">
        <f t="shared" si="72"/>
        <v>Regular</v>
      </c>
      <c r="D1205">
        <f t="shared" si="73"/>
        <v>99260</v>
      </c>
      <c r="E1205" s="6">
        <f t="shared" si="74"/>
        <v>1.2924191179011212E-5</v>
      </c>
      <c r="F1205" s="5">
        <f ca="1">TODAY()-GETPIVOTDATA("LastPurchaseDate",MaxDate!$A$3,"Customer_name",MaxDate!A1207)</f>
        <v>276</v>
      </c>
      <c r="G1205" t="str">
        <f t="shared" ca="1" si="75"/>
        <v>Inactive</v>
      </c>
      <c r="H1205" s="13">
        <f>RANK(B1205,Customer_Tiers[Total_Sales])</f>
        <v>1203</v>
      </c>
    </row>
    <row r="1206" spans="1:8">
      <c r="A1206" t="str">
        <f>'Top Customers'!A1208</f>
        <v>JITHIN PATTIMATTOM</v>
      </c>
      <c r="B1206" s="5">
        <f>IF(A1206="","",IFERROR(GETPIVOTDATA("Sales Amount",'Top Customers'!$A$3,"Customer_name",'Top Customers'!A1208),""))</f>
        <v>740</v>
      </c>
      <c r="C1206" t="str">
        <f t="shared" si="72"/>
        <v>Regular</v>
      </c>
      <c r="D1206">
        <f t="shared" si="73"/>
        <v>99260</v>
      </c>
      <c r="E1206" s="6">
        <f t="shared" si="74"/>
        <v>1.2924191179011212E-5</v>
      </c>
      <c r="F1206" s="5">
        <f ca="1">TODAY()-GETPIVOTDATA("LastPurchaseDate",MaxDate!$A$3,"Customer_name",MaxDate!A1208)</f>
        <v>272</v>
      </c>
      <c r="G1206" t="str">
        <f t="shared" ca="1" si="75"/>
        <v>Inactive</v>
      </c>
      <c r="H1206" s="13">
        <f>RANK(B1206,Customer_Tiers[Total_Sales])</f>
        <v>1203</v>
      </c>
    </row>
    <row r="1207" spans="1:8">
      <c r="A1207" t="str">
        <f>'Top Customers'!A1209</f>
        <v>Mathai Passenger</v>
      </c>
      <c r="B1207" s="5">
        <f>IF(A1207="","",IFERROR(GETPIVOTDATA("Sales Amount",'Top Customers'!$A$3,"Customer_name",'Top Customers'!A1209),""))</f>
        <v>740</v>
      </c>
      <c r="C1207" t="str">
        <f t="shared" si="72"/>
        <v>Regular</v>
      </c>
      <c r="D1207">
        <f t="shared" si="73"/>
        <v>99260</v>
      </c>
      <c r="E1207" s="6">
        <f t="shared" si="74"/>
        <v>1.2924191179011212E-5</v>
      </c>
      <c r="F1207" s="5">
        <f ca="1">TODAY()-GETPIVOTDATA("LastPurchaseDate",MaxDate!$A$3,"Customer_name",MaxDate!A1209)</f>
        <v>192</v>
      </c>
      <c r="G1207" t="str">
        <f t="shared" ca="1" si="75"/>
        <v>Inactive</v>
      </c>
      <c r="H1207" s="13">
        <f>RANK(B1207,Customer_Tiers[Total_Sales])</f>
        <v>1203</v>
      </c>
    </row>
    <row r="1208" spans="1:8">
      <c r="A1208" t="str">
        <f>'Top Customers'!A1210</f>
        <v>MOITHEEN DOUBLEPALAM</v>
      </c>
      <c r="B1208" s="5">
        <f>IF(A1208="","",IFERROR(GETPIVOTDATA("Sales Amount",'Top Customers'!$A$3,"Customer_name",'Top Customers'!A1210),""))</f>
        <v>740</v>
      </c>
      <c r="C1208" t="str">
        <f t="shared" si="72"/>
        <v>Regular</v>
      </c>
      <c r="D1208">
        <f t="shared" si="73"/>
        <v>99260</v>
      </c>
      <c r="E1208" s="6">
        <f t="shared" si="74"/>
        <v>1.2924191179011212E-5</v>
      </c>
      <c r="F1208" s="5">
        <f ca="1">TODAY()-GETPIVOTDATA("LastPurchaseDate",MaxDate!$A$3,"Customer_name",MaxDate!A1210)</f>
        <v>271</v>
      </c>
      <c r="G1208" t="str">
        <f t="shared" ca="1" si="75"/>
        <v>Inactive</v>
      </c>
      <c r="H1208" s="13">
        <f>RANK(B1208,Customer_Tiers[Total_Sales])</f>
        <v>1203</v>
      </c>
    </row>
    <row r="1209" spans="1:8">
      <c r="A1209" t="str">
        <f>'Top Customers'!A1211</f>
        <v>MALAYIDUMTHURUTHU PRATHYASHA BHAVAN</v>
      </c>
      <c r="B1209" s="5">
        <f>IF(A1209="","",IFERROR(GETPIVOTDATA("Sales Amount",'Top Customers'!$A$3,"Customer_name",'Top Customers'!A1211),""))</f>
        <v>740</v>
      </c>
      <c r="C1209" t="str">
        <f t="shared" si="72"/>
        <v>Regular</v>
      </c>
      <c r="D1209">
        <f t="shared" si="73"/>
        <v>99260</v>
      </c>
      <c r="E1209" s="6">
        <f t="shared" si="74"/>
        <v>1.2924191179011212E-5</v>
      </c>
      <c r="F1209" s="5">
        <f ca="1">TODAY()-GETPIVOTDATA("LastPurchaseDate",MaxDate!$A$3,"Customer_name",MaxDate!A1211)</f>
        <v>208</v>
      </c>
      <c r="G1209" t="str">
        <f t="shared" ca="1" si="75"/>
        <v>Inactive</v>
      </c>
      <c r="H1209" s="13">
        <f>RANK(B1209,Customer_Tiers[Total_Sales])</f>
        <v>1203</v>
      </c>
    </row>
    <row r="1210" spans="1:8">
      <c r="A1210" t="str">
        <f>'Top Customers'!A1212</f>
        <v>RAJAN , DEYARAPADY</v>
      </c>
      <c r="B1210" s="5">
        <f>IF(A1210="","",IFERROR(GETPIVOTDATA("Sales Amount",'Top Customers'!$A$3,"Customer_name",'Top Customers'!A1212),""))</f>
        <v>740</v>
      </c>
      <c r="C1210" t="str">
        <f t="shared" si="72"/>
        <v>Regular</v>
      </c>
      <c r="D1210">
        <f t="shared" si="73"/>
        <v>99260</v>
      </c>
      <c r="E1210" s="6">
        <f t="shared" si="74"/>
        <v>1.2924191179011212E-5</v>
      </c>
      <c r="F1210" s="5">
        <f ca="1">TODAY()-GETPIVOTDATA("LastPurchaseDate",MaxDate!$A$3,"Customer_name",MaxDate!A1212)</f>
        <v>180</v>
      </c>
      <c r="G1210" t="str">
        <f t="shared" ca="1" si="75"/>
        <v>Inactive</v>
      </c>
      <c r="H1210" s="13">
        <f>RANK(B1210,Customer_Tiers[Total_Sales])</f>
        <v>1203</v>
      </c>
    </row>
    <row r="1211" spans="1:8">
      <c r="A1211" t="str">
        <f>'Top Customers'!A1213</f>
        <v>RASAK PATTIMATTOM</v>
      </c>
      <c r="B1211" s="5">
        <f>IF(A1211="","",IFERROR(GETPIVOTDATA("Sales Amount",'Top Customers'!$A$3,"Customer_name",'Top Customers'!A1213),""))</f>
        <v>740</v>
      </c>
      <c r="C1211" t="str">
        <f t="shared" si="72"/>
        <v>Regular</v>
      </c>
      <c r="D1211">
        <f t="shared" si="73"/>
        <v>99260</v>
      </c>
      <c r="E1211" s="6">
        <f t="shared" si="74"/>
        <v>1.2924191179011212E-5</v>
      </c>
      <c r="F1211" s="5">
        <f ca="1">TODAY()-GETPIVOTDATA("LastPurchaseDate",MaxDate!$A$3,"Customer_name",MaxDate!A1213)</f>
        <v>221</v>
      </c>
      <c r="G1211" t="str">
        <f t="shared" ca="1" si="75"/>
        <v>Inactive</v>
      </c>
      <c r="H1211" s="13">
        <f>RANK(B1211,Customer_Tiers[Total_Sales])</f>
        <v>1203</v>
      </c>
    </row>
    <row r="1212" spans="1:8">
      <c r="A1212" t="str">
        <f>'Top Customers'!A1214</f>
        <v>SATHEESH VENGACHUVATTIL</v>
      </c>
      <c r="B1212" s="5">
        <f>IF(A1212="","",IFERROR(GETPIVOTDATA("Sales Amount",'Top Customers'!$A$3,"Customer_name",'Top Customers'!A1214),""))</f>
        <v>740</v>
      </c>
      <c r="C1212" t="str">
        <f t="shared" si="72"/>
        <v>Regular</v>
      </c>
      <c r="D1212">
        <f t="shared" si="73"/>
        <v>99260</v>
      </c>
      <c r="E1212" s="6">
        <f t="shared" si="74"/>
        <v>1.2924191179011212E-5</v>
      </c>
      <c r="F1212" s="5">
        <f ca="1">TODAY()-GETPIVOTDATA("LastPurchaseDate",MaxDate!$A$3,"Customer_name",MaxDate!A1214)</f>
        <v>241</v>
      </c>
      <c r="G1212" t="str">
        <f t="shared" ca="1" si="75"/>
        <v>Inactive</v>
      </c>
      <c r="H1212" s="13">
        <f>RANK(B1212,Customer_Tiers[Total_Sales])</f>
        <v>1203</v>
      </c>
    </row>
    <row r="1213" spans="1:8">
      <c r="A1213" t="str">
        <f>'Top Customers'!A1215</f>
        <v>SLOMO VARGHESE</v>
      </c>
      <c r="B1213" s="5">
        <f>IF(A1213="","",IFERROR(GETPIVOTDATA("Sales Amount",'Top Customers'!$A$3,"Customer_name",'Top Customers'!A1215),""))</f>
        <v>740</v>
      </c>
      <c r="C1213" t="str">
        <f t="shared" si="72"/>
        <v>Regular</v>
      </c>
      <c r="D1213">
        <f t="shared" si="73"/>
        <v>99260</v>
      </c>
      <c r="E1213" s="6">
        <f t="shared" si="74"/>
        <v>1.2924191179011212E-5</v>
      </c>
      <c r="F1213" s="5">
        <f ca="1">TODAY()-GETPIVOTDATA("LastPurchaseDate",MaxDate!$A$3,"Customer_name",MaxDate!A1215)</f>
        <v>85</v>
      </c>
      <c r="G1213" t="str">
        <f t="shared" ca="1" si="75"/>
        <v>At Risk</v>
      </c>
      <c r="H1213" s="13">
        <f>RANK(B1213,Customer_Tiers[Total_Sales])</f>
        <v>1203</v>
      </c>
    </row>
    <row r="1214" spans="1:8">
      <c r="A1214" t="str">
        <f>'Top Customers'!A1216</f>
        <v>VINOD , CHENGARA</v>
      </c>
      <c r="B1214" s="5">
        <f>IF(A1214="","",IFERROR(GETPIVOTDATA("Sales Amount",'Top Customers'!$A$3,"Customer_name",'Top Customers'!A1216),""))</f>
        <v>740</v>
      </c>
      <c r="C1214" t="str">
        <f t="shared" si="72"/>
        <v>Regular</v>
      </c>
      <c r="D1214">
        <f t="shared" si="73"/>
        <v>99260</v>
      </c>
      <c r="E1214" s="6">
        <f t="shared" si="74"/>
        <v>1.2924191179011212E-5</v>
      </c>
      <c r="F1214" s="5">
        <f ca="1">TODAY()-GETPIVOTDATA("LastPurchaseDate",MaxDate!$A$3,"Customer_name",MaxDate!A1216)</f>
        <v>170</v>
      </c>
      <c r="G1214" t="str">
        <f t="shared" ca="1" si="75"/>
        <v>Inactive</v>
      </c>
      <c r="H1214" s="13">
        <f>RANK(B1214,Customer_Tiers[Total_Sales])</f>
        <v>1203</v>
      </c>
    </row>
    <row r="1215" spans="1:8">
      <c r="A1215" t="str">
        <f>'Top Customers'!A1217</f>
        <v>JUSTIN</v>
      </c>
      <c r="B1215" s="5">
        <f>IF(A1215="","",IFERROR(GETPIVOTDATA("Sales Amount",'Top Customers'!$A$3,"Customer_name",'Top Customers'!A1217),""))</f>
        <v>733</v>
      </c>
      <c r="C1215" t="str">
        <f t="shared" si="72"/>
        <v>Regular</v>
      </c>
      <c r="D1215">
        <f t="shared" si="73"/>
        <v>99267</v>
      </c>
      <c r="E1215" s="6">
        <f t="shared" si="74"/>
        <v>1.2801935316507053E-5</v>
      </c>
      <c r="F1215" s="5">
        <f ca="1">TODAY()-GETPIVOTDATA("LastPurchaseDate",MaxDate!$A$3,"Customer_name",MaxDate!A1217)</f>
        <v>107</v>
      </c>
      <c r="G1215" t="str">
        <f t="shared" ca="1" si="75"/>
        <v>At Risk</v>
      </c>
      <c r="H1215" s="13">
        <f>RANK(B1215,Customer_Tiers[Total_Sales])</f>
        <v>1214</v>
      </c>
    </row>
    <row r="1216" spans="1:8">
      <c r="A1216" t="str">
        <f>'Top Customers'!A1218</f>
        <v>AKHIL PUNNORKODE</v>
      </c>
      <c r="B1216" s="5">
        <f>IF(A1216="","",IFERROR(GETPIVOTDATA("Sales Amount",'Top Customers'!$A$3,"Customer_name",'Top Customers'!A1218),""))</f>
        <v>725</v>
      </c>
      <c r="C1216" t="str">
        <f t="shared" si="72"/>
        <v>Regular</v>
      </c>
      <c r="D1216">
        <f t="shared" si="73"/>
        <v>99275</v>
      </c>
      <c r="E1216" s="6">
        <f t="shared" si="74"/>
        <v>1.2662214330788013E-5</v>
      </c>
      <c r="F1216" s="5">
        <f ca="1">TODAY()-GETPIVOTDATA("LastPurchaseDate",MaxDate!$A$3,"Customer_name",MaxDate!A1218)</f>
        <v>158</v>
      </c>
      <c r="G1216" t="str">
        <f t="shared" ca="1" si="75"/>
        <v>Inactive</v>
      </c>
      <c r="H1216" s="13">
        <f>RANK(B1216,Customer_Tiers[Total_Sales])</f>
        <v>1215</v>
      </c>
    </row>
    <row r="1217" spans="1:8">
      <c r="A1217" t="str">
        <f>'Top Customers'!A1219</f>
        <v>RAMACHANDRAN ARACKAPADY</v>
      </c>
      <c r="B1217" s="5">
        <f>IF(A1217="","",IFERROR(GETPIVOTDATA("Sales Amount",'Top Customers'!$A$3,"Customer_name",'Top Customers'!A1219),""))</f>
        <v>720</v>
      </c>
      <c r="C1217" t="str">
        <f t="shared" si="72"/>
        <v>Regular</v>
      </c>
      <c r="D1217">
        <f t="shared" si="73"/>
        <v>99280</v>
      </c>
      <c r="E1217" s="6">
        <f t="shared" si="74"/>
        <v>1.2574888714713612E-5</v>
      </c>
      <c r="F1217" s="5">
        <f ca="1">TODAY()-GETPIVOTDATA("LastPurchaseDate",MaxDate!$A$3,"Customer_name",MaxDate!A1219)</f>
        <v>302</v>
      </c>
      <c r="G1217" t="str">
        <f t="shared" ca="1" si="75"/>
        <v>Inactive</v>
      </c>
      <c r="H1217" s="13">
        <f>RANK(B1217,Customer_Tiers[Total_Sales])</f>
        <v>1216</v>
      </c>
    </row>
    <row r="1218" spans="1:8">
      <c r="A1218" t="str">
        <f>'Top Customers'!A1220</f>
        <v>SIGIN</v>
      </c>
      <c r="B1218" s="5">
        <f>IF(A1218="","",IFERROR(GETPIVOTDATA("Sales Amount",'Top Customers'!$A$3,"Customer_name",'Top Customers'!A1220),""))</f>
        <v>710</v>
      </c>
      <c r="C1218" t="str">
        <f t="shared" ref="C1218:C1281" si="76">IF(B1218&gt;=1000000,"Platinum",
 IF(B1218&gt;=500000,"Gold",
 IF(B1218&gt;=100000,"Silver","Regular")))</f>
        <v>Regular</v>
      </c>
      <c r="D1218">
        <f t="shared" ref="D1218:D1281" si="77">IF(C1218="Platinum",0,
 IF(C1218="Gold",1000000-B1218,
 IF(C1218="Silver",500000-B1218,
 IF(C1218="Regular",100000-B1218,0))))</f>
        <v>99290</v>
      </c>
      <c r="E1218" s="6">
        <f t="shared" ref="E1218:E1281" si="78">B1218/SUM(B:B)</f>
        <v>1.2400237482564812E-5</v>
      </c>
      <c r="F1218" s="5">
        <f ca="1">TODAY()-GETPIVOTDATA("LastPurchaseDate",MaxDate!$A$3,"Customer_name",MaxDate!A1220)</f>
        <v>216</v>
      </c>
      <c r="G1218" t="str">
        <f t="shared" ref="G1218:G1281" ca="1" si="79">IF(F1218="","",
 IF(F1218&lt;=60,"Active",
 IF(F1218&lt;=120,"At Risk","Inactive")))</f>
        <v>Inactive</v>
      </c>
      <c r="H1218" s="13">
        <f>RANK(B1218,Customer_Tiers[Total_Sales])</f>
        <v>1217</v>
      </c>
    </row>
    <row r="1219" spans="1:8">
      <c r="A1219" t="str">
        <f>'Top Customers'!A1221</f>
        <v>AFSAL K M</v>
      </c>
      <c r="B1219" s="5">
        <f>IF(A1219="","",IFERROR(GETPIVOTDATA("Sales Amount",'Top Customers'!$A$3,"Customer_name",'Top Customers'!A1221),""))</f>
        <v>700</v>
      </c>
      <c r="C1219" t="str">
        <f t="shared" si="76"/>
        <v>Regular</v>
      </c>
      <c r="D1219">
        <f t="shared" si="77"/>
        <v>99300</v>
      </c>
      <c r="E1219" s="6">
        <f t="shared" si="78"/>
        <v>1.2225586250416013E-5</v>
      </c>
      <c r="F1219" s="5">
        <f ca="1">TODAY()-GETPIVOTDATA("LastPurchaseDate",MaxDate!$A$3,"Customer_name",MaxDate!A1221)</f>
        <v>159</v>
      </c>
      <c r="G1219" t="str">
        <f t="shared" ca="1" si="79"/>
        <v>Inactive</v>
      </c>
      <c r="H1219" s="13">
        <f>RANK(B1219,Customer_Tiers[Total_Sales])</f>
        <v>1218</v>
      </c>
    </row>
    <row r="1220" spans="1:8">
      <c r="A1220" t="str">
        <f>'Top Customers'!A1222</f>
        <v>VIVEK</v>
      </c>
      <c r="B1220" s="5">
        <f>IF(A1220="","",IFERROR(GETPIVOTDATA("Sales Amount",'Top Customers'!$A$3,"Customer_name",'Top Customers'!A1222),""))</f>
        <v>700</v>
      </c>
      <c r="C1220" t="str">
        <f t="shared" si="76"/>
        <v>Regular</v>
      </c>
      <c r="D1220">
        <f t="shared" si="77"/>
        <v>99300</v>
      </c>
      <c r="E1220" s="6">
        <f t="shared" si="78"/>
        <v>1.2225586250416013E-5</v>
      </c>
      <c r="F1220" s="5">
        <f ca="1">TODAY()-GETPIVOTDATA("LastPurchaseDate",MaxDate!$A$3,"Customer_name",MaxDate!A1222)</f>
        <v>162</v>
      </c>
      <c r="G1220" t="str">
        <f t="shared" ca="1" si="79"/>
        <v>Inactive</v>
      </c>
      <c r="H1220" s="13">
        <f>RANK(B1220,Customer_Tiers[Total_Sales])</f>
        <v>1218</v>
      </c>
    </row>
    <row r="1221" spans="1:8">
      <c r="A1221" t="str">
        <f>'Top Customers'!A1223</f>
        <v>NAUFAL KUMMANODE</v>
      </c>
      <c r="B1221" s="5">
        <f>IF(A1221="","",IFERROR(GETPIVOTDATA("Sales Amount",'Top Customers'!$A$3,"Customer_name",'Top Customers'!A1223),""))</f>
        <v>690</v>
      </c>
      <c r="C1221" t="str">
        <f t="shared" si="76"/>
        <v>Regular</v>
      </c>
      <c r="D1221">
        <f t="shared" si="77"/>
        <v>99310</v>
      </c>
      <c r="E1221" s="6">
        <f t="shared" si="78"/>
        <v>1.2050935018267212E-5</v>
      </c>
      <c r="F1221" s="5">
        <f ca="1">TODAY()-GETPIVOTDATA("LastPurchaseDate",MaxDate!$A$3,"Customer_name",MaxDate!A1223)</f>
        <v>132</v>
      </c>
      <c r="G1221" t="str">
        <f t="shared" ca="1" si="79"/>
        <v>Inactive</v>
      </c>
      <c r="H1221" s="13">
        <f>RANK(B1221,Customer_Tiers[Total_Sales])</f>
        <v>1220</v>
      </c>
    </row>
    <row r="1222" spans="1:8">
      <c r="A1222" t="str">
        <f>'Top Customers'!A1224</f>
        <v>ALI , NARIKKUZHY</v>
      </c>
      <c r="B1222" s="5">
        <f>IF(A1222="","",IFERROR(GETPIVOTDATA("Sales Amount",'Top Customers'!$A$3,"Customer_name",'Top Customers'!A1224),""))</f>
        <v>686</v>
      </c>
      <c r="C1222" t="str">
        <f t="shared" si="76"/>
        <v>Regular</v>
      </c>
      <c r="D1222">
        <f t="shared" si="77"/>
        <v>99314</v>
      </c>
      <c r="E1222" s="6">
        <f t="shared" si="78"/>
        <v>1.1981074525407692E-5</v>
      </c>
      <c r="F1222" s="5">
        <f ca="1">TODAY()-GETPIVOTDATA("LastPurchaseDate",MaxDate!$A$3,"Customer_name",MaxDate!A1224)</f>
        <v>16</v>
      </c>
      <c r="G1222" t="str">
        <f t="shared" ca="1" si="79"/>
        <v>Active</v>
      </c>
      <c r="H1222" s="13">
        <f>RANK(B1222,Customer_Tiers[Total_Sales])</f>
        <v>1221</v>
      </c>
    </row>
    <row r="1223" spans="1:8">
      <c r="A1223" t="str">
        <f>'Top Customers'!A1225</f>
        <v>ALI THANDAKALA</v>
      </c>
      <c r="B1223" s="5">
        <f>IF(A1223="","",IFERROR(GETPIVOTDATA("Sales Amount",'Top Customers'!$A$3,"Customer_name",'Top Customers'!A1225),""))</f>
        <v>680</v>
      </c>
      <c r="C1223" t="str">
        <f t="shared" si="76"/>
        <v>Regular</v>
      </c>
      <c r="D1223">
        <f t="shared" si="77"/>
        <v>99320</v>
      </c>
      <c r="E1223" s="6">
        <f t="shared" si="78"/>
        <v>1.1876283786118412E-5</v>
      </c>
      <c r="F1223" s="5">
        <f ca="1">TODAY()-GETPIVOTDATA("LastPurchaseDate",MaxDate!$A$3,"Customer_name",MaxDate!A1225)</f>
        <v>128</v>
      </c>
      <c r="G1223" t="str">
        <f t="shared" ca="1" si="79"/>
        <v>Inactive</v>
      </c>
      <c r="H1223" s="13">
        <f>RANK(B1223,Customer_Tiers[Total_Sales])</f>
        <v>1222</v>
      </c>
    </row>
    <row r="1224" spans="1:8">
      <c r="A1224" t="str">
        <f>'Top Customers'!A1226</f>
        <v>SHIHAB ATHANI</v>
      </c>
      <c r="B1224" s="5">
        <f>IF(A1224="","",IFERROR(GETPIVOTDATA("Sales Amount",'Top Customers'!$A$3,"Customer_name",'Top Customers'!A1226),""))</f>
        <v>680</v>
      </c>
      <c r="C1224" t="str">
        <f t="shared" si="76"/>
        <v>Regular</v>
      </c>
      <c r="D1224">
        <f t="shared" si="77"/>
        <v>99320</v>
      </c>
      <c r="E1224" s="6">
        <f t="shared" si="78"/>
        <v>1.1876283786118412E-5</v>
      </c>
      <c r="F1224" s="5">
        <f ca="1">TODAY()-GETPIVOTDATA("LastPurchaseDate",MaxDate!$A$3,"Customer_name",MaxDate!A1226)</f>
        <v>332</v>
      </c>
      <c r="G1224" t="str">
        <f t="shared" ca="1" si="79"/>
        <v>Inactive</v>
      </c>
      <c r="H1224" s="13">
        <f>RANK(B1224,Customer_Tiers[Total_Sales])</f>
        <v>1222</v>
      </c>
    </row>
    <row r="1225" spans="1:8">
      <c r="A1225" t="str">
        <f>'Top Customers'!A1227</f>
        <v>BINI PATTIMATTOM</v>
      </c>
      <c r="B1225" s="5">
        <f>IF(A1225="","",IFERROR(GETPIVOTDATA("Sales Amount",'Top Customers'!$A$3,"Customer_name",'Top Customers'!A1227),""))</f>
        <v>666</v>
      </c>
      <c r="C1225" t="str">
        <f t="shared" si="76"/>
        <v>Regular</v>
      </c>
      <c r="D1225">
        <f t="shared" si="77"/>
        <v>99334</v>
      </c>
      <c r="E1225" s="6">
        <f t="shared" si="78"/>
        <v>1.1631772061110091E-5</v>
      </c>
      <c r="F1225" s="5">
        <f ca="1">TODAY()-GETPIVOTDATA("LastPurchaseDate",MaxDate!$A$3,"Customer_name",MaxDate!A1227)</f>
        <v>285</v>
      </c>
      <c r="G1225" t="str">
        <f t="shared" ca="1" si="79"/>
        <v>Inactive</v>
      </c>
      <c r="H1225" s="13">
        <f>RANK(B1225,Customer_Tiers[Total_Sales])</f>
        <v>1224</v>
      </c>
    </row>
    <row r="1226" spans="1:8">
      <c r="A1226" t="str">
        <f>'Top Customers'!A1228</f>
        <v>REHIM TRUSS</v>
      </c>
      <c r="B1226" s="5">
        <f>IF(A1226="","",IFERROR(GETPIVOTDATA("Sales Amount",'Top Customers'!$A$3,"Customer_name",'Top Customers'!A1228),""))</f>
        <v>644</v>
      </c>
      <c r="C1226" t="str">
        <f t="shared" si="76"/>
        <v>Regular</v>
      </c>
      <c r="D1226">
        <f t="shared" si="77"/>
        <v>99356</v>
      </c>
      <c r="E1226" s="6">
        <f t="shared" si="78"/>
        <v>1.1247539350382731E-5</v>
      </c>
      <c r="F1226" s="5">
        <f ca="1">TODAY()-GETPIVOTDATA("LastPurchaseDate",MaxDate!$A$3,"Customer_name",MaxDate!A1228)</f>
        <v>311</v>
      </c>
      <c r="G1226" t="str">
        <f t="shared" ca="1" si="79"/>
        <v>Inactive</v>
      </c>
      <c r="H1226" s="13">
        <f>RANK(B1226,Customer_Tiers[Total_Sales])</f>
        <v>1225</v>
      </c>
    </row>
    <row r="1227" spans="1:8">
      <c r="A1227" t="str">
        <f>'Top Customers'!A1229</f>
        <v>JINESH KUMMANODE</v>
      </c>
      <c r="B1227" s="5">
        <f>IF(A1227="","",IFERROR(GETPIVOTDATA("Sales Amount",'Top Customers'!$A$3,"Customer_name",'Top Customers'!A1229),""))</f>
        <v>640</v>
      </c>
      <c r="C1227" t="str">
        <f t="shared" si="76"/>
        <v>Regular</v>
      </c>
      <c r="D1227">
        <f t="shared" si="77"/>
        <v>99360</v>
      </c>
      <c r="E1227" s="6">
        <f t="shared" si="78"/>
        <v>1.1177678857523211E-5</v>
      </c>
      <c r="F1227" s="5">
        <f ca="1">TODAY()-GETPIVOTDATA("LastPurchaseDate",MaxDate!$A$3,"Customer_name",MaxDate!A1229)</f>
        <v>48</v>
      </c>
      <c r="G1227" t="str">
        <f t="shared" ca="1" si="79"/>
        <v>Active</v>
      </c>
      <c r="H1227" s="13">
        <f>RANK(B1227,Customer_Tiers[Total_Sales])</f>
        <v>1226</v>
      </c>
    </row>
    <row r="1228" spans="1:8">
      <c r="A1228" t="str">
        <f>'Top Customers'!A1230</f>
        <v>SANAL KUMMANODE</v>
      </c>
      <c r="B1228" s="5">
        <f>IF(A1228="","",IFERROR(GETPIVOTDATA("Sales Amount",'Top Customers'!$A$3,"Customer_name",'Top Customers'!A1230),""))</f>
        <v>640</v>
      </c>
      <c r="C1228" t="str">
        <f t="shared" si="76"/>
        <v>Regular</v>
      </c>
      <c r="D1228">
        <f t="shared" si="77"/>
        <v>99360</v>
      </c>
      <c r="E1228" s="6">
        <f t="shared" si="78"/>
        <v>1.1177678857523211E-5</v>
      </c>
      <c r="F1228" s="5">
        <f ca="1">TODAY()-GETPIVOTDATA("LastPurchaseDate",MaxDate!$A$3,"Customer_name",MaxDate!A1230)</f>
        <v>34</v>
      </c>
      <c r="G1228" t="str">
        <f t="shared" ca="1" si="79"/>
        <v>Active</v>
      </c>
      <c r="H1228" s="13">
        <f>RANK(B1228,Customer_Tiers[Total_Sales])</f>
        <v>1226</v>
      </c>
    </row>
    <row r="1229" spans="1:8">
      <c r="A1229" t="str">
        <f>'Top Customers'!A1231</f>
        <v>SREEJITH PATTIMATTOM</v>
      </c>
      <c r="B1229" s="5">
        <f>IF(A1229="","",IFERROR(GETPIVOTDATA("Sales Amount",'Top Customers'!$A$3,"Customer_name",'Top Customers'!A1231),""))</f>
        <v>640</v>
      </c>
      <c r="C1229" t="str">
        <f t="shared" si="76"/>
        <v>Regular</v>
      </c>
      <c r="D1229">
        <f t="shared" si="77"/>
        <v>99360</v>
      </c>
      <c r="E1229" s="6">
        <f t="shared" si="78"/>
        <v>1.1177678857523211E-5</v>
      </c>
      <c r="F1229" s="5">
        <f ca="1">TODAY()-GETPIVOTDATA("LastPurchaseDate",MaxDate!$A$3,"Customer_name",MaxDate!A1231)</f>
        <v>3</v>
      </c>
      <c r="G1229" t="str">
        <f t="shared" ca="1" si="79"/>
        <v>Active</v>
      </c>
      <c r="H1229" s="13">
        <f>RANK(B1229,Customer_Tiers[Total_Sales])</f>
        <v>1226</v>
      </c>
    </row>
    <row r="1230" spans="1:8">
      <c r="A1230" t="str">
        <f>'Top Customers'!A1232</f>
        <v>SAJAN VALAMBOOR</v>
      </c>
      <c r="B1230" s="5">
        <f>IF(A1230="","",IFERROR(GETPIVOTDATA("Sales Amount",'Top Customers'!$A$3,"Customer_name",'Top Customers'!A1232),""))</f>
        <v>635</v>
      </c>
      <c r="C1230" t="str">
        <f t="shared" si="76"/>
        <v>Regular</v>
      </c>
      <c r="D1230">
        <f t="shared" si="77"/>
        <v>99365</v>
      </c>
      <c r="E1230" s="6">
        <f t="shared" si="78"/>
        <v>1.1090353241448811E-5</v>
      </c>
      <c r="F1230" s="5">
        <f ca="1">TODAY()-GETPIVOTDATA("LastPurchaseDate",MaxDate!$A$3,"Customer_name",MaxDate!A1232)</f>
        <v>227</v>
      </c>
      <c r="G1230" t="str">
        <f t="shared" ca="1" si="79"/>
        <v>Inactive</v>
      </c>
      <c r="H1230" s="13">
        <f>RANK(B1230,Customer_Tiers[Total_Sales])</f>
        <v>1229</v>
      </c>
    </row>
    <row r="1231" spans="1:8">
      <c r="A1231" t="str">
        <f>'Top Customers'!A1233</f>
        <v>SREEKANTH , ATHANI</v>
      </c>
      <c r="B1231" s="5">
        <f>IF(A1231="","",IFERROR(GETPIVOTDATA("Sales Amount",'Top Customers'!$A$3,"Customer_name",'Top Customers'!A1233),""))</f>
        <v>630</v>
      </c>
      <c r="C1231" t="str">
        <f t="shared" si="76"/>
        <v>Regular</v>
      </c>
      <c r="D1231">
        <f t="shared" si="77"/>
        <v>99370</v>
      </c>
      <c r="E1231" s="6">
        <f t="shared" si="78"/>
        <v>1.1003027625374412E-5</v>
      </c>
      <c r="F1231" s="5">
        <f ca="1">TODAY()-GETPIVOTDATA("LastPurchaseDate",MaxDate!$A$3,"Customer_name",MaxDate!A1233)</f>
        <v>8</v>
      </c>
      <c r="G1231" t="str">
        <f t="shared" ca="1" si="79"/>
        <v>Active</v>
      </c>
      <c r="H1231" s="13">
        <f>RANK(B1231,Customer_Tiers[Total_Sales])</f>
        <v>1230</v>
      </c>
    </row>
    <row r="1232" spans="1:8">
      <c r="A1232" t="str">
        <f>'Top Customers'!A1234</f>
        <v>AJITH VALETHUPADY</v>
      </c>
      <c r="B1232" s="5">
        <f>IF(A1232="","",IFERROR(GETPIVOTDATA("Sales Amount",'Top Customers'!$A$3,"Customer_name",'Top Customers'!A1234),""))</f>
        <v>620</v>
      </c>
      <c r="C1232" t="str">
        <f t="shared" si="76"/>
        <v>Regular</v>
      </c>
      <c r="D1232">
        <f t="shared" si="77"/>
        <v>99380</v>
      </c>
      <c r="E1232" s="6">
        <f t="shared" si="78"/>
        <v>1.082837639322561E-5</v>
      </c>
      <c r="F1232" s="5">
        <f ca="1">TODAY()-GETPIVOTDATA("LastPurchaseDate",MaxDate!$A$3,"Customer_name",MaxDate!A1234)</f>
        <v>52</v>
      </c>
      <c r="G1232" t="str">
        <f t="shared" ca="1" si="79"/>
        <v>Active</v>
      </c>
      <c r="H1232" s="13">
        <f>RANK(B1232,Customer_Tiers[Total_Sales])</f>
        <v>1231</v>
      </c>
    </row>
    <row r="1233" spans="1:8">
      <c r="A1233" t="str">
        <f>'Top Customers'!A1235</f>
        <v>RAJESH, CHENGARA</v>
      </c>
      <c r="B1233" s="5">
        <f>IF(A1233="","",IFERROR(GETPIVOTDATA("Sales Amount",'Top Customers'!$A$3,"Customer_name",'Top Customers'!A1235),""))</f>
        <v>620</v>
      </c>
      <c r="C1233" t="str">
        <f t="shared" si="76"/>
        <v>Regular</v>
      </c>
      <c r="D1233">
        <f t="shared" si="77"/>
        <v>99380</v>
      </c>
      <c r="E1233" s="6">
        <f t="shared" si="78"/>
        <v>1.082837639322561E-5</v>
      </c>
      <c r="F1233" s="5">
        <f ca="1">TODAY()-GETPIVOTDATA("LastPurchaseDate",MaxDate!$A$3,"Customer_name",MaxDate!A1235)</f>
        <v>75</v>
      </c>
      <c r="G1233" t="str">
        <f t="shared" ca="1" si="79"/>
        <v>At Risk</v>
      </c>
      <c r="H1233" s="13">
        <f>RANK(B1233,Customer_Tiers[Total_Sales])</f>
        <v>1231</v>
      </c>
    </row>
    <row r="1234" spans="1:8">
      <c r="A1234" t="str">
        <f>'Top Customers'!A1236</f>
        <v>BONY KURIAN</v>
      </c>
      <c r="B1234" s="5">
        <f>IF(A1234="","",IFERROR(GETPIVOTDATA("Sales Amount",'Top Customers'!$A$3,"Customer_name",'Top Customers'!A1236),""))</f>
        <v>606</v>
      </c>
      <c r="C1234" t="str">
        <f t="shared" si="76"/>
        <v>Regular</v>
      </c>
      <c r="D1234">
        <f t="shared" si="77"/>
        <v>99394</v>
      </c>
      <c r="E1234" s="6">
        <f t="shared" si="78"/>
        <v>1.0583864668217291E-5</v>
      </c>
      <c r="F1234" s="5">
        <f ca="1">TODAY()-GETPIVOTDATA("LastPurchaseDate",MaxDate!$A$3,"Customer_name",MaxDate!A1236)</f>
        <v>267</v>
      </c>
      <c r="G1234" t="str">
        <f t="shared" ca="1" si="79"/>
        <v>Inactive</v>
      </c>
      <c r="H1234" s="13">
        <f>RANK(B1234,Customer_Tiers[Total_Sales])</f>
        <v>1233</v>
      </c>
    </row>
    <row r="1235" spans="1:8">
      <c r="A1235" t="str">
        <f>'Top Customers'!A1237</f>
        <v>SIJESH</v>
      </c>
      <c r="B1235" s="5">
        <f>IF(A1235="","",IFERROR(GETPIVOTDATA("Sales Amount",'Top Customers'!$A$3,"Customer_name",'Top Customers'!A1237),""))</f>
        <v>601</v>
      </c>
      <c r="C1235" t="str">
        <f t="shared" si="76"/>
        <v>Regular</v>
      </c>
      <c r="D1235">
        <f t="shared" si="77"/>
        <v>99399</v>
      </c>
      <c r="E1235" s="6">
        <f t="shared" si="78"/>
        <v>1.0496539052142891E-5</v>
      </c>
      <c r="F1235" s="5">
        <f ca="1">TODAY()-GETPIVOTDATA("LastPurchaseDate",MaxDate!$A$3,"Customer_name",MaxDate!A1237)</f>
        <v>268</v>
      </c>
      <c r="G1235" t="str">
        <f t="shared" ca="1" si="79"/>
        <v>Inactive</v>
      </c>
      <c r="H1235" s="13">
        <f>RANK(B1235,Customer_Tiers[Total_Sales])</f>
        <v>1234</v>
      </c>
    </row>
    <row r="1236" spans="1:8">
      <c r="A1236" t="str">
        <f>'Top Customers'!A1238</f>
        <v>ALBIN TEXAS VILLAS</v>
      </c>
      <c r="B1236" s="5">
        <f>IF(A1236="","",IFERROR(GETPIVOTDATA("Sales Amount",'Top Customers'!$A$3,"Customer_name",'Top Customers'!A1238),""))</f>
        <v>600</v>
      </c>
      <c r="C1236" t="str">
        <f t="shared" si="76"/>
        <v>Regular</v>
      </c>
      <c r="D1236">
        <f t="shared" si="77"/>
        <v>99400</v>
      </c>
      <c r="E1236" s="6">
        <f t="shared" si="78"/>
        <v>1.047907392892801E-5</v>
      </c>
      <c r="F1236" s="5">
        <f ca="1">TODAY()-GETPIVOTDATA("LastPurchaseDate",MaxDate!$A$3,"Customer_name",MaxDate!A1238)</f>
        <v>22</v>
      </c>
      <c r="G1236" t="str">
        <f t="shared" ca="1" si="79"/>
        <v>Active</v>
      </c>
      <c r="H1236" s="13">
        <f>RANK(B1236,Customer_Tiers[Total_Sales])</f>
        <v>1235</v>
      </c>
    </row>
    <row r="1237" spans="1:8">
      <c r="A1237" t="str">
        <f>'Top Customers'!A1239</f>
        <v>PRESS CLUB KOLENCHERY</v>
      </c>
      <c r="B1237" s="5">
        <f>IF(A1237="","",IFERROR(GETPIVOTDATA("Sales Amount",'Top Customers'!$A$3,"Customer_name",'Top Customers'!A1239),""))</f>
        <v>600</v>
      </c>
      <c r="C1237" t="str">
        <f t="shared" si="76"/>
        <v>Regular</v>
      </c>
      <c r="D1237">
        <f t="shared" si="77"/>
        <v>99400</v>
      </c>
      <c r="E1237" s="6">
        <f t="shared" si="78"/>
        <v>1.047907392892801E-5</v>
      </c>
      <c r="F1237" s="5">
        <f ca="1">TODAY()-GETPIVOTDATA("LastPurchaseDate",MaxDate!$A$3,"Customer_name",MaxDate!A1239)</f>
        <v>331</v>
      </c>
      <c r="G1237" t="str">
        <f t="shared" ca="1" si="79"/>
        <v>Inactive</v>
      </c>
      <c r="H1237" s="13">
        <f>RANK(B1237,Customer_Tiers[Total_Sales])</f>
        <v>1235</v>
      </c>
    </row>
    <row r="1238" spans="1:8">
      <c r="A1238" t="str">
        <f>'Top Customers'!A1240</f>
        <v>EBIN PULINCHODE</v>
      </c>
      <c r="B1238" s="5">
        <f>IF(A1238="","",IFERROR(GETPIVOTDATA("Sales Amount",'Top Customers'!$A$3,"Customer_name",'Top Customers'!A1240),""))</f>
        <v>591</v>
      </c>
      <c r="C1238" t="str">
        <f t="shared" si="76"/>
        <v>Regular</v>
      </c>
      <c r="D1238">
        <f t="shared" si="77"/>
        <v>99409</v>
      </c>
      <c r="E1238" s="6">
        <f t="shared" si="78"/>
        <v>1.032188781999409E-5</v>
      </c>
      <c r="F1238" s="5">
        <f ca="1">TODAY()-GETPIVOTDATA("LastPurchaseDate",MaxDate!$A$3,"Customer_name",MaxDate!A1240)</f>
        <v>72</v>
      </c>
      <c r="G1238" t="str">
        <f t="shared" ca="1" si="79"/>
        <v>At Risk</v>
      </c>
      <c r="H1238" s="13">
        <f>RANK(B1238,Customer_Tiers[Total_Sales])</f>
        <v>1237</v>
      </c>
    </row>
    <row r="1239" spans="1:8">
      <c r="A1239" t="str">
        <f>'Top Customers'!A1241</f>
        <v>BIJU , 9947703676</v>
      </c>
      <c r="B1239" s="5">
        <f>IF(A1239="","",IFERROR(GETPIVOTDATA("Sales Amount",'Top Customers'!$A$3,"Customer_name",'Top Customers'!A1241),""))</f>
        <v>590</v>
      </c>
      <c r="C1239" t="str">
        <f t="shared" si="76"/>
        <v>Regular</v>
      </c>
      <c r="D1239">
        <f t="shared" si="77"/>
        <v>99410</v>
      </c>
      <c r="E1239" s="6">
        <f t="shared" si="78"/>
        <v>1.030442269677921E-5</v>
      </c>
      <c r="F1239" s="5">
        <f ca="1">TODAY()-GETPIVOTDATA("LastPurchaseDate",MaxDate!$A$3,"Customer_name",MaxDate!A1241)</f>
        <v>65</v>
      </c>
      <c r="G1239" t="str">
        <f t="shared" ca="1" si="79"/>
        <v>At Risk</v>
      </c>
      <c r="H1239" s="13">
        <f>RANK(B1239,Customer_Tiers[Total_Sales])</f>
        <v>1238</v>
      </c>
    </row>
    <row r="1240" spans="1:8">
      <c r="A1240" t="str">
        <f>'Top Customers'!A1242</f>
        <v>PRATHEESH</v>
      </c>
      <c r="B1240" s="5">
        <f>IF(A1240="","",IFERROR(GETPIVOTDATA("Sales Amount",'Top Customers'!$A$3,"Customer_name",'Top Customers'!A1242),""))</f>
        <v>590</v>
      </c>
      <c r="C1240" t="str">
        <f t="shared" si="76"/>
        <v>Regular</v>
      </c>
      <c r="D1240">
        <f t="shared" si="77"/>
        <v>99410</v>
      </c>
      <c r="E1240" s="6">
        <f t="shared" si="78"/>
        <v>1.030442269677921E-5</v>
      </c>
      <c r="F1240" s="5">
        <f ca="1">TODAY()-GETPIVOTDATA("LastPurchaseDate",MaxDate!$A$3,"Customer_name",MaxDate!A1242)</f>
        <v>221</v>
      </c>
      <c r="G1240" t="str">
        <f t="shared" ca="1" si="79"/>
        <v>Inactive</v>
      </c>
      <c r="H1240" s="13">
        <f>RANK(B1240,Customer_Tiers[Total_Sales])</f>
        <v>1238</v>
      </c>
    </row>
    <row r="1241" spans="1:8">
      <c r="A1241" t="str">
        <f>'Top Customers'!A1243</f>
        <v>PREMJI THATTAMUGAL</v>
      </c>
      <c r="B1241" s="5">
        <f>IF(A1241="","",IFERROR(GETPIVOTDATA("Sales Amount",'Top Customers'!$A$3,"Customer_name",'Top Customers'!A1243),""))</f>
        <v>590</v>
      </c>
      <c r="C1241" t="str">
        <f t="shared" si="76"/>
        <v>Regular</v>
      </c>
      <c r="D1241">
        <f t="shared" si="77"/>
        <v>99410</v>
      </c>
      <c r="E1241" s="6">
        <f t="shared" si="78"/>
        <v>1.030442269677921E-5</v>
      </c>
      <c r="F1241" s="5">
        <f ca="1">TODAY()-GETPIVOTDATA("LastPurchaseDate",MaxDate!$A$3,"Customer_name",MaxDate!A1243)</f>
        <v>129</v>
      </c>
      <c r="G1241" t="str">
        <f t="shared" ca="1" si="79"/>
        <v>Inactive</v>
      </c>
      <c r="H1241" s="13">
        <f>RANK(B1241,Customer_Tiers[Total_Sales])</f>
        <v>1238</v>
      </c>
    </row>
    <row r="1242" spans="1:8">
      <c r="A1242" t="str">
        <f>'Top Customers'!A1244</f>
        <v>ELDHO ABRAHAM</v>
      </c>
      <c r="B1242" s="5">
        <f>IF(A1242="","",IFERROR(GETPIVOTDATA("Sales Amount",'Top Customers'!$A$3,"Customer_name",'Top Customers'!A1244),""))</f>
        <v>588</v>
      </c>
      <c r="C1242" t="str">
        <f t="shared" si="76"/>
        <v>Regular</v>
      </c>
      <c r="D1242">
        <f t="shared" si="77"/>
        <v>99412</v>
      </c>
      <c r="E1242" s="6">
        <f t="shared" si="78"/>
        <v>1.0269492450349449E-5</v>
      </c>
      <c r="F1242" s="5">
        <f ca="1">TODAY()-GETPIVOTDATA("LastPurchaseDate",MaxDate!$A$3,"Customer_name",MaxDate!A1244)</f>
        <v>271</v>
      </c>
      <c r="G1242" t="str">
        <f t="shared" ca="1" si="79"/>
        <v>Inactive</v>
      </c>
      <c r="H1242" s="13">
        <f>RANK(B1242,Customer_Tiers[Total_Sales])</f>
        <v>1241</v>
      </c>
    </row>
    <row r="1243" spans="1:8">
      <c r="A1243" t="str">
        <f>'Top Customers'!A1245</f>
        <v>JINESH , VALAMBOOR</v>
      </c>
      <c r="B1243" s="5">
        <f>IF(A1243="","",IFERROR(GETPIVOTDATA("Sales Amount",'Top Customers'!$A$3,"Customer_name",'Top Customers'!A1245),""))</f>
        <v>586</v>
      </c>
      <c r="C1243" t="str">
        <f t="shared" si="76"/>
        <v>Regular</v>
      </c>
      <c r="D1243">
        <f t="shared" si="77"/>
        <v>99414</v>
      </c>
      <c r="E1243" s="6">
        <f t="shared" si="78"/>
        <v>1.023456220391969E-5</v>
      </c>
      <c r="F1243" s="5">
        <f ca="1">TODAY()-GETPIVOTDATA("LastPurchaseDate",MaxDate!$A$3,"Customer_name",MaxDate!A1245)</f>
        <v>46</v>
      </c>
      <c r="G1243" t="str">
        <f t="shared" ca="1" si="79"/>
        <v>Active</v>
      </c>
      <c r="H1243" s="13">
        <f>RANK(B1243,Customer_Tiers[Total_Sales])</f>
        <v>1242</v>
      </c>
    </row>
    <row r="1244" spans="1:8">
      <c r="A1244" t="str">
        <f>'Top Customers'!A1246</f>
        <v>SIYAD , DAUBLEPALAM</v>
      </c>
      <c r="B1244" s="5">
        <f>IF(A1244="","",IFERROR(GETPIVOTDATA("Sales Amount",'Top Customers'!$A$3,"Customer_name",'Top Customers'!A1246),""))</f>
        <v>581</v>
      </c>
      <c r="C1244" t="str">
        <f t="shared" si="76"/>
        <v>Regular</v>
      </c>
      <c r="D1244">
        <f t="shared" si="77"/>
        <v>99419</v>
      </c>
      <c r="E1244" s="6">
        <f t="shared" si="78"/>
        <v>1.014723658784529E-5</v>
      </c>
      <c r="F1244" s="5">
        <f ca="1">TODAY()-GETPIVOTDATA("LastPurchaseDate",MaxDate!$A$3,"Customer_name",MaxDate!A1246)</f>
        <v>114</v>
      </c>
      <c r="G1244" t="str">
        <f t="shared" ca="1" si="79"/>
        <v>At Risk</v>
      </c>
      <c r="H1244" s="13">
        <f>RANK(B1244,Customer_Tiers[Total_Sales])</f>
        <v>1243</v>
      </c>
    </row>
    <row r="1245" spans="1:8">
      <c r="A1245" t="str">
        <f>'Top Customers'!A1247</f>
        <v>NELSON MATHEW</v>
      </c>
      <c r="B1245" s="5">
        <f>IF(A1245="","",IFERROR(GETPIVOTDATA("Sales Amount",'Top Customers'!$A$3,"Customer_name",'Top Customers'!A1247),""))</f>
        <v>572</v>
      </c>
      <c r="C1245" t="str">
        <f t="shared" si="76"/>
        <v>Regular</v>
      </c>
      <c r="D1245">
        <f t="shared" si="77"/>
        <v>99428</v>
      </c>
      <c r="E1245" s="6">
        <f t="shared" si="78"/>
        <v>9.9900504789113706E-6</v>
      </c>
      <c r="F1245" s="5">
        <f ca="1">TODAY()-GETPIVOTDATA("LastPurchaseDate",MaxDate!$A$3,"Customer_name",MaxDate!A1247)</f>
        <v>150</v>
      </c>
      <c r="G1245" t="str">
        <f t="shared" ca="1" si="79"/>
        <v>Inactive</v>
      </c>
      <c r="H1245" s="13">
        <f>RANK(B1245,Customer_Tiers[Total_Sales])</f>
        <v>1244</v>
      </c>
    </row>
    <row r="1246" spans="1:8">
      <c r="A1246" t="str">
        <f>'Top Customers'!A1248</f>
        <v>E.C SOLUTIONS TVM</v>
      </c>
      <c r="B1246" s="5">
        <f>IF(A1246="","",IFERROR(GETPIVOTDATA("Sales Amount",'Top Customers'!$A$3,"Customer_name",'Top Customers'!A1248),""))</f>
        <v>565</v>
      </c>
      <c r="C1246" t="str">
        <f t="shared" si="76"/>
        <v>Regular</v>
      </c>
      <c r="D1246">
        <f t="shared" si="77"/>
        <v>99435</v>
      </c>
      <c r="E1246" s="6">
        <f t="shared" si="78"/>
        <v>9.86779461640721E-6</v>
      </c>
      <c r="F1246" s="5">
        <f ca="1">TODAY()-GETPIVOTDATA("LastPurchaseDate",MaxDate!$A$3,"Customer_name",MaxDate!A1248)</f>
        <v>15</v>
      </c>
      <c r="G1246" t="str">
        <f t="shared" ca="1" si="79"/>
        <v>Active</v>
      </c>
      <c r="H1246" s="13">
        <f>RANK(B1246,Customer_Tiers[Total_Sales])</f>
        <v>1245</v>
      </c>
    </row>
    <row r="1247" spans="1:8">
      <c r="A1247" t="str">
        <f>'Top Customers'!A1249</f>
        <v>ANSAL ARACKKAPADY</v>
      </c>
      <c r="B1247" s="5">
        <f>IF(A1247="","",IFERROR(GETPIVOTDATA("Sales Amount",'Top Customers'!$A$3,"Customer_name",'Top Customers'!A1249),""))</f>
        <v>562</v>
      </c>
      <c r="C1247" t="str">
        <f t="shared" si="76"/>
        <v>Regular</v>
      </c>
      <c r="D1247">
        <f t="shared" si="77"/>
        <v>99438</v>
      </c>
      <c r="E1247" s="6">
        <f t="shared" si="78"/>
        <v>9.8153992467625695E-6</v>
      </c>
      <c r="F1247" s="5">
        <f ca="1">TODAY()-GETPIVOTDATA("LastPurchaseDate",MaxDate!$A$3,"Customer_name",MaxDate!A1249)</f>
        <v>4</v>
      </c>
      <c r="G1247" t="str">
        <f t="shared" ca="1" si="79"/>
        <v>Active</v>
      </c>
      <c r="H1247" s="13">
        <f>RANK(B1247,Customer_Tiers[Total_Sales])</f>
        <v>1246</v>
      </c>
    </row>
    <row r="1248" spans="1:8">
      <c r="A1248" t="str">
        <f>'Top Customers'!A1250</f>
        <v>SIDHQUE BISMI</v>
      </c>
      <c r="B1248" s="5">
        <f>IF(A1248="","",IFERROR(GETPIVOTDATA("Sales Amount",'Top Customers'!$A$3,"Customer_name",'Top Customers'!A1250),""))</f>
        <v>561</v>
      </c>
      <c r="C1248" t="str">
        <f t="shared" si="76"/>
        <v>Regular</v>
      </c>
      <c r="D1248">
        <f t="shared" si="77"/>
        <v>99439</v>
      </c>
      <c r="E1248" s="6">
        <f t="shared" si="78"/>
        <v>9.7979341235476899E-6</v>
      </c>
      <c r="F1248" s="5">
        <f ca="1">TODAY()-GETPIVOTDATA("LastPurchaseDate",MaxDate!$A$3,"Customer_name",MaxDate!A1250)</f>
        <v>117</v>
      </c>
      <c r="G1248" t="str">
        <f t="shared" ca="1" si="79"/>
        <v>At Risk</v>
      </c>
      <c r="H1248" s="13">
        <f>RANK(B1248,Customer_Tiers[Total_Sales])</f>
        <v>1247</v>
      </c>
    </row>
    <row r="1249" spans="1:8">
      <c r="A1249" t="str">
        <f>'Top Customers'!A1251</f>
        <v>SHYJU MAMBAKKADAN</v>
      </c>
      <c r="B1249" s="5">
        <f>IF(A1249="","",IFERROR(GETPIVOTDATA("Sales Amount",'Top Customers'!$A$3,"Customer_name",'Top Customers'!A1251),""))</f>
        <v>557</v>
      </c>
      <c r="C1249" t="str">
        <f t="shared" si="76"/>
        <v>Regular</v>
      </c>
      <c r="D1249">
        <f t="shared" si="77"/>
        <v>99443</v>
      </c>
      <c r="E1249" s="6">
        <f t="shared" si="78"/>
        <v>9.7280736306881697E-6</v>
      </c>
      <c r="F1249" s="5">
        <f ca="1">TODAY()-GETPIVOTDATA("LastPurchaseDate",MaxDate!$A$3,"Customer_name",MaxDate!A1251)</f>
        <v>176</v>
      </c>
      <c r="G1249" t="str">
        <f t="shared" ca="1" si="79"/>
        <v>Inactive</v>
      </c>
      <c r="H1249" s="13">
        <f>RANK(B1249,Customer_Tiers[Total_Sales])</f>
        <v>1248</v>
      </c>
    </row>
    <row r="1250" spans="1:8">
      <c r="A1250" t="str">
        <f>'Top Customers'!A1252</f>
        <v>SAJEESH PATTIMATTOM</v>
      </c>
      <c r="B1250" s="5">
        <f>IF(A1250="","",IFERROR(GETPIVOTDATA("Sales Amount",'Top Customers'!$A$3,"Customer_name",'Top Customers'!A1252),""))</f>
        <v>555</v>
      </c>
      <c r="C1250" t="str">
        <f t="shared" si="76"/>
        <v>Regular</v>
      </c>
      <c r="D1250">
        <f t="shared" si="77"/>
        <v>99445</v>
      </c>
      <c r="E1250" s="6">
        <f t="shared" si="78"/>
        <v>9.6931433842584088E-6</v>
      </c>
      <c r="F1250" s="5">
        <f ca="1">TODAY()-GETPIVOTDATA("LastPurchaseDate",MaxDate!$A$3,"Customer_name",MaxDate!A1252)</f>
        <v>4</v>
      </c>
      <c r="G1250" t="str">
        <f t="shared" ca="1" si="79"/>
        <v>Active</v>
      </c>
      <c r="H1250" s="13">
        <f>RANK(B1250,Customer_Tiers[Total_Sales])</f>
        <v>1249</v>
      </c>
    </row>
    <row r="1251" spans="1:8">
      <c r="A1251" t="str">
        <f>'Top Customers'!A1253</f>
        <v>SANDEEP CHOORAKODE</v>
      </c>
      <c r="B1251" s="5">
        <f>IF(A1251="","",IFERROR(GETPIVOTDATA("Sales Amount",'Top Customers'!$A$3,"Customer_name",'Top Customers'!A1253),""))</f>
        <v>550</v>
      </c>
      <c r="C1251" t="str">
        <f t="shared" si="76"/>
        <v>Regular</v>
      </c>
      <c r="D1251">
        <f t="shared" si="77"/>
        <v>99450</v>
      </c>
      <c r="E1251" s="6">
        <f t="shared" si="78"/>
        <v>9.6058177681840091E-6</v>
      </c>
      <c r="F1251" s="5">
        <f ca="1">TODAY()-GETPIVOTDATA("LastPurchaseDate",MaxDate!$A$3,"Customer_name",MaxDate!A1253)</f>
        <v>162</v>
      </c>
      <c r="G1251" t="str">
        <f t="shared" ca="1" si="79"/>
        <v>Inactive</v>
      </c>
      <c r="H1251" s="13">
        <f>RANK(B1251,Customer_Tiers[Total_Sales])</f>
        <v>1250</v>
      </c>
    </row>
    <row r="1252" spans="1:8">
      <c r="A1252" t="str">
        <f>'Top Customers'!A1254</f>
        <v>RAHUL ARACKAPADY</v>
      </c>
      <c r="B1252" s="5">
        <f>IF(A1252="","",IFERROR(GETPIVOTDATA("Sales Amount",'Top Customers'!$A$3,"Customer_name",'Top Customers'!A1254),""))</f>
        <v>550</v>
      </c>
      <c r="C1252" t="str">
        <f t="shared" si="76"/>
        <v>Regular</v>
      </c>
      <c r="D1252">
        <f t="shared" si="77"/>
        <v>99450</v>
      </c>
      <c r="E1252" s="6">
        <f t="shared" si="78"/>
        <v>9.6058177681840091E-6</v>
      </c>
      <c r="F1252" s="5">
        <f ca="1">TODAY()-GETPIVOTDATA("LastPurchaseDate",MaxDate!$A$3,"Customer_name",MaxDate!A1254)</f>
        <v>176</v>
      </c>
      <c r="G1252" t="str">
        <f t="shared" ca="1" si="79"/>
        <v>Inactive</v>
      </c>
      <c r="H1252" s="13">
        <f>RANK(B1252,Customer_Tiers[Total_Sales])</f>
        <v>1250</v>
      </c>
    </row>
    <row r="1253" spans="1:8">
      <c r="A1253" t="str">
        <f>'Top Customers'!A1255</f>
        <v>MANOJ</v>
      </c>
      <c r="B1253" s="5">
        <f>IF(A1253="","",IFERROR(GETPIVOTDATA("Sales Amount",'Top Customers'!$A$3,"Customer_name",'Top Customers'!A1255),""))</f>
        <v>520</v>
      </c>
      <c r="C1253" t="str">
        <f t="shared" si="76"/>
        <v>Regular</v>
      </c>
      <c r="D1253">
        <f t="shared" si="77"/>
        <v>99480</v>
      </c>
      <c r="E1253" s="6">
        <f t="shared" si="78"/>
        <v>9.081864071737609E-6</v>
      </c>
      <c r="F1253" s="5">
        <f ca="1">TODAY()-GETPIVOTDATA("LastPurchaseDate",MaxDate!$A$3,"Customer_name",MaxDate!A1255)</f>
        <v>96</v>
      </c>
      <c r="G1253" t="str">
        <f t="shared" ca="1" si="79"/>
        <v>At Risk</v>
      </c>
      <c r="H1253" s="13">
        <f>RANK(B1253,Customer_Tiers[Total_Sales])</f>
        <v>1252</v>
      </c>
    </row>
    <row r="1254" spans="1:8">
      <c r="A1254" t="str">
        <f>'Top Customers'!A1256</f>
        <v>REHMAN , PATTIMATTAM</v>
      </c>
      <c r="B1254" s="5">
        <f>IF(A1254="","",IFERROR(GETPIVOTDATA("Sales Amount",'Top Customers'!$A$3,"Customer_name",'Top Customers'!A1256),""))</f>
        <v>520</v>
      </c>
      <c r="C1254" t="str">
        <f t="shared" si="76"/>
        <v>Regular</v>
      </c>
      <c r="D1254">
        <f t="shared" si="77"/>
        <v>99480</v>
      </c>
      <c r="E1254" s="6">
        <f t="shared" si="78"/>
        <v>9.081864071737609E-6</v>
      </c>
      <c r="F1254" s="5">
        <f ca="1">TODAY()-GETPIVOTDATA("LastPurchaseDate",MaxDate!$A$3,"Customer_name",MaxDate!A1256)</f>
        <v>36</v>
      </c>
      <c r="G1254" t="str">
        <f t="shared" ca="1" si="79"/>
        <v>Active</v>
      </c>
      <c r="H1254" s="13">
        <f>RANK(B1254,Customer_Tiers[Total_Sales])</f>
        <v>1252</v>
      </c>
    </row>
    <row r="1255" spans="1:8">
      <c r="A1255" t="str">
        <f>'Top Customers'!A1257</f>
        <v>SHARON PATTIMATTOM</v>
      </c>
      <c r="B1255" s="5">
        <f>IF(A1255="","",IFERROR(GETPIVOTDATA("Sales Amount",'Top Customers'!$A$3,"Customer_name",'Top Customers'!A1257),""))</f>
        <v>513</v>
      </c>
      <c r="C1255" t="str">
        <f t="shared" si="76"/>
        <v>Regular</v>
      </c>
      <c r="D1255">
        <f t="shared" si="77"/>
        <v>99487</v>
      </c>
      <c r="E1255" s="6">
        <f t="shared" si="78"/>
        <v>8.9596082092334484E-6</v>
      </c>
      <c r="F1255" s="5">
        <f ca="1">TODAY()-GETPIVOTDATA("LastPurchaseDate",MaxDate!$A$3,"Customer_name",MaxDate!A1257)</f>
        <v>270</v>
      </c>
      <c r="G1255" t="str">
        <f t="shared" ca="1" si="79"/>
        <v>Inactive</v>
      </c>
      <c r="H1255" s="13">
        <f>RANK(B1255,Customer_Tiers[Total_Sales])</f>
        <v>1254</v>
      </c>
    </row>
    <row r="1256" spans="1:8">
      <c r="A1256" t="str">
        <f>'Top Customers'!A1258</f>
        <v>SAJI MON (ASK TYRES)</v>
      </c>
      <c r="B1256" s="5">
        <f>IF(A1256="","",IFERROR(GETPIVOTDATA("Sales Amount",'Top Customers'!$A$3,"Customer_name",'Top Customers'!A1258),""))</f>
        <v>506</v>
      </c>
      <c r="C1256" t="str">
        <f t="shared" si="76"/>
        <v>Regular</v>
      </c>
      <c r="D1256">
        <f t="shared" si="77"/>
        <v>99494</v>
      </c>
      <c r="E1256" s="6">
        <f t="shared" si="78"/>
        <v>8.8373523467292895E-6</v>
      </c>
      <c r="F1256" s="5">
        <f ca="1">TODAY()-GETPIVOTDATA("LastPurchaseDate",MaxDate!$A$3,"Customer_name",MaxDate!A1258)</f>
        <v>12</v>
      </c>
      <c r="G1256" t="str">
        <f t="shared" ca="1" si="79"/>
        <v>Active</v>
      </c>
      <c r="H1256" s="13">
        <f>RANK(B1256,Customer_Tiers[Total_Sales])</f>
        <v>1255</v>
      </c>
    </row>
    <row r="1257" spans="1:8">
      <c r="A1257" t="str">
        <f>'Top Customers'!A1259</f>
        <v>ABU PASSNEGER</v>
      </c>
      <c r="B1257" s="5">
        <f>IF(A1257="","",IFERROR(GETPIVOTDATA("Sales Amount",'Top Customers'!$A$3,"Customer_name",'Top Customers'!A1259),""))</f>
        <v>500</v>
      </c>
      <c r="C1257" t="str">
        <f t="shared" si="76"/>
        <v>Regular</v>
      </c>
      <c r="D1257">
        <f t="shared" si="77"/>
        <v>99500</v>
      </c>
      <c r="E1257" s="6">
        <f t="shared" si="78"/>
        <v>8.7325616074400084E-6</v>
      </c>
      <c r="F1257" s="5">
        <f ca="1">TODAY()-GETPIVOTDATA("LastPurchaseDate",MaxDate!$A$3,"Customer_name",MaxDate!A1259)</f>
        <v>5</v>
      </c>
      <c r="G1257" t="str">
        <f t="shared" ca="1" si="79"/>
        <v>Active</v>
      </c>
      <c r="H1257" s="13">
        <f>RANK(B1257,Customer_Tiers[Total_Sales])</f>
        <v>1256</v>
      </c>
    </row>
    <row r="1258" spans="1:8">
      <c r="A1258" t="str">
        <f>'Top Customers'!A1260</f>
        <v>LINTO , KUMMANODU</v>
      </c>
      <c r="B1258" s="5">
        <f>IF(A1258="","",IFERROR(GETPIVOTDATA("Sales Amount",'Top Customers'!$A$3,"Customer_name",'Top Customers'!A1260),""))</f>
        <v>500</v>
      </c>
      <c r="C1258" t="str">
        <f t="shared" si="76"/>
        <v>Regular</v>
      </c>
      <c r="D1258">
        <f t="shared" si="77"/>
        <v>99500</v>
      </c>
      <c r="E1258" s="6">
        <f t="shared" si="78"/>
        <v>8.7325616074400084E-6</v>
      </c>
      <c r="F1258" s="5">
        <f ca="1">TODAY()-GETPIVOTDATA("LastPurchaseDate",MaxDate!$A$3,"Customer_name",MaxDate!A1260)</f>
        <v>221</v>
      </c>
      <c r="G1258" t="str">
        <f t="shared" ca="1" si="79"/>
        <v>Inactive</v>
      </c>
      <c r="H1258" s="13">
        <f>RANK(B1258,Customer_Tiers[Total_Sales])</f>
        <v>1256</v>
      </c>
    </row>
    <row r="1259" spans="1:8">
      <c r="A1259" t="str">
        <f>'Top Customers'!A1261</f>
        <v>PRADEEP, CHENAGARA</v>
      </c>
      <c r="B1259" s="5">
        <f>IF(A1259="","",IFERROR(GETPIVOTDATA("Sales Amount",'Top Customers'!$A$3,"Customer_name",'Top Customers'!A1261),""))</f>
        <v>500</v>
      </c>
      <c r="C1259" t="str">
        <f t="shared" si="76"/>
        <v>Regular</v>
      </c>
      <c r="D1259">
        <f t="shared" si="77"/>
        <v>99500</v>
      </c>
      <c r="E1259" s="6">
        <f t="shared" si="78"/>
        <v>8.7325616074400084E-6</v>
      </c>
      <c r="F1259" s="5">
        <f ca="1">TODAY()-GETPIVOTDATA("LastPurchaseDate",MaxDate!$A$3,"Customer_name",MaxDate!A1261)</f>
        <v>93</v>
      </c>
      <c r="G1259" t="str">
        <f t="shared" ca="1" si="79"/>
        <v>At Risk</v>
      </c>
      <c r="H1259" s="13">
        <f>RANK(B1259,Customer_Tiers[Total_Sales])</f>
        <v>1256</v>
      </c>
    </row>
    <row r="1260" spans="1:8">
      <c r="A1260" t="str">
        <f>'Top Customers'!A1262</f>
        <v>SABU MYLATTUMUGAL</v>
      </c>
      <c r="B1260" s="5">
        <f>IF(A1260="","",IFERROR(GETPIVOTDATA("Sales Amount",'Top Customers'!$A$3,"Customer_name",'Top Customers'!A1262),""))</f>
        <v>495</v>
      </c>
      <c r="C1260" t="str">
        <f t="shared" si="76"/>
        <v>Regular</v>
      </c>
      <c r="D1260">
        <f t="shared" si="77"/>
        <v>99505</v>
      </c>
      <c r="E1260" s="6">
        <f t="shared" si="78"/>
        <v>8.6452359913656087E-6</v>
      </c>
      <c r="F1260" s="5">
        <f ca="1">TODAY()-GETPIVOTDATA("LastPurchaseDate",MaxDate!$A$3,"Customer_name",MaxDate!A1262)</f>
        <v>319</v>
      </c>
      <c r="G1260" t="str">
        <f t="shared" ca="1" si="79"/>
        <v>Inactive</v>
      </c>
      <c r="H1260" s="13">
        <f>RANK(B1260,Customer_Tiers[Total_Sales])</f>
        <v>1259</v>
      </c>
    </row>
    <row r="1261" spans="1:8">
      <c r="A1261" t="str">
        <f>'Top Customers'!A1263</f>
        <v>ANOOP CHINUS</v>
      </c>
      <c r="B1261" s="5">
        <f>IF(A1261="","",IFERROR(GETPIVOTDATA("Sales Amount",'Top Customers'!$A$3,"Customer_name",'Top Customers'!A1263),""))</f>
        <v>484</v>
      </c>
      <c r="C1261" t="str">
        <f t="shared" si="76"/>
        <v>Regular</v>
      </c>
      <c r="D1261">
        <f t="shared" si="77"/>
        <v>99516</v>
      </c>
      <c r="E1261" s="6">
        <f t="shared" si="78"/>
        <v>8.4531196360019279E-6</v>
      </c>
      <c r="F1261" s="5">
        <f ca="1">TODAY()-GETPIVOTDATA("LastPurchaseDate",MaxDate!$A$3,"Customer_name",MaxDate!A1263)</f>
        <v>29</v>
      </c>
      <c r="G1261" t="str">
        <f t="shared" ca="1" si="79"/>
        <v>Active</v>
      </c>
      <c r="H1261" s="13">
        <f>RANK(B1261,Customer_Tiers[Total_Sales])</f>
        <v>1260</v>
      </c>
    </row>
    <row r="1262" spans="1:8">
      <c r="A1262" t="str">
        <f>'Top Customers'!A1264</f>
        <v>UNNI MOONELIL CNTR</v>
      </c>
      <c r="B1262" s="5">
        <f>IF(A1262="","",IFERROR(GETPIVOTDATA("Sales Amount",'Top Customers'!$A$3,"Customer_name",'Top Customers'!A1264),""))</f>
        <v>470</v>
      </c>
      <c r="C1262" t="str">
        <f t="shared" si="76"/>
        <v>Regular</v>
      </c>
      <c r="D1262">
        <f t="shared" si="77"/>
        <v>99530</v>
      </c>
      <c r="E1262" s="6">
        <f t="shared" si="78"/>
        <v>8.2086079109936084E-6</v>
      </c>
      <c r="F1262" s="5">
        <f ca="1">TODAY()-GETPIVOTDATA("LastPurchaseDate",MaxDate!$A$3,"Customer_name",MaxDate!A1264)</f>
        <v>229</v>
      </c>
      <c r="G1262" t="str">
        <f t="shared" ca="1" si="79"/>
        <v>Inactive</v>
      </c>
      <c r="H1262" s="13">
        <f>RANK(B1262,Customer_Tiers[Total_Sales])</f>
        <v>1261</v>
      </c>
    </row>
    <row r="1263" spans="1:8">
      <c r="A1263" t="str">
        <f>'Top Customers'!A1265</f>
        <v>VINU , CHENGARA</v>
      </c>
      <c r="B1263" s="5">
        <f>IF(A1263="","",IFERROR(GETPIVOTDATA("Sales Amount",'Top Customers'!$A$3,"Customer_name",'Top Customers'!A1265),""))</f>
        <v>465</v>
      </c>
      <c r="C1263" t="str">
        <f t="shared" si="76"/>
        <v>Regular</v>
      </c>
      <c r="D1263">
        <f t="shared" si="77"/>
        <v>99535</v>
      </c>
      <c r="E1263" s="6">
        <f t="shared" si="78"/>
        <v>8.1212822949192086E-6</v>
      </c>
      <c r="F1263" s="5">
        <f ca="1">TODAY()-GETPIVOTDATA("LastPurchaseDate",MaxDate!$A$3,"Customer_name",MaxDate!A1265)</f>
        <v>155</v>
      </c>
      <c r="G1263" t="str">
        <f t="shared" ca="1" si="79"/>
        <v>Inactive</v>
      </c>
      <c r="H1263" s="13">
        <f>RANK(B1263,Customer_Tiers[Total_Sales])</f>
        <v>1262</v>
      </c>
    </row>
    <row r="1264" spans="1:8">
      <c r="A1264" t="str">
        <f>'Top Customers'!A1266</f>
        <v>ADITHYA KRISHNA</v>
      </c>
      <c r="B1264" s="5">
        <f>IF(A1264="","",IFERROR(GETPIVOTDATA("Sales Amount",'Top Customers'!$A$3,"Customer_name",'Top Customers'!A1266),""))</f>
        <v>460</v>
      </c>
      <c r="C1264" t="str">
        <f t="shared" si="76"/>
        <v>Regular</v>
      </c>
      <c r="D1264">
        <f t="shared" si="77"/>
        <v>99540</v>
      </c>
      <c r="E1264" s="6">
        <f t="shared" si="78"/>
        <v>8.0339566788448072E-6</v>
      </c>
      <c r="F1264" s="5">
        <f ca="1">TODAY()-GETPIVOTDATA("LastPurchaseDate",MaxDate!$A$3,"Customer_name",MaxDate!A1266)</f>
        <v>24</v>
      </c>
      <c r="G1264" t="str">
        <f t="shared" ca="1" si="79"/>
        <v>Active</v>
      </c>
      <c r="H1264" s="13">
        <f>RANK(B1264,Customer_Tiers[Total_Sales])</f>
        <v>1263</v>
      </c>
    </row>
    <row r="1265" spans="1:8">
      <c r="A1265" t="str">
        <f>'Top Customers'!A1267</f>
        <v>ESTHAPANOSE , PATTIMATTAM</v>
      </c>
      <c r="B1265" s="5">
        <f>IF(A1265="","",IFERROR(GETPIVOTDATA("Sales Amount",'Top Customers'!$A$3,"Customer_name",'Top Customers'!A1267),""))</f>
        <v>460</v>
      </c>
      <c r="C1265" t="str">
        <f t="shared" si="76"/>
        <v>Regular</v>
      </c>
      <c r="D1265">
        <f t="shared" si="77"/>
        <v>99540</v>
      </c>
      <c r="E1265" s="6">
        <f t="shared" si="78"/>
        <v>8.0339566788448072E-6</v>
      </c>
      <c r="F1265" s="5">
        <f ca="1">TODAY()-GETPIVOTDATA("LastPurchaseDate",MaxDate!$A$3,"Customer_name",MaxDate!A1267)</f>
        <v>230</v>
      </c>
      <c r="G1265" t="str">
        <f t="shared" ca="1" si="79"/>
        <v>Inactive</v>
      </c>
      <c r="H1265" s="13">
        <f>RANK(B1265,Customer_Tiers[Total_Sales])</f>
        <v>1263</v>
      </c>
    </row>
    <row r="1266" spans="1:8">
      <c r="A1266" t="str">
        <f>'Top Customers'!A1268</f>
        <v>KATHIK</v>
      </c>
      <c r="B1266" s="5">
        <f>IF(A1266="","",IFERROR(GETPIVOTDATA("Sales Amount",'Top Customers'!$A$3,"Customer_name",'Top Customers'!A1268),""))</f>
        <v>460</v>
      </c>
      <c r="C1266" t="str">
        <f t="shared" si="76"/>
        <v>Regular</v>
      </c>
      <c r="D1266">
        <f t="shared" si="77"/>
        <v>99540</v>
      </c>
      <c r="E1266" s="6">
        <f t="shared" si="78"/>
        <v>8.0339566788448072E-6</v>
      </c>
      <c r="F1266" s="5">
        <f ca="1">TODAY()-GETPIVOTDATA("LastPurchaseDate",MaxDate!$A$3,"Customer_name",MaxDate!A1268)</f>
        <v>3</v>
      </c>
      <c r="G1266" t="str">
        <f t="shared" ca="1" si="79"/>
        <v>Active</v>
      </c>
      <c r="H1266" s="13">
        <f>RANK(B1266,Customer_Tiers[Total_Sales])</f>
        <v>1263</v>
      </c>
    </row>
    <row r="1267" spans="1:8">
      <c r="A1267" t="str">
        <f>'Top Customers'!A1269</f>
        <v>BENNY VAYALIPARAMBIL</v>
      </c>
      <c r="B1267" s="5">
        <f>IF(A1267="","",IFERROR(GETPIVOTDATA("Sales Amount",'Top Customers'!$A$3,"Customer_name",'Top Customers'!A1269),""))</f>
        <v>456</v>
      </c>
      <c r="C1267" t="str">
        <f t="shared" si="76"/>
        <v>Regular</v>
      </c>
      <c r="D1267">
        <f t="shared" si="77"/>
        <v>99544</v>
      </c>
      <c r="E1267" s="6">
        <f t="shared" si="78"/>
        <v>7.9640961859852871E-6</v>
      </c>
      <c r="F1267" s="5">
        <f ca="1">TODAY()-GETPIVOTDATA("LastPurchaseDate",MaxDate!$A$3,"Customer_name",MaxDate!A1269)</f>
        <v>305</v>
      </c>
      <c r="G1267" t="str">
        <f t="shared" ca="1" si="79"/>
        <v>Inactive</v>
      </c>
      <c r="H1267" s="13">
        <f>RANK(B1267,Customer_Tiers[Total_Sales])</f>
        <v>1266</v>
      </c>
    </row>
    <row r="1268" spans="1:8">
      <c r="A1268" t="str">
        <f>'Top Customers'!A1270</f>
        <v>PAULOSE PARAYANCHERY</v>
      </c>
      <c r="B1268" s="5">
        <f>IF(A1268="","",IFERROR(GETPIVOTDATA("Sales Amount",'Top Customers'!$A$3,"Customer_name",'Top Customers'!A1270),""))</f>
        <v>454</v>
      </c>
      <c r="C1268" t="str">
        <f t="shared" si="76"/>
        <v>Regular</v>
      </c>
      <c r="D1268">
        <f t="shared" si="77"/>
        <v>99546</v>
      </c>
      <c r="E1268" s="6">
        <f t="shared" si="78"/>
        <v>7.9291659395555279E-6</v>
      </c>
      <c r="F1268" s="5">
        <f ca="1">TODAY()-GETPIVOTDATA("LastPurchaseDate",MaxDate!$A$3,"Customer_name",MaxDate!A1270)</f>
        <v>232</v>
      </c>
      <c r="G1268" t="str">
        <f t="shared" ca="1" si="79"/>
        <v>Inactive</v>
      </c>
      <c r="H1268" s="13">
        <f>RANK(B1268,Customer_Tiers[Total_Sales])</f>
        <v>1267</v>
      </c>
    </row>
    <row r="1269" spans="1:8">
      <c r="A1269" t="str">
        <f>'Top Customers'!A1271</f>
        <v>ALEXANDER A V</v>
      </c>
      <c r="B1269" s="5">
        <f>IF(A1269="","",IFERROR(GETPIVOTDATA("Sales Amount",'Top Customers'!$A$3,"Customer_name",'Top Customers'!A1271),""))</f>
        <v>450</v>
      </c>
      <c r="C1269" t="str">
        <f t="shared" si="76"/>
        <v>Regular</v>
      </c>
      <c r="D1269">
        <f t="shared" si="77"/>
        <v>99550</v>
      </c>
      <c r="E1269" s="6">
        <f t="shared" si="78"/>
        <v>7.8593054466960077E-6</v>
      </c>
      <c r="F1269" s="5">
        <f ca="1">TODAY()-GETPIVOTDATA("LastPurchaseDate",MaxDate!$A$3,"Customer_name",MaxDate!A1271)</f>
        <v>209</v>
      </c>
      <c r="G1269" t="str">
        <f t="shared" ca="1" si="79"/>
        <v>Inactive</v>
      </c>
      <c r="H1269" s="13">
        <f>RANK(B1269,Customer_Tiers[Total_Sales])</f>
        <v>1268</v>
      </c>
    </row>
    <row r="1270" spans="1:8">
      <c r="A1270" t="str">
        <f>'Top Customers'!A1272</f>
        <v>ABDUL NAZEER</v>
      </c>
      <c r="B1270" s="5">
        <f>IF(A1270="","",IFERROR(GETPIVOTDATA("Sales Amount",'Top Customers'!$A$3,"Customer_name",'Top Customers'!A1272),""))</f>
        <v>450</v>
      </c>
      <c r="C1270" t="str">
        <f t="shared" si="76"/>
        <v>Regular</v>
      </c>
      <c r="D1270">
        <f t="shared" si="77"/>
        <v>99550</v>
      </c>
      <c r="E1270" s="6">
        <f t="shared" si="78"/>
        <v>7.8593054466960077E-6</v>
      </c>
      <c r="F1270" s="5">
        <f ca="1">TODAY()-GETPIVOTDATA("LastPurchaseDate",MaxDate!$A$3,"Customer_name",MaxDate!A1272)</f>
        <v>331</v>
      </c>
      <c r="G1270" t="str">
        <f t="shared" ca="1" si="79"/>
        <v>Inactive</v>
      </c>
      <c r="H1270" s="13">
        <f>RANK(B1270,Customer_Tiers[Total_Sales])</f>
        <v>1268</v>
      </c>
    </row>
    <row r="1271" spans="1:8">
      <c r="A1271" t="str">
        <f>'Top Customers'!A1273</f>
        <v>AJFAR PATTIMATTOM</v>
      </c>
      <c r="B1271" s="5">
        <f>IF(A1271="","",IFERROR(GETPIVOTDATA("Sales Amount",'Top Customers'!$A$3,"Customer_name",'Top Customers'!A1273),""))</f>
        <v>440</v>
      </c>
      <c r="C1271" t="str">
        <f t="shared" si="76"/>
        <v>Regular</v>
      </c>
      <c r="D1271">
        <f t="shared" si="77"/>
        <v>99560</v>
      </c>
      <c r="E1271" s="6">
        <f t="shared" si="78"/>
        <v>7.6846542145472083E-6</v>
      </c>
      <c r="F1271" s="5">
        <f ca="1">TODAY()-GETPIVOTDATA("LastPurchaseDate",MaxDate!$A$3,"Customer_name",MaxDate!A1273)</f>
        <v>157</v>
      </c>
      <c r="G1271" t="str">
        <f t="shared" ca="1" si="79"/>
        <v>Inactive</v>
      </c>
      <c r="H1271" s="13">
        <f>RANK(B1271,Customer_Tiers[Total_Sales])</f>
        <v>1270</v>
      </c>
    </row>
    <row r="1272" spans="1:8">
      <c r="A1272" t="str">
        <f>'Top Customers'!A1274</f>
        <v>MALABAR SPICES</v>
      </c>
      <c r="B1272" s="5">
        <f>IF(A1272="","",IFERROR(GETPIVOTDATA("Sales Amount",'Top Customers'!$A$3,"Customer_name",'Top Customers'!A1274),""))</f>
        <v>425</v>
      </c>
      <c r="C1272" t="str">
        <f t="shared" si="76"/>
        <v>Regular</v>
      </c>
      <c r="D1272">
        <f t="shared" si="77"/>
        <v>99575</v>
      </c>
      <c r="E1272" s="6">
        <f t="shared" si="78"/>
        <v>7.4226773663240074E-6</v>
      </c>
      <c r="F1272" s="5">
        <f ca="1">TODAY()-GETPIVOTDATA("LastPurchaseDate",MaxDate!$A$3,"Customer_name",MaxDate!A1274)</f>
        <v>285</v>
      </c>
      <c r="G1272" t="str">
        <f t="shared" ca="1" si="79"/>
        <v>Inactive</v>
      </c>
      <c r="H1272" s="13">
        <f>RANK(B1272,Customer_Tiers[Total_Sales])</f>
        <v>1271</v>
      </c>
    </row>
    <row r="1273" spans="1:8">
      <c r="A1273" t="str">
        <f>'Top Customers'!A1275</f>
        <v>SUJITH CHENGARA</v>
      </c>
      <c r="B1273" s="5">
        <f>IF(A1273="","",IFERROR(GETPIVOTDATA("Sales Amount",'Top Customers'!$A$3,"Customer_name",'Top Customers'!A1275),""))</f>
        <v>425</v>
      </c>
      <c r="C1273" t="str">
        <f t="shared" si="76"/>
        <v>Regular</v>
      </c>
      <c r="D1273">
        <f t="shared" si="77"/>
        <v>99575</v>
      </c>
      <c r="E1273" s="6">
        <f t="shared" si="78"/>
        <v>7.4226773663240074E-6</v>
      </c>
      <c r="F1273" s="5">
        <f ca="1">TODAY()-GETPIVOTDATA("LastPurchaseDate",MaxDate!$A$3,"Customer_name",MaxDate!A1275)</f>
        <v>176</v>
      </c>
      <c r="G1273" t="str">
        <f t="shared" ca="1" si="79"/>
        <v>Inactive</v>
      </c>
      <c r="H1273" s="13">
        <f>RANK(B1273,Customer_Tiers[Total_Sales])</f>
        <v>1271</v>
      </c>
    </row>
    <row r="1274" spans="1:8">
      <c r="A1274" t="str">
        <f>'Top Customers'!A1276</f>
        <v>ANOOP KUMMANODE</v>
      </c>
      <c r="B1274" s="5">
        <f>IF(A1274="","",IFERROR(GETPIVOTDATA("Sales Amount",'Top Customers'!$A$3,"Customer_name",'Top Customers'!A1276),""))</f>
        <v>420</v>
      </c>
      <c r="C1274" t="str">
        <f t="shared" si="76"/>
        <v>Regular</v>
      </c>
      <c r="D1274">
        <f t="shared" si="77"/>
        <v>99580</v>
      </c>
      <c r="E1274" s="6">
        <f t="shared" si="78"/>
        <v>7.3353517502496077E-6</v>
      </c>
      <c r="F1274" s="5">
        <f ca="1">TODAY()-GETPIVOTDATA("LastPurchaseDate",MaxDate!$A$3,"Customer_name",MaxDate!A1276)</f>
        <v>276</v>
      </c>
      <c r="G1274" t="str">
        <f t="shared" ca="1" si="79"/>
        <v>Inactive</v>
      </c>
      <c r="H1274" s="13">
        <f>RANK(B1274,Customer_Tiers[Total_Sales])</f>
        <v>1273</v>
      </c>
    </row>
    <row r="1275" spans="1:8">
      <c r="A1275" t="str">
        <f>'Top Customers'!A1277</f>
        <v>AZIZ PATTIMATTOM</v>
      </c>
      <c r="B1275" s="5">
        <f>IF(A1275="","",IFERROR(GETPIVOTDATA("Sales Amount",'Top Customers'!$A$3,"Customer_name",'Top Customers'!A1277),""))</f>
        <v>420</v>
      </c>
      <c r="C1275" t="str">
        <f t="shared" si="76"/>
        <v>Regular</v>
      </c>
      <c r="D1275">
        <f t="shared" si="77"/>
        <v>99580</v>
      </c>
      <c r="E1275" s="6">
        <f t="shared" si="78"/>
        <v>7.3353517502496077E-6</v>
      </c>
      <c r="F1275" s="5">
        <f ca="1">TODAY()-GETPIVOTDATA("LastPurchaseDate",MaxDate!$A$3,"Customer_name",MaxDate!A1277)</f>
        <v>172</v>
      </c>
      <c r="G1275" t="str">
        <f t="shared" ca="1" si="79"/>
        <v>Inactive</v>
      </c>
      <c r="H1275" s="13">
        <f>RANK(B1275,Customer_Tiers[Total_Sales])</f>
        <v>1273</v>
      </c>
    </row>
    <row r="1276" spans="1:8">
      <c r="A1276" t="str">
        <f>'Top Customers'!A1278</f>
        <v>SHIJU</v>
      </c>
      <c r="B1276" s="5">
        <f>IF(A1276="","",IFERROR(GETPIVOTDATA("Sales Amount",'Top Customers'!$A$3,"Customer_name",'Top Customers'!A1278),""))</f>
        <v>410</v>
      </c>
      <c r="C1276" t="str">
        <f t="shared" si="76"/>
        <v>Regular</v>
      </c>
      <c r="D1276">
        <f t="shared" si="77"/>
        <v>99590</v>
      </c>
      <c r="E1276" s="6">
        <f t="shared" si="78"/>
        <v>7.1607005181008074E-6</v>
      </c>
      <c r="F1276" s="5">
        <f ca="1">TODAY()-GETPIVOTDATA("LastPurchaseDate",MaxDate!$A$3,"Customer_name",MaxDate!A1278)</f>
        <v>178</v>
      </c>
      <c r="G1276" t="str">
        <f t="shared" ca="1" si="79"/>
        <v>Inactive</v>
      </c>
      <c r="H1276" s="13">
        <f>RANK(B1276,Customer_Tiers[Total_Sales])</f>
        <v>1275</v>
      </c>
    </row>
    <row r="1277" spans="1:8">
      <c r="A1277" t="str">
        <f>'Top Customers'!A1279</f>
        <v>ATHUL KADAYIRUPPU</v>
      </c>
      <c r="B1277" s="5">
        <f>IF(A1277="","",IFERROR(GETPIVOTDATA("Sales Amount",'Top Customers'!$A$3,"Customer_name",'Top Customers'!A1279),""))</f>
        <v>405</v>
      </c>
      <c r="C1277" t="str">
        <f t="shared" si="76"/>
        <v>Regular</v>
      </c>
      <c r="D1277">
        <f t="shared" si="77"/>
        <v>99595</v>
      </c>
      <c r="E1277" s="6">
        <f t="shared" si="78"/>
        <v>7.0733749020264068E-6</v>
      </c>
      <c r="F1277" s="5">
        <f ca="1">TODAY()-GETPIVOTDATA("LastPurchaseDate",MaxDate!$A$3,"Customer_name",MaxDate!A1279)</f>
        <v>274</v>
      </c>
      <c r="G1277" t="str">
        <f t="shared" ca="1" si="79"/>
        <v>Inactive</v>
      </c>
      <c r="H1277" s="13">
        <f>RANK(B1277,Customer_Tiers[Total_Sales])</f>
        <v>1276</v>
      </c>
    </row>
    <row r="1278" spans="1:8">
      <c r="A1278" t="str">
        <f>'Top Customers'!A1280</f>
        <v>ANEESH , PATTIMATTOM</v>
      </c>
      <c r="B1278" s="5">
        <f>IF(A1278="","",IFERROR(GETPIVOTDATA("Sales Amount",'Top Customers'!$A$3,"Customer_name",'Top Customers'!A1280),""))</f>
        <v>400</v>
      </c>
      <c r="C1278" t="str">
        <f t="shared" si="76"/>
        <v>Regular</v>
      </c>
      <c r="D1278">
        <f t="shared" si="77"/>
        <v>99600</v>
      </c>
      <c r="E1278" s="6">
        <f t="shared" si="78"/>
        <v>6.9860492859520071E-6</v>
      </c>
      <c r="F1278" s="5">
        <f ca="1">TODAY()-GETPIVOTDATA("LastPurchaseDate",MaxDate!$A$3,"Customer_name",MaxDate!A1280)</f>
        <v>20</v>
      </c>
      <c r="G1278" t="str">
        <f t="shared" ca="1" si="79"/>
        <v>Active</v>
      </c>
      <c r="H1278" s="13">
        <f>RANK(B1278,Customer_Tiers[Total_Sales])</f>
        <v>1277</v>
      </c>
    </row>
    <row r="1279" spans="1:8">
      <c r="A1279" t="str">
        <f>'Top Customers'!A1281</f>
        <v>AJMAL KUMMANODE</v>
      </c>
      <c r="B1279" s="5">
        <f>IF(A1279="","",IFERROR(GETPIVOTDATA("Sales Amount",'Top Customers'!$A$3,"Customer_name",'Top Customers'!A1281),""))</f>
        <v>400</v>
      </c>
      <c r="C1279" t="str">
        <f t="shared" si="76"/>
        <v>Regular</v>
      </c>
      <c r="D1279">
        <f t="shared" si="77"/>
        <v>99600</v>
      </c>
      <c r="E1279" s="6">
        <f t="shared" si="78"/>
        <v>6.9860492859520071E-6</v>
      </c>
      <c r="F1279" s="5">
        <f ca="1">TODAY()-GETPIVOTDATA("LastPurchaseDate",MaxDate!$A$3,"Customer_name",MaxDate!A1281)</f>
        <v>3</v>
      </c>
      <c r="G1279" t="str">
        <f t="shared" ca="1" si="79"/>
        <v>Active</v>
      </c>
      <c r="H1279" s="13">
        <f>RANK(B1279,Customer_Tiers[Total_Sales])</f>
        <v>1277</v>
      </c>
    </row>
    <row r="1280" spans="1:8">
      <c r="A1280" t="str">
        <f>'Top Customers'!A1282</f>
        <v>BONY DANIEL</v>
      </c>
      <c r="B1280" s="5">
        <f>IF(A1280="","",IFERROR(GETPIVOTDATA("Sales Amount",'Top Customers'!$A$3,"Customer_name",'Top Customers'!A1282),""))</f>
        <v>400</v>
      </c>
      <c r="C1280" t="str">
        <f t="shared" si="76"/>
        <v>Regular</v>
      </c>
      <c r="D1280">
        <f t="shared" si="77"/>
        <v>99600</v>
      </c>
      <c r="E1280" s="6">
        <f t="shared" si="78"/>
        <v>6.9860492859520071E-6</v>
      </c>
      <c r="F1280" s="5">
        <f ca="1">TODAY()-GETPIVOTDATA("LastPurchaseDate",MaxDate!$A$3,"Customer_name",MaxDate!A1282)</f>
        <v>169</v>
      </c>
      <c r="G1280" t="str">
        <f t="shared" ca="1" si="79"/>
        <v>Inactive</v>
      </c>
      <c r="H1280" s="13">
        <f>RANK(B1280,Customer_Tiers[Total_Sales])</f>
        <v>1277</v>
      </c>
    </row>
    <row r="1281" spans="1:8">
      <c r="A1281" t="str">
        <f>'Top Customers'!A1283</f>
        <v>JABBAR PATTIMATTOM</v>
      </c>
      <c r="B1281" s="5">
        <f>IF(A1281="","",IFERROR(GETPIVOTDATA("Sales Amount",'Top Customers'!$A$3,"Customer_name",'Top Customers'!A1283),""))</f>
        <v>395</v>
      </c>
      <c r="C1281" t="str">
        <f t="shared" si="76"/>
        <v>Regular</v>
      </c>
      <c r="D1281">
        <f t="shared" si="77"/>
        <v>99605</v>
      </c>
      <c r="E1281" s="6">
        <f t="shared" si="78"/>
        <v>6.8987236698776065E-6</v>
      </c>
      <c r="F1281" s="5">
        <f ca="1">TODAY()-GETPIVOTDATA("LastPurchaseDate",MaxDate!$A$3,"Customer_name",MaxDate!A1283)</f>
        <v>20</v>
      </c>
      <c r="G1281" t="str">
        <f t="shared" ca="1" si="79"/>
        <v>Active</v>
      </c>
      <c r="H1281" s="13">
        <f>RANK(B1281,Customer_Tiers[Total_Sales])</f>
        <v>1280</v>
      </c>
    </row>
    <row r="1282" spans="1:8">
      <c r="A1282" t="str">
        <f>'Top Customers'!A1284</f>
        <v>SURENDRAN KUMMANODE</v>
      </c>
      <c r="B1282" s="5">
        <f>IF(A1282="","",IFERROR(GETPIVOTDATA("Sales Amount",'Top Customers'!$A$3,"Customer_name",'Top Customers'!A1284),""))</f>
        <v>395</v>
      </c>
      <c r="C1282" t="str">
        <f t="shared" ref="C1282:C1345" si="80">IF(B1282&gt;=1000000,"Platinum",
 IF(B1282&gt;=500000,"Gold",
 IF(B1282&gt;=100000,"Silver","Regular")))</f>
        <v>Regular</v>
      </c>
      <c r="D1282">
        <f t="shared" ref="D1282:D1345" si="81">IF(C1282="Platinum",0,
 IF(C1282="Gold",1000000-B1282,
 IF(C1282="Silver",500000-B1282,
 IF(C1282="Regular",100000-B1282,0))))</f>
        <v>99605</v>
      </c>
      <c r="E1282" s="6">
        <f t="shared" ref="E1282:E1345" si="82">B1282/SUM(B:B)</f>
        <v>6.8987236698776065E-6</v>
      </c>
      <c r="F1282" s="5">
        <f ca="1">TODAY()-GETPIVOTDATA("LastPurchaseDate",MaxDate!$A$3,"Customer_name",MaxDate!A1284)</f>
        <v>283</v>
      </c>
      <c r="G1282" t="str">
        <f t="shared" ref="G1282:G1345" ca="1" si="83">IF(F1282="","",
 IF(F1282&lt;=60,"Active",
 IF(F1282&lt;=120,"At Risk","Inactive")))</f>
        <v>Inactive</v>
      </c>
      <c r="H1282" s="13">
        <f>RANK(B1282,Customer_Tiers[Total_Sales])</f>
        <v>1280</v>
      </c>
    </row>
    <row r="1283" spans="1:8">
      <c r="A1283" t="str">
        <f>'Top Customers'!A1285</f>
        <v>JOHN PAREPEEDIKA</v>
      </c>
      <c r="B1283" s="5">
        <f>IF(A1283="","",IFERROR(GETPIVOTDATA("Sales Amount",'Top Customers'!$A$3,"Customer_name",'Top Customers'!A1285),""))</f>
        <v>390</v>
      </c>
      <c r="C1283" t="str">
        <f t="shared" si="80"/>
        <v>Regular</v>
      </c>
      <c r="D1283">
        <f t="shared" si="81"/>
        <v>99610</v>
      </c>
      <c r="E1283" s="6">
        <f t="shared" si="82"/>
        <v>6.8113980538032068E-6</v>
      </c>
      <c r="F1283" s="5">
        <f ca="1">TODAY()-GETPIVOTDATA("LastPurchaseDate",MaxDate!$A$3,"Customer_name",MaxDate!A1285)</f>
        <v>278</v>
      </c>
      <c r="G1283" t="str">
        <f t="shared" ca="1" si="83"/>
        <v>Inactive</v>
      </c>
      <c r="H1283" s="13">
        <f>RANK(B1283,Customer_Tiers[Total_Sales])</f>
        <v>1282</v>
      </c>
    </row>
    <row r="1284" spans="1:8">
      <c r="A1284" t="str">
        <f>'Top Customers'!A1286</f>
        <v>SUDHEER THANDAKALA</v>
      </c>
      <c r="B1284" s="5">
        <f>IF(A1284="","",IFERROR(GETPIVOTDATA("Sales Amount",'Top Customers'!$A$3,"Customer_name",'Top Customers'!A1286),""))</f>
        <v>390</v>
      </c>
      <c r="C1284" t="str">
        <f t="shared" si="80"/>
        <v>Regular</v>
      </c>
      <c r="D1284">
        <f t="shared" si="81"/>
        <v>99610</v>
      </c>
      <c r="E1284" s="6">
        <f t="shared" si="82"/>
        <v>6.8113980538032068E-6</v>
      </c>
      <c r="F1284" s="5">
        <f ca="1">TODAY()-GETPIVOTDATA("LastPurchaseDate",MaxDate!$A$3,"Customer_name",MaxDate!A1286)</f>
        <v>231</v>
      </c>
      <c r="G1284" t="str">
        <f t="shared" ca="1" si="83"/>
        <v>Inactive</v>
      </c>
      <c r="H1284" s="13">
        <f>RANK(B1284,Customer_Tiers[Total_Sales])</f>
        <v>1282</v>
      </c>
    </row>
    <row r="1285" spans="1:8">
      <c r="A1285" t="str">
        <f>'Top Customers'!A1287</f>
        <v>ELDHO MANGALATHUNADA</v>
      </c>
      <c r="B1285" s="5">
        <f>IF(A1285="","",IFERROR(GETPIVOTDATA("Sales Amount",'Top Customers'!$A$3,"Customer_name",'Top Customers'!A1287),""))</f>
        <v>385</v>
      </c>
      <c r="C1285" t="str">
        <f t="shared" si="80"/>
        <v>Regular</v>
      </c>
      <c r="D1285">
        <f t="shared" si="81"/>
        <v>99615</v>
      </c>
      <c r="E1285" s="6">
        <f t="shared" si="82"/>
        <v>6.724072437728807E-6</v>
      </c>
      <c r="F1285" s="5">
        <f ca="1">TODAY()-GETPIVOTDATA("LastPurchaseDate",MaxDate!$A$3,"Customer_name",MaxDate!A1287)</f>
        <v>37</v>
      </c>
      <c r="G1285" t="str">
        <f t="shared" ca="1" si="83"/>
        <v>Active</v>
      </c>
      <c r="H1285" s="13">
        <f>RANK(B1285,Customer_Tiers[Total_Sales])</f>
        <v>1284</v>
      </c>
    </row>
    <row r="1286" spans="1:8">
      <c r="A1286" t="str">
        <f>'Top Customers'!A1288</f>
        <v>DILEEP AIRAPURAM</v>
      </c>
      <c r="B1286" s="5">
        <f>IF(A1286="","",IFERROR(GETPIVOTDATA("Sales Amount",'Top Customers'!$A$3,"Customer_name",'Top Customers'!A1288),""))</f>
        <v>383</v>
      </c>
      <c r="C1286" t="str">
        <f t="shared" si="80"/>
        <v>Regular</v>
      </c>
      <c r="D1286">
        <f t="shared" si="81"/>
        <v>99617</v>
      </c>
      <c r="E1286" s="6">
        <f t="shared" si="82"/>
        <v>6.689142191299047E-6</v>
      </c>
      <c r="F1286" s="5">
        <f ca="1">TODAY()-GETPIVOTDATA("LastPurchaseDate",MaxDate!$A$3,"Customer_name",MaxDate!A1288)</f>
        <v>173</v>
      </c>
      <c r="G1286" t="str">
        <f t="shared" ca="1" si="83"/>
        <v>Inactive</v>
      </c>
      <c r="H1286" s="13">
        <f>RANK(B1286,Customer_Tiers[Total_Sales])</f>
        <v>1285</v>
      </c>
    </row>
    <row r="1287" spans="1:8">
      <c r="A1287" t="str">
        <f>'Top Customers'!A1289</f>
        <v>ABHIJITH PUNNOORKODE</v>
      </c>
      <c r="B1287" s="5">
        <f>IF(A1287="","",IFERROR(GETPIVOTDATA("Sales Amount",'Top Customers'!$A$3,"Customer_name",'Top Customers'!A1289),""))</f>
        <v>380</v>
      </c>
      <c r="C1287" t="str">
        <f t="shared" si="80"/>
        <v>Regular</v>
      </c>
      <c r="D1287">
        <f t="shared" si="81"/>
        <v>99620</v>
      </c>
      <c r="E1287" s="6">
        <f t="shared" si="82"/>
        <v>6.6367468216544065E-6</v>
      </c>
      <c r="F1287" s="5">
        <f ca="1">TODAY()-GETPIVOTDATA("LastPurchaseDate",MaxDate!$A$3,"Customer_name",MaxDate!A1289)</f>
        <v>152</v>
      </c>
      <c r="G1287" t="str">
        <f t="shared" ca="1" si="83"/>
        <v>Inactive</v>
      </c>
      <c r="H1287" s="13">
        <f>RANK(B1287,Customer_Tiers[Total_Sales])</f>
        <v>1286</v>
      </c>
    </row>
    <row r="1288" spans="1:8">
      <c r="A1288" t="str">
        <f>'Top Customers'!A1290</f>
        <v>BIJU BAKERY</v>
      </c>
      <c r="B1288" s="5">
        <f>IF(A1288="","",IFERROR(GETPIVOTDATA("Sales Amount",'Top Customers'!$A$3,"Customer_name",'Top Customers'!A1290),""))</f>
        <v>380</v>
      </c>
      <c r="C1288" t="str">
        <f t="shared" si="80"/>
        <v>Regular</v>
      </c>
      <c r="D1288">
        <f t="shared" si="81"/>
        <v>99620</v>
      </c>
      <c r="E1288" s="6">
        <f t="shared" si="82"/>
        <v>6.6367468216544065E-6</v>
      </c>
      <c r="F1288" s="5">
        <f ca="1">TODAY()-GETPIVOTDATA("LastPurchaseDate",MaxDate!$A$3,"Customer_name",MaxDate!A1290)</f>
        <v>142</v>
      </c>
      <c r="G1288" t="str">
        <f t="shared" ca="1" si="83"/>
        <v>Inactive</v>
      </c>
      <c r="H1288" s="13">
        <f>RANK(B1288,Customer_Tiers[Total_Sales])</f>
        <v>1286</v>
      </c>
    </row>
    <row r="1289" spans="1:8">
      <c r="A1289" t="str">
        <f>'Top Customers'!A1291</f>
        <v>S K TOOLS</v>
      </c>
      <c r="B1289" s="5">
        <f>IF(A1289="","",IFERROR(GETPIVOTDATA("Sales Amount",'Top Customers'!$A$3,"Customer_name",'Top Customers'!A1291),""))</f>
        <v>377</v>
      </c>
      <c r="C1289" t="str">
        <f t="shared" si="80"/>
        <v>Regular</v>
      </c>
      <c r="D1289">
        <f t="shared" si="81"/>
        <v>99623</v>
      </c>
      <c r="E1289" s="6">
        <f t="shared" si="82"/>
        <v>6.5843514520097668E-6</v>
      </c>
      <c r="F1289" s="5">
        <f ca="1">TODAY()-GETPIVOTDATA("LastPurchaseDate",MaxDate!$A$3,"Customer_name",MaxDate!A1291)</f>
        <v>111</v>
      </c>
      <c r="G1289" t="str">
        <f t="shared" ca="1" si="83"/>
        <v>At Risk</v>
      </c>
      <c r="H1289" s="13">
        <f>RANK(B1289,Customer_Tiers[Total_Sales])</f>
        <v>1288</v>
      </c>
    </row>
    <row r="1290" spans="1:8">
      <c r="A1290" t="str">
        <f>'Top Customers'!A1292</f>
        <v>AKBAR CHENGARA</v>
      </c>
      <c r="B1290" s="5">
        <f>IF(A1290="","",IFERROR(GETPIVOTDATA("Sales Amount",'Top Customers'!$A$3,"Customer_name",'Top Customers'!A1292),""))</f>
        <v>370</v>
      </c>
      <c r="C1290" t="str">
        <f t="shared" si="80"/>
        <v>Regular</v>
      </c>
      <c r="D1290">
        <f t="shared" si="81"/>
        <v>99630</v>
      </c>
      <c r="E1290" s="6">
        <f t="shared" si="82"/>
        <v>6.4620955895056062E-6</v>
      </c>
      <c r="F1290" s="5">
        <f ca="1">TODAY()-GETPIVOTDATA("LastPurchaseDate",MaxDate!$A$3,"Customer_name",MaxDate!A1292)</f>
        <v>199</v>
      </c>
      <c r="G1290" t="str">
        <f t="shared" ca="1" si="83"/>
        <v>Inactive</v>
      </c>
      <c r="H1290" s="13">
        <f>RANK(B1290,Customer_Tiers[Total_Sales])</f>
        <v>1289</v>
      </c>
    </row>
    <row r="1291" spans="1:8">
      <c r="A1291" t="str">
        <f>'Top Customers'!A1293</f>
        <v>AFZAL</v>
      </c>
      <c r="B1291" s="5">
        <f>IF(A1291="","",IFERROR(GETPIVOTDATA("Sales Amount",'Top Customers'!$A$3,"Customer_name",'Top Customers'!A1293),""))</f>
        <v>370</v>
      </c>
      <c r="C1291" t="str">
        <f t="shared" si="80"/>
        <v>Regular</v>
      </c>
      <c r="D1291">
        <f t="shared" si="81"/>
        <v>99630</v>
      </c>
      <c r="E1291" s="6">
        <f t="shared" si="82"/>
        <v>6.4620955895056062E-6</v>
      </c>
      <c r="F1291" s="5">
        <f ca="1">TODAY()-GETPIVOTDATA("LastPurchaseDate",MaxDate!$A$3,"Customer_name",MaxDate!A1293)</f>
        <v>274</v>
      </c>
      <c r="G1291" t="str">
        <f t="shared" ca="1" si="83"/>
        <v>Inactive</v>
      </c>
      <c r="H1291" s="13">
        <f>RANK(B1291,Customer_Tiers[Total_Sales])</f>
        <v>1289</v>
      </c>
    </row>
    <row r="1292" spans="1:8">
      <c r="A1292" t="str">
        <f>'Top Customers'!A1294</f>
        <v>ASWATHY</v>
      </c>
      <c r="B1292" s="5">
        <f>IF(A1292="","",IFERROR(GETPIVOTDATA("Sales Amount",'Top Customers'!$A$3,"Customer_name",'Top Customers'!A1294),""))</f>
        <v>370</v>
      </c>
      <c r="C1292" t="str">
        <f t="shared" si="80"/>
        <v>Regular</v>
      </c>
      <c r="D1292">
        <f t="shared" si="81"/>
        <v>99630</v>
      </c>
      <c r="E1292" s="6">
        <f t="shared" si="82"/>
        <v>6.4620955895056062E-6</v>
      </c>
      <c r="F1292" s="5">
        <f ca="1">TODAY()-GETPIVOTDATA("LastPurchaseDate",MaxDate!$A$3,"Customer_name",MaxDate!A1294)</f>
        <v>198</v>
      </c>
      <c r="G1292" t="str">
        <f t="shared" ca="1" si="83"/>
        <v>Inactive</v>
      </c>
      <c r="H1292" s="13">
        <f>RANK(B1292,Customer_Tiers[Total_Sales])</f>
        <v>1289</v>
      </c>
    </row>
    <row r="1293" spans="1:8">
      <c r="A1293" t="str">
        <f>'Top Customers'!A1295</f>
        <v>ARUN PATTIMATTOM</v>
      </c>
      <c r="B1293" s="5">
        <f>IF(A1293="","",IFERROR(GETPIVOTDATA("Sales Amount",'Top Customers'!$A$3,"Customer_name",'Top Customers'!A1295),""))</f>
        <v>370</v>
      </c>
      <c r="C1293" t="str">
        <f t="shared" si="80"/>
        <v>Regular</v>
      </c>
      <c r="D1293">
        <f t="shared" si="81"/>
        <v>99630</v>
      </c>
      <c r="E1293" s="6">
        <f t="shared" si="82"/>
        <v>6.4620955895056062E-6</v>
      </c>
      <c r="F1293" s="5">
        <f ca="1">TODAY()-GETPIVOTDATA("LastPurchaseDate",MaxDate!$A$3,"Customer_name",MaxDate!A1295)</f>
        <v>167</v>
      </c>
      <c r="G1293" t="str">
        <f t="shared" ca="1" si="83"/>
        <v>Inactive</v>
      </c>
      <c r="H1293" s="13">
        <f>RANK(B1293,Customer_Tiers[Total_Sales])</f>
        <v>1289</v>
      </c>
    </row>
    <row r="1294" spans="1:8">
      <c r="A1294" t="str">
        <f>'Top Customers'!A1296</f>
        <v>BIJU.M.GEORGE</v>
      </c>
      <c r="B1294" s="5">
        <f>IF(A1294="","",IFERROR(GETPIVOTDATA("Sales Amount",'Top Customers'!$A$3,"Customer_name",'Top Customers'!A1296),""))</f>
        <v>370</v>
      </c>
      <c r="C1294" t="str">
        <f t="shared" si="80"/>
        <v>Regular</v>
      </c>
      <c r="D1294">
        <f t="shared" si="81"/>
        <v>99630</v>
      </c>
      <c r="E1294" s="6">
        <f t="shared" si="82"/>
        <v>6.4620955895056062E-6</v>
      </c>
      <c r="F1294" s="5">
        <f ca="1">TODAY()-GETPIVOTDATA("LastPurchaseDate",MaxDate!$A$3,"Customer_name",MaxDate!A1296)</f>
        <v>223</v>
      </c>
      <c r="G1294" t="str">
        <f t="shared" ca="1" si="83"/>
        <v>Inactive</v>
      </c>
      <c r="H1294" s="13">
        <f>RANK(B1294,Customer_Tiers[Total_Sales])</f>
        <v>1289</v>
      </c>
    </row>
    <row r="1295" spans="1:8">
      <c r="A1295" t="str">
        <f>'Top Customers'!A1297</f>
        <v>JAWAD</v>
      </c>
      <c r="B1295" s="5">
        <f>IF(A1295="","",IFERROR(GETPIVOTDATA("Sales Amount",'Top Customers'!$A$3,"Customer_name",'Top Customers'!A1297),""))</f>
        <v>370</v>
      </c>
      <c r="C1295" t="str">
        <f t="shared" si="80"/>
        <v>Regular</v>
      </c>
      <c r="D1295">
        <f t="shared" si="81"/>
        <v>99630</v>
      </c>
      <c r="E1295" s="6">
        <f t="shared" si="82"/>
        <v>6.4620955895056062E-6</v>
      </c>
      <c r="F1295" s="5">
        <f ca="1">TODAY()-GETPIVOTDATA("LastPurchaseDate",MaxDate!$A$3,"Customer_name",MaxDate!A1297)</f>
        <v>247</v>
      </c>
      <c r="G1295" t="str">
        <f t="shared" ca="1" si="83"/>
        <v>Inactive</v>
      </c>
      <c r="H1295" s="13">
        <f>RANK(B1295,Customer_Tiers[Total_Sales])</f>
        <v>1289</v>
      </c>
    </row>
    <row r="1296" spans="1:8">
      <c r="A1296" t="str">
        <f>'Top Customers'!A1298</f>
        <v>KAREEM PATTIMATTOM</v>
      </c>
      <c r="B1296" s="5">
        <f>IF(A1296="","",IFERROR(GETPIVOTDATA("Sales Amount",'Top Customers'!$A$3,"Customer_name",'Top Customers'!A1298),""))</f>
        <v>370</v>
      </c>
      <c r="C1296" t="str">
        <f t="shared" si="80"/>
        <v>Regular</v>
      </c>
      <c r="D1296">
        <f t="shared" si="81"/>
        <v>99630</v>
      </c>
      <c r="E1296" s="6">
        <f t="shared" si="82"/>
        <v>6.4620955895056062E-6</v>
      </c>
      <c r="F1296" s="5">
        <f ca="1">TODAY()-GETPIVOTDATA("LastPurchaseDate",MaxDate!$A$3,"Customer_name",MaxDate!A1298)</f>
        <v>181</v>
      </c>
      <c r="G1296" t="str">
        <f t="shared" ca="1" si="83"/>
        <v>Inactive</v>
      </c>
      <c r="H1296" s="13">
        <f>RANK(B1296,Customer_Tiers[Total_Sales])</f>
        <v>1289</v>
      </c>
    </row>
    <row r="1297" spans="1:8">
      <c r="A1297" t="str">
        <f>'Top Customers'!A1299</f>
        <v>PRAJESH MANNOOR</v>
      </c>
      <c r="B1297" s="5">
        <f>IF(A1297="","",IFERROR(GETPIVOTDATA("Sales Amount",'Top Customers'!$A$3,"Customer_name",'Top Customers'!A1299),""))</f>
        <v>370</v>
      </c>
      <c r="C1297" t="str">
        <f t="shared" si="80"/>
        <v>Regular</v>
      </c>
      <c r="D1297">
        <f t="shared" si="81"/>
        <v>99630</v>
      </c>
      <c r="E1297" s="6">
        <f t="shared" si="82"/>
        <v>6.4620955895056062E-6</v>
      </c>
      <c r="F1297" s="5">
        <f ca="1">TODAY()-GETPIVOTDATA("LastPurchaseDate",MaxDate!$A$3,"Customer_name",MaxDate!A1299)</f>
        <v>176</v>
      </c>
      <c r="G1297" t="str">
        <f t="shared" ca="1" si="83"/>
        <v>Inactive</v>
      </c>
      <c r="H1297" s="13">
        <f>RANK(B1297,Customer_Tiers[Total_Sales])</f>
        <v>1289</v>
      </c>
    </row>
    <row r="1298" spans="1:8">
      <c r="A1298" t="str">
        <f>'Top Customers'!A1300</f>
        <v>SABU PULINCHODE</v>
      </c>
      <c r="B1298" s="5">
        <f>IF(A1298="","",IFERROR(GETPIVOTDATA("Sales Amount",'Top Customers'!$A$3,"Customer_name",'Top Customers'!A1300),""))</f>
        <v>370</v>
      </c>
      <c r="C1298" t="str">
        <f t="shared" si="80"/>
        <v>Regular</v>
      </c>
      <c r="D1298">
        <f t="shared" si="81"/>
        <v>99630</v>
      </c>
      <c r="E1298" s="6">
        <f t="shared" si="82"/>
        <v>6.4620955895056062E-6</v>
      </c>
      <c r="F1298" s="5">
        <f ca="1">TODAY()-GETPIVOTDATA("LastPurchaseDate",MaxDate!$A$3,"Customer_name",MaxDate!A1300)</f>
        <v>181</v>
      </c>
      <c r="G1298" t="str">
        <f t="shared" ca="1" si="83"/>
        <v>Inactive</v>
      </c>
      <c r="H1298" s="13">
        <f>RANK(B1298,Customer_Tiers[Total_Sales])</f>
        <v>1289</v>
      </c>
    </row>
    <row r="1299" spans="1:8">
      <c r="A1299" t="str">
        <f>'Top Customers'!A1301</f>
        <v>RAHANA AYYAPPENKUTTY</v>
      </c>
      <c r="B1299" s="5">
        <f>IF(A1299="","",IFERROR(GETPIVOTDATA("Sales Amount",'Top Customers'!$A$3,"Customer_name",'Top Customers'!A1301),""))</f>
        <v>370</v>
      </c>
      <c r="C1299" t="str">
        <f t="shared" si="80"/>
        <v>Regular</v>
      </c>
      <c r="D1299">
        <f t="shared" si="81"/>
        <v>99630</v>
      </c>
      <c r="E1299" s="6">
        <f t="shared" si="82"/>
        <v>6.4620955895056062E-6</v>
      </c>
      <c r="F1299" s="5">
        <f ca="1">TODAY()-GETPIVOTDATA("LastPurchaseDate",MaxDate!$A$3,"Customer_name",MaxDate!A1301)</f>
        <v>251</v>
      </c>
      <c r="G1299" t="str">
        <f t="shared" ca="1" si="83"/>
        <v>Inactive</v>
      </c>
      <c r="H1299" s="13">
        <f>RANK(B1299,Customer_Tiers[Total_Sales])</f>
        <v>1289</v>
      </c>
    </row>
    <row r="1300" spans="1:8">
      <c r="A1300" t="str">
        <f>'Top Customers'!A1302</f>
        <v>SHIYAS KUMMANODE</v>
      </c>
      <c r="B1300" s="5">
        <f>IF(A1300="","",IFERROR(GETPIVOTDATA("Sales Amount",'Top Customers'!$A$3,"Customer_name",'Top Customers'!A1302),""))</f>
        <v>370</v>
      </c>
      <c r="C1300" t="str">
        <f t="shared" si="80"/>
        <v>Regular</v>
      </c>
      <c r="D1300">
        <f t="shared" si="81"/>
        <v>99630</v>
      </c>
      <c r="E1300" s="6">
        <f t="shared" si="82"/>
        <v>6.4620955895056062E-6</v>
      </c>
      <c r="F1300" s="5">
        <f ca="1">TODAY()-GETPIVOTDATA("LastPurchaseDate",MaxDate!$A$3,"Customer_name",MaxDate!A1302)</f>
        <v>171</v>
      </c>
      <c r="G1300" t="str">
        <f t="shared" ca="1" si="83"/>
        <v>Inactive</v>
      </c>
      <c r="H1300" s="13">
        <f>RANK(B1300,Customer_Tiers[Total_Sales])</f>
        <v>1289</v>
      </c>
    </row>
    <row r="1301" spans="1:8">
      <c r="A1301" t="str">
        <f>'Top Customers'!A1303</f>
        <v>THOMAS , ASPIRE VILLA</v>
      </c>
      <c r="B1301" s="5">
        <f>IF(A1301="","",IFERROR(GETPIVOTDATA("Sales Amount",'Top Customers'!$A$3,"Customer_name",'Top Customers'!A1303),""))</f>
        <v>370</v>
      </c>
      <c r="C1301" t="str">
        <f t="shared" si="80"/>
        <v>Regular</v>
      </c>
      <c r="D1301">
        <f t="shared" si="81"/>
        <v>99630</v>
      </c>
      <c r="E1301" s="6">
        <f t="shared" si="82"/>
        <v>6.4620955895056062E-6</v>
      </c>
      <c r="F1301" s="5">
        <f ca="1">TODAY()-GETPIVOTDATA("LastPurchaseDate",MaxDate!$A$3,"Customer_name",MaxDate!A1303)</f>
        <v>233</v>
      </c>
      <c r="G1301" t="str">
        <f t="shared" ca="1" si="83"/>
        <v>Inactive</v>
      </c>
      <c r="H1301" s="13">
        <f>RANK(B1301,Customer_Tiers[Total_Sales])</f>
        <v>1289</v>
      </c>
    </row>
    <row r="1302" spans="1:8">
      <c r="A1302" t="str">
        <f>'Top Customers'!A1304</f>
        <v>SUPRAN  AKKAMPARA</v>
      </c>
      <c r="B1302" s="5">
        <f>IF(A1302="","",IFERROR(GETPIVOTDATA("Sales Amount",'Top Customers'!$A$3,"Customer_name",'Top Customers'!A1304),""))</f>
        <v>370</v>
      </c>
      <c r="C1302" t="str">
        <f t="shared" si="80"/>
        <v>Regular</v>
      </c>
      <c r="D1302">
        <f t="shared" si="81"/>
        <v>99630</v>
      </c>
      <c r="E1302" s="6">
        <f t="shared" si="82"/>
        <v>6.4620955895056062E-6</v>
      </c>
      <c r="F1302" s="5">
        <f ca="1">TODAY()-GETPIVOTDATA("LastPurchaseDate",MaxDate!$A$3,"Customer_name",MaxDate!A1304)</f>
        <v>296</v>
      </c>
      <c r="G1302" t="str">
        <f t="shared" ca="1" si="83"/>
        <v>Inactive</v>
      </c>
      <c r="H1302" s="13">
        <f>RANK(B1302,Customer_Tiers[Total_Sales])</f>
        <v>1289</v>
      </c>
    </row>
    <row r="1303" spans="1:8">
      <c r="A1303" t="str">
        <f>'Top Customers'!A1305</f>
        <v>MAJEED</v>
      </c>
      <c r="B1303" s="5">
        <f>IF(A1303="","",IFERROR(GETPIVOTDATA("Sales Amount",'Top Customers'!$A$3,"Customer_name",'Top Customers'!A1305),""))</f>
        <v>368</v>
      </c>
      <c r="C1303" t="str">
        <f t="shared" si="80"/>
        <v>Regular</v>
      </c>
      <c r="D1303">
        <f t="shared" si="81"/>
        <v>99632</v>
      </c>
      <c r="E1303" s="6">
        <f t="shared" si="82"/>
        <v>6.4271653430758461E-6</v>
      </c>
      <c r="F1303" s="5">
        <f ca="1">TODAY()-GETPIVOTDATA("LastPurchaseDate",MaxDate!$A$3,"Customer_name",MaxDate!A1305)</f>
        <v>52</v>
      </c>
      <c r="G1303" t="str">
        <f t="shared" ca="1" si="83"/>
        <v>Active</v>
      </c>
      <c r="H1303" s="13">
        <f>RANK(B1303,Customer_Tiers[Total_Sales])</f>
        <v>1302</v>
      </c>
    </row>
    <row r="1304" spans="1:8">
      <c r="A1304" t="str">
        <f>'Top Customers'!A1306</f>
        <v>BABU DOUBLEPALAM</v>
      </c>
      <c r="B1304" s="5">
        <f>IF(A1304="","",IFERROR(GETPIVOTDATA("Sales Amount",'Top Customers'!$A$3,"Customer_name",'Top Customers'!A1306),""))</f>
        <v>360</v>
      </c>
      <c r="C1304" t="str">
        <f t="shared" si="80"/>
        <v>Regular</v>
      </c>
      <c r="D1304">
        <f t="shared" si="81"/>
        <v>99640</v>
      </c>
      <c r="E1304" s="6">
        <f t="shared" si="82"/>
        <v>6.2874443573568059E-6</v>
      </c>
      <c r="F1304" s="5">
        <f ca="1">TODAY()-GETPIVOTDATA("LastPurchaseDate",MaxDate!$A$3,"Customer_name",MaxDate!A1306)</f>
        <v>130</v>
      </c>
      <c r="G1304" t="str">
        <f t="shared" ca="1" si="83"/>
        <v>Inactive</v>
      </c>
      <c r="H1304" s="13">
        <f>RANK(B1304,Customer_Tiers[Total_Sales])</f>
        <v>1303</v>
      </c>
    </row>
    <row r="1305" spans="1:8">
      <c r="A1305" t="str">
        <f>'Top Customers'!A1307</f>
        <v>SAJI M K</v>
      </c>
      <c r="B1305" s="5">
        <f>IF(A1305="","",IFERROR(GETPIVOTDATA("Sales Amount",'Top Customers'!$A$3,"Customer_name",'Top Customers'!A1307),""))</f>
        <v>360</v>
      </c>
      <c r="C1305" t="str">
        <f t="shared" si="80"/>
        <v>Regular</v>
      </c>
      <c r="D1305">
        <f t="shared" si="81"/>
        <v>99640</v>
      </c>
      <c r="E1305" s="6">
        <f t="shared" si="82"/>
        <v>6.2874443573568059E-6</v>
      </c>
      <c r="F1305" s="5">
        <f ca="1">TODAY()-GETPIVOTDATA("LastPurchaseDate",MaxDate!$A$3,"Customer_name",MaxDate!A1307)</f>
        <v>302</v>
      </c>
      <c r="G1305" t="str">
        <f t="shared" ca="1" si="83"/>
        <v>Inactive</v>
      </c>
      <c r="H1305" s="13">
        <f>RANK(B1305,Customer_Tiers[Total_Sales])</f>
        <v>1303</v>
      </c>
    </row>
    <row r="1306" spans="1:8">
      <c r="A1306" t="str">
        <f>'Top Customers'!A1308</f>
        <v>SURESH EDATHIKKARA</v>
      </c>
      <c r="B1306" s="5">
        <f>IF(A1306="","",IFERROR(GETPIVOTDATA("Sales Amount",'Top Customers'!$A$3,"Customer_name",'Top Customers'!A1308),""))</f>
        <v>352</v>
      </c>
      <c r="C1306" t="str">
        <f t="shared" si="80"/>
        <v>Regular</v>
      </c>
      <c r="D1306">
        <f t="shared" si="81"/>
        <v>99648</v>
      </c>
      <c r="E1306" s="6">
        <f t="shared" si="82"/>
        <v>6.1477233716377665E-6</v>
      </c>
      <c r="F1306" s="5">
        <f ca="1">TODAY()-GETPIVOTDATA("LastPurchaseDate",MaxDate!$A$3,"Customer_name",MaxDate!A1308)</f>
        <v>173</v>
      </c>
      <c r="G1306" t="str">
        <f t="shared" ca="1" si="83"/>
        <v>Inactive</v>
      </c>
      <c r="H1306" s="13">
        <f>RANK(B1306,Customer_Tiers[Total_Sales])</f>
        <v>1305</v>
      </c>
    </row>
    <row r="1307" spans="1:8">
      <c r="A1307" t="str">
        <f>'Top Customers'!A1309</f>
        <v>AJI MORIA</v>
      </c>
      <c r="B1307" s="5">
        <f>IF(A1307="","",IFERROR(GETPIVOTDATA("Sales Amount",'Top Customers'!$A$3,"Customer_name",'Top Customers'!A1309),""))</f>
        <v>350</v>
      </c>
      <c r="C1307" t="str">
        <f t="shared" si="80"/>
        <v>Regular</v>
      </c>
      <c r="D1307">
        <f t="shared" si="81"/>
        <v>99650</v>
      </c>
      <c r="E1307" s="6">
        <f t="shared" si="82"/>
        <v>6.1127931252080064E-6</v>
      </c>
      <c r="F1307" s="5">
        <f ca="1">TODAY()-GETPIVOTDATA("LastPurchaseDate",MaxDate!$A$3,"Customer_name",MaxDate!A1309)</f>
        <v>153</v>
      </c>
      <c r="G1307" t="str">
        <f t="shared" ca="1" si="83"/>
        <v>Inactive</v>
      </c>
      <c r="H1307" s="13">
        <f>RANK(B1307,Customer_Tiers[Total_Sales])</f>
        <v>1306</v>
      </c>
    </row>
    <row r="1308" spans="1:8">
      <c r="A1308" t="str">
        <f>'Top Customers'!A1310</f>
        <v>BABU , PATTIMATTOM</v>
      </c>
      <c r="B1308" s="5">
        <f>IF(A1308="","",IFERROR(GETPIVOTDATA("Sales Amount",'Top Customers'!$A$3,"Customer_name",'Top Customers'!A1310),""))</f>
        <v>350</v>
      </c>
      <c r="C1308" t="str">
        <f t="shared" si="80"/>
        <v>Regular</v>
      </c>
      <c r="D1308">
        <f t="shared" si="81"/>
        <v>99650</v>
      </c>
      <c r="E1308" s="6">
        <f t="shared" si="82"/>
        <v>6.1127931252080064E-6</v>
      </c>
      <c r="F1308" s="5">
        <f ca="1">TODAY()-GETPIVOTDATA("LastPurchaseDate",MaxDate!$A$3,"Customer_name",MaxDate!A1310)</f>
        <v>152</v>
      </c>
      <c r="G1308" t="str">
        <f t="shared" ca="1" si="83"/>
        <v>Inactive</v>
      </c>
      <c r="H1308" s="13">
        <f>RANK(B1308,Customer_Tiers[Total_Sales])</f>
        <v>1306</v>
      </c>
    </row>
    <row r="1309" spans="1:8">
      <c r="A1309" t="str">
        <f>'Top Customers'!A1311</f>
        <v>BENNY CHOORAKKODU</v>
      </c>
      <c r="B1309" s="5">
        <f>IF(A1309="","",IFERROR(GETPIVOTDATA("Sales Amount",'Top Customers'!$A$3,"Customer_name",'Top Customers'!A1311),""))</f>
        <v>350</v>
      </c>
      <c r="C1309" t="str">
        <f t="shared" si="80"/>
        <v>Regular</v>
      </c>
      <c r="D1309">
        <f t="shared" si="81"/>
        <v>99650</v>
      </c>
      <c r="E1309" s="6">
        <f t="shared" si="82"/>
        <v>6.1127931252080064E-6</v>
      </c>
      <c r="F1309" s="5">
        <f ca="1">TODAY()-GETPIVOTDATA("LastPurchaseDate",MaxDate!$A$3,"Customer_name",MaxDate!A1311)</f>
        <v>318</v>
      </c>
      <c r="G1309" t="str">
        <f t="shared" ca="1" si="83"/>
        <v>Inactive</v>
      </c>
      <c r="H1309" s="13">
        <f>RANK(B1309,Customer_Tiers[Total_Sales])</f>
        <v>1306</v>
      </c>
    </row>
    <row r="1310" spans="1:8">
      <c r="A1310" t="str">
        <f>'Top Customers'!A1312</f>
        <v>ANWAR SCARP</v>
      </c>
      <c r="B1310" s="5">
        <f>IF(A1310="","",IFERROR(GETPIVOTDATA("Sales Amount",'Top Customers'!$A$3,"Customer_name",'Top Customers'!A1312),""))</f>
        <v>340</v>
      </c>
      <c r="C1310" t="str">
        <f t="shared" si="80"/>
        <v>Regular</v>
      </c>
      <c r="D1310">
        <f t="shared" si="81"/>
        <v>99660</v>
      </c>
      <c r="E1310" s="6">
        <f t="shared" si="82"/>
        <v>5.9381418930592061E-6</v>
      </c>
      <c r="F1310" s="5">
        <f ca="1">TODAY()-GETPIVOTDATA("LastPurchaseDate",MaxDate!$A$3,"Customer_name",MaxDate!A1312)</f>
        <v>141</v>
      </c>
      <c r="G1310" t="str">
        <f t="shared" ca="1" si="83"/>
        <v>Inactive</v>
      </c>
      <c r="H1310" s="13">
        <f>RANK(B1310,Customer_Tiers[Total_Sales])</f>
        <v>1309</v>
      </c>
    </row>
    <row r="1311" spans="1:8">
      <c r="A1311" t="str">
        <f>'Top Customers'!A1313</f>
        <v>DARSHAN</v>
      </c>
      <c r="B1311" s="5">
        <f>IF(A1311="","",IFERROR(GETPIVOTDATA("Sales Amount",'Top Customers'!$A$3,"Customer_name",'Top Customers'!A1313),""))</f>
        <v>340</v>
      </c>
      <c r="C1311" t="str">
        <f t="shared" si="80"/>
        <v>Regular</v>
      </c>
      <c r="D1311">
        <f t="shared" si="81"/>
        <v>99660</v>
      </c>
      <c r="E1311" s="6">
        <f t="shared" si="82"/>
        <v>5.9381418930592061E-6</v>
      </c>
      <c r="F1311" s="5">
        <f ca="1">TODAY()-GETPIVOTDATA("LastPurchaseDate",MaxDate!$A$3,"Customer_name",MaxDate!A1313)</f>
        <v>110</v>
      </c>
      <c r="G1311" t="str">
        <f t="shared" ca="1" si="83"/>
        <v>At Risk</v>
      </c>
      <c r="H1311" s="13">
        <f>RANK(B1311,Customer_Tiers[Total_Sales])</f>
        <v>1309</v>
      </c>
    </row>
    <row r="1312" spans="1:8">
      <c r="A1312" t="str">
        <f>'Top Customers'!A1314</f>
        <v>HASSAN KUZHIPPILLY</v>
      </c>
      <c r="B1312" s="5">
        <f>IF(A1312="","",IFERROR(GETPIVOTDATA("Sales Amount",'Top Customers'!$A$3,"Customer_name",'Top Customers'!A1314),""))</f>
        <v>340</v>
      </c>
      <c r="C1312" t="str">
        <f t="shared" si="80"/>
        <v>Regular</v>
      </c>
      <c r="D1312">
        <f t="shared" si="81"/>
        <v>99660</v>
      </c>
      <c r="E1312" s="6">
        <f t="shared" si="82"/>
        <v>5.9381418930592061E-6</v>
      </c>
      <c r="F1312" s="5">
        <f ca="1">TODAY()-GETPIVOTDATA("LastPurchaseDate",MaxDate!$A$3,"Customer_name",MaxDate!A1314)</f>
        <v>327</v>
      </c>
      <c r="G1312" t="str">
        <f t="shared" ca="1" si="83"/>
        <v>Inactive</v>
      </c>
      <c r="H1312" s="13">
        <f>RANK(B1312,Customer_Tiers[Total_Sales])</f>
        <v>1309</v>
      </c>
    </row>
    <row r="1313" spans="1:8">
      <c r="A1313" t="str">
        <f>'Top Customers'!A1315</f>
        <v>BIJU MARIYIL PASSENGER</v>
      </c>
      <c r="B1313" s="5">
        <f>IF(A1313="","",IFERROR(GETPIVOTDATA("Sales Amount",'Top Customers'!$A$3,"Customer_name",'Top Customers'!A1315),""))</f>
        <v>340</v>
      </c>
      <c r="C1313" t="str">
        <f t="shared" si="80"/>
        <v>Regular</v>
      </c>
      <c r="D1313">
        <f t="shared" si="81"/>
        <v>99660</v>
      </c>
      <c r="E1313" s="6">
        <f t="shared" si="82"/>
        <v>5.9381418930592061E-6</v>
      </c>
      <c r="F1313" s="5">
        <f ca="1">TODAY()-GETPIVOTDATA("LastPurchaseDate",MaxDate!$A$3,"Customer_name",MaxDate!A1315)</f>
        <v>99</v>
      </c>
      <c r="G1313" t="str">
        <f t="shared" ca="1" si="83"/>
        <v>At Risk</v>
      </c>
      <c r="H1313" s="13">
        <f>RANK(B1313,Customer_Tiers[Total_Sales])</f>
        <v>1309</v>
      </c>
    </row>
    <row r="1314" spans="1:8">
      <c r="A1314" t="str">
        <f>'Top Customers'!A1316</f>
        <v>JAYAN VENGOLA</v>
      </c>
      <c r="B1314" s="5">
        <f>IF(A1314="","",IFERROR(GETPIVOTDATA("Sales Amount",'Top Customers'!$A$3,"Customer_name",'Top Customers'!A1316),""))</f>
        <v>340</v>
      </c>
      <c r="C1314" t="str">
        <f t="shared" si="80"/>
        <v>Regular</v>
      </c>
      <c r="D1314">
        <f t="shared" si="81"/>
        <v>99660</v>
      </c>
      <c r="E1314" s="6">
        <f t="shared" si="82"/>
        <v>5.9381418930592061E-6</v>
      </c>
      <c r="F1314" s="5">
        <f ca="1">TODAY()-GETPIVOTDATA("LastPurchaseDate",MaxDate!$A$3,"Customer_name",MaxDate!A1316)</f>
        <v>320</v>
      </c>
      <c r="G1314" t="str">
        <f t="shared" ca="1" si="83"/>
        <v>Inactive</v>
      </c>
      <c r="H1314" s="13">
        <f>RANK(B1314,Customer_Tiers[Total_Sales])</f>
        <v>1309</v>
      </c>
    </row>
    <row r="1315" spans="1:8">
      <c r="A1315" t="str">
        <f>'Top Customers'!A1317</f>
        <v>LALU PATTIMATTOM</v>
      </c>
      <c r="B1315" s="5">
        <f>IF(A1315="","",IFERROR(GETPIVOTDATA("Sales Amount",'Top Customers'!$A$3,"Customer_name",'Top Customers'!A1317),""))</f>
        <v>340</v>
      </c>
      <c r="C1315" t="str">
        <f t="shared" si="80"/>
        <v>Regular</v>
      </c>
      <c r="D1315">
        <f t="shared" si="81"/>
        <v>99660</v>
      </c>
      <c r="E1315" s="6">
        <f t="shared" si="82"/>
        <v>5.9381418930592061E-6</v>
      </c>
      <c r="F1315" s="5">
        <f ca="1">TODAY()-GETPIVOTDATA("LastPurchaseDate",MaxDate!$A$3,"Customer_name",MaxDate!A1317)</f>
        <v>146</v>
      </c>
      <c r="G1315" t="str">
        <f t="shared" ca="1" si="83"/>
        <v>Inactive</v>
      </c>
      <c r="H1315" s="13">
        <f>RANK(B1315,Customer_Tiers[Total_Sales])</f>
        <v>1309</v>
      </c>
    </row>
    <row r="1316" spans="1:8">
      <c r="A1316" t="str">
        <f>'Top Customers'!A1318</f>
        <v>SATHEESH CHEENIKUZY</v>
      </c>
      <c r="B1316" s="5">
        <f>IF(A1316="","",IFERROR(GETPIVOTDATA("Sales Amount",'Top Customers'!$A$3,"Customer_name",'Top Customers'!A1318),""))</f>
        <v>340</v>
      </c>
      <c r="C1316" t="str">
        <f t="shared" si="80"/>
        <v>Regular</v>
      </c>
      <c r="D1316">
        <f t="shared" si="81"/>
        <v>99660</v>
      </c>
      <c r="E1316" s="6">
        <f t="shared" si="82"/>
        <v>5.9381418930592061E-6</v>
      </c>
      <c r="F1316" s="5">
        <f ca="1">TODAY()-GETPIVOTDATA("LastPurchaseDate",MaxDate!$A$3,"Customer_name",MaxDate!A1318)</f>
        <v>94</v>
      </c>
      <c r="G1316" t="str">
        <f t="shared" ca="1" si="83"/>
        <v>At Risk</v>
      </c>
      <c r="H1316" s="13">
        <f>RANK(B1316,Customer_Tiers[Total_Sales])</f>
        <v>1309</v>
      </c>
    </row>
    <row r="1317" spans="1:8">
      <c r="A1317" t="str">
        <f>'Top Customers'!A1319</f>
        <v>RAVI PATTIMATTOM</v>
      </c>
      <c r="B1317" s="5">
        <f>IF(A1317="","",IFERROR(GETPIVOTDATA("Sales Amount",'Top Customers'!$A$3,"Customer_name",'Top Customers'!A1319),""))</f>
        <v>340</v>
      </c>
      <c r="C1317" t="str">
        <f t="shared" si="80"/>
        <v>Regular</v>
      </c>
      <c r="D1317">
        <f t="shared" si="81"/>
        <v>99660</v>
      </c>
      <c r="E1317" s="6">
        <f t="shared" si="82"/>
        <v>5.9381418930592061E-6</v>
      </c>
      <c r="F1317" s="5">
        <f ca="1">TODAY()-GETPIVOTDATA("LastPurchaseDate",MaxDate!$A$3,"Customer_name",MaxDate!A1319)</f>
        <v>145</v>
      </c>
      <c r="G1317" t="str">
        <f t="shared" ca="1" si="83"/>
        <v>Inactive</v>
      </c>
      <c r="H1317" s="13">
        <f>RANK(B1317,Customer_Tiers[Total_Sales])</f>
        <v>1309</v>
      </c>
    </row>
    <row r="1318" spans="1:8">
      <c r="A1318" t="str">
        <f>'Top Customers'!A1320</f>
        <v>ROOPESH PASSENGER</v>
      </c>
      <c r="B1318" s="5">
        <f>IF(A1318="","",IFERROR(GETPIVOTDATA("Sales Amount",'Top Customers'!$A$3,"Customer_name",'Top Customers'!A1320),""))</f>
        <v>340</v>
      </c>
      <c r="C1318" t="str">
        <f t="shared" si="80"/>
        <v>Regular</v>
      </c>
      <c r="D1318">
        <f t="shared" si="81"/>
        <v>99660</v>
      </c>
      <c r="E1318" s="6">
        <f t="shared" si="82"/>
        <v>5.9381418930592061E-6</v>
      </c>
      <c r="F1318" s="5">
        <f ca="1">TODAY()-GETPIVOTDATA("LastPurchaseDate",MaxDate!$A$3,"Customer_name",MaxDate!A1320)</f>
        <v>101</v>
      </c>
      <c r="G1318" t="str">
        <f t="shared" ca="1" si="83"/>
        <v>At Risk</v>
      </c>
      <c r="H1318" s="13">
        <f>RANK(B1318,Customer_Tiers[Total_Sales])</f>
        <v>1309</v>
      </c>
    </row>
    <row r="1319" spans="1:8">
      <c r="A1319" t="str">
        <f>'Top Customers'!A1321</f>
        <v>SHAMSUDHEEN C.P</v>
      </c>
      <c r="B1319" s="5">
        <f>IF(A1319="","",IFERROR(GETPIVOTDATA("Sales Amount",'Top Customers'!$A$3,"Customer_name",'Top Customers'!A1321),""))</f>
        <v>340</v>
      </c>
      <c r="C1319" t="str">
        <f t="shared" si="80"/>
        <v>Regular</v>
      </c>
      <c r="D1319">
        <f t="shared" si="81"/>
        <v>99660</v>
      </c>
      <c r="E1319" s="6">
        <f t="shared" si="82"/>
        <v>5.9381418930592061E-6</v>
      </c>
      <c r="F1319" s="5">
        <f ca="1">TODAY()-GETPIVOTDATA("LastPurchaseDate",MaxDate!$A$3,"Customer_name",MaxDate!A1321)</f>
        <v>321</v>
      </c>
      <c r="G1319" t="str">
        <f t="shared" ca="1" si="83"/>
        <v>Inactive</v>
      </c>
      <c r="H1319" s="13">
        <f>RANK(B1319,Customer_Tiers[Total_Sales])</f>
        <v>1309</v>
      </c>
    </row>
    <row r="1320" spans="1:8">
      <c r="A1320" t="str">
        <f>'Top Customers'!A1322</f>
        <v>THOUFEEQUE KUZHIPPILLY</v>
      </c>
      <c r="B1320" s="5">
        <f>IF(A1320="","",IFERROR(GETPIVOTDATA("Sales Amount",'Top Customers'!$A$3,"Customer_name",'Top Customers'!A1322),""))</f>
        <v>340</v>
      </c>
      <c r="C1320" t="str">
        <f t="shared" si="80"/>
        <v>Regular</v>
      </c>
      <c r="D1320">
        <f t="shared" si="81"/>
        <v>99660</v>
      </c>
      <c r="E1320" s="6">
        <f t="shared" si="82"/>
        <v>5.9381418930592061E-6</v>
      </c>
      <c r="F1320" s="5">
        <f ca="1">TODAY()-GETPIVOTDATA("LastPurchaseDate",MaxDate!$A$3,"Customer_name",MaxDate!A1322)</f>
        <v>130</v>
      </c>
      <c r="G1320" t="str">
        <f t="shared" ca="1" si="83"/>
        <v>Inactive</v>
      </c>
      <c r="H1320" s="13">
        <f>RANK(B1320,Customer_Tiers[Total_Sales])</f>
        <v>1309</v>
      </c>
    </row>
    <row r="1321" spans="1:8">
      <c r="A1321" t="str">
        <f>'Top Customers'!A1323</f>
        <v>MUHAMMED</v>
      </c>
      <c r="B1321" s="5">
        <f>IF(A1321="","",IFERROR(GETPIVOTDATA("Sales Amount",'Top Customers'!$A$3,"Customer_name",'Top Customers'!A1323),""))</f>
        <v>330</v>
      </c>
      <c r="C1321" t="str">
        <f t="shared" si="80"/>
        <v>Regular</v>
      </c>
      <c r="D1321">
        <f t="shared" si="81"/>
        <v>99670</v>
      </c>
      <c r="E1321" s="6">
        <f t="shared" si="82"/>
        <v>5.7634906609104058E-6</v>
      </c>
      <c r="F1321" s="5">
        <f ca="1">TODAY()-GETPIVOTDATA("LastPurchaseDate",MaxDate!$A$3,"Customer_name",MaxDate!A1323)</f>
        <v>19</v>
      </c>
      <c r="G1321" t="str">
        <f t="shared" ca="1" si="83"/>
        <v>Active</v>
      </c>
      <c r="H1321" s="13">
        <f>RANK(B1321,Customer_Tiers[Total_Sales])</f>
        <v>1320</v>
      </c>
    </row>
    <row r="1322" spans="1:8">
      <c r="A1322" t="str">
        <f>'Top Customers'!A1324</f>
        <v>KABEER, PATTIMATTOM</v>
      </c>
      <c r="B1322" s="5">
        <f>IF(A1322="","",IFERROR(GETPIVOTDATA("Sales Amount",'Top Customers'!$A$3,"Customer_name",'Top Customers'!A1324),""))</f>
        <v>330</v>
      </c>
      <c r="C1322" t="str">
        <f t="shared" si="80"/>
        <v>Regular</v>
      </c>
      <c r="D1322">
        <f t="shared" si="81"/>
        <v>99670</v>
      </c>
      <c r="E1322" s="6">
        <f t="shared" si="82"/>
        <v>5.7634906609104058E-6</v>
      </c>
      <c r="F1322" s="5">
        <f ca="1">TODAY()-GETPIVOTDATA("LastPurchaseDate",MaxDate!$A$3,"Customer_name",MaxDate!A1324)</f>
        <v>286</v>
      </c>
      <c r="G1322" t="str">
        <f t="shared" ca="1" si="83"/>
        <v>Inactive</v>
      </c>
      <c r="H1322" s="13">
        <f>RANK(B1322,Customer_Tiers[Total_Sales])</f>
        <v>1320</v>
      </c>
    </row>
    <row r="1323" spans="1:8">
      <c r="A1323" t="str">
        <f>'Top Customers'!A1325</f>
        <v>SURENDRAN CHOLLAPPILLY</v>
      </c>
      <c r="B1323" s="5">
        <f>IF(A1323="","",IFERROR(GETPIVOTDATA("Sales Amount",'Top Customers'!$A$3,"Customer_name",'Top Customers'!A1325),""))</f>
        <v>330</v>
      </c>
      <c r="C1323" t="str">
        <f t="shared" si="80"/>
        <v>Regular</v>
      </c>
      <c r="D1323">
        <f t="shared" si="81"/>
        <v>99670</v>
      </c>
      <c r="E1323" s="6">
        <f t="shared" si="82"/>
        <v>5.7634906609104058E-6</v>
      </c>
      <c r="F1323" s="5">
        <f ca="1">TODAY()-GETPIVOTDATA("LastPurchaseDate",MaxDate!$A$3,"Customer_name",MaxDate!A1325)</f>
        <v>88</v>
      </c>
      <c r="G1323" t="str">
        <f t="shared" ca="1" si="83"/>
        <v>At Risk</v>
      </c>
      <c r="H1323" s="13">
        <f>RANK(B1323,Customer_Tiers[Total_Sales])</f>
        <v>1320</v>
      </c>
    </row>
    <row r="1324" spans="1:8">
      <c r="A1324" t="str">
        <f>'Top Customers'!A1326</f>
        <v>LIJI , VALAMBOOR</v>
      </c>
      <c r="B1324" s="5">
        <f>IF(A1324="","",IFERROR(GETPIVOTDATA("Sales Amount",'Top Customers'!$A$3,"Customer_name",'Top Customers'!A1326),""))</f>
        <v>324</v>
      </c>
      <c r="C1324" t="str">
        <f t="shared" si="80"/>
        <v>Regular</v>
      </c>
      <c r="D1324">
        <f t="shared" si="81"/>
        <v>99676</v>
      </c>
      <c r="E1324" s="6">
        <f t="shared" si="82"/>
        <v>5.6586999216211256E-6</v>
      </c>
      <c r="F1324" s="5">
        <f ca="1">TODAY()-GETPIVOTDATA("LastPurchaseDate",MaxDate!$A$3,"Customer_name",MaxDate!A1326)</f>
        <v>197</v>
      </c>
      <c r="G1324" t="str">
        <f t="shared" ca="1" si="83"/>
        <v>Inactive</v>
      </c>
      <c r="H1324" s="13">
        <f>RANK(B1324,Customer_Tiers[Total_Sales])</f>
        <v>1323</v>
      </c>
    </row>
    <row r="1325" spans="1:8">
      <c r="A1325" t="str">
        <f>'Top Customers'!A1327</f>
        <v>TONY PATTIMATTOM</v>
      </c>
      <c r="B1325" s="5">
        <f>IF(A1325="","",IFERROR(GETPIVOTDATA("Sales Amount",'Top Customers'!$A$3,"Customer_name",'Top Customers'!A1327),""))</f>
        <v>322</v>
      </c>
      <c r="C1325" t="str">
        <f t="shared" si="80"/>
        <v>Regular</v>
      </c>
      <c r="D1325">
        <f t="shared" si="81"/>
        <v>99678</v>
      </c>
      <c r="E1325" s="6">
        <f t="shared" si="82"/>
        <v>5.6237696751913656E-6</v>
      </c>
      <c r="F1325" s="5">
        <f ca="1">TODAY()-GETPIVOTDATA("LastPurchaseDate",MaxDate!$A$3,"Customer_name",MaxDate!A1327)</f>
        <v>102</v>
      </c>
      <c r="G1325" t="str">
        <f t="shared" ca="1" si="83"/>
        <v>At Risk</v>
      </c>
      <c r="H1325" s="13">
        <f>RANK(B1325,Customer_Tiers[Total_Sales])</f>
        <v>1324</v>
      </c>
    </row>
    <row r="1326" spans="1:8">
      <c r="A1326" t="str">
        <f>'Top Customers'!A1328</f>
        <v>BABU , CHOORAKKODE</v>
      </c>
      <c r="B1326" s="5">
        <f>IF(A1326="","",IFERROR(GETPIVOTDATA("Sales Amount",'Top Customers'!$A$3,"Customer_name",'Top Customers'!A1328),""))</f>
        <v>320</v>
      </c>
      <c r="C1326" t="str">
        <f t="shared" si="80"/>
        <v>Regular</v>
      </c>
      <c r="D1326">
        <f t="shared" si="81"/>
        <v>99680</v>
      </c>
      <c r="E1326" s="6">
        <f t="shared" si="82"/>
        <v>5.5888394287616055E-6</v>
      </c>
      <c r="F1326" s="5">
        <f ca="1">TODAY()-GETPIVOTDATA("LastPurchaseDate",MaxDate!$A$3,"Customer_name",MaxDate!A1328)</f>
        <v>6</v>
      </c>
      <c r="G1326" t="str">
        <f t="shared" ca="1" si="83"/>
        <v>Active</v>
      </c>
      <c r="H1326" s="13">
        <f>RANK(B1326,Customer_Tiers[Total_Sales])</f>
        <v>1325</v>
      </c>
    </row>
    <row r="1327" spans="1:8">
      <c r="A1327" t="str">
        <f>'Top Customers'!A1329</f>
        <v>ANZAR.....</v>
      </c>
      <c r="B1327" s="5">
        <f>IF(A1327="","",IFERROR(GETPIVOTDATA("Sales Amount",'Top Customers'!$A$3,"Customer_name",'Top Customers'!A1329),""))</f>
        <v>320</v>
      </c>
      <c r="C1327" t="str">
        <f t="shared" si="80"/>
        <v>Regular</v>
      </c>
      <c r="D1327">
        <f t="shared" si="81"/>
        <v>99680</v>
      </c>
      <c r="E1327" s="6">
        <f t="shared" si="82"/>
        <v>5.5888394287616055E-6</v>
      </c>
      <c r="F1327" s="5">
        <f ca="1">TODAY()-GETPIVOTDATA("LastPurchaseDate",MaxDate!$A$3,"Customer_name",MaxDate!A1329)</f>
        <v>13</v>
      </c>
      <c r="G1327" t="str">
        <f t="shared" ca="1" si="83"/>
        <v>Active</v>
      </c>
      <c r="H1327" s="13">
        <f>RANK(B1327,Customer_Tiers[Total_Sales])</f>
        <v>1325</v>
      </c>
    </row>
    <row r="1328" spans="1:8">
      <c r="A1328" t="str">
        <f>'Top Customers'!A1330</f>
        <v>JOHNSON ERAPPUMPARA</v>
      </c>
      <c r="B1328" s="5">
        <f>IF(A1328="","",IFERROR(GETPIVOTDATA("Sales Amount",'Top Customers'!$A$3,"Customer_name",'Top Customers'!A1330),""))</f>
        <v>320</v>
      </c>
      <c r="C1328" t="str">
        <f t="shared" si="80"/>
        <v>Regular</v>
      </c>
      <c r="D1328">
        <f t="shared" si="81"/>
        <v>99680</v>
      </c>
      <c r="E1328" s="6">
        <f t="shared" si="82"/>
        <v>5.5888394287616055E-6</v>
      </c>
      <c r="F1328" s="5">
        <f ca="1">TODAY()-GETPIVOTDATA("LastPurchaseDate",MaxDate!$A$3,"Customer_name",MaxDate!A1330)</f>
        <v>44</v>
      </c>
      <c r="G1328" t="str">
        <f t="shared" ca="1" si="83"/>
        <v>Active</v>
      </c>
      <c r="H1328" s="13">
        <f>RANK(B1328,Customer_Tiers[Total_Sales])</f>
        <v>1325</v>
      </c>
    </row>
    <row r="1329" spans="1:8">
      <c r="A1329" t="str">
        <f>'Top Customers'!A1331</f>
        <v>KAIMAL PASSENGER</v>
      </c>
      <c r="B1329" s="5">
        <f>IF(A1329="","",IFERROR(GETPIVOTDATA("Sales Amount",'Top Customers'!$A$3,"Customer_name",'Top Customers'!A1331),""))</f>
        <v>320</v>
      </c>
      <c r="C1329" t="str">
        <f t="shared" si="80"/>
        <v>Regular</v>
      </c>
      <c r="D1329">
        <f t="shared" si="81"/>
        <v>99680</v>
      </c>
      <c r="E1329" s="6">
        <f t="shared" si="82"/>
        <v>5.5888394287616055E-6</v>
      </c>
      <c r="F1329" s="5">
        <f ca="1">TODAY()-GETPIVOTDATA("LastPurchaseDate",MaxDate!$A$3,"Customer_name",MaxDate!A1331)</f>
        <v>16</v>
      </c>
      <c r="G1329" t="str">
        <f t="shared" ca="1" si="83"/>
        <v>Active</v>
      </c>
      <c r="H1329" s="13">
        <f>RANK(B1329,Customer_Tiers[Total_Sales])</f>
        <v>1325</v>
      </c>
    </row>
    <row r="1330" spans="1:8">
      <c r="A1330" t="str">
        <f>'Top Customers'!A1332</f>
        <v>MUHAMMED PATTIMATTOM</v>
      </c>
      <c r="B1330" s="5">
        <f>IF(A1330="","",IFERROR(GETPIVOTDATA("Sales Amount",'Top Customers'!$A$3,"Customer_name",'Top Customers'!A1332),""))</f>
        <v>320</v>
      </c>
      <c r="C1330" t="str">
        <f t="shared" si="80"/>
        <v>Regular</v>
      </c>
      <c r="D1330">
        <f t="shared" si="81"/>
        <v>99680</v>
      </c>
      <c r="E1330" s="6">
        <f t="shared" si="82"/>
        <v>5.5888394287616055E-6</v>
      </c>
      <c r="F1330" s="5">
        <f ca="1">TODAY()-GETPIVOTDATA("LastPurchaseDate",MaxDate!$A$3,"Customer_name",MaxDate!A1332)</f>
        <v>1</v>
      </c>
      <c r="G1330" t="str">
        <f t="shared" ca="1" si="83"/>
        <v>Active</v>
      </c>
      <c r="H1330" s="13">
        <f>RANK(B1330,Customer_Tiers[Total_Sales])</f>
        <v>1325</v>
      </c>
    </row>
    <row r="1331" spans="1:8">
      <c r="A1331" t="str">
        <f>'Top Customers'!A1333</f>
        <v>SABEENA PATTIMATTOM</v>
      </c>
      <c r="B1331" s="5">
        <f>IF(A1331="","",IFERROR(GETPIVOTDATA("Sales Amount",'Top Customers'!$A$3,"Customer_name",'Top Customers'!A1333),""))</f>
        <v>320</v>
      </c>
      <c r="C1331" t="str">
        <f t="shared" si="80"/>
        <v>Regular</v>
      </c>
      <c r="D1331">
        <f t="shared" si="81"/>
        <v>99680</v>
      </c>
      <c r="E1331" s="6">
        <f t="shared" si="82"/>
        <v>5.5888394287616055E-6</v>
      </c>
      <c r="F1331" s="5">
        <f ca="1">TODAY()-GETPIVOTDATA("LastPurchaseDate",MaxDate!$A$3,"Customer_name",MaxDate!A1333)</f>
        <v>26</v>
      </c>
      <c r="G1331" t="str">
        <f t="shared" ca="1" si="83"/>
        <v>Active</v>
      </c>
      <c r="H1331" s="13">
        <f>RANK(B1331,Customer_Tiers[Total_Sales])</f>
        <v>1325</v>
      </c>
    </row>
    <row r="1332" spans="1:8">
      <c r="A1332" t="str">
        <f>'Top Customers'!A1334</f>
        <v>REJI , CHENGARA</v>
      </c>
      <c r="B1332" s="5">
        <f>IF(A1332="","",IFERROR(GETPIVOTDATA("Sales Amount",'Top Customers'!$A$3,"Customer_name",'Top Customers'!A1334),""))</f>
        <v>320</v>
      </c>
      <c r="C1332" t="str">
        <f t="shared" si="80"/>
        <v>Regular</v>
      </c>
      <c r="D1332">
        <f t="shared" si="81"/>
        <v>99680</v>
      </c>
      <c r="E1332" s="6">
        <f t="shared" si="82"/>
        <v>5.5888394287616055E-6</v>
      </c>
      <c r="F1332" s="5">
        <f ca="1">TODAY()-GETPIVOTDATA("LastPurchaseDate",MaxDate!$A$3,"Customer_name",MaxDate!A1334)</f>
        <v>23</v>
      </c>
      <c r="G1332" t="str">
        <f t="shared" ca="1" si="83"/>
        <v>Active</v>
      </c>
      <c r="H1332" s="13">
        <f>RANK(B1332,Customer_Tiers[Total_Sales])</f>
        <v>1325</v>
      </c>
    </row>
    <row r="1333" spans="1:8">
      <c r="A1333" t="str">
        <f>'Top Customers'!A1335</f>
        <v>SHAHAS DOUBLEPALAM</v>
      </c>
      <c r="B1333" s="5">
        <f>IF(A1333="","",IFERROR(GETPIVOTDATA("Sales Amount",'Top Customers'!$A$3,"Customer_name",'Top Customers'!A1335),""))</f>
        <v>320</v>
      </c>
      <c r="C1333" t="str">
        <f t="shared" si="80"/>
        <v>Regular</v>
      </c>
      <c r="D1333">
        <f t="shared" si="81"/>
        <v>99680</v>
      </c>
      <c r="E1333" s="6">
        <f t="shared" si="82"/>
        <v>5.5888394287616055E-6</v>
      </c>
      <c r="F1333" s="5">
        <f ca="1">TODAY()-GETPIVOTDATA("LastPurchaseDate",MaxDate!$A$3,"Customer_name",MaxDate!A1335)</f>
        <v>15</v>
      </c>
      <c r="G1333" t="str">
        <f t="shared" ca="1" si="83"/>
        <v>Active</v>
      </c>
      <c r="H1333" s="13">
        <f>RANK(B1333,Customer_Tiers[Total_Sales])</f>
        <v>1325</v>
      </c>
    </row>
    <row r="1334" spans="1:8">
      <c r="A1334" t="str">
        <f>'Top Customers'!A1336</f>
        <v>SETHU</v>
      </c>
      <c r="B1334" s="5">
        <f>IF(A1334="","",IFERROR(GETPIVOTDATA("Sales Amount",'Top Customers'!$A$3,"Customer_name",'Top Customers'!A1336),""))</f>
        <v>320</v>
      </c>
      <c r="C1334" t="str">
        <f t="shared" si="80"/>
        <v>Regular</v>
      </c>
      <c r="D1334">
        <f t="shared" si="81"/>
        <v>99680</v>
      </c>
      <c r="E1334" s="6">
        <f t="shared" si="82"/>
        <v>5.5888394287616055E-6</v>
      </c>
      <c r="F1334" s="5">
        <f ca="1">TODAY()-GETPIVOTDATA("LastPurchaseDate",MaxDate!$A$3,"Customer_name",MaxDate!A1336)</f>
        <v>44</v>
      </c>
      <c r="G1334" t="str">
        <f t="shared" ca="1" si="83"/>
        <v>Active</v>
      </c>
      <c r="H1334" s="13">
        <f>RANK(B1334,Customer_Tiers[Total_Sales])</f>
        <v>1325</v>
      </c>
    </row>
    <row r="1335" spans="1:8">
      <c r="A1335" t="str">
        <f>'Top Customers'!A1337</f>
        <v>Sidhique , Chengara</v>
      </c>
      <c r="B1335" s="5">
        <f>IF(A1335="","",IFERROR(GETPIVOTDATA("Sales Amount",'Top Customers'!$A$3,"Customer_name",'Top Customers'!A1337),""))</f>
        <v>320</v>
      </c>
      <c r="C1335" t="str">
        <f t="shared" si="80"/>
        <v>Regular</v>
      </c>
      <c r="D1335">
        <f t="shared" si="81"/>
        <v>99680</v>
      </c>
      <c r="E1335" s="6">
        <f t="shared" si="82"/>
        <v>5.5888394287616055E-6</v>
      </c>
      <c r="F1335" s="5">
        <f ca="1">TODAY()-GETPIVOTDATA("LastPurchaseDate",MaxDate!$A$3,"Customer_name",MaxDate!A1337)</f>
        <v>10</v>
      </c>
      <c r="G1335" t="str">
        <f t="shared" ca="1" si="83"/>
        <v>Active</v>
      </c>
      <c r="H1335" s="13">
        <f>RANK(B1335,Customer_Tiers[Total_Sales])</f>
        <v>1325</v>
      </c>
    </row>
    <row r="1336" spans="1:8">
      <c r="A1336" t="str">
        <f>'Top Customers'!A1338</f>
        <v>SIDHQUE CHENGARA</v>
      </c>
      <c r="B1336" s="5">
        <f>IF(A1336="","",IFERROR(GETPIVOTDATA("Sales Amount",'Top Customers'!$A$3,"Customer_name",'Top Customers'!A1338),""))</f>
        <v>320</v>
      </c>
      <c r="C1336" t="str">
        <f t="shared" si="80"/>
        <v>Regular</v>
      </c>
      <c r="D1336">
        <f t="shared" si="81"/>
        <v>99680</v>
      </c>
      <c r="E1336" s="6">
        <f t="shared" si="82"/>
        <v>5.5888394287616055E-6</v>
      </c>
      <c r="F1336" s="5">
        <f ca="1">TODAY()-GETPIVOTDATA("LastPurchaseDate",MaxDate!$A$3,"Customer_name",MaxDate!A1338)</f>
        <v>8</v>
      </c>
      <c r="G1336" t="str">
        <f t="shared" ca="1" si="83"/>
        <v>Active</v>
      </c>
      <c r="H1336" s="13">
        <f>RANK(B1336,Customer_Tiers[Total_Sales])</f>
        <v>1325</v>
      </c>
    </row>
    <row r="1337" spans="1:8">
      <c r="A1337" t="str">
        <f>'Top Customers'!A1339</f>
        <v>BAVA MANNACHERRY</v>
      </c>
      <c r="B1337" s="5">
        <f>IF(A1337="","",IFERROR(GETPIVOTDATA("Sales Amount",'Top Customers'!$A$3,"Customer_name",'Top Customers'!A1339),""))</f>
        <v>310</v>
      </c>
      <c r="C1337" t="str">
        <f t="shared" si="80"/>
        <v>Regular</v>
      </c>
      <c r="D1337">
        <f t="shared" si="81"/>
        <v>99690</v>
      </c>
      <c r="E1337" s="6">
        <f t="shared" si="82"/>
        <v>5.4141881966128052E-6</v>
      </c>
      <c r="F1337" s="5">
        <f ca="1">TODAY()-GETPIVOTDATA("LastPurchaseDate",MaxDate!$A$3,"Customer_name",MaxDate!A1339)</f>
        <v>75</v>
      </c>
      <c r="G1337" t="str">
        <f t="shared" ca="1" si="83"/>
        <v>At Risk</v>
      </c>
      <c r="H1337" s="13">
        <f>RANK(B1337,Customer_Tiers[Total_Sales])</f>
        <v>1336</v>
      </c>
    </row>
    <row r="1338" spans="1:8">
      <c r="A1338" t="str">
        <f>'Top Customers'!A1340</f>
        <v>DEEPU MANGALATHUNADA</v>
      </c>
      <c r="B1338" s="5">
        <f>IF(A1338="","",IFERROR(GETPIVOTDATA("Sales Amount",'Top Customers'!$A$3,"Customer_name",'Top Customers'!A1340),""))</f>
        <v>310</v>
      </c>
      <c r="C1338" t="str">
        <f t="shared" si="80"/>
        <v>Regular</v>
      </c>
      <c r="D1338">
        <f t="shared" si="81"/>
        <v>99690</v>
      </c>
      <c r="E1338" s="6">
        <f t="shared" si="82"/>
        <v>5.4141881966128052E-6</v>
      </c>
      <c r="F1338" s="5">
        <f ca="1">TODAY()-GETPIVOTDATA("LastPurchaseDate",MaxDate!$A$3,"Customer_name",MaxDate!A1340)</f>
        <v>24</v>
      </c>
      <c r="G1338" t="str">
        <f t="shared" ca="1" si="83"/>
        <v>Active</v>
      </c>
      <c r="H1338" s="13">
        <f>RANK(B1338,Customer_Tiers[Total_Sales])</f>
        <v>1336</v>
      </c>
    </row>
    <row r="1339" spans="1:8">
      <c r="A1339" t="str">
        <f>'Top Customers'!A1341</f>
        <v>PAUL CHACHAN</v>
      </c>
      <c r="B1339" s="5">
        <f>IF(A1339="","",IFERROR(GETPIVOTDATA("Sales Amount",'Top Customers'!$A$3,"Customer_name",'Top Customers'!A1341),""))</f>
        <v>310</v>
      </c>
      <c r="C1339" t="str">
        <f t="shared" si="80"/>
        <v>Regular</v>
      </c>
      <c r="D1339">
        <f t="shared" si="81"/>
        <v>99690</v>
      </c>
      <c r="E1339" s="6">
        <f t="shared" si="82"/>
        <v>5.4141881966128052E-6</v>
      </c>
      <c r="F1339" s="5">
        <f ca="1">TODAY()-GETPIVOTDATA("LastPurchaseDate",MaxDate!$A$3,"Customer_name",MaxDate!A1341)</f>
        <v>183</v>
      </c>
      <c r="G1339" t="str">
        <f t="shared" ca="1" si="83"/>
        <v>Inactive</v>
      </c>
      <c r="H1339" s="13">
        <f>RANK(B1339,Customer_Tiers[Total_Sales])</f>
        <v>1336</v>
      </c>
    </row>
    <row r="1340" spans="1:8">
      <c r="A1340" t="str">
        <f>'Top Customers'!A1342</f>
        <v>NAZER , THAILAN</v>
      </c>
      <c r="B1340" s="5">
        <f>IF(A1340="","",IFERROR(GETPIVOTDATA("Sales Amount",'Top Customers'!$A$3,"Customer_name",'Top Customers'!A1342),""))</f>
        <v>310</v>
      </c>
      <c r="C1340" t="str">
        <f t="shared" si="80"/>
        <v>Regular</v>
      </c>
      <c r="D1340">
        <f t="shared" si="81"/>
        <v>99690</v>
      </c>
      <c r="E1340" s="6">
        <f t="shared" si="82"/>
        <v>5.4141881966128052E-6</v>
      </c>
      <c r="F1340" s="5">
        <f ca="1">TODAY()-GETPIVOTDATA("LastPurchaseDate",MaxDate!$A$3,"Customer_name",MaxDate!A1342)</f>
        <v>74</v>
      </c>
      <c r="G1340" t="str">
        <f t="shared" ca="1" si="83"/>
        <v>At Risk</v>
      </c>
      <c r="H1340" s="13">
        <f>RANK(B1340,Customer_Tiers[Total_Sales])</f>
        <v>1336</v>
      </c>
    </row>
    <row r="1341" spans="1:8">
      <c r="A1341" t="str">
        <f>'Top Customers'!A1343</f>
        <v>SHYJU KOLAMKUDY</v>
      </c>
      <c r="B1341" s="5">
        <f>IF(A1341="","",IFERROR(GETPIVOTDATA("Sales Amount",'Top Customers'!$A$3,"Customer_name",'Top Customers'!A1343),""))</f>
        <v>310</v>
      </c>
      <c r="C1341" t="str">
        <f t="shared" si="80"/>
        <v>Regular</v>
      </c>
      <c r="D1341">
        <f t="shared" si="81"/>
        <v>99690</v>
      </c>
      <c r="E1341" s="6">
        <f t="shared" si="82"/>
        <v>5.4141881966128052E-6</v>
      </c>
      <c r="F1341" s="5">
        <f ca="1">TODAY()-GETPIVOTDATA("LastPurchaseDate",MaxDate!$A$3,"Customer_name",MaxDate!A1343)</f>
        <v>62</v>
      </c>
      <c r="G1341" t="str">
        <f t="shared" ca="1" si="83"/>
        <v>At Risk</v>
      </c>
      <c r="H1341" s="13">
        <f>RANK(B1341,Customer_Tiers[Total_Sales])</f>
        <v>1336</v>
      </c>
    </row>
    <row r="1342" spans="1:8">
      <c r="A1342" t="str">
        <f>'Top Customers'!A1344</f>
        <v>SREEJITH C</v>
      </c>
      <c r="B1342" s="5">
        <f>IF(A1342="","",IFERROR(GETPIVOTDATA("Sales Amount",'Top Customers'!$A$3,"Customer_name",'Top Customers'!A1344),""))</f>
        <v>310</v>
      </c>
      <c r="C1342" t="str">
        <f t="shared" si="80"/>
        <v>Regular</v>
      </c>
      <c r="D1342">
        <f t="shared" si="81"/>
        <v>99690</v>
      </c>
      <c r="E1342" s="6">
        <f t="shared" si="82"/>
        <v>5.4141881966128052E-6</v>
      </c>
      <c r="F1342" s="5">
        <f ca="1">TODAY()-GETPIVOTDATA("LastPurchaseDate",MaxDate!$A$3,"Customer_name",MaxDate!A1344)</f>
        <v>75</v>
      </c>
      <c r="G1342" t="str">
        <f t="shared" ca="1" si="83"/>
        <v>At Risk</v>
      </c>
      <c r="H1342" s="13">
        <f>RANK(B1342,Customer_Tiers[Total_Sales])</f>
        <v>1336</v>
      </c>
    </row>
    <row r="1343" spans="1:8">
      <c r="A1343" t="str">
        <f>'Top Customers'!A1345</f>
        <v>ALIYAR</v>
      </c>
      <c r="B1343" s="5">
        <f>IF(A1343="","",IFERROR(GETPIVOTDATA("Sales Amount",'Top Customers'!$A$3,"Customer_name",'Top Customers'!A1345),""))</f>
        <v>300</v>
      </c>
      <c r="C1343" t="str">
        <f t="shared" si="80"/>
        <v>Regular</v>
      </c>
      <c r="D1343">
        <f t="shared" si="81"/>
        <v>99700</v>
      </c>
      <c r="E1343" s="6">
        <f t="shared" si="82"/>
        <v>5.2395369644640049E-6</v>
      </c>
      <c r="F1343" s="5">
        <f ca="1">TODAY()-GETPIVOTDATA("LastPurchaseDate",MaxDate!$A$3,"Customer_name",MaxDate!A1345)</f>
        <v>22</v>
      </c>
      <c r="G1343" t="str">
        <f t="shared" ca="1" si="83"/>
        <v>Active</v>
      </c>
      <c r="H1343" s="13">
        <f>RANK(B1343,Customer_Tiers[Total_Sales])</f>
        <v>1342</v>
      </c>
    </row>
    <row r="1344" spans="1:8">
      <c r="A1344" t="str">
        <f>'Top Customers'!A1346</f>
        <v>ASWIN DEV</v>
      </c>
      <c r="B1344" s="5">
        <f>IF(A1344="","",IFERROR(GETPIVOTDATA("Sales Amount",'Top Customers'!$A$3,"Customer_name",'Top Customers'!A1346),""))</f>
        <v>300</v>
      </c>
      <c r="C1344" t="str">
        <f t="shared" si="80"/>
        <v>Regular</v>
      </c>
      <c r="D1344">
        <f t="shared" si="81"/>
        <v>99700</v>
      </c>
      <c r="E1344" s="6">
        <f t="shared" si="82"/>
        <v>5.2395369644640049E-6</v>
      </c>
      <c r="F1344" s="5">
        <f ca="1">TODAY()-GETPIVOTDATA("LastPurchaseDate",MaxDate!$A$3,"Customer_name",MaxDate!A1346)</f>
        <v>78</v>
      </c>
      <c r="G1344" t="str">
        <f t="shared" ca="1" si="83"/>
        <v>At Risk</v>
      </c>
      <c r="H1344" s="13">
        <f>RANK(B1344,Customer_Tiers[Total_Sales])</f>
        <v>1342</v>
      </c>
    </row>
    <row r="1345" spans="1:8">
      <c r="A1345" t="str">
        <f>'Top Customers'!A1347</f>
        <v>ALAN PAUL</v>
      </c>
      <c r="B1345" s="5">
        <f>IF(A1345="","",IFERROR(GETPIVOTDATA("Sales Amount",'Top Customers'!$A$3,"Customer_name",'Top Customers'!A1347),""))</f>
        <v>297</v>
      </c>
      <c r="C1345" t="str">
        <f t="shared" si="80"/>
        <v>Regular</v>
      </c>
      <c r="D1345">
        <f t="shared" si="81"/>
        <v>99703</v>
      </c>
      <c r="E1345" s="6">
        <f t="shared" si="82"/>
        <v>5.1871415948193652E-6</v>
      </c>
      <c r="F1345" s="5">
        <f ca="1">TODAY()-GETPIVOTDATA("LastPurchaseDate",MaxDate!$A$3,"Customer_name",MaxDate!A1347)</f>
        <v>285</v>
      </c>
      <c r="G1345" t="str">
        <f t="shared" ca="1" si="83"/>
        <v>Inactive</v>
      </c>
      <c r="H1345" s="13">
        <f>RANK(B1345,Customer_Tiers[Total_Sales])</f>
        <v>1344</v>
      </c>
    </row>
    <row r="1346" spans="1:8">
      <c r="A1346" t="str">
        <f>'Top Customers'!A1348</f>
        <v>A S ASSOCIATES</v>
      </c>
      <c r="B1346" s="5">
        <f>IF(A1346="","",IFERROR(GETPIVOTDATA("Sales Amount",'Top Customers'!$A$3,"Customer_name",'Top Customers'!A1348),""))</f>
        <v>290</v>
      </c>
      <c r="C1346" t="str">
        <f t="shared" ref="C1346:C1409" si="84">IF(B1346&gt;=1000000,"Platinum",
 IF(B1346&gt;=500000,"Gold",
 IF(B1346&gt;=100000,"Silver","Regular")))</f>
        <v>Regular</v>
      </c>
      <c r="D1346">
        <f t="shared" ref="D1346:D1409" si="85">IF(C1346="Platinum",0,
 IF(C1346="Gold",1000000-B1346,
 IF(C1346="Silver",500000-B1346,
 IF(C1346="Regular",100000-B1346,0))))</f>
        <v>99710</v>
      </c>
      <c r="E1346" s="6">
        <f t="shared" ref="E1346:E1409" si="86">B1346/SUM(B:B)</f>
        <v>5.0648857323152054E-6</v>
      </c>
      <c r="F1346" s="5">
        <f ca="1">TODAY()-GETPIVOTDATA("LastPurchaseDate",MaxDate!$A$3,"Customer_name",MaxDate!A1348)</f>
        <v>328</v>
      </c>
      <c r="G1346" t="str">
        <f t="shared" ref="G1346:G1409" ca="1" si="87">IF(F1346="","",
 IF(F1346&lt;=60,"Active",
 IF(F1346&lt;=120,"At Risk","Inactive")))</f>
        <v>Inactive</v>
      </c>
      <c r="H1346" s="13">
        <f>RANK(B1346,Customer_Tiers[Total_Sales])</f>
        <v>1345</v>
      </c>
    </row>
    <row r="1347" spans="1:8">
      <c r="A1347" t="str">
        <f>'Top Customers'!A1349</f>
        <v>PRADEEP PATTIMATTOM</v>
      </c>
      <c r="B1347" s="5">
        <f>IF(A1347="","",IFERROR(GETPIVOTDATA("Sales Amount",'Top Customers'!$A$3,"Customer_name",'Top Customers'!A1349),""))</f>
        <v>290</v>
      </c>
      <c r="C1347" t="str">
        <f t="shared" si="84"/>
        <v>Regular</v>
      </c>
      <c r="D1347">
        <f t="shared" si="85"/>
        <v>99710</v>
      </c>
      <c r="E1347" s="6">
        <f t="shared" si="86"/>
        <v>5.0648857323152054E-6</v>
      </c>
      <c r="F1347" s="5">
        <f ca="1">TODAY()-GETPIVOTDATA("LastPurchaseDate",MaxDate!$A$3,"Customer_name",MaxDate!A1349)</f>
        <v>216</v>
      </c>
      <c r="G1347" t="str">
        <f t="shared" ca="1" si="87"/>
        <v>Inactive</v>
      </c>
      <c r="H1347" s="13">
        <f>RANK(B1347,Customer_Tiers[Total_Sales])</f>
        <v>1345</v>
      </c>
    </row>
    <row r="1348" spans="1:8">
      <c r="A1348" t="str">
        <f>'Top Customers'!A1350</f>
        <v>FIBI</v>
      </c>
      <c r="B1348" s="5">
        <f>IF(A1348="","",IFERROR(GETPIVOTDATA("Sales Amount",'Top Customers'!$A$3,"Customer_name",'Top Customers'!A1350),""))</f>
        <v>286</v>
      </c>
      <c r="C1348" t="str">
        <f t="shared" si="84"/>
        <v>Regular</v>
      </c>
      <c r="D1348">
        <f t="shared" si="85"/>
        <v>99714</v>
      </c>
      <c r="E1348" s="6">
        <f t="shared" si="86"/>
        <v>4.9950252394556853E-6</v>
      </c>
      <c r="F1348" s="5">
        <f ca="1">TODAY()-GETPIVOTDATA("LastPurchaseDate",MaxDate!$A$3,"Customer_name",MaxDate!A1350)</f>
        <v>284</v>
      </c>
      <c r="G1348" t="str">
        <f t="shared" ca="1" si="87"/>
        <v>Inactive</v>
      </c>
      <c r="H1348" s="13">
        <f>RANK(B1348,Customer_Tiers[Total_Sales])</f>
        <v>1347</v>
      </c>
    </row>
    <row r="1349" spans="1:8">
      <c r="A1349" t="str">
        <f>'Top Customers'!A1351</f>
        <v>JIJITH UNION</v>
      </c>
      <c r="B1349" s="5">
        <f>IF(A1349="","",IFERROR(GETPIVOTDATA("Sales Amount",'Top Customers'!$A$3,"Customer_name",'Top Customers'!A1351),""))</f>
        <v>280</v>
      </c>
      <c r="C1349" t="str">
        <f t="shared" si="84"/>
        <v>Regular</v>
      </c>
      <c r="D1349">
        <f t="shared" si="85"/>
        <v>99720</v>
      </c>
      <c r="E1349" s="6">
        <f t="shared" si="86"/>
        <v>4.8902345001664051E-6</v>
      </c>
      <c r="F1349" s="5">
        <f ca="1">TODAY()-GETPIVOTDATA("LastPurchaseDate",MaxDate!$A$3,"Customer_name",MaxDate!A1351)</f>
        <v>20</v>
      </c>
      <c r="G1349" t="str">
        <f t="shared" ca="1" si="87"/>
        <v>Active</v>
      </c>
      <c r="H1349" s="13">
        <f>RANK(B1349,Customer_Tiers[Total_Sales])</f>
        <v>1348</v>
      </c>
    </row>
    <row r="1350" spans="1:8">
      <c r="A1350" t="str">
        <f>'Top Customers'!A1352</f>
        <v>PAULOSE PAZHAMTHOTTAM</v>
      </c>
      <c r="B1350" s="5">
        <f>IF(A1350="","",IFERROR(GETPIVOTDATA("Sales Amount",'Top Customers'!$A$3,"Customer_name",'Top Customers'!A1352),""))</f>
        <v>265</v>
      </c>
      <c r="C1350" t="str">
        <f t="shared" si="84"/>
        <v>Regular</v>
      </c>
      <c r="D1350">
        <f t="shared" si="85"/>
        <v>99735</v>
      </c>
      <c r="E1350" s="6">
        <f t="shared" si="86"/>
        <v>4.6282576519432042E-6</v>
      </c>
      <c r="F1350" s="5">
        <f ca="1">TODAY()-GETPIVOTDATA("LastPurchaseDate",MaxDate!$A$3,"Customer_name",MaxDate!A1352)</f>
        <v>118</v>
      </c>
      <c r="G1350" t="str">
        <f t="shared" ca="1" si="87"/>
        <v>At Risk</v>
      </c>
      <c r="H1350" s="13">
        <f>RANK(B1350,Customer_Tiers[Total_Sales])</f>
        <v>1349</v>
      </c>
    </row>
    <row r="1351" spans="1:8">
      <c r="A1351" t="str">
        <f>'Top Customers'!A1353</f>
        <v>SURESH MEMBER</v>
      </c>
      <c r="B1351" s="5">
        <f>IF(A1351="","",IFERROR(GETPIVOTDATA("Sales Amount",'Top Customers'!$A$3,"Customer_name",'Top Customers'!A1353),""))</f>
        <v>264</v>
      </c>
      <c r="C1351" t="str">
        <f t="shared" si="84"/>
        <v>Regular</v>
      </c>
      <c r="D1351">
        <f t="shared" si="85"/>
        <v>99736</v>
      </c>
      <c r="E1351" s="6">
        <f t="shared" si="86"/>
        <v>4.6107925287283246E-6</v>
      </c>
      <c r="F1351" s="5">
        <f ca="1">TODAY()-GETPIVOTDATA("LastPurchaseDate",MaxDate!$A$3,"Customer_name",MaxDate!A1353)</f>
        <v>241</v>
      </c>
      <c r="G1351" t="str">
        <f t="shared" ca="1" si="87"/>
        <v>Inactive</v>
      </c>
      <c r="H1351" s="13">
        <f>RANK(B1351,Customer_Tiers[Total_Sales])</f>
        <v>1350</v>
      </c>
    </row>
    <row r="1352" spans="1:8">
      <c r="A1352" t="str">
        <f>'Top Customers'!A1354</f>
        <v>ABIN BABU</v>
      </c>
      <c r="B1352" s="5">
        <f>IF(A1352="","",IFERROR(GETPIVOTDATA("Sales Amount",'Top Customers'!$A$3,"Customer_name",'Top Customers'!A1354),""))</f>
        <v>260</v>
      </c>
      <c r="C1352" t="str">
        <f t="shared" si="84"/>
        <v>Regular</v>
      </c>
      <c r="D1352">
        <f t="shared" si="85"/>
        <v>99740</v>
      </c>
      <c r="E1352" s="6">
        <f t="shared" si="86"/>
        <v>4.5409320358688045E-6</v>
      </c>
      <c r="F1352" s="5">
        <f ca="1">TODAY()-GETPIVOTDATA("LastPurchaseDate",MaxDate!$A$3,"Customer_name",MaxDate!A1354)</f>
        <v>11</v>
      </c>
      <c r="G1352" t="str">
        <f t="shared" ca="1" si="87"/>
        <v>Active</v>
      </c>
      <c r="H1352" s="13">
        <f>RANK(B1352,Customer_Tiers[Total_Sales])</f>
        <v>1351</v>
      </c>
    </row>
    <row r="1353" spans="1:8">
      <c r="A1353" t="str">
        <f>'Top Customers'!A1355</f>
        <v>BINU PULINCHODE</v>
      </c>
      <c r="B1353" s="5">
        <f>IF(A1353="","",IFERROR(GETPIVOTDATA("Sales Amount",'Top Customers'!$A$3,"Customer_name",'Top Customers'!A1355),""))</f>
        <v>250</v>
      </c>
      <c r="C1353" t="str">
        <f t="shared" si="84"/>
        <v>Regular</v>
      </c>
      <c r="D1353">
        <f t="shared" si="85"/>
        <v>99750</v>
      </c>
      <c r="E1353" s="6">
        <f t="shared" si="86"/>
        <v>4.3662808037200042E-6</v>
      </c>
      <c r="F1353" s="5">
        <f ca="1">TODAY()-GETPIVOTDATA("LastPurchaseDate",MaxDate!$A$3,"Customer_name",MaxDate!A1355)</f>
        <v>156</v>
      </c>
      <c r="G1353" t="str">
        <f t="shared" ca="1" si="87"/>
        <v>Inactive</v>
      </c>
      <c r="H1353" s="13">
        <f>RANK(B1353,Customer_Tiers[Total_Sales])</f>
        <v>1352</v>
      </c>
    </row>
    <row r="1354" spans="1:8">
      <c r="A1354" t="str">
        <f>'Top Customers'!A1356</f>
        <v>KALHARAM PATTIMATTOM</v>
      </c>
      <c r="B1354" s="5">
        <f>IF(A1354="","",IFERROR(GETPIVOTDATA("Sales Amount",'Top Customers'!$A$3,"Customer_name",'Top Customers'!A1356),""))</f>
        <v>250</v>
      </c>
      <c r="C1354" t="str">
        <f t="shared" si="84"/>
        <v>Regular</v>
      </c>
      <c r="D1354">
        <f t="shared" si="85"/>
        <v>99750</v>
      </c>
      <c r="E1354" s="6">
        <f t="shared" si="86"/>
        <v>4.3662808037200042E-6</v>
      </c>
      <c r="F1354" s="5">
        <f ca="1">TODAY()-GETPIVOTDATA("LastPurchaseDate",MaxDate!$A$3,"Customer_name",MaxDate!A1356)</f>
        <v>258</v>
      </c>
      <c r="G1354" t="str">
        <f t="shared" ca="1" si="87"/>
        <v>Inactive</v>
      </c>
      <c r="H1354" s="13">
        <f>RANK(B1354,Customer_Tiers[Total_Sales])</f>
        <v>1352</v>
      </c>
    </row>
    <row r="1355" spans="1:8">
      <c r="A1355" t="str">
        <f>'Top Customers'!A1357</f>
        <v>SHEMEER CHELAKUALM</v>
      </c>
      <c r="B1355" s="5">
        <f>IF(A1355="","",IFERROR(GETPIVOTDATA("Sales Amount",'Top Customers'!$A$3,"Customer_name",'Top Customers'!A1357),""))</f>
        <v>250</v>
      </c>
      <c r="C1355" t="str">
        <f t="shared" si="84"/>
        <v>Regular</v>
      </c>
      <c r="D1355">
        <f t="shared" si="85"/>
        <v>99750</v>
      </c>
      <c r="E1355" s="6">
        <f t="shared" si="86"/>
        <v>4.3662808037200042E-6</v>
      </c>
      <c r="F1355" s="5">
        <f ca="1">TODAY()-GETPIVOTDATA("LastPurchaseDate",MaxDate!$A$3,"Customer_name",MaxDate!A1357)</f>
        <v>156</v>
      </c>
      <c r="G1355" t="str">
        <f t="shared" ca="1" si="87"/>
        <v>Inactive</v>
      </c>
      <c r="H1355" s="13">
        <f>RANK(B1355,Customer_Tiers[Total_Sales])</f>
        <v>1352</v>
      </c>
    </row>
    <row r="1356" spans="1:8">
      <c r="A1356" t="str">
        <f>'Top Customers'!A1358</f>
        <v>VISWAMBARAN , DAUBLEPALAM</v>
      </c>
      <c r="B1356" s="5">
        <f>IF(A1356="","",IFERROR(GETPIVOTDATA("Sales Amount",'Top Customers'!$A$3,"Customer_name",'Top Customers'!A1358),""))</f>
        <v>250</v>
      </c>
      <c r="C1356" t="str">
        <f t="shared" si="84"/>
        <v>Regular</v>
      </c>
      <c r="D1356">
        <f t="shared" si="85"/>
        <v>99750</v>
      </c>
      <c r="E1356" s="6">
        <f t="shared" si="86"/>
        <v>4.3662808037200042E-6</v>
      </c>
      <c r="F1356" s="5">
        <f ca="1">TODAY()-GETPIVOTDATA("LastPurchaseDate",MaxDate!$A$3,"Customer_name",MaxDate!A1358)</f>
        <v>65</v>
      </c>
      <c r="G1356" t="str">
        <f t="shared" ca="1" si="87"/>
        <v>At Risk</v>
      </c>
      <c r="H1356" s="13">
        <f>RANK(B1356,Customer_Tiers[Total_Sales])</f>
        <v>1352</v>
      </c>
    </row>
    <row r="1357" spans="1:8">
      <c r="A1357" t="str">
        <f>'Top Customers'!A1359</f>
        <v>KAILASAN PARAKKAL</v>
      </c>
      <c r="B1357" s="5">
        <f>IF(A1357="","",IFERROR(GETPIVOTDATA("Sales Amount",'Top Customers'!$A$3,"Customer_name",'Top Customers'!A1359),""))</f>
        <v>225</v>
      </c>
      <c r="C1357" t="str">
        <f t="shared" si="84"/>
        <v>Regular</v>
      </c>
      <c r="D1357">
        <f t="shared" si="85"/>
        <v>99775</v>
      </c>
      <c r="E1357" s="6">
        <f t="shared" si="86"/>
        <v>3.9296527233480039E-6</v>
      </c>
      <c r="F1357" s="5">
        <f ca="1">TODAY()-GETPIVOTDATA("LastPurchaseDate",MaxDate!$A$3,"Customer_name",MaxDate!A1359)</f>
        <v>36</v>
      </c>
      <c r="G1357" t="str">
        <f t="shared" ca="1" si="87"/>
        <v>Active</v>
      </c>
      <c r="H1357" s="13">
        <f>RANK(B1357,Customer_Tiers[Total_Sales])</f>
        <v>1356</v>
      </c>
    </row>
    <row r="1358" spans="1:8">
      <c r="A1358" t="str">
        <f>'Top Customers'!A1360</f>
        <v>SURYA</v>
      </c>
      <c r="B1358" s="5">
        <f>IF(A1358="","",IFERROR(GETPIVOTDATA("Sales Amount",'Top Customers'!$A$3,"Customer_name",'Top Customers'!A1360),""))</f>
        <v>225</v>
      </c>
      <c r="C1358" t="str">
        <f t="shared" si="84"/>
        <v>Regular</v>
      </c>
      <c r="D1358">
        <f t="shared" si="85"/>
        <v>99775</v>
      </c>
      <c r="E1358" s="6">
        <f t="shared" si="86"/>
        <v>3.9296527233480039E-6</v>
      </c>
      <c r="F1358" s="5">
        <f ca="1">TODAY()-GETPIVOTDATA("LastPurchaseDate",MaxDate!$A$3,"Customer_name",MaxDate!A1360)</f>
        <v>330</v>
      </c>
      <c r="G1358" t="str">
        <f t="shared" ca="1" si="87"/>
        <v>Inactive</v>
      </c>
      <c r="H1358" s="13">
        <f>RANK(B1358,Customer_Tiers[Total_Sales])</f>
        <v>1356</v>
      </c>
    </row>
    <row r="1359" spans="1:8">
      <c r="A1359" t="str">
        <f>'Top Customers'!A1361</f>
        <v>ANSON</v>
      </c>
      <c r="B1359" s="5">
        <f>IF(A1359="","",IFERROR(GETPIVOTDATA("Sales Amount",'Top Customers'!$A$3,"Customer_name",'Top Customers'!A1361),""))</f>
        <v>221</v>
      </c>
      <c r="C1359" t="str">
        <f t="shared" si="84"/>
        <v>Regular</v>
      </c>
      <c r="D1359">
        <f t="shared" si="85"/>
        <v>99779</v>
      </c>
      <c r="E1359" s="6">
        <f t="shared" si="86"/>
        <v>3.8597922304884838E-6</v>
      </c>
      <c r="F1359" s="5">
        <f ca="1">TODAY()-GETPIVOTDATA("LastPurchaseDate",MaxDate!$A$3,"Customer_name",MaxDate!A1361)</f>
        <v>22</v>
      </c>
      <c r="G1359" t="str">
        <f t="shared" ca="1" si="87"/>
        <v>Active</v>
      </c>
      <c r="H1359" s="13">
        <f>RANK(B1359,Customer_Tiers[Total_Sales])</f>
        <v>1358</v>
      </c>
    </row>
    <row r="1360" spans="1:8">
      <c r="A1360" t="str">
        <f>'Top Customers'!A1362</f>
        <v>BASIL PAZHAMTHOTTAM</v>
      </c>
      <c r="B1360" s="5">
        <f>IF(A1360="","",IFERROR(GETPIVOTDATA("Sales Amount",'Top Customers'!$A$3,"Customer_name",'Top Customers'!A1362),""))</f>
        <v>210</v>
      </c>
      <c r="C1360" t="str">
        <f t="shared" si="84"/>
        <v>Regular</v>
      </c>
      <c r="D1360">
        <f t="shared" si="85"/>
        <v>99790</v>
      </c>
      <c r="E1360" s="6">
        <f t="shared" si="86"/>
        <v>3.6676758751248038E-6</v>
      </c>
      <c r="F1360" s="5">
        <f ca="1">TODAY()-GETPIVOTDATA("LastPurchaseDate",MaxDate!$A$3,"Customer_name",MaxDate!A1362)</f>
        <v>278</v>
      </c>
      <c r="G1360" t="str">
        <f t="shared" ca="1" si="87"/>
        <v>Inactive</v>
      </c>
      <c r="H1360" s="13">
        <f>RANK(B1360,Customer_Tiers[Total_Sales])</f>
        <v>1359</v>
      </c>
    </row>
    <row r="1361" spans="1:8">
      <c r="A1361" t="str">
        <f>'Top Customers'!A1363</f>
        <v>ASHARAF THADAKKALA</v>
      </c>
      <c r="B1361" s="5">
        <f>IF(A1361="","",IFERROR(GETPIVOTDATA("Sales Amount",'Top Customers'!$A$3,"Customer_name",'Top Customers'!A1363),""))</f>
        <v>210</v>
      </c>
      <c r="C1361" t="str">
        <f t="shared" si="84"/>
        <v>Regular</v>
      </c>
      <c r="D1361">
        <f t="shared" si="85"/>
        <v>99790</v>
      </c>
      <c r="E1361" s="6">
        <f t="shared" si="86"/>
        <v>3.6676758751248038E-6</v>
      </c>
      <c r="F1361" s="5">
        <f ca="1">TODAY()-GETPIVOTDATA("LastPurchaseDate",MaxDate!$A$3,"Customer_name",MaxDate!A1363)</f>
        <v>256</v>
      </c>
      <c r="G1361" t="str">
        <f t="shared" ca="1" si="87"/>
        <v>Inactive</v>
      </c>
      <c r="H1361" s="13">
        <f>RANK(B1361,Customer_Tiers[Total_Sales])</f>
        <v>1359</v>
      </c>
    </row>
    <row r="1362" spans="1:8">
      <c r="A1362" t="str">
        <f>'Top Customers'!A1364</f>
        <v>SATHEESH KUMAR</v>
      </c>
      <c r="B1362" s="5">
        <f>IF(A1362="","",IFERROR(GETPIVOTDATA("Sales Amount",'Top Customers'!$A$3,"Customer_name",'Top Customers'!A1364),""))</f>
        <v>205</v>
      </c>
      <c r="C1362" t="str">
        <f t="shared" si="84"/>
        <v>Regular</v>
      </c>
      <c r="D1362">
        <f t="shared" si="85"/>
        <v>99795</v>
      </c>
      <c r="E1362" s="6">
        <f t="shared" si="86"/>
        <v>3.5803502590504037E-6</v>
      </c>
      <c r="F1362" s="5">
        <f ca="1">TODAY()-GETPIVOTDATA("LastPurchaseDate",MaxDate!$A$3,"Customer_name",MaxDate!A1364)</f>
        <v>103</v>
      </c>
      <c r="G1362" t="str">
        <f t="shared" ca="1" si="87"/>
        <v>At Risk</v>
      </c>
      <c r="H1362" s="13">
        <f>RANK(B1362,Customer_Tiers[Total_Sales])</f>
        <v>1361</v>
      </c>
    </row>
    <row r="1363" spans="1:8">
      <c r="A1363" t="str">
        <f>'Top Customers'!A1365</f>
        <v>NISHAD</v>
      </c>
      <c r="B1363" s="5">
        <f>IF(A1363="","",IFERROR(GETPIVOTDATA("Sales Amount",'Top Customers'!$A$3,"Customer_name",'Top Customers'!A1365),""))</f>
        <v>200</v>
      </c>
      <c r="C1363" t="str">
        <f t="shared" si="84"/>
        <v>Regular</v>
      </c>
      <c r="D1363">
        <f t="shared" si="85"/>
        <v>99800</v>
      </c>
      <c r="E1363" s="6">
        <f t="shared" si="86"/>
        <v>3.4930246429760035E-6</v>
      </c>
      <c r="F1363" s="5">
        <f ca="1">TODAY()-GETPIVOTDATA("LastPurchaseDate",MaxDate!$A$3,"Customer_name",MaxDate!A1365)</f>
        <v>134</v>
      </c>
      <c r="G1363" t="str">
        <f t="shared" ca="1" si="87"/>
        <v>Inactive</v>
      </c>
      <c r="H1363" s="13">
        <f>RANK(B1363,Customer_Tiers[Total_Sales])</f>
        <v>1362</v>
      </c>
    </row>
    <row r="1364" spans="1:8">
      <c r="A1364" t="str">
        <f>'Top Customers'!A1366</f>
        <v>PAPPU  PATTIMATTOM</v>
      </c>
      <c r="B1364" s="5">
        <f>IF(A1364="","",IFERROR(GETPIVOTDATA("Sales Amount",'Top Customers'!$A$3,"Customer_name",'Top Customers'!A1366),""))</f>
        <v>200</v>
      </c>
      <c r="C1364" t="str">
        <f t="shared" si="84"/>
        <v>Regular</v>
      </c>
      <c r="D1364">
        <f t="shared" si="85"/>
        <v>99800</v>
      </c>
      <c r="E1364" s="6">
        <f t="shared" si="86"/>
        <v>3.4930246429760035E-6</v>
      </c>
      <c r="F1364" s="5">
        <f ca="1">TODAY()-GETPIVOTDATA("LastPurchaseDate",MaxDate!$A$3,"Customer_name",MaxDate!A1366)</f>
        <v>20</v>
      </c>
      <c r="G1364" t="str">
        <f t="shared" ca="1" si="87"/>
        <v>Active</v>
      </c>
      <c r="H1364" s="13">
        <f>RANK(B1364,Customer_Tiers[Total_Sales])</f>
        <v>1362</v>
      </c>
    </row>
    <row r="1365" spans="1:8">
      <c r="A1365" t="str">
        <f>'Top Customers'!A1367</f>
        <v>SINI BINU</v>
      </c>
      <c r="B1365" s="5">
        <f>IF(A1365="","",IFERROR(GETPIVOTDATA("Sales Amount",'Top Customers'!$A$3,"Customer_name",'Top Customers'!A1367),""))</f>
        <v>200</v>
      </c>
      <c r="C1365" t="str">
        <f t="shared" si="84"/>
        <v>Regular</v>
      </c>
      <c r="D1365">
        <f t="shared" si="85"/>
        <v>99800</v>
      </c>
      <c r="E1365" s="6">
        <f t="shared" si="86"/>
        <v>3.4930246429760035E-6</v>
      </c>
      <c r="F1365" s="5">
        <f ca="1">TODAY()-GETPIVOTDATA("LastPurchaseDate",MaxDate!$A$3,"Customer_name",MaxDate!A1367)</f>
        <v>146</v>
      </c>
      <c r="G1365" t="str">
        <f t="shared" ca="1" si="87"/>
        <v>Inactive</v>
      </c>
      <c r="H1365" s="13">
        <f>RANK(B1365,Customer_Tiers[Total_Sales])</f>
        <v>1362</v>
      </c>
    </row>
    <row r="1366" spans="1:8">
      <c r="A1366" t="str">
        <f>'Top Customers'!A1368</f>
        <v>ANU V NAIR</v>
      </c>
      <c r="B1366" s="5">
        <f>IF(A1366="","",IFERROR(GETPIVOTDATA("Sales Amount",'Top Customers'!$A$3,"Customer_name",'Top Customers'!A1368),""))</f>
        <v>190</v>
      </c>
      <c r="C1366" t="str">
        <f t="shared" si="84"/>
        <v>Regular</v>
      </c>
      <c r="D1366">
        <f t="shared" si="85"/>
        <v>99810</v>
      </c>
      <c r="E1366" s="6">
        <f t="shared" si="86"/>
        <v>3.3183734108272032E-6</v>
      </c>
      <c r="F1366" s="5">
        <f ca="1">TODAY()-GETPIVOTDATA("LastPurchaseDate",MaxDate!$A$3,"Customer_name",MaxDate!A1368)</f>
        <v>92</v>
      </c>
      <c r="G1366" t="str">
        <f t="shared" ca="1" si="87"/>
        <v>At Risk</v>
      </c>
      <c r="H1366" s="13">
        <f>RANK(B1366,Customer_Tiers[Total_Sales])</f>
        <v>1365</v>
      </c>
    </row>
    <row r="1367" spans="1:8">
      <c r="A1367" t="str">
        <f>'Top Customers'!A1369</f>
        <v>HABITATE HARMONIE VENTURES</v>
      </c>
      <c r="B1367" s="5">
        <f>IF(A1367="","",IFERROR(GETPIVOTDATA("Sales Amount",'Top Customers'!$A$3,"Customer_name",'Top Customers'!A1369),""))</f>
        <v>188</v>
      </c>
      <c r="C1367" t="str">
        <f t="shared" si="84"/>
        <v>Regular</v>
      </c>
      <c r="D1367">
        <f t="shared" si="85"/>
        <v>99812</v>
      </c>
      <c r="E1367" s="6">
        <f t="shared" si="86"/>
        <v>3.2834431643974432E-6</v>
      </c>
      <c r="F1367" s="5">
        <f ca="1">TODAY()-GETPIVOTDATA("LastPurchaseDate",MaxDate!$A$3,"Customer_name",MaxDate!A1369)</f>
        <v>121</v>
      </c>
      <c r="G1367" t="str">
        <f t="shared" ca="1" si="87"/>
        <v>Inactive</v>
      </c>
      <c r="H1367" s="13">
        <f>RANK(B1367,Customer_Tiers[Total_Sales])</f>
        <v>1366</v>
      </c>
    </row>
    <row r="1368" spans="1:8">
      <c r="A1368" t="str">
        <f>'Top Customers'!A1370</f>
        <v>SUDEEP PATTIMATTOM</v>
      </c>
      <c r="B1368" s="5">
        <f>IF(A1368="","",IFERROR(GETPIVOTDATA("Sales Amount",'Top Customers'!$A$3,"Customer_name",'Top Customers'!A1370),""))</f>
        <v>185</v>
      </c>
      <c r="C1368" t="str">
        <f t="shared" si="84"/>
        <v>Regular</v>
      </c>
      <c r="D1368">
        <f t="shared" si="85"/>
        <v>99815</v>
      </c>
      <c r="E1368" s="6">
        <f t="shared" si="86"/>
        <v>3.2310477947528031E-6</v>
      </c>
      <c r="F1368" s="5">
        <f ca="1">TODAY()-GETPIVOTDATA("LastPurchaseDate",MaxDate!$A$3,"Customer_name",MaxDate!A1370)</f>
        <v>130</v>
      </c>
      <c r="G1368" t="str">
        <f t="shared" ca="1" si="87"/>
        <v>Inactive</v>
      </c>
      <c r="H1368" s="13">
        <f>RANK(B1368,Customer_Tiers[Total_Sales])</f>
        <v>1367</v>
      </c>
    </row>
    <row r="1369" spans="1:8">
      <c r="A1369" t="str">
        <f>'Top Customers'!A1371</f>
        <v>ANU DAS</v>
      </c>
      <c r="B1369" s="5">
        <f>IF(A1369="","",IFERROR(GETPIVOTDATA("Sales Amount",'Top Customers'!$A$3,"Customer_name",'Top Customers'!A1371),""))</f>
        <v>180</v>
      </c>
      <c r="C1369" t="str">
        <f t="shared" si="84"/>
        <v>Regular</v>
      </c>
      <c r="D1369">
        <f t="shared" si="85"/>
        <v>99820</v>
      </c>
      <c r="E1369" s="6">
        <f t="shared" si="86"/>
        <v>3.1437221786784029E-6</v>
      </c>
      <c r="F1369" s="5">
        <f ca="1">TODAY()-GETPIVOTDATA("LastPurchaseDate",MaxDate!$A$3,"Customer_name",MaxDate!A1371)</f>
        <v>90</v>
      </c>
      <c r="G1369" t="str">
        <f t="shared" ca="1" si="87"/>
        <v>At Risk</v>
      </c>
      <c r="H1369" s="13">
        <f>RANK(B1369,Customer_Tiers[Total_Sales])</f>
        <v>1368</v>
      </c>
    </row>
    <row r="1370" spans="1:8">
      <c r="A1370" t="str">
        <f>'Top Customers'!A1372</f>
        <v>JITHU</v>
      </c>
      <c r="B1370" s="5">
        <f>IF(A1370="","",IFERROR(GETPIVOTDATA("Sales Amount",'Top Customers'!$A$3,"Customer_name",'Top Customers'!A1372),""))</f>
        <v>180</v>
      </c>
      <c r="C1370" t="str">
        <f t="shared" si="84"/>
        <v>Regular</v>
      </c>
      <c r="D1370">
        <f t="shared" si="85"/>
        <v>99820</v>
      </c>
      <c r="E1370" s="6">
        <f t="shared" si="86"/>
        <v>3.1437221786784029E-6</v>
      </c>
      <c r="F1370" s="5">
        <f ca="1">TODAY()-GETPIVOTDATA("LastPurchaseDate",MaxDate!$A$3,"Customer_name",MaxDate!A1372)</f>
        <v>59</v>
      </c>
      <c r="G1370" t="str">
        <f t="shared" ca="1" si="87"/>
        <v>Active</v>
      </c>
      <c r="H1370" s="13">
        <f>RANK(B1370,Customer_Tiers[Total_Sales])</f>
        <v>1368</v>
      </c>
    </row>
    <row r="1371" spans="1:8">
      <c r="A1371" t="str">
        <f>'Top Customers'!A1373</f>
        <v>ABBAS ALIYAR</v>
      </c>
      <c r="B1371" s="5">
        <f>IF(A1371="","",IFERROR(GETPIVOTDATA("Sales Amount",'Top Customers'!$A$3,"Customer_name",'Top Customers'!A1373),""))</f>
        <v>165</v>
      </c>
      <c r="C1371" t="str">
        <f t="shared" si="84"/>
        <v>Regular</v>
      </c>
      <c r="D1371">
        <f t="shared" si="85"/>
        <v>99835</v>
      </c>
      <c r="E1371" s="6">
        <f t="shared" si="86"/>
        <v>2.8817453304552029E-6</v>
      </c>
      <c r="F1371" s="5">
        <f ca="1">TODAY()-GETPIVOTDATA("LastPurchaseDate",MaxDate!$A$3,"Customer_name",MaxDate!A1373)</f>
        <v>9</v>
      </c>
      <c r="G1371" t="str">
        <f t="shared" ca="1" si="87"/>
        <v>Active</v>
      </c>
      <c r="H1371" s="13">
        <f>RANK(B1371,Customer_Tiers[Total_Sales])</f>
        <v>1370</v>
      </c>
    </row>
    <row r="1372" spans="1:8">
      <c r="A1372" t="str">
        <f>'Top Customers'!A1374</f>
        <v>RINSHAD PATTIMATTOM</v>
      </c>
      <c r="B1372" s="5">
        <f>IF(A1372="","",IFERROR(GETPIVOTDATA("Sales Amount",'Top Customers'!$A$3,"Customer_name",'Top Customers'!A1374),""))</f>
        <v>160</v>
      </c>
      <c r="C1372" t="str">
        <f t="shared" si="84"/>
        <v>Regular</v>
      </c>
      <c r="D1372">
        <f t="shared" si="85"/>
        <v>99840</v>
      </c>
      <c r="E1372" s="6">
        <f t="shared" si="86"/>
        <v>2.7944197143808027E-6</v>
      </c>
      <c r="F1372" s="5">
        <f ca="1">TODAY()-GETPIVOTDATA("LastPurchaseDate",MaxDate!$A$3,"Customer_name",MaxDate!A1374)</f>
        <v>218</v>
      </c>
      <c r="G1372" t="str">
        <f t="shared" ca="1" si="87"/>
        <v>Inactive</v>
      </c>
      <c r="H1372" s="13">
        <f>RANK(B1372,Customer_Tiers[Total_Sales])</f>
        <v>1371</v>
      </c>
    </row>
    <row r="1373" spans="1:8">
      <c r="A1373" t="str">
        <f>'Top Customers'!A1375</f>
        <v>AMEER , CHOORAKKODE</v>
      </c>
      <c r="B1373" s="5">
        <f>IF(A1373="","",IFERROR(GETPIVOTDATA("Sales Amount",'Top Customers'!$A$3,"Customer_name",'Top Customers'!A1375),""))</f>
        <v>150</v>
      </c>
      <c r="C1373" t="str">
        <f t="shared" si="84"/>
        <v>Regular</v>
      </c>
      <c r="D1373">
        <f t="shared" si="85"/>
        <v>99850</v>
      </c>
      <c r="E1373" s="6">
        <f t="shared" si="86"/>
        <v>2.6197684822320024E-6</v>
      </c>
      <c r="F1373" s="5">
        <f ca="1">TODAY()-GETPIVOTDATA("LastPurchaseDate",MaxDate!$A$3,"Customer_name",MaxDate!A1375)</f>
        <v>263</v>
      </c>
      <c r="G1373" t="str">
        <f t="shared" ca="1" si="87"/>
        <v>Inactive</v>
      </c>
      <c r="H1373" s="13">
        <f>RANK(B1373,Customer_Tiers[Total_Sales])</f>
        <v>1372</v>
      </c>
    </row>
    <row r="1374" spans="1:8">
      <c r="A1374" t="str">
        <f>'Top Customers'!A1376</f>
        <v>BABY , PATTIMATTOM</v>
      </c>
      <c r="B1374" s="5">
        <f>IF(A1374="","",IFERROR(GETPIVOTDATA("Sales Amount",'Top Customers'!$A$3,"Customer_name",'Top Customers'!A1376),""))</f>
        <v>150</v>
      </c>
      <c r="C1374" t="str">
        <f t="shared" si="84"/>
        <v>Regular</v>
      </c>
      <c r="D1374">
        <f t="shared" si="85"/>
        <v>99850</v>
      </c>
      <c r="E1374" s="6">
        <f t="shared" si="86"/>
        <v>2.6197684822320024E-6</v>
      </c>
      <c r="F1374" s="5">
        <f ca="1">TODAY()-GETPIVOTDATA("LastPurchaseDate",MaxDate!$A$3,"Customer_name",MaxDate!A1376)</f>
        <v>71</v>
      </c>
      <c r="G1374" t="str">
        <f t="shared" ca="1" si="87"/>
        <v>At Risk</v>
      </c>
      <c r="H1374" s="13">
        <f>RANK(B1374,Customer_Tiers[Total_Sales])</f>
        <v>1372</v>
      </c>
    </row>
    <row r="1375" spans="1:8">
      <c r="A1375" t="str">
        <f>'Top Customers'!A1377</f>
        <v>PRIYA , EZHIPURAM</v>
      </c>
      <c r="B1375" s="5">
        <f>IF(A1375="","",IFERROR(GETPIVOTDATA("Sales Amount",'Top Customers'!$A$3,"Customer_name",'Top Customers'!A1377),""))</f>
        <v>150</v>
      </c>
      <c r="C1375" t="str">
        <f t="shared" si="84"/>
        <v>Regular</v>
      </c>
      <c r="D1375">
        <f t="shared" si="85"/>
        <v>99850</v>
      </c>
      <c r="E1375" s="6">
        <f t="shared" si="86"/>
        <v>2.6197684822320024E-6</v>
      </c>
      <c r="F1375" s="5">
        <f ca="1">TODAY()-GETPIVOTDATA("LastPurchaseDate",MaxDate!$A$3,"Customer_name",MaxDate!A1377)</f>
        <v>12</v>
      </c>
      <c r="G1375" t="str">
        <f t="shared" ca="1" si="87"/>
        <v>Active</v>
      </c>
      <c r="H1375" s="13">
        <f>RANK(B1375,Customer_Tiers[Total_Sales])</f>
        <v>1372</v>
      </c>
    </row>
    <row r="1376" spans="1:8">
      <c r="A1376" t="str">
        <f>'Top Customers'!A1378</f>
        <v>SUJITH</v>
      </c>
      <c r="B1376" s="5">
        <f>IF(A1376="","",IFERROR(GETPIVOTDATA("Sales Amount",'Top Customers'!$A$3,"Customer_name",'Top Customers'!A1378),""))</f>
        <v>150</v>
      </c>
      <c r="C1376" t="str">
        <f t="shared" si="84"/>
        <v>Regular</v>
      </c>
      <c r="D1376">
        <f t="shared" si="85"/>
        <v>99850</v>
      </c>
      <c r="E1376" s="6">
        <f t="shared" si="86"/>
        <v>2.6197684822320024E-6</v>
      </c>
      <c r="F1376" s="5">
        <f ca="1">TODAY()-GETPIVOTDATA("LastPurchaseDate",MaxDate!$A$3,"Customer_name",MaxDate!A1378)</f>
        <v>8</v>
      </c>
      <c r="G1376" t="str">
        <f t="shared" ca="1" si="87"/>
        <v>Active</v>
      </c>
      <c r="H1376" s="13">
        <f>RANK(B1376,Customer_Tiers[Total_Sales])</f>
        <v>1372</v>
      </c>
    </row>
    <row r="1377" spans="1:8">
      <c r="A1377" t="str">
        <f>'Top Customers'!A1379</f>
        <v>RAJI , PATHAMILE</v>
      </c>
      <c r="B1377" s="5">
        <f>IF(A1377="","",IFERROR(GETPIVOTDATA("Sales Amount",'Top Customers'!$A$3,"Customer_name",'Top Customers'!A1379),""))</f>
        <v>140</v>
      </c>
      <c r="C1377" t="str">
        <f t="shared" si="84"/>
        <v>Regular</v>
      </c>
      <c r="D1377">
        <f t="shared" si="85"/>
        <v>99860</v>
      </c>
      <c r="E1377" s="6">
        <f t="shared" si="86"/>
        <v>2.4451172500832026E-6</v>
      </c>
      <c r="F1377" s="5">
        <f ca="1">TODAY()-GETPIVOTDATA("LastPurchaseDate",MaxDate!$A$3,"Customer_name",MaxDate!A1379)</f>
        <v>45</v>
      </c>
      <c r="G1377" t="str">
        <f t="shared" ca="1" si="87"/>
        <v>Active</v>
      </c>
      <c r="H1377" s="13">
        <f>RANK(B1377,Customer_Tiers[Total_Sales])</f>
        <v>1376</v>
      </c>
    </row>
    <row r="1378" spans="1:8">
      <c r="A1378" t="str">
        <f>'Top Customers'!A1380</f>
        <v>REHIM BIKE</v>
      </c>
      <c r="B1378" s="5">
        <f>IF(A1378="","",IFERROR(GETPIVOTDATA("Sales Amount",'Top Customers'!$A$3,"Customer_name",'Top Customers'!A1380),""))</f>
        <v>140</v>
      </c>
      <c r="C1378" t="str">
        <f t="shared" si="84"/>
        <v>Regular</v>
      </c>
      <c r="D1378">
        <f t="shared" si="85"/>
        <v>99860</v>
      </c>
      <c r="E1378" s="6">
        <f t="shared" si="86"/>
        <v>2.4451172500832026E-6</v>
      </c>
      <c r="F1378" s="5">
        <f ca="1">TODAY()-GETPIVOTDATA("LastPurchaseDate",MaxDate!$A$3,"Customer_name",MaxDate!A1380)</f>
        <v>281</v>
      </c>
      <c r="G1378" t="str">
        <f t="shared" ca="1" si="87"/>
        <v>Inactive</v>
      </c>
      <c r="H1378" s="13">
        <f>RANK(B1378,Customer_Tiers[Total_Sales])</f>
        <v>1376</v>
      </c>
    </row>
    <row r="1379" spans="1:8">
      <c r="A1379" t="str">
        <f>'Top Customers'!A1381</f>
        <v>ROBIN KIZHAKKAMBALAM</v>
      </c>
      <c r="B1379" s="5">
        <f>IF(A1379="","",IFERROR(GETPIVOTDATA("Sales Amount",'Top Customers'!$A$3,"Customer_name",'Top Customers'!A1381),""))</f>
        <v>130</v>
      </c>
      <c r="C1379" t="str">
        <f t="shared" si="84"/>
        <v>Regular</v>
      </c>
      <c r="D1379">
        <f t="shared" si="85"/>
        <v>99870</v>
      </c>
      <c r="E1379" s="6">
        <f t="shared" si="86"/>
        <v>2.2704660179344023E-6</v>
      </c>
      <c r="F1379" s="5">
        <f ca="1">TODAY()-GETPIVOTDATA("LastPurchaseDate",MaxDate!$A$3,"Customer_name",MaxDate!A1381)</f>
        <v>61</v>
      </c>
      <c r="G1379" t="str">
        <f t="shared" ca="1" si="87"/>
        <v>At Risk</v>
      </c>
      <c r="H1379" s="13">
        <f>RANK(B1379,Customer_Tiers[Total_Sales])</f>
        <v>1378</v>
      </c>
    </row>
    <row r="1380" spans="1:8">
      <c r="A1380" t="str">
        <f>'Top Customers'!A1382</f>
        <v>SURESH PATTIMATTAM</v>
      </c>
      <c r="B1380" s="5">
        <f>IF(A1380="","",IFERROR(GETPIVOTDATA("Sales Amount",'Top Customers'!$A$3,"Customer_name",'Top Customers'!A1382),""))</f>
        <v>130</v>
      </c>
      <c r="C1380" t="str">
        <f t="shared" si="84"/>
        <v>Regular</v>
      </c>
      <c r="D1380">
        <f t="shared" si="85"/>
        <v>99870</v>
      </c>
      <c r="E1380" s="6">
        <f t="shared" si="86"/>
        <v>2.2704660179344023E-6</v>
      </c>
      <c r="F1380" s="5">
        <f ca="1">TODAY()-GETPIVOTDATA("LastPurchaseDate",MaxDate!$A$3,"Customer_name",MaxDate!A1382)</f>
        <v>299</v>
      </c>
      <c r="G1380" t="str">
        <f t="shared" ca="1" si="87"/>
        <v>Inactive</v>
      </c>
      <c r="H1380" s="13">
        <f>RANK(B1380,Customer_Tiers[Total_Sales])</f>
        <v>1378</v>
      </c>
    </row>
    <row r="1381" spans="1:8">
      <c r="A1381" t="str">
        <f>'Top Customers'!A1383</f>
        <v>ELDHO VALMBOOR</v>
      </c>
      <c r="B1381" s="5">
        <f>IF(A1381="","",IFERROR(GETPIVOTDATA("Sales Amount",'Top Customers'!$A$3,"Customer_name",'Top Customers'!A1383),""))</f>
        <v>121</v>
      </c>
      <c r="C1381" t="str">
        <f t="shared" si="84"/>
        <v>Regular</v>
      </c>
      <c r="D1381">
        <f t="shared" si="85"/>
        <v>99879</v>
      </c>
      <c r="E1381" s="6">
        <f t="shared" si="86"/>
        <v>2.113279909000482E-6</v>
      </c>
      <c r="F1381" s="5">
        <f ca="1">TODAY()-GETPIVOTDATA("LastPurchaseDate",MaxDate!$A$3,"Customer_name",MaxDate!A1383)</f>
        <v>191</v>
      </c>
      <c r="G1381" t="str">
        <f t="shared" ca="1" si="87"/>
        <v>Inactive</v>
      </c>
      <c r="H1381" s="13">
        <f>RANK(B1381,Customer_Tiers[Total_Sales])</f>
        <v>1380</v>
      </c>
    </row>
    <row r="1382" spans="1:8">
      <c r="A1382" t="str">
        <f>'Top Customers'!A1384</f>
        <v>AYYAPPAN</v>
      </c>
      <c r="B1382" s="5">
        <f>IF(A1382="","",IFERROR(GETPIVOTDATA("Sales Amount",'Top Customers'!$A$3,"Customer_name",'Top Customers'!A1384),""))</f>
        <v>120</v>
      </c>
      <c r="C1382" t="str">
        <f t="shared" si="84"/>
        <v>Regular</v>
      </c>
      <c r="D1382">
        <f t="shared" si="85"/>
        <v>99880</v>
      </c>
      <c r="E1382" s="6">
        <f t="shared" si="86"/>
        <v>2.095814785785602E-6</v>
      </c>
      <c r="F1382" s="5">
        <f ca="1">TODAY()-GETPIVOTDATA("LastPurchaseDate",MaxDate!$A$3,"Customer_name",MaxDate!A1384)</f>
        <v>173</v>
      </c>
      <c r="G1382" t="str">
        <f t="shared" ca="1" si="87"/>
        <v>Inactive</v>
      </c>
      <c r="H1382" s="13">
        <f>RANK(B1382,Customer_Tiers[Total_Sales])</f>
        <v>1381</v>
      </c>
    </row>
    <row r="1383" spans="1:8">
      <c r="A1383" t="str">
        <f>'Top Customers'!A1385</f>
        <v>AJI , N.V</v>
      </c>
      <c r="B1383" s="5">
        <f>IF(A1383="","",IFERROR(GETPIVOTDATA("Sales Amount",'Top Customers'!$A$3,"Customer_name",'Top Customers'!A1385),""))</f>
        <v>110</v>
      </c>
      <c r="C1383" t="str">
        <f t="shared" si="84"/>
        <v>Regular</v>
      </c>
      <c r="D1383">
        <f t="shared" si="85"/>
        <v>99890</v>
      </c>
      <c r="E1383" s="6">
        <f t="shared" si="86"/>
        <v>1.9211635536368021E-6</v>
      </c>
      <c r="F1383" s="5">
        <f ca="1">TODAY()-GETPIVOTDATA("LastPurchaseDate",MaxDate!$A$3,"Customer_name",MaxDate!A1385)</f>
        <v>39</v>
      </c>
      <c r="G1383" t="str">
        <f t="shared" ca="1" si="87"/>
        <v>Active</v>
      </c>
      <c r="H1383" s="13">
        <f>RANK(B1383,Customer_Tiers[Total_Sales])</f>
        <v>1382</v>
      </c>
    </row>
    <row r="1384" spans="1:8">
      <c r="A1384" t="str">
        <f>'Top Customers'!A1386</f>
        <v>DR.BABY PAZHAMPILLY</v>
      </c>
      <c r="B1384" s="5">
        <f>IF(A1384="","",IFERROR(GETPIVOTDATA("Sales Amount",'Top Customers'!$A$3,"Customer_name",'Top Customers'!A1386),""))</f>
        <v>101</v>
      </c>
      <c r="C1384" t="str">
        <f t="shared" si="84"/>
        <v>Regular</v>
      </c>
      <c r="D1384">
        <f t="shared" si="85"/>
        <v>99899</v>
      </c>
      <c r="E1384" s="6">
        <f t="shared" si="86"/>
        <v>1.7639774447028818E-6</v>
      </c>
      <c r="F1384" s="5">
        <f ca="1">TODAY()-GETPIVOTDATA("LastPurchaseDate",MaxDate!$A$3,"Customer_name",MaxDate!A1386)</f>
        <v>164</v>
      </c>
      <c r="G1384" t="str">
        <f t="shared" ca="1" si="87"/>
        <v>Inactive</v>
      </c>
      <c r="H1384" s="13">
        <f>RANK(B1384,Customer_Tiers[Total_Sales])</f>
        <v>1383</v>
      </c>
    </row>
    <row r="1385" spans="1:8">
      <c r="A1385" t="str">
        <f>'Top Customers'!A1387</f>
        <v>HIVE SOLAR POWER SOLUTIONS</v>
      </c>
      <c r="B1385" s="5">
        <f>IF(A1385="","",IFERROR(GETPIVOTDATA("Sales Amount",'Top Customers'!$A$3,"Customer_name",'Top Customers'!A1387),""))</f>
        <v>100</v>
      </c>
      <c r="C1385" t="str">
        <f t="shared" si="84"/>
        <v>Regular</v>
      </c>
      <c r="D1385">
        <f t="shared" si="85"/>
        <v>99900</v>
      </c>
      <c r="E1385" s="6">
        <f t="shared" si="86"/>
        <v>1.7465123214880018E-6</v>
      </c>
      <c r="F1385" s="5">
        <f ca="1">TODAY()-GETPIVOTDATA("LastPurchaseDate",MaxDate!$A$3,"Customer_name",MaxDate!A1387)</f>
        <v>305</v>
      </c>
      <c r="G1385" t="str">
        <f t="shared" ca="1" si="87"/>
        <v>Inactive</v>
      </c>
      <c r="H1385" s="13">
        <f>RANK(B1385,Customer_Tiers[Total_Sales])</f>
        <v>1384</v>
      </c>
    </row>
    <row r="1386" spans="1:8">
      <c r="A1386" t="str">
        <f>'Top Customers'!A1388</f>
        <v>MOIDEEN KUZIPPILLY</v>
      </c>
      <c r="B1386" s="5">
        <f>IF(A1386="","",IFERROR(GETPIVOTDATA("Sales Amount",'Top Customers'!$A$3,"Customer_name",'Top Customers'!A1388),""))</f>
        <v>100</v>
      </c>
      <c r="C1386" t="str">
        <f t="shared" si="84"/>
        <v>Regular</v>
      </c>
      <c r="D1386">
        <f t="shared" si="85"/>
        <v>99900</v>
      </c>
      <c r="E1386" s="6">
        <f t="shared" si="86"/>
        <v>1.7465123214880018E-6</v>
      </c>
      <c r="F1386" s="5">
        <f ca="1">TODAY()-GETPIVOTDATA("LastPurchaseDate",MaxDate!$A$3,"Customer_name",MaxDate!A1388)</f>
        <v>18</v>
      </c>
      <c r="G1386" t="str">
        <f t="shared" ca="1" si="87"/>
        <v>Active</v>
      </c>
      <c r="H1386" s="13">
        <f>RANK(B1386,Customer_Tiers[Total_Sales])</f>
        <v>1384</v>
      </c>
    </row>
    <row r="1387" spans="1:8">
      <c r="A1387" t="str">
        <f>'Top Customers'!A1389</f>
        <v>REJI P MATHAI</v>
      </c>
      <c r="B1387" s="5">
        <f>IF(A1387="","",IFERROR(GETPIVOTDATA("Sales Amount",'Top Customers'!$A$3,"Customer_name",'Top Customers'!A1389),""))</f>
        <v>100</v>
      </c>
      <c r="C1387" t="str">
        <f t="shared" si="84"/>
        <v>Regular</v>
      </c>
      <c r="D1387">
        <f t="shared" si="85"/>
        <v>99900</v>
      </c>
      <c r="E1387" s="6">
        <f t="shared" si="86"/>
        <v>1.7465123214880018E-6</v>
      </c>
      <c r="F1387" s="5">
        <f ca="1">TODAY()-GETPIVOTDATA("LastPurchaseDate",MaxDate!$A$3,"Customer_name",MaxDate!A1389)</f>
        <v>20</v>
      </c>
      <c r="G1387" t="str">
        <f t="shared" ca="1" si="87"/>
        <v>Active</v>
      </c>
      <c r="H1387" s="13">
        <f>RANK(B1387,Customer_Tiers[Total_Sales])</f>
        <v>1384</v>
      </c>
    </row>
    <row r="1388" spans="1:8">
      <c r="A1388" t="str">
        <f>'Top Customers'!A1390</f>
        <v>PRINCE VEMBILLY</v>
      </c>
      <c r="B1388" s="5">
        <f>IF(A1388="","",IFERROR(GETPIVOTDATA("Sales Amount",'Top Customers'!$A$3,"Customer_name",'Top Customers'!A1390),""))</f>
        <v>100</v>
      </c>
      <c r="C1388" t="str">
        <f t="shared" si="84"/>
        <v>Regular</v>
      </c>
      <c r="D1388">
        <f t="shared" si="85"/>
        <v>99900</v>
      </c>
      <c r="E1388" s="6">
        <f t="shared" si="86"/>
        <v>1.7465123214880018E-6</v>
      </c>
      <c r="F1388" s="5">
        <f ca="1">TODAY()-GETPIVOTDATA("LastPurchaseDate",MaxDate!$A$3,"Customer_name",MaxDate!A1390)</f>
        <v>104</v>
      </c>
      <c r="G1388" t="str">
        <f t="shared" ca="1" si="87"/>
        <v>At Risk</v>
      </c>
      <c r="H1388" s="13">
        <f>RANK(B1388,Customer_Tiers[Total_Sales])</f>
        <v>1384</v>
      </c>
    </row>
    <row r="1389" spans="1:8">
      <c r="A1389" t="str">
        <f>'Top Customers'!A1391</f>
        <v>SHEJIL M JACOB</v>
      </c>
      <c r="B1389" s="5">
        <f>IF(A1389="","",IFERROR(GETPIVOTDATA("Sales Amount",'Top Customers'!$A$3,"Customer_name",'Top Customers'!A1391),""))</f>
        <v>90</v>
      </c>
      <c r="C1389" t="str">
        <f t="shared" si="84"/>
        <v>Regular</v>
      </c>
      <c r="D1389">
        <f t="shared" si="85"/>
        <v>99910</v>
      </c>
      <c r="E1389" s="6">
        <f t="shared" si="86"/>
        <v>1.5718610893392015E-6</v>
      </c>
      <c r="F1389" s="5">
        <f ca="1">TODAY()-GETPIVOTDATA("LastPurchaseDate",MaxDate!$A$3,"Customer_name",MaxDate!A1391)</f>
        <v>106</v>
      </c>
      <c r="G1389" t="str">
        <f t="shared" ca="1" si="87"/>
        <v>At Risk</v>
      </c>
      <c r="H1389" s="13">
        <f>RANK(B1389,Customer_Tiers[Total_Sales])</f>
        <v>1388</v>
      </c>
    </row>
    <row r="1390" spans="1:8">
      <c r="A1390" t="str">
        <f>'Top Customers'!A1392</f>
        <v>GREGAREY SUNNY</v>
      </c>
      <c r="B1390" s="5">
        <f>IF(A1390="","",IFERROR(GETPIVOTDATA("Sales Amount",'Top Customers'!$A$3,"Customer_name",'Top Customers'!A1392),""))</f>
        <v>80</v>
      </c>
      <c r="C1390" t="str">
        <f t="shared" si="84"/>
        <v>Regular</v>
      </c>
      <c r="D1390">
        <f t="shared" si="85"/>
        <v>99920</v>
      </c>
      <c r="E1390" s="6">
        <f t="shared" si="86"/>
        <v>1.3972098571904014E-6</v>
      </c>
      <c r="F1390" s="5">
        <f ca="1">TODAY()-GETPIVOTDATA("LastPurchaseDate",MaxDate!$A$3,"Customer_name",MaxDate!A1392)</f>
        <v>314</v>
      </c>
      <c r="G1390" t="str">
        <f t="shared" ca="1" si="87"/>
        <v>Inactive</v>
      </c>
      <c r="H1390" s="13">
        <f>RANK(B1390,Customer_Tiers[Total_Sales])</f>
        <v>1389</v>
      </c>
    </row>
    <row r="1391" spans="1:8">
      <c r="A1391" t="str">
        <f>'Top Customers'!A1393</f>
        <v>ROY VALAMBOOR</v>
      </c>
      <c r="B1391" s="5">
        <f>IF(A1391="","",IFERROR(GETPIVOTDATA("Sales Amount",'Top Customers'!$A$3,"Customer_name",'Top Customers'!A1393),""))</f>
        <v>80</v>
      </c>
      <c r="C1391" t="str">
        <f t="shared" si="84"/>
        <v>Regular</v>
      </c>
      <c r="D1391">
        <f t="shared" si="85"/>
        <v>99920</v>
      </c>
      <c r="E1391" s="6">
        <f t="shared" si="86"/>
        <v>1.3972098571904014E-6</v>
      </c>
      <c r="F1391" s="5">
        <f ca="1">TODAY()-GETPIVOTDATA("LastPurchaseDate",MaxDate!$A$3,"Customer_name",MaxDate!A1393)</f>
        <v>93</v>
      </c>
      <c r="G1391" t="str">
        <f t="shared" ca="1" si="87"/>
        <v>At Risk</v>
      </c>
      <c r="H1391" s="13">
        <f>RANK(B1391,Customer_Tiers[Total_Sales])</f>
        <v>1389</v>
      </c>
    </row>
    <row r="1392" spans="1:8">
      <c r="A1392" t="str">
        <f>'Top Customers'!A1394</f>
        <v>SHIBU KALLUNGAL</v>
      </c>
      <c r="B1392" s="5">
        <f>IF(A1392="","",IFERROR(GETPIVOTDATA("Sales Amount",'Top Customers'!$A$3,"Customer_name",'Top Customers'!A1394),""))</f>
        <v>75</v>
      </c>
      <c r="C1392" t="str">
        <f t="shared" si="84"/>
        <v>Regular</v>
      </c>
      <c r="D1392">
        <f t="shared" si="85"/>
        <v>99925</v>
      </c>
      <c r="E1392" s="6">
        <f t="shared" si="86"/>
        <v>1.3098842411160012E-6</v>
      </c>
      <c r="F1392" s="5">
        <f ca="1">TODAY()-GETPIVOTDATA("LastPurchaseDate",MaxDate!$A$3,"Customer_name",MaxDate!A1394)</f>
        <v>274</v>
      </c>
      <c r="G1392" t="str">
        <f t="shared" ca="1" si="87"/>
        <v>Inactive</v>
      </c>
      <c r="H1392" s="13">
        <f>RANK(B1392,Customer_Tiers[Total_Sales])</f>
        <v>1391</v>
      </c>
    </row>
    <row r="1393" spans="1:8">
      <c r="A1393" t="str">
        <f>'Top Customers'!A1395</f>
        <v>RAHUL PATTIMATTOM</v>
      </c>
      <c r="B1393" s="5">
        <f>IF(A1393="","",IFERROR(GETPIVOTDATA("Sales Amount",'Top Customers'!$A$3,"Customer_name",'Top Customers'!A1395),""))</f>
        <v>72</v>
      </c>
      <c r="C1393" t="str">
        <f t="shared" si="84"/>
        <v>Regular</v>
      </c>
      <c r="D1393">
        <f t="shared" si="85"/>
        <v>99928</v>
      </c>
      <c r="E1393" s="6">
        <f t="shared" si="86"/>
        <v>1.2574888714713613E-6</v>
      </c>
      <c r="F1393" s="5">
        <f ca="1">TODAY()-GETPIVOTDATA("LastPurchaseDate",MaxDate!$A$3,"Customer_name",MaxDate!A1395)</f>
        <v>183</v>
      </c>
      <c r="G1393" t="str">
        <f t="shared" ca="1" si="87"/>
        <v>Inactive</v>
      </c>
      <c r="H1393" s="13">
        <f>RANK(B1393,Customer_Tiers[Total_Sales])</f>
        <v>1392</v>
      </c>
    </row>
    <row r="1394" spans="1:8">
      <c r="A1394" t="str">
        <f>'Top Customers'!A1396</f>
        <v>ANANDHU CHELAKULAM</v>
      </c>
      <c r="B1394" s="5">
        <f>IF(A1394="","",IFERROR(GETPIVOTDATA("Sales Amount",'Top Customers'!$A$3,"Customer_name",'Top Customers'!A1396),""))</f>
        <v>70</v>
      </c>
      <c r="C1394" t="str">
        <f t="shared" si="84"/>
        <v>Regular</v>
      </c>
      <c r="D1394">
        <f t="shared" si="85"/>
        <v>99930</v>
      </c>
      <c r="E1394" s="6">
        <f t="shared" si="86"/>
        <v>1.2225586250416013E-6</v>
      </c>
      <c r="F1394" s="5">
        <f ca="1">TODAY()-GETPIVOTDATA("LastPurchaseDate",MaxDate!$A$3,"Customer_name",MaxDate!A1396)</f>
        <v>64</v>
      </c>
      <c r="G1394" t="str">
        <f t="shared" ca="1" si="87"/>
        <v>At Risk</v>
      </c>
      <c r="H1394" s="13">
        <f>RANK(B1394,Customer_Tiers[Total_Sales])</f>
        <v>1393</v>
      </c>
    </row>
    <row r="1395" spans="1:8">
      <c r="A1395" t="str">
        <f>'Top Customers'!A1397</f>
        <v>ASIF AKKAMBARA</v>
      </c>
      <c r="B1395" s="5">
        <f>IF(A1395="","",IFERROR(GETPIVOTDATA("Sales Amount",'Top Customers'!$A$3,"Customer_name",'Top Customers'!A1397),""))</f>
        <v>65</v>
      </c>
      <c r="C1395" t="str">
        <f t="shared" si="84"/>
        <v>Regular</v>
      </c>
      <c r="D1395">
        <f t="shared" si="85"/>
        <v>99935</v>
      </c>
      <c r="E1395" s="6">
        <f t="shared" si="86"/>
        <v>1.1352330089672011E-6</v>
      </c>
      <c r="F1395" s="5">
        <f ca="1">TODAY()-GETPIVOTDATA("LastPurchaseDate",MaxDate!$A$3,"Customer_name",MaxDate!A1397)</f>
        <v>5</v>
      </c>
      <c r="G1395" t="str">
        <f t="shared" ca="1" si="87"/>
        <v>Active</v>
      </c>
      <c r="H1395" s="13">
        <f>RANK(B1395,Customer_Tiers[Total_Sales])</f>
        <v>1394</v>
      </c>
    </row>
    <row r="1396" spans="1:8">
      <c r="A1396" t="str">
        <f>'Top Customers'!A1398</f>
        <v>PRINCE VARGHESE</v>
      </c>
      <c r="B1396" s="5">
        <f>IF(A1396="","",IFERROR(GETPIVOTDATA("Sales Amount",'Top Customers'!$A$3,"Customer_name",'Top Customers'!A1398),""))</f>
        <v>65</v>
      </c>
      <c r="C1396" t="str">
        <f t="shared" si="84"/>
        <v>Regular</v>
      </c>
      <c r="D1396">
        <f t="shared" si="85"/>
        <v>99935</v>
      </c>
      <c r="E1396" s="6">
        <f t="shared" si="86"/>
        <v>1.1352330089672011E-6</v>
      </c>
      <c r="F1396" s="5">
        <f ca="1">TODAY()-GETPIVOTDATA("LastPurchaseDate",MaxDate!$A$3,"Customer_name",MaxDate!A1398)</f>
        <v>208</v>
      </c>
      <c r="G1396" t="str">
        <f t="shared" ca="1" si="87"/>
        <v>Inactive</v>
      </c>
      <c r="H1396" s="13">
        <f>RANK(B1396,Customer_Tiers[Total_Sales])</f>
        <v>1394</v>
      </c>
    </row>
    <row r="1397" spans="1:8">
      <c r="A1397" t="str">
        <f>'Top Customers'!A1399</f>
        <v>HARI ATHANI</v>
      </c>
      <c r="B1397" s="5">
        <f>IF(A1397="","",IFERROR(GETPIVOTDATA("Sales Amount",'Top Customers'!$A$3,"Customer_name",'Top Customers'!A1399),""))</f>
        <v>64</v>
      </c>
      <c r="C1397" t="str">
        <f t="shared" si="84"/>
        <v>Regular</v>
      </c>
      <c r="D1397">
        <f t="shared" si="85"/>
        <v>99936</v>
      </c>
      <c r="E1397" s="6">
        <f t="shared" si="86"/>
        <v>1.1177678857523211E-6</v>
      </c>
      <c r="F1397" s="5">
        <f ca="1">TODAY()-GETPIVOTDATA("LastPurchaseDate",MaxDate!$A$3,"Customer_name",MaxDate!A1399)</f>
        <v>103</v>
      </c>
      <c r="G1397" t="str">
        <f t="shared" ca="1" si="87"/>
        <v>At Risk</v>
      </c>
      <c r="H1397" s="13">
        <f>RANK(B1397,Customer_Tiers[Total_Sales])</f>
        <v>1396</v>
      </c>
    </row>
    <row r="1398" spans="1:8">
      <c r="A1398" t="str">
        <f>'Top Customers'!A1400</f>
        <v>ABU WORKSHOP</v>
      </c>
      <c r="B1398" s="5">
        <f>IF(A1398="","",IFERROR(GETPIVOTDATA("Sales Amount",'Top Customers'!$A$3,"Customer_name",'Top Customers'!A1400),""))</f>
        <v>60</v>
      </c>
      <c r="C1398" t="str">
        <f t="shared" si="84"/>
        <v>Regular</v>
      </c>
      <c r="D1398">
        <f t="shared" si="85"/>
        <v>99940</v>
      </c>
      <c r="E1398" s="6">
        <f t="shared" si="86"/>
        <v>1.047907392892801E-6</v>
      </c>
      <c r="F1398" s="5">
        <f ca="1">TODAY()-GETPIVOTDATA("LastPurchaseDate",MaxDate!$A$3,"Customer_name",MaxDate!A1400)</f>
        <v>102</v>
      </c>
      <c r="G1398" t="str">
        <f t="shared" ca="1" si="87"/>
        <v>At Risk</v>
      </c>
      <c r="H1398" s="13">
        <f>RANK(B1398,Customer_Tiers[Total_Sales])</f>
        <v>1397</v>
      </c>
    </row>
    <row r="1399" spans="1:8">
      <c r="A1399" t="str">
        <f>'Top Customers'!A1401</f>
        <v>RENJITH ARACKKAPADY</v>
      </c>
      <c r="B1399" s="5">
        <f>IF(A1399="","",IFERROR(GETPIVOTDATA("Sales Amount",'Top Customers'!$A$3,"Customer_name",'Top Customers'!A1401),""))</f>
        <v>60</v>
      </c>
      <c r="C1399" t="str">
        <f t="shared" si="84"/>
        <v>Regular</v>
      </c>
      <c r="D1399">
        <f t="shared" si="85"/>
        <v>99940</v>
      </c>
      <c r="E1399" s="6">
        <f t="shared" si="86"/>
        <v>1.047907392892801E-6</v>
      </c>
      <c r="F1399" s="5">
        <f ca="1">TODAY()-GETPIVOTDATA("LastPurchaseDate",MaxDate!$A$3,"Customer_name",MaxDate!A1401)</f>
        <v>123</v>
      </c>
      <c r="G1399" t="str">
        <f t="shared" ca="1" si="87"/>
        <v>Inactive</v>
      </c>
      <c r="H1399" s="13">
        <f>RANK(B1399,Customer_Tiers[Total_Sales])</f>
        <v>1397</v>
      </c>
    </row>
    <row r="1400" spans="1:8">
      <c r="A1400" t="str">
        <f>'Top Customers'!A1402</f>
        <v>SONY VALAMBOOR</v>
      </c>
      <c r="B1400" s="5">
        <f>IF(A1400="","",IFERROR(GETPIVOTDATA("Sales Amount",'Top Customers'!$A$3,"Customer_name",'Top Customers'!A1402),""))</f>
        <v>57</v>
      </c>
      <c r="C1400" t="str">
        <f t="shared" si="84"/>
        <v>Regular</v>
      </c>
      <c r="D1400">
        <f t="shared" si="85"/>
        <v>99943</v>
      </c>
      <c r="E1400" s="6">
        <f t="shared" si="86"/>
        <v>9.9551202324816089E-7</v>
      </c>
      <c r="F1400" s="5">
        <f ca="1">TODAY()-GETPIVOTDATA("LastPurchaseDate",MaxDate!$A$3,"Customer_name",MaxDate!A1402)</f>
        <v>109</v>
      </c>
      <c r="G1400" t="str">
        <f t="shared" ca="1" si="87"/>
        <v>At Risk</v>
      </c>
      <c r="H1400" s="13">
        <f>RANK(B1400,Customer_Tiers[Total_Sales])</f>
        <v>1399</v>
      </c>
    </row>
    <row r="1401" spans="1:8">
      <c r="A1401" t="str">
        <f>'Top Customers'!A1403</f>
        <v>SHAFI , ATHANI</v>
      </c>
      <c r="B1401" s="5">
        <f>IF(A1401="","",IFERROR(GETPIVOTDATA("Sales Amount",'Top Customers'!$A$3,"Customer_name",'Top Customers'!A1403),""))</f>
        <v>55</v>
      </c>
      <c r="C1401" t="str">
        <f t="shared" si="84"/>
        <v>Regular</v>
      </c>
      <c r="D1401">
        <f t="shared" si="85"/>
        <v>99945</v>
      </c>
      <c r="E1401" s="6">
        <f t="shared" si="86"/>
        <v>9.6058177681840104E-7</v>
      </c>
      <c r="F1401" s="5">
        <f ca="1">TODAY()-GETPIVOTDATA("LastPurchaseDate",MaxDate!$A$3,"Customer_name",MaxDate!A1403)</f>
        <v>153</v>
      </c>
      <c r="G1401" t="str">
        <f t="shared" ca="1" si="87"/>
        <v>Inactive</v>
      </c>
      <c r="H1401" s="13">
        <f>RANK(B1401,Customer_Tiers[Total_Sales])</f>
        <v>1400</v>
      </c>
    </row>
    <row r="1402" spans="1:8">
      <c r="A1402" t="str">
        <f>'Top Customers'!A1404</f>
        <v>ANWAR PATTIMATTOM</v>
      </c>
      <c r="B1402" s="5">
        <f>IF(A1402="","",IFERROR(GETPIVOTDATA("Sales Amount",'Top Customers'!$A$3,"Customer_name",'Top Customers'!A1404),""))</f>
        <v>50</v>
      </c>
      <c r="C1402" t="str">
        <f t="shared" si="84"/>
        <v>Regular</v>
      </c>
      <c r="D1402">
        <f t="shared" si="85"/>
        <v>99950</v>
      </c>
      <c r="E1402" s="6">
        <f t="shared" si="86"/>
        <v>8.7325616074400088E-7</v>
      </c>
      <c r="F1402" s="5">
        <f ca="1">TODAY()-GETPIVOTDATA("LastPurchaseDate",MaxDate!$A$3,"Customer_name",MaxDate!A1404)</f>
        <v>50</v>
      </c>
      <c r="G1402" t="str">
        <f t="shared" ca="1" si="87"/>
        <v>Active</v>
      </c>
      <c r="H1402" s="13">
        <f>RANK(B1402,Customer_Tiers[Total_Sales])</f>
        <v>1401</v>
      </c>
    </row>
    <row r="1403" spans="1:8">
      <c r="A1403" t="str">
        <f>'Top Customers'!A1405</f>
        <v>ASLAM P MUSTHAFA</v>
      </c>
      <c r="B1403" s="5">
        <f>IF(A1403="","",IFERROR(GETPIVOTDATA("Sales Amount",'Top Customers'!$A$3,"Customer_name",'Top Customers'!A1405),""))</f>
        <v>50</v>
      </c>
      <c r="C1403" t="str">
        <f t="shared" si="84"/>
        <v>Regular</v>
      </c>
      <c r="D1403">
        <f t="shared" si="85"/>
        <v>99950</v>
      </c>
      <c r="E1403" s="6">
        <f t="shared" si="86"/>
        <v>8.7325616074400088E-7</v>
      </c>
      <c r="F1403" s="5">
        <f ca="1">TODAY()-GETPIVOTDATA("LastPurchaseDate",MaxDate!$A$3,"Customer_name",MaxDate!A1405)</f>
        <v>321</v>
      </c>
      <c r="G1403" t="str">
        <f t="shared" ca="1" si="87"/>
        <v>Inactive</v>
      </c>
      <c r="H1403" s="13">
        <f>RANK(B1403,Customer_Tiers[Total_Sales])</f>
        <v>1401</v>
      </c>
    </row>
    <row r="1404" spans="1:8">
      <c r="A1404" t="str">
        <f>'Top Customers'!A1406</f>
        <v>AKSHAI IRAPURAM</v>
      </c>
      <c r="B1404" s="5">
        <f>IF(A1404="","",IFERROR(GETPIVOTDATA("Sales Amount",'Top Customers'!$A$3,"Customer_name",'Top Customers'!A1406),""))</f>
        <v>50</v>
      </c>
      <c r="C1404" t="str">
        <f t="shared" si="84"/>
        <v>Regular</v>
      </c>
      <c r="D1404">
        <f t="shared" si="85"/>
        <v>99950</v>
      </c>
      <c r="E1404" s="6">
        <f t="shared" si="86"/>
        <v>8.7325616074400088E-7</v>
      </c>
      <c r="F1404" s="5">
        <f ca="1">TODAY()-GETPIVOTDATA("LastPurchaseDate",MaxDate!$A$3,"Customer_name",MaxDate!A1406)</f>
        <v>324</v>
      </c>
      <c r="G1404" t="str">
        <f t="shared" ca="1" si="87"/>
        <v>Inactive</v>
      </c>
      <c r="H1404" s="13">
        <f>RANK(B1404,Customer_Tiers[Total_Sales])</f>
        <v>1401</v>
      </c>
    </row>
    <row r="1405" spans="1:8">
      <c r="A1405" t="str">
        <f>'Top Customers'!A1407</f>
        <v>ARUN IRAPURAM</v>
      </c>
      <c r="B1405" s="5">
        <f>IF(A1405="","",IFERROR(GETPIVOTDATA("Sales Amount",'Top Customers'!$A$3,"Customer_name",'Top Customers'!A1407),""))</f>
        <v>50</v>
      </c>
      <c r="C1405" t="str">
        <f t="shared" si="84"/>
        <v>Regular</v>
      </c>
      <c r="D1405">
        <f t="shared" si="85"/>
        <v>99950</v>
      </c>
      <c r="E1405" s="6">
        <f t="shared" si="86"/>
        <v>8.7325616074400088E-7</v>
      </c>
      <c r="F1405" s="5">
        <f ca="1">TODAY()-GETPIVOTDATA("LastPurchaseDate",MaxDate!$A$3,"Customer_name",MaxDate!A1407)</f>
        <v>318</v>
      </c>
      <c r="G1405" t="str">
        <f t="shared" ca="1" si="87"/>
        <v>Inactive</v>
      </c>
      <c r="H1405" s="13">
        <f>RANK(B1405,Customer_Tiers[Total_Sales])</f>
        <v>1401</v>
      </c>
    </row>
    <row r="1406" spans="1:8">
      <c r="A1406" t="str">
        <f>'Top Customers'!A1408</f>
        <v>ANJALI</v>
      </c>
      <c r="B1406" s="5">
        <f>IF(A1406="","",IFERROR(GETPIVOTDATA("Sales Amount",'Top Customers'!$A$3,"Customer_name",'Top Customers'!A1408),""))</f>
        <v>50</v>
      </c>
      <c r="C1406" t="str">
        <f t="shared" si="84"/>
        <v>Regular</v>
      </c>
      <c r="D1406">
        <f t="shared" si="85"/>
        <v>99950</v>
      </c>
      <c r="E1406" s="6">
        <f t="shared" si="86"/>
        <v>8.7325616074400088E-7</v>
      </c>
      <c r="F1406" s="5">
        <f ca="1">TODAY()-GETPIVOTDATA("LastPurchaseDate",MaxDate!$A$3,"Customer_name",MaxDate!A1408)</f>
        <v>215</v>
      </c>
      <c r="G1406" t="str">
        <f t="shared" ca="1" si="87"/>
        <v>Inactive</v>
      </c>
      <c r="H1406" s="13">
        <f>RANK(B1406,Customer_Tiers[Total_Sales])</f>
        <v>1401</v>
      </c>
    </row>
    <row r="1407" spans="1:8">
      <c r="A1407" t="str">
        <f>'Top Customers'!A1409</f>
        <v>EBIN KURIAN</v>
      </c>
      <c r="B1407" s="5">
        <f>IF(A1407="","",IFERROR(GETPIVOTDATA("Sales Amount",'Top Customers'!$A$3,"Customer_name",'Top Customers'!A1409),""))</f>
        <v>50</v>
      </c>
      <c r="C1407" t="str">
        <f t="shared" si="84"/>
        <v>Regular</v>
      </c>
      <c r="D1407">
        <f t="shared" si="85"/>
        <v>99950</v>
      </c>
      <c r="E1407" s="6">
        <f t="shared" si="86"/>
        <v>8.7325616074400088E-7</v>
      </c>
      <c r="F1407" s="5">
        <f ca="1">TODAY()-GETPIVOTDATA("LastPurchaseDate",MaxDate!$A$3,"Customer_name",MaxDate!A1409)</f>
        <v>92</v>
      </c>
      <c r="G1407" t="str">
        <f t="shared" ca="1" si="87"/>
        <v>At Risk</v>
      </c>
      <c r="H1407" s="13">
        <f>RANK(B1407,Customer_Tiers[Total_Sales])</f>
        <v>1401</v>
      </c>
    </row>
    <row r="1408" spans="1:8">
      <c r="A1408" t="str">
        <f>'Top Customers'!A1410</f>
        <v>ELDHO NJARALLOOR</v>
      </c>
      <c r="B1408" s="5">
        <f>IF(A1408="","",IFERROR(GETPIVOTDATA("Sales Amount",'Top Customers'!$A$3,"Customer_name",'Top Customers'!A1410),""))</f>
        <v>50</v>
      </c>
      <c r="C1408" t="str">
        <f t="shared" si="84"/>
        <v>Regular</v>
      </c>
      <c r="D1408">
        <f t="shared" si="85"/>
        <v>99950</v>
      </c>
      <c r="E1408" s="6">
        <f t="shared" si="86"/>
        <v>8.7325616074400088E-7</v>
      </c>
      <c r="F1408" s="5">
        <f ca="1">TODAY()-GETPIVOTDATA("LastPurchaseDate",MaxDate!$A$3,"Customer_name",MaxDate!A1410)</f>
        <v>158</v>
      </c>
      <c r="G1408" t="str">
        <f t="shared" ca="1" si="87"/>
        <v>Inactive</v>
      </c>
      <c r="H1408" s="13">
        <f>RANK(B1408,Customer_Tiers[Total_Sales])</f>
        <v>1401</v>
      </c>
    </row>
    <row r="1409" spans="1:8">
      <c r="A1409" t="str">
        <f>'Top Customers'!A1411</f>
        <v>KANNAN</v>
      </c>
      <c r="B1409" s="5">
        <f>IF(A1409="","",IFERROR(GETPIVOTDATA("Sales Amount",'Top Customers'!$A$3,"Customer_name",'Top Customers'!A1411),""))</f>
        <v>50</v>
      </c>
      <c r="C1409" t="str">
        <f t="shared" si="84"/>
        <v>Regular</v>
      </c>
      <c r="D1409">
        <f t="shared" si="85"/>
        <v>99950</v>
      </c>
      <c r="E1409" s="6">
        <f t="shared" si="86"/>
        <v>8.7325616074400088E-7</v>
      </c>
      <c r="F1409" s="5">
        <f ca="1">TODAY()-GETPIVOTDATA("LastPurchaseDate",MaxDate!$A$3,"Customer_name",MaxDate!A1411)</f>
        <v>184</v>
      </c>
      <c r="G1409" t="str">
        <f t="shared" ca="1" si="87"/>
        <v>Inactive</v>
      </c>
      <c r="H1409" s="13">
        <f>RANK(B1409,Customer_Tiers[Total_Sales])</f>
        <v>1401</v>
      </c>
    </row>
    <row r="1410" spans="1:8">
      <c r="A1410" t="str">
        <f>'Top Customers'!A1412</f>
        <v>SASI THATTAMUKAL</v>
      </c>
      <c r="B1410" s="5">
        <f>IF(A1410="","",IFERROR(GETPIVOTDATA("Sales Amount",'Top Customers'!$A$3,"Customer_name",'Top Customers'!A1412),""))</f>
        <v>50</v>
      </c>
      <c r="C1410" t="str">
        <f t="shared" ref="C1410:C1473" si="88">IF(B1410&gt;=1000000,"Platinum",
 IF(B1410&gt;=500000,"Gold",
 IF(B1410&gt;=100000,"Silver","Regular")))</f>
        <v>Regular</v>
      </c>
      <c r="D1410">
        <f t="shared" ref="D1410:D1473" si="89">IF(C1410="Platinum",0,
 IF(C1410="Gold",1000000-B1410,
 IF(C1410="Silver",500000-B1410,
 IF(C1410="Regular",100000-B1410,0))))</f>
        <v>99950</v>
      </c>
      <c r="E1410" s="6">
        <f t="shared" ref="E1410:E1477" si="90">B1410/SUM(B:B)</f>
        <v>8.7325616074400088E-7</v>
      </c>
      <c r="F1410" s="5">
        <f ca="1">TODAY()-GETPIVOTDATA("LastPurchaseDate",MaxDate!$A$3,"Customer_name",MaxDate!A1412)</f>
        <v>293</v>
      </c>
      <c r="G1410" t="str">
        <f t="shared" ref="G1410:G1473" ca="1" si="91">IF(F1410="","",
 IF(F1410&lt;=60,"Active",
 IF(F1410&lt;=120,"At Risk","Inactive")))</f>
        <v>Inactive</v>
      </c>
      <c r="H1410" s="13">
        <f>RANK(B1410,Customer_Tiers[Total_Sales])</f>
        <v>1401</v>
      </c>
    </row>
    <row r="1411" spans="1:8">
      <c r="A1411" t="str">
        <f>'Top Customers'!A1413</f>
        <v>SEBIN CHERIYAN</v>
      </c>
      <c r="B1411" s="5">
        <f>IF(A1411="","",IFERROR(GETPIVOTDATA("Sales Amount",'Top Customers'!$A$3,"Customer_name",'Top Customers'!A1413),""))</f>
        <v>50</v>
      </c>
      <c r="C1411" t="str">
        <f t="shared" si="88"/>
        <v>Regular</v>
      </c>
      <c r="D1411">
        <f t="shared" si="89"/>
        <v>99950</v>
      </c>
      <c r="E1411" s="6">
        <f t="shared" si="90"/>
        <v>8.7325616074400088E-7</v>
      </c>
      <c r="F1411" s="5">
        <f ca="1">TODAY()-GETPIVOTDATA("LastPurchaseDate",MaxDate!$A$3,"Customer_name",MaxDate!A1413)</f>
        <v>268</v>
      </c>
      <c r="G1411" t="str">
        <f t="shared" ca="1" si="91"/>
        <v>Inactive</v>
      </c>
      <c r="H1411" s="13">
        <f>RANK(B1411,Customer_Tiers[Total_Sales])</f>
        <v>1401</v>
      </c>
    </row>
    <row r="1412" spans="1:8">
      <c r="A1412" t="str">
        <f>'Top Customers'!A1414</f>
        <v>SHEREEF PATTIMATTOM</v>
      </c>
      <c r="B1412" s="5">
        <f>IF(A1412="","",IFERROR(GETPIVOTDATA("Sales Amount",'Top Customers'!$A$3,"Customer_name",'Top Customers'!A1414),""))</f>
        <v>50</v>
      </c>
      <c r="C1412" t="str">
        <f t="shared" si="88"/>
        <v>Regular</v>
      </c>
      <c r="D1412">
        <f t="shared" si="89"/>
        <v>99950</v>
      </c>
      <c r="E1412" s="6">
        <f t="shared" si="90"/>
        <v>8.7325616074400088E-7</v>
      </c>
      <c r="F1412" s="5">
        <f ca="1">TODAY()-GETPIVOTDATA("LastPurchaseDate",MaxDate!$A$3,"Customer_name",MaxDate!A1414)</f>
        <v>288</v>
      </c>
      <c r="G1412" t="str">
        <f t="shared" ca="1" si="91"/>
        <v>Inactive</v>
      </c>
      <c r="H1412" s="13">
        <f>RANK(B1412,Customer_Tiers[Total_Sales])</f>
        <v>1401</v>
      </c>
    </row>
    <row r="1413" spans="1:8">
      <c r="A1413" t="str">
        <f>'Top Customers'!A1415</f>
        <v>WILSON , THEYYAMPURAM</v>
      </c>
      <c r="B1413" s="5">
        <f>IF(A1413="","",IFERROR(GETPIVOTDATA("Sales Amount",'Top Customers'!$A$3,"Customer_name",'Top Customers'!A1415),""))</f>
        <v>50</v>
      </c>
      <c r="C1413" t="str">
        <f t="shared" si="88"/>
        <v>Regular</v>
      </c>
      <c r="D1413">
        <f t="shared" si="89"/>
        <v>99950</v>
      </c>
      <c r="E1413" s="6">
        <f t="shared" si="90"/>
        <v>8.7325616074400088E-7</v>
      </c>
      <c r="F1413" s="5">
        <f ca="1">TODAY()-GETPIVOTDATA("LastPurchaseDate",MaxDate!$A$3,"Customer_name",MaxDate!A1415)</f>
        <v>176</v>
      </c>
      <c r="G1413" t="str">
        <f t="shared" ca="1" si="91"/>
        <v>Inactive</v>
      </c>
      <c r="H1413" s="13">
        <f>RANK(B1413,Customer_Tiers[Total_Sales])</f>
        <v>1401</v>
      </c>
    </row>
    <row r="1414" spans="1:8">
      <c r="A1414" t="str">
        <f>'Top Customers'!A1416</f>
        <v>SUMANRAJ, KUMMANODE</v>
      </c>
      <c r="B1414" s="5">
        <f>IF(A1414="","",IFERROR(GETPIVOTDATA("Sales Amount",'Top Customers'!$A$3,"Customer_name",'Top Customers'!A1416),""))</f>
        <v>50</v>
      </c>
      <c r="C1414" t="str">
        <f t="shared" si="88"/>
        <v>Regular</v>
      </c>
      <c r="D1414">
        <f t="shared" si="89"/>
        <v>99950</v>
      </c>
      <c r="E1414" s="6">
        <f t="shared" si="90"/>
        <v>8.7325616074400088E-7</v>
      </c>
      <c r="F1414" s="5">
        <f ca="1">TODAY()-GETPIVOTDATA("LastPurchaseDate",MaxDate!$A$3,"Customer_name",MaxDate!A1416)</f>
        <v>214</v>
      </c>
      <c r="G1414" t="str">
        <f t="shared" ca="1" si="91"/>
        <v>Inactive</v>
      </c>
      <c r="H1414" s="13">
        <f>RANK(B1414,Customer_Tiers[Total_Sales])</f>
        <v>1401</v>
      </c>
    </row>
    <row r="1415" spans="1:8">
      <c r="A1415" t="str">
        <f>'Top Customers'!A1417</f>
        <v>NANDHU</v>
      </c>
      <c r="B1415" s="5">
        <f>IF(A1415="","",IFERROR(GETPIVOTDATA("Sales Amount",'Top Customers'!$A$3,"Customer_name",'Top Customers'!A1417),""))</f>
        <v>40</v>
      </c>
      <c r="C1415" t="str">
        <f t="shared" si="88"/>
        <v>Regular</v>
      </c>
      <c r="D1415">
        <f t="shared" si="89"/>
        <v>99960</v>
      </c>
      <c r="E1415" s="6">
        <f t="shared" si="90"/>
        <v>6.9860492859520069E-7</v>
      </c>
      <c r="F1415" s="5">
        <f ca="1">TODAY()-GETPIVOTDATA("LastPurchaseDate",MaxDate!$A$3,"Customer_name",MaxDate!A1417)</f>
        <v>226</v>
      </c>
      <c r="G1415" t="str">
        <f t="shared" ca="1" si="91"/>
        <v>Inactive</v>
      </c>
      <c r="H1415" s="13">
        <f>RANK(B1415,Customer_Tiers[Total_Sales])</f>
        <v>1414</v>
      </c>
    </row>
    <row r="1416" spans="1:8">
      <c r="A1416" t="str">
        <f>'Top Customers'!A1418</f>
        <v>ANIL , CHENGARA</v>
      </c>
      <c r="B1416" s="5">
        <f>IF(A1416="","",IFERROR(GETPIVOTDATA("Sales Amount",'Top Customers'!$A$3,"Customer_name",'Top Customers'!A1418),""))</f>
        <v>39</v>
      </c>
      <c r="C1416" t="str">
        <f t="shared" si="88"/>
        <v>Regular</v>
      </c>
      <c r="D1416">
        <f t="shared" si="89"/>
        <v>99961</v>
      </c>
      <c r="E1416" s="6">
        <f t="shared" si="90"/>
        <v>6.8113980538032066E-7</v>
      </c>
      <c r="F1416" s="5">
        <f ca="1">TODAY()-GETPIVOTDATA("LastPurchaseDate",MaxDate!$A$3,"Customer_name",MaxDate!A1418)</f>
        <v>215</v>
      </c>
      <c r="G1416" t="str">
        <f t="shared" ca="1" si="91"/>
        <v>Inactive</v>
      </c>
      <c r="H1416" s="13">
        <f>RANK(B1416,Customer_Tiers[Total_Sales])</f>
        <v>1415</v>
      </c>
    </row>
    <row r="1417" spans="1:8">
      <c r="A1417" t="str">
        <f>'Top Customers'!A1419</f>
        <v>SAJI , CHENGARA</v>
      </c>
      <c r="B1417" s="5">
        <f>IF(A1417="","",IFERROR(GETPIVOTDATA("Sales Amount",'Top Customers'!$A$3,"Customer_name",'Top Customers'!A1419),""))</f>
        <v>30</v>
      </c>
      <c r="C1417" t="str">
        <f t="shared" si="88"/>
        <v>Regular</v>
      </c>
      <c r="D1417">
        <f t="shared" si="89"/>
        <v>99970</v>
      </c>
      <c r="E1417" s="6">
        <f t="shared" si="90"/>
        <v>5.2395369644640049E-7</v>
      </c>
      <c r="F1417" s="5">
        <f ca="1">TODAY()-GETPIVOTDATA("LastPurchaseDate",MaxDate!$A$3,"Customer_name",MaxDate!A1419)</f>
        <v>267</v>
      </c>
      <c r="G1417" t="str">
        <f t="shared" ca="1" si="91"/>
        <v>Inactive</v>
      </c>
      <c r="H1417" s="13">
        <f>RANK(B1417,Customer_Tiers[Total_Sales])</f>
        <v>1416</v>
      </c>
    </row>
    <row r="1418" spans="1:8">
      <c r="A1418" t="str">
        <f>'Top Customers'!A1420</f>
        <v>TAHIR , KUMMANODU</v>
      </c>
      <c r="B1418" s="5">
        <f>IF(A1418="","",IFERROR(GETPIVOTDATA("Sales Amount",'Top Customers'!$A$3,"Customer_name",'Top Customers'!A1420),""))</f>
        <v>30</v>
      </c>
      <c r="C1418" t="str">
        <f t="shared" si="88"/>
        <v>Regular</v>
      </c>
      <c r="D1418">
        <f t="shared" si="89"/>
        <v>99970</v>
      </c>
      <c r="E1418" s="6">
        <f t="shared" si="90"/>
        <v>5.2395369644640049E-7</v>
      </c>
      <c r="F1418" s="5">
        <f ca="1">TODAY()-GETPIVOTDATA("LastPurchaseDate",MaxDate!$A$3,"Customer_name",MaxDate!A1420)</f>
        <v>41</v>
      </c>
      <c r="G1418" t="str">
        <f t="shared" ca="1" si="91"/>
        <v>Active</v>
      </c>
      <c r="H1418" s="13">
        <f>RANK(B1418,Customer_Tiers[Total_Sales])</f>
        <v>1416</v>
      </c>
    </row>
    <row r="1419" spans="1:8">
      <c r="A1419" t="str">
        <f>'Top Customers'!A1421</f>
        <v>SYAM PATTIMATTOM</v>
      </c>
      <c r="B1419" s="5">
        <f>IF(A1419="","",IFERROR(GETPIVOTDATA("Sales Amount",'Top Customers'!$A$3,"Customer_name",'Top Customers'!A1421),""))</f>
        <v>30</v>
      </c>
      <c r="C1419" t="str">
        <f t="shared" si="88"/>
        <v>Regular</v>
      </c>
      <c r="D1419">
        <f t="shared" si="89"/>
        <v>99970</v>
      </c>
      <c r="E1419" s="6">
        <f t="shared" si="90"/>
        <v>5.2395369644640049E-7</v>
      </c>
      <c r="F1419" s="5">
        <f ca="1">TODAY()-GETPIVOTDATA("LastPurchaseDate",MaxDate!$A$3,"Customer_name",MaxDate!A1421)</f>
        <v>250</v>
      </c>
      <c r="G1419" t="str">
        <f t="shared" ca="1" si="91"/>
        <v>Inactive</v>
      </c>
      <c r="H1419" s="13">
        <f>RANK(B1419,Customer_Tiers[Total_Sales])</f>
        <v>1416</v>
      </c>
    </row>
    <row r="1420" spans="1:8">
      <c r="A1420" t="str">
        <f>'Top Customers'!A1422</f>
        <v>JASSEL MANNAMKUZHY</v>
      </c>
      <c r="B1420" s="5">
        <f>IF(A1420="","",IFERROR(GETPIVOTDATA("Sales Amount",'Top Customers'!$A$3,"Customer_name",'Top Customers'!A1422),""))</f>
        <v>24</v>
      </c>
      <c r="C1420" t="str">
        <f t="shared" si="88"/>
        <v>Regular</v>
      </c>
      <c r="D1420">
        <f t="shared" si="89"/>
        <v>99976</v>
      </c>
      <c r="E1420" s="6">
        <f t="shared" si="90"/>
        <v>4.1916295715712041E-7</v>
      </c>
      <c r="F1420" s="5">
        <f ca="1">TODAY()-GETPIVOTDATA("LastPurchaseDate",MaxDate!$A$3,"Customer_name",MaxDate!A1422)</f>
        <v>249</v>
      </c>
      <c r="G1420" t="str">
        <f t="shared" ca="1" si="91"/>
        <v>Inactive</v>
      </c>
      <c r="H1420" s="13">
        <f>RANK(B1420,Customer_Tiers[Total_Sales])</f>
        <v>1419</v>
      </c>
    </row>
    <row r="1421" spans="1:8">
      <c r="A1421" t="str">
        <f>'Top Customers'!A1423</f>
        <v>JAIMON</v>
      </c>
      <c r="B1421" s="5">
        <f>IF(A1421="","",IFERROR(GETPIVOTDATA("Sales Amount",'Top Customers'!$A$3,"Customer_name",'Top Customers'!A1423),""))</f>
        <v>20</v>
      </c>
      <c r="C1421" t="str">
        <f t="shared" si="88"/>
        <v>Regular</v>
      </c>
      <c r="D1421">
        <f t="shared" si="89"/>
        <v>99980</v>
      </c>
      <c r="E1421" s="6">
        <f t="shared" si="90"/>
        <v>3.4930246429760034E-7</v>
      </c>
      <c r="F1421" s="5">
        <f ca="1">TODAY()-GETPIVOTDATA("LastPurchaseDate",MaxDate!$A$3,"Customer_name",MaxDate!A1423)</f>
        <v>186</v>
      </c>
      <c r="G1421" t="str">
        <f t="shared" ca="1" si="91"/>
        <v>Inactive</v>
      </c>
      <c r="H1421" s="13">
        <f>RANK(B1421,Customer_Tiers[Total_Sales])</f>
        <v>1420</v>
      </c>
    </row>
    <row r="1422" spans="1:8">
      <c r="A1422" t="str">
        <f>'Top Customers'!A1424</f>
        <v>PAZINO INFOTECH</v>
      </c>
      <c r="B1422" s="5">
        <f>IF(A1422="","",IFERROR(GETPIVOTDATA("Sales Amount",'Top Customers'!$A$3,"Customer_name",'Top Customers'!A1424),""))</f>
        <v>20</v>
      </c>
      <c r="C1422" t="str">
        <f t="shared" si="88"/>
        <v>Regular</v>
      </c>
      <c r="D1422">
        <f t="shared" si="89"/>
        <v>99980</v>
      </c>
      <c r="E1422" s="6">
        <f t="shared" si="90"/>
        <v>3.4930246429760034E-7</v>
      </c>
      <c r="F1422" s="5">
        <f ca="1">TODAY()-GETPIVOTDATA("LastPurchaseDate",MaxDate!$A$3,"Customer_name",MaxDate!A1424)</f>
        <v>249</v>
      </c>
      <c r="G1422" t="str">
        <f t="shared" ca="1" si="91"/>
        <v>Inactive</v>
      </c>
      <c r="H1422" s="13">
        <f>RANK(B1422,Customer_Tiers[Total_Sales])</f>
        <v>1420</v>
      </c>
    </row>
    <row r="1423" spans="1:8">
      <c r="A1423" t="str">
        <f>'Top Customers'!A1425</f>
        <v>MANU DRIVER KUMMANODE</v>
      </c>
      <c r="B1423" s="5">
        <f>IF(A1423="","",IFERROR(GETPIVOTDATA("Sales Amount",'Top Customers'!$A$3,"Customer_name",'Top Customers'!A1425),""))</f>
        <v>20</v>
      </c>
      <c r="C1423" t="str">
        <f t="shared" si="88"/>
        <v>Regular</v>
      </c>
      <c r="D1423">
        <f t="shared" si="89"/>
        <v>99980</v>
      </c>
      <c r="E1423" s="6">
        <f t="shared" si="90"/>
        <v>3.4930246429760034E-7</v>
      </c>
      <c r="F1423" s="5">
        <f ca="1">TODAY()-GETPIVOTDATA("LastPurchaseDate",MaxDate!$A$3,"Customer_name",MaxDate!A1425)</f>
        <v>148</v>
      </c>
      <c r="G1423" t="str">
        <f t="shared" ca="1" si="91"/>
        <v>Inactive</v>
      </c>
      <c r="H1423" s="13">
        <f>RANK(B1423,Customer_Tiers[Total_Sales])</f>
        <v>1420</v>
      </c>
    </row>
    <row r="1424" spans="1:8">
      <c r="A1424" t="str">
        <f>'Top Customers'!A1426</f>
        <v>SUNIL CHENGARA</v>
      </c>
      <c r="B1424" s="5">
        <f>IF(A1424="","",IFERROR(GETPIVOTDATA("Sales Amount",'Top Customers'!$A$3,"Customer_name",'Top Customers'!A1426),""))</f>
        <v>20</v>
      </c>
      <c r="C1424" t="str">
        <f t="shared" si="88"/>
        <v>Regular</v>
      </c>
      <c r="D1424">
        <f t="shared" si="89"/>
        <v>99980</v>
      </c>
      <c r="E1424" s="6">
        <f t="shared" si="90"/>
        <v>3.4930246429760034E-7</v>
      </c>
      <c r="F1424" s="5">
        <f ca="1">TODAY()-GETPIVOTDATA("LastPurchaseDate",MaxDate!$A$3,"Customer_name",MaxDate!A1426)</f>
        <v>295</v>
      </c>
      <c r="G1424" t="str">
        <f t="shared" ca="1" si="91"/>
        <v>Inactive</v>
      </c>
      <c r="H1424" s="13">
        <f>RANK(B1424,Customer_Tiers[Total_Sales])</f>
        <v>1420</v>
      </c>
    </row>
    <row r="1425" spans="1:8">
      <c r="A1425" t="str">
        <f>'Top Customers'!A1427</f>
        <v>AJITH KAITHAKKADU</v>
      </c>
      <c r="B1425" s="5">
        <f>IF(A1425="","",IFERROR(GETPIVOTDATA("Sales Amount",'Top Customers'!$A$3,"Customer_name",'Top Customers'!A1427),""))</f>
        <v>12</v>
      </c>
      <c r="C1425" t="str">
        <f t="shared" si="88"/>
        <v>Regular</v>
      </c>
      <c r="D1425">
        <f t="shared" si="89"/>
        <v>99988</v>
      </c>
      <c r="E1425" s="6">
        <f t="shared" si="90"/>
        <v>2.0958147857856021E-7</v>
      </c>
      <c r="F1425" s="5">
        <f ca="1">TODAY()-GETPIVOTDATA("LastPurchaseDate",MaxDate!$A$3,"Customer_name",MaxDate!A1427)</f>
        <v>248</v>
      </c>
      <c r="G1425" t="str">
        <f t="shared" ca="1" si="91"/>
        <v>Inactive</v>
      </c>
      <c r="H1425" s="13">
        <f>RANK(B1425,Customer_Tiers[Total_Sales])</f>
        <v>1424</v>
      </c>
    </row>
    <row r="1426" spans="1:8">
      <c r="A1426" t="str">
        <f>'Top Customers'!A1428</f>
        <v>AZEES CHELAKKULAM</v>
      </c>
      <c r="B1426" s="5">
        <f>IF(A1426="","",IFERROR(GETPIVOTDATA("Sales Amount",'Top Customers'!$A$3,"Customer_name",'Top Customers'!A1428),""))</f>
        <v>10</v>
      </c>
      <c r="C1426" t="str">
        <f t="shared" si="88"/>
        <v>Regular</v>
      </c>
      <c r="D1426">
        <f t="shared" si="89"/>
        <v>99990</v>
      </c>
      <c r="E1426" s="6">
        <f t="shared" si="90"/>
        <v>1.7465123214880017E-7</v>
      </c>
      <c r="F1426" s="5">
        <f ca="1">TODAY()-GETPIVOTDATA("LastPurchaseDate",MaxDate!$A$3,"Customer_name",MaxDate!A1428)</f>
        <v>94</v>
      </c>
      <c r="G1426" t="str">
        <f t="shared" ca="1" si="91"/>
        <v>At Risk</v>
      </c>
      <c r="H1426" s="13">
        <f>RANK(B1426,Customer_Tiers[Total_Sales])</f>
        <v>1425</v>
      </c>
    </row>
    <row r="1427" spans="1:8">
      <c r="A1427">
        <f>'Top Customers'!A1429</f>
        <v>0</v>
      </c>
      <c r="B1427" s="5" t="str">
        <f>IF(A1427="","",IFERROR(GETPIVOTDATA("Sales Amount",'Top Customers'!$A$3,"Customer_name",'Top Customers'!A1429),""))</f>
        <v/>
      </c>
      <c r="C1427" t="str">
        <f t="shared" si="88"/>
        <v>Platinum</v>
      </c>
      <c r="D1427">
        <f t="shared" si="89"/>
        <v>0</v>
      </c>
      <c r="E1427" s="6" t="e">
        <f t="shared" si="90"/>
        <v>#VALUE!</v>
      </c>
      <c r="F1427" s="5" t="e">
        <f ca="1">TODAY()-GETPIVOTDATA("LastPurchaseDate",MaxDate!$A$3,"Customer_name",MaxDate!A1429)</f>
        <v>#REF!</v>
      </c>
      <c r="G1427" t="e">
        <f t="shared" ca="1" si="91"/>
        <v>#REF!</v>
      </c>
      <c r="H1427" s="13" t="e">
        <f>RANK(B1427,Customer_Tiers[Total_Sales])</f>
        <v>#VALUE!</v>
      </c>
    </row>
    <row r="1428" spans="1:8">
      <c r="A1428">
        <f>'Top Customers'!A1430</f>
        <v>0</v>
      </c>
      <c r="B1428" s="5" t="str">
        <f>IF(A1428="","",IFERROR(GETPIVOTDATA("Sales Amount",'Top Customers'!$A$3,"Customer_name",'Top Customers'!A1430),""))</f>
        <v/>
      </c>
      <c r="C1428" t="str">
        <f t="shared" si="88"/>
        <v>Platinum</v>
      </c>
      <c r="D1428">
        <f t="shared" si="89"/>
        <v>0</v>
      </c>
      <c r="E1428" s="6" t="e">
        <f t="shared" si="90"/>
        <v>#VALUE!</v>
      </c>
      <c r="F1428" s="5" t="e">
        <f ca="1">TODAY()-GETPIVOTDATA("LastPurchaseDate",MaxDate!$A$3,"Customer_name",MaxDate!A1430)</f>
        <v>#REF!</v>
      </c>
      <c r="G1428" t="e">
        <f t="shared" ca="1" si="91"/>
        <v>#REF!</v>
      </c>
      <c r="H1428" s="13" t="e">
        <f>RANK(B1428,Customer_Tiers[Total_Sales])</f>
        <v>#VALUE!</v>
      </c>
    </row>
    <row r="1429" spans="1:8">
      <c r="A1429">
        <f>'Top Customers'!A1431</f>
        <v>0</v>
      </c>
      <c r="B1429" s="5" t="str">
        <f>IF(A1429="","",IFERROR(GETPIVOTDATA("Sales Amount",'Top Customers'!$A$3,"Customer_name",'Top Customers'!A1431),""))</f>
        <v/>
      </c>
      <c r="C1429" t="str">
        <f t="shared" si="88"/>
        <v>Platinum</v>
      </c>
      <c r="D1429">
        <f t="shared" si="89"/>
        <v>0</v>
      </c>
      <c r="E1429" s="6" t="e">
        <f t="shared" si="90"/>
        <v>#VALUE!</v>
      </c>
      <c r="F1429" s="5" t="e">
        <f ca="1">TODAY()-GETPIVOTDATA("LastPurchaseDate",MaxDate!$A$3,"Customer_name",MaxDate!A1431)</f>
        <v>#REF!</v>
      </c>
      <c r="G1429" t="e">
        <f t="shared" ca="1" si="91"/>
        <v>#REF!</v>
      </c>
      <c r="H1429" s="13" t="e">
        <f>RANK(B1429,Customer_Tiers[Total_Sales])</f>
        <v>#VALUE!</v>
      </c>
    </row>
    <row r="1430" spans="1:8">
      <c r="A1430">
        <f>'Top Customers'!A1432</f>
        <v>0</v>
      </c>
      <c r="B1430" s="5" t="str">
        <f>IF(A1430="","",IFERROR(GETPIVOTDATA("Sales Amount",'Top Customers'!$A$3,"Customer_name",'Top Customers'!A1432),""))</f>
        <v/>
      </c>
      <c r="C1430" t="str">
        <f t="shared" si="88"/>
        <v>Platinum</v>
      </c>
      <c r="D1430">
        <f t="shared" si="89"/>
        <v>0</v>
      </c>
      <c r="E1430" s="6" t="e">
        <f t="shared" si="90"/>
        <v>#VALUE!</v>
      </c>
      <c r="F1430" s="5" t="e">
        <f ca="1">TODAY()-GETPIVOTDATA("LastPurchaseDate",MaxDate!$A$3,"Customer_name",MaxDate!A1432)</f>
        <v>#REF!</v>
      </c>
      <c r="G1430" t="e">
        <f t="shared" ca="1" si="91"/>
        <v>#REF!</v>
      </c>
      <c r="H1430" s="13" t="e">
        <f>RANK(B1430,Customer_Tiers[Total_Sales])</f>
        <v>#VALUE!</v>
      </c>
    </row>
    <row r="1431" spans="1:8">
      <c r="A1431">
        <f>'Top Customers'!A1433</f>
        <v>0</v>
      </c>
      <c r="B1431" s="5" t="str">
        <f>IF(A1431="","",IFERROR(GETPIVOTDATA("Sales Amount",'Top Customers'!$A$3,"Customer_name",'Top Customers'!A1433),""))</f>
        <v/>
      </c>
      <c r="C1431" t="str">
        <f t="shared" si="88"/>
        <v>Platinum</v>
      </c>
      <c r="D1431">
        <f t="shared" si="89"/>
        <v>0</v>
      </c>
      <c r="E1431" s="6" t="e">
        <f t="shared" si="90"/>
        <v>#VALUE!</v>
      </c>
      <c r="F1431" s="5" t="e">
        <f ca="1">TODAY()-GETPIVOTDATA("LastPurchaseDate",MaxDate!$A$3,"Customer_name",MaxDate!A1433)</f>
        <v>#REF!</v>
      </c>
      <c r="G1431" t="e">
        <f t="shared" ca="1" si="91"/>
        <v>#REF!</v>
      </c>
      <c r="H1431" s="13" t="e">
        <f>RANK(B1431,Customer_Tiers[Total_Sales])</f>
        <v>#VALUE!</v>
      </c>
    </row>
    <row r="1432" spans="1:8">
      <c r="A1432">
        <f>'Top Customers'!A1434</f>
        <v>0</v>
      </c>
      <c r="B1432" s="5" t="str">
        <f>IF(A1432="","",IFERROR(GETPIVOTDATA("Sales Amount",'Top Customers'!$A$3,"Customer_name",'Top Customers'!A1434),""))</f>
        <v/>
      </c>
      <c r="C1432" t="str">
        <f t="shared" si="88"/>
        <v>Platinum</v>
      </c>
      <c r="D1432">
        <f t="shared" si="89"/>
        <v>0</v>
      </c>
      <c r="E1432" s="6" t="e">
        <f t="shared" si="90"/>
        <v>#VALUE!</v>
      </c>
      <c r="F1432" s="5" t="e">
        <f ca="1">TODAY()-GETPIVOTDATA("LastPurchaseDate",MaxDate!$A$3,"Customer_name",MaxDate!A1434)</f>
        <v>#REF!</v>
      </c>
      <c r="G1432" t="e">
        <f t="shared" ca="1" si="91"/>
        <v>#REF!</v>
      </c>
      <c r="H1432" s="13" t="e">
        <f>RANK(B1432,Customer_Tiers[Total_Sales])</f>
        <v>#VALUE!</v>
      </c>
    </row>
    <row r="1433" spans="1:8">
      <c r="A1433">
        <f>'Top Customers'!A1435</f>
        <v>0</v>
      </c>
      <c r="B1433" s="5" t="str">
        <f>IF(A1433="","",IFERROR(GETPIVOTDATA("Sales Amount",'Top Customers'!$A$3,"Customer_name",'Top Customers'!A1435),""))</f>
        <v/>
      </c>
      <c r="C1433" t="str">
        <f t="shared" si="88"/>
        <v>Platinum</v>
      </c>
      <c r="D1433">
        <f t="shared" si="89"/>
        <v>0</v>
      </c>
      <c r="E1433" s="6" t="e">
        <f t="shared" si="90"/>
        <v>#VALUE!</v>
      </c>
      <c r="F1433" s="5" t="e">
        <f ca="1">TODAY()-GETPIVOTDATA("LastPurchaseDate",MaxDate!$A$3,"Customer_name",MaxDate!A1435)</f>
        <v>#REF!</v>
      </c>
      <c r="G1433" t="e">
        <f t="shared" ca="1" si="91"/>
        <v>#REF!</v>
      </c>
      <c r="H1433" s="13" t="e">
        <f>RANK(B1433,Customer_Tiers[Total_Sales])</f>
        <v>#VALUE!</v>
      </c>
    </row>
    <row r="1434" spans="1:8">
      <c r="A1434">
        <f>'Top Customers'!A1436</f>
        <v>0</v>
      </c>
      <c r="B1434" s="5" t="str">
        <f>IF(A1434="","",IFERROR(GETPIVOTDATA("Sales Amount",'Top Customers'!$A$3,"Customer_name",'Top Customers'!A1436),""))</f>
        <v/>
      </c>
      <c r="C1434" t="str">
        <f t="shared" si="88"/>
        <v>Platinum</v>
      </c>
      <c r="D1434">
        <f t="shared" si="89"/>
        <v>0</v>
      </c>
      <c r="E1434" s="6" t="e">
        <f t="shared" si="90"/>
        <v>#VALUE!</v>
      </c>
      <c r="F1434" s="5" t="e">
        <f ca="1">TODAY()-GETPIVOTDATA("LastPurchaseDate",MaxDate!$A$3,"Customer_name",MaxDate!A1436)</f>
        <v>#REF!</v>
      </c>
      <c r="G1434" t="e">
        <f t="shared" ca="1" si="91"/>
        <v>#REF!</v>
      </c>
      <c r="H1434" s="13" t="e">
        <f>RANK(B1434,Customer_Tiers[Total_Sales])</f>
        <v>#VALUE!</v>
      </c>
    </row>
    <row r="1435" spans="1:8">
      <c r="A1435">
        <f>'Top Customers'!A1437</f>
        <v>0</v>
      </c>
      <c r="B1435" s="5" t="str">
        <f>IF(A1435="","",IFERROR(GETPIVOTDATA("Sales Amount",'Top Customers'!$A$3,"Customer_name",'Top Customers'!A1437),""))</f>
        <v/>
      </c>
      <c r="C1435" t="str">
        <f t="shared" si="88"/>
        <v>Platinum</v>
      </c>
      <c r="D1435">
        <f t="shared" si="89"/>
        <v>0</v>
      </c>
      <c r="E1435" s="6" t="e">
        <f t="shared" si="90"/>
        <v>#VALUE!</v>
      </c>
      <c r="F1435" s="5" t="e">
        <f ca="1">TODAY()-GETPIVOTDATA("LastPurchaseDate",MaxDate!$A$3,"Customer_name",MaxDate!A1437)</f>
        <v>#REF!</v>
      </c>
      <c r="G1435" t="e">
        <f t="shared" ca="1" si="91"/>
        <v>#REF!</v>
      </c>
      <c r="H1435" s="13" t="e">
        <f>RANK(B1435,Customer_Tiers[Total_Sales])</f>
        <v>#VALUE!</v>
      </c>
    </row>
    <row r="1436" spans="1:8">
      <c r="A1436">
        <f>'Top Customers'!A1438</f>
        <v>0</v>
      </c>
      <c r="B1436" s="5" t="str">
        <f>IF(A1436="","",IFERROR(GETPIVOTDATA("Sales Amount",'Top Customers'!$A$3,"Customer_name",'Top Customers'!A1438),""))</f>
        <v/>
      </c>
      <c r="C1436" t="str">
        <f t="shared" si="88"/>
        <v>Platinum</v>
      </c>
      <c r="D1436">
        <f t="shared" si="89"/>
        <v>0</v>
      </c>
      <c r="E1436" s="6" t="e">
        <f t="shared" si="90"/>
        <v>#VALUE!</v>
      </c>
      <c r="F1436" s="5" t="e">
        <f ca="1">TODAY()-GETPIVOTDATA("LastPurchaseDate",MaxDate!$A$3,"Customer_name",MaxDate!A1438)</f>
        <v>#REF!</v>
      </c>
      <c r="G1436" t="e">
        <f t="shared" ca="1" si="91"/>
        <v>#REF!</v>
      </c>
      <c r="H1436" s="13" t="e">
        <f>RANK(B1436,Customer_Tiers[Total_Sales])</f>
        <v>#VALUE!</v>
      </c>
    </row>
    <row r="1437" spans="1:8">
      <c r="A1437">
        <f>'Top Customers'!A1439</f>
        <v>0</v>
      </c>
      <c r="B1437" s="5" t="str">
        <f>IF(A1437="","",IFERROR(GETPIVOTDATA("Sales Amount",'Top Customers'!$A$3,"Customer_name",'Top Customers'!A1439),""))</f>
        <v/>
      </c>
      <c r="C1437" t="str">
        <f t="shared" si="88"/>
        <v>Platinum</v>
      </c>
      <c r="D1437">
        <f t="shared" si="89"/>
        <v>0</v>
      </c>
      <c r="E1437" s="6" t="e">
        <f t="shared" si="90"/>
        <v>#VALUE!</v>
      </c>
      <c r="F1437" s="5" t="e">
        <f ca="1">TODAY()-GETPIVOTDATA("LastPurchaseDate",MaxDate!$A$3,"Customer_name",MaxDate!A1439)</f>
        <v>#REF!</v>
      </c>
      <c r="G1437" t="e">
        <f t="shared" ca="1" si="91"/>
        <v>#REF!</v>
      </c>
      <c r="H1437" s="13" t="e">
        <f>RANK(B1437,Customer_Tiers[Total_Sales])</f>
        <v>#VALUE!</v>
      </c>
    </row>
    <row r="1438" spans="1:8">
      <c r="A1438">
        <f>'Top Customers'!A1440</f>
        <v>0</v>
      </c>
      <c r="B1438" s="5" t="str">
        <f>IF(A1438="","",IFERROR(GETPIVOTDATA("Sales Amount",'Top Customers'!$A$3,"Customer_name",'Top Customers'!A1440),""))</f>
        <v/>
      </c>
      <c r="C1438" t="str">
        <f t="shared" si="88"/>
        <v>Platinum</v>
      </c>
      <c r="D1438">
        <f t="shared" si="89"/>
        <v>0</v>
      </c>
      <c r="E1438" s="6" t="e">
        <f t="shared" si="90"/>
        <v>#VALUE!</v>
      </c>
      <c r="F1438" s="5" t="e">
        <f ca="1">TODAY()-GETPIVOTDATA("LastPurchaseDate",MaxDate!$A$3,"Customer_name",MaxDate!A1440)</f>
        <v>#REF!</v>
      </c>
      <c r="G1438" t="e">
        <f t="shared" ca="1" si="91"/>
        <v>#REF!</v>
      </c>
      <c r="H1438" s="13" t="e">
        <f>RANK(B1438,Customer_Tiers[Total_Sales])</f>
        <v>#VALUE!</v>
      </c>
    </row>
    <row r="1439" spans="1:8">
      <c r="A1439">
        <f>'Top Customers'!A1441</f>
        <v>0</v>
      </c>
      <c r="B1439" s="5" t="str">
        <f>IF(A1439="","",IFERROR(GETPIVOTDATA("Sales Amount",'Top Customers'!$A$3,"Customer_name",'Top Customers'!A1441),""))</f>
        <v/>
      </c>
      <c r="C1439" t="str">
        <f t="shared" si="88"/>
        <v>Platinum</v>
      </c>
      <c r="D1439">
        <f t="shared" si="89"/>
        <v>0</v>
      </c>
      <c r="E1439" s="6" t="e">
        <f t="shared" si="90"/>
        <v>#VALUE!</v>
      </c>
      <c r="F1439" s="5" t="e">
        <f ca="1">TODAY()-GETPIVOTDATA("LastPurchaseDate",MaxDate!$A$3,"Customer_name",MaxDate!A1441)</f>
        <v>#REF!</v>
      </c>
      <c r="G1439" t="e">
        <f t="shared" ca="1" si="91"/>
        <v>#REF!</v>
      </c>
      <c r="H1439" s="13" t="e">
        <f>RANK(B1439,Customer_Tiers[Total_Sales])</f>
        <v>#VALUE!</v>
      </c>
    </row>
    <row r="1440" spans="1:8">
      <c r="A1440">
        <f>'Top Customers'!A1442</f>
        <v>0</v>
      </c>
      <c r="B1440" s="5" t="str">
        <f>IF(A1440="","",IFERROR(GETPIVOTDATA("Sales Amount",'Top Customers'!$A$3,"Customer_name",'Top Customers'!A1442),""))</f>
        <v/>
      </c>
      <c r="C1440" t="str">
        <f t="shared" si="88"/>
        <v>Platinum</v>
      </c>
      <c r="D1440">
        <f t="shared" si="89"/>
        <v>0</v>
      </c>
      <c r="E1440" s="6" t="e">
        <f t="shared" si="90"/>
        <v>#VALUE!</v>
      </c>
      <c r="F1440" s="5" t="e">
        <f ca="1">TODAY()-GETPIVOTDATA("LastPurchaseDate",MaxDate!$A$3,"Customer_name",MaxDate!A1442)</f>
        <v>#REF!</v>
      </c>
      <c r="G1440" t="e">
        <f t="shared" ca="1" si="91"/>
        <v>#REF!</v>
      </c>
      <c r="H1440" s="13" t="e">
        <f>RANK(B1440,Customer_Tiers[Total_Sales])</f>
        <v>#VALUE!</v>
      </c>
    </row>
    <row r="1441" spans="1:8">
      <c r="A1441">
        <f>'Top Customers'!A1443</f>
        <v>0</v>
      </c>
      <c r="B1441" s="5" t="str">
        <f>IF(A1441="","",IFERROR(GETPIVOTDATA("Sales Amount",'Top Customers'!$A$3,"Customer_name",'Top Customers'!A1443),""))</f>
        <v/>
      </c>
      <c r="C1441" t="str">
        <f t="shared" si="88"/>
        <v>Platinum</v>
      </c>
      <c r="D1441">
        <f t="shared" si="89"/>
        <v>0</v>
      </c>
      <c r="E1441" s="6" t="e">
        <f t="shared" si="90"/>
        <v>#VALUE!</v>
      </c>
      <c r="F1441" s="5" t="e">
        <f ca="1">TODAY()-GETPIVOTDATA("LastPurchaseDate",MaxDate!$A$3,"Customer_name",MaxDate!A1443)</f>
        <v>#REF!</v>
      </c>
      <c r="G1441" t="e">
        <f t="shared" ca="1" si="91"/>
        <v>#REF!</v>
      </c>
      <c r="H1441" s="13" t="e">
        <f>RANK(B1441,Customer_Tiers[Total_Sales])</f>
        <v>#VALUE!</v>
      </c>
    </row>
    <row r="1442" spans="1:8">
      <c r="A1442">
        <f>'Top Customers'!A1444</f>
        <v>0</v>
      </c>
      <c r="B1442" s="5" t="str">
        <f>IF(A1442="","",IFERROR(GETPIVOTDATA("Sales Amount",'Top Customers'!$A$3,"Customer_name",'Top Customers'!A1444),""))</f>
        <v/>
      </c>
      <c r="C1442" t="str">
        <f t="shared" si="88"/>
        <v>Platinum</v>
      </c>
      <c r="D1442">
        <f t="shared" si="89"/>
        <v>0</v>
      </c>
      <c r="E1442" s="6" t="e">
        <f t="shared" si="90"/>
        <v>#VALUE!</v>
      </c>
      <c r="F1442" s="5" t="e">
        <f ca="1">TODAY()-GETPIVOTDATA("LastPurchaseDate",MaxDate!$A$3,"Customer_name",MaxDate!A1444)</f>
        <v>#REF!</v>
      </c>
      <c r="G1442" t="e">
        <f t="shared" ca="1" si="91"/>
        <v>#REF!</v>
      </c>
      <c r="H1442" s="13" t="e">
        <f>RANK(B1442,Customer_Tiers[Total_Sales])</f>
        <v>#VALUE!</v>
      </c>
    </row>
    <row r="1443" spans="1:8">
      <c r="A1443">
        <f>'Top Customers'!A1445</f>
        <v>0</v>
      </c>
      <c r="B1443" s="5" t="str">
        <f>IF(A1443="","",IFERROR(GETPIVOTDATA("Sales Amount",'Top Customers'!$A$3,"Customer_name",'Top Customers'!A1445),""))</f>
        <v/>
      </c>
      <c r="C1443" t="str">
        <f t="shared" si="88"/>
        <v>Platinum</v>
      </c>
      <c r="D1443">
        <f t="shared" si="89"/>
        <v>0</v>
      </c>
      <c r="E1443" s="6" t="e">
        <f t="shared" si="90"/>
        <v>#VALUE!</v>
      </c>
      <c r="F1443" s="5" t="e">
        <f ca="1">TODAY()-GETPIVOTDATA("LastPurchaseDate",MaxDate!$A$3,"Customer_name",MaxDate!A1445)</f>
        <v>#REF!</v>
      </c>
      <c r="G1443" t="e">
        <f t="shared" ca="1" si="91"/>
        <v>#REF!</v>
      </c>
      <c r="H1443" s="13" t="e">
        <f>RANK(B1443,Customer_Tiers[Total_Sales])</f>
        <v>#VALUE!</v>
      </c>
    </row>
    <row r="1444" spans="1:8">
      <c r="A1444">
        <f>'Top Customers'!A1446</f>
        <v>0</v>
      </c>
      <c r="B1444" s="5" t="str">
        <f>IF(A1444="","",IFERROR(GETPIVOTDATA("Sales Amount",'Top Customers'!$A$3,"Customer_name",'Top Customers'!A1446),""))</f>
        <v/>
      </c>
      <c r="C1444" t="str">
        <f t="shared" si="88"/>
        <v>Platinum</v>
      </c>
      <c r="D1444">
        <f t="shared" si="89"/>
        <v>0</v>
      </c>
      <c r="E1444" s="6" t="e">
        <f t="shared" si="90"/>
        <v>#VALUE!</v>
      </c>
      <c r="F1444" s="5" t="e">
        <f ca="1">TODAY()-GETPIVOTDATA("LastPurchaseDate",MaxDate!$A$3,"Customer_name",MaxDate!A1446)</f>
        <v>#REF!</v>
      </c>
      <c r="G1444" t="e">
        <f t="shared" ca="1" si="91"/>
        <v>#REF!</v>
      </c>
      <c r="H1444" s="13" t="e">
        <f>RANK(B1444,Customer_Tiers[Total_Sales])</f>
        <v>#VALUE!</v>
      </c>
    </row>
    <row r="1445" spans="1:8">
      <c r="A1445">
        <f>'Top Customers'!A1447</f>
        <v>0</v>
      </c>
      <c r="B1445" s="5" t="str">
        <f>IF(A1445="","",IFERROR(GETPIVOTDATA("Sales Amount",'Top Customers'!$A$3,"Customer_name",'Top Customers'!A1447),""))</f>
        <v/>
      </c>
      <c r="C1445" t="str">
        <f t="shared" si="88"/>
        <v>Platinum</v>
      </c>
      <c r="D1445">
        <f t="shared" si="89"/>
        <v>0</v>
      </c>
      <c r="E1445" s="6" t="e">
        <f t="shared" si="90"/>
        <v>#VALUE!</v>
      </c>
      <c r="F1445" s="5" t="e">
        <f ca="1">TODAY()-GETPIVOTDATA("LastPurchaseDate",MaxDate!$A$3,"Customer_name",MaxDate!A1447)</f>
        <v>#REF!</v>
      </c>
      <c r="G1445" t="e">
        <f t="shared" ca="1" si="91"/>
        <v>#REF!</v>
      </c>
      <c r="H1445" s="13" t="e">
        <f>RANK(B1445,Customer_Tiers[Total_Sales])</f>
        <v>#VALUE!</v>
      </c>
    </row>
    <row r="1446" spans="1:8">
      <c r="A1446">
        <f>'Top Customers'!A1448</f>
        <v>0</v>
      </c>
      <c r="B1446" s="5" t="str">
        <f>IF(A1446="","",IFERROR(GETPIVOTDATA("Sales Amount",'Top Customers'!$A$3,"Customer_name",'Top Customers'!A1448),""))</f>
        <v/>
      </c>
      <c r="C1446" t="str">
        <f t="shared" si="88"/>
        <v>Platinum</v>
      </c>
      <c r="D1446">
        <f t="shared" si="89"/>
        <v>0</v>
      </c>
      <c r="E1446" s="6" t="e">
        <f t="shared" si="90"/>
        <v>#VALUE!</v>
      </c>
      <c r="F1446" s="5" t="e">
        <f ca="1">TODAY()-GETPIVOTDATA("LastPurchaseDate",MaxDate!$A$3,"Customer_name",MaxDate!A1448)</f>
        <v>#REF!</v>
      </c>
      <c r="G1446" t="e">
        <f t="shared" ca="1" si="91"/>
        <v>#REF!</v>
      </c>
      <c r="H1446" s="13" t="e">
        <f>RANK(B1446,Customer_Tiers[Total_Sales])</f>
        <v>#VALUE!</v>
      </c>
    </row>
    <row r="1447" spans="1:8">
      <c r="A1447">
        <f>'Top Customers'!A1449</f>
        <v>0</v>
      </c>
      <c r="B1447" s="5" t="str">
        <f>IF(A1447="","",IFERROR(GETPIVOTDATA("Sales Amount",'Top Customers'!$A$3,"Customer_name",'Top Customers'!A1449),""))</f>
        <v/>
      </c>
      <c r="C1447" t="str">
        <f t="shared" si="88"/>
        <v>Platinum</v>
      </c>
      <c r="D1447">
        <f t="shared" si="89"/>
        <v>0</v>
      </c>
      <c r="E1447" s="6" t="e">
        <f t="shared" si="90"/>
        <v>#VALUE!</v>
      </c>
      <c r="F1447" s="5" t="e">
        <f ca="1">TODAY()-GETPIVOTDATA("LastPurchaseDate",MaxDate!$A$3,"Customer_name",MaxDate!A1449)</f>
        <v>#REF!</v>
      </c>
      <c r="G1447" t="e">
        <f t="shared" ca="1" si="91"/>
        <v>#REF!</v>
      </c>
      <c r="H1447" s="13" t="e">
        <f>RANK(B1447,Customer_Tiers[Total_Sales])</f>
        <v>#VALUE!</v>
      </c>
    </row>
    <row r="1448" spans="1:8">
      <c r="A1448">
        <f>'Top Customers'!A1450</f>
        <v>0</v>
      </c>
      <c r="B1448" s="5" t="str">
        <f>IF(A1448="","",IFERROR(GETPIVOTDATA("Sales Amount",'Top Customers'!$A$3,"Customer_name",'Top Customers'!A1450),""))</f>
        <v/>
      </c>
      <c r="C1448" t="str">
        <f t="shared" si="88"/>
        <v>Platinum</v>
      </c>
      <c r="D1448">
        <f t="shared" si="89"/>
        <v>0</v>
      </c>
      <c r="E1448" s="6" t="e">
        <f t="shared" si="90"/>
        <v>#VALUE!</v>
      </c>
      <c r="F1448" s="5" t="e">
        <f ca="1">TODAY()-GETPIVOTDATA("LastPurchaseDate",MaxDate!$A$3,"Customer_name",MaxDate!A1450)</f>
        <v>#REF!</v>
      </c>
      <c r="G1448" t="e">
        <f t="shared" ca="1" si="91"/>
        <v>#REF!</v>
      </c>
      <c r="H1448" s="13" t="e">
        <f>RANK(B1448,Customer_Tiers[Total_Sales])</f>
        <v>#VALUE!</v>
      </c>
    </row>
    <row r="1449" spans="1:8">
      <c r="A1449">
        <f>'Top Customers'!A1451</f>
        <v>0</v>
      </c>
      <c r="B1449" s="5" t="str">
        <f>IF(A1449="","",IFERROR(GETPIVOTDATA("Sales Amount",'Top Customers'!$A$3,"Customer_name",'Top Customers'!A1451),""))</f>
        <v/>
      </c>
      <c r="C1449" t="str">
        <f t="shared" si="88"/>
        <v>Platinum</v>
      </c>
      <c r="D1449">
        <f t="shared" si="89"/>
        <v>0</v>
      </c>
      <c r="E1449" s="6" t="e">
        <f t="shared" si="90"/>
        <v>#VALUE!</v>
      </c>
      <c r="F1449" s="5" t="e">
        <f ca="1">TODAY()-GETPIVOTDATA("LastPurchaseDate",MaxDate!$A$3,"Customer_name",MaxDate!A1451)</f>
        <v>#REF!</v>
      </c>
      <c r="G1449" t="e">
        <f t="shared" ca="1" si="91"/>
        <v>#REF!</v>
      </c>
      <c r="H1449" s="13" t="e">
        <f>RANK(B1449,Customer_Tiers[Total_Sales])</f>
        <v>#VALUE!</v>
      </c>
    </row>
    <row r="1450" spans="1:8">
      <c r="A1450">
        <f>'Top Customers'!A1452</f>
        <v>0</v>
      </c>
      <c r="B1450" s="5" t="str">
        <f>IF(A1450="","",IFERROR(GETPIVOTDATA("Sales Amount",'Top Customers'!$A$3,"Customer_name",'Top Customers'!A1452),""))</f>
        <v/>
      </c>
      <c r="C1450" t="str">
        <f t="shared" si="88"/>
        <v>Platinum</v>
      </c>
      <c r="D1450">
        <f t="shared" si="89"/>
        <v>0</v>
      </c>
      <c r="E1450" s="6" t="e">
        <f t="shared" si="90"/>
        <v>#VALUE!</v>
      </c>
      <c r="F1450" s="5" t="e">
        <f ca="1">TODAY()-GETPIVOTDATA("LastPurchaseDate",MaxDate!$A$3,"Customer_name",MaxDate!A1452)</f>
        <v>#REF!</v>
      </c>
      <c r="G1450" t="e">
        <f t="shared" ca="1" si="91"/>
        <v>#REF!</v>
      </c>
      <c r="H1450" s="13" t="e">
        <f>RANK(B1450,Customer_Tiers[Total_Sales])</f>
        <v>#VALUE!</v>
      </c>
    </row>
    <row r="1451" spans="1:8">
      <c r="A1451">
        <f>'Top Customers'!A1453</f>
        <v>0</v>
      </c>
      <c r="B1451" s="5" t="str">
        <f>IF(A1451="","",IFERROR(GETPIVOTDATA("Sales Amount",'Top Customers'!$A$3,"Customer_name",'Top Customers'!A1453),""))</f>
        <v/>
      </c>
      <c r="C1451" t="str">
        <f t="shared" si="88"/>
        <v>Platinum</v>
      </c>
      <c r="D1451">
        <f t="shared" si="89"/>
        <v>0</v>
      </c>
      <c r="E1451" s="6" t="e">
        <f t="shared" si="90"/>
        <v>#VALUE!</v>
      </c>
      <c r="F1451" s="5" t="e">
        <f ca="1">TODAY()-GETPIVOTDATA("LastPurchaseDate",MaxDate!$A$3,"Customer_name",MaxDate!A1453)</f>
        <v>#REF!</v>
      </c>
      <c r="G1451" t="e">
        <f t="shared" ca="1" si="91"/>
        <v>#REF!</v>
      </c>
      <c r="H1451" s="13" t="e">
        <f>RANK(B1451,Customer_Tiers[Total_Sales])</f>
        <v>#VALUE!</v>
      </c>
    </row>
    <row r="1452" spans="1:8">
      <c r="A1452">
        <f>'Top Customers'!A1454</f>
        <v>0</v>
      </c>
      <c r="B1452" s="5" t="str">
        <f>IF(A1452="","",IFERROR(GETPIVOTDATA("Sales Amount",'Top Customers'!$A$3,"Customer_name",'Top Customers'!A1454),""))</f>
        <v/>
      </c>
      <c r="C1452" t="str">
        <f t="shared" si="88"/>
        <v>Platinum</v>
      </c>
      <c r="D1452">
        <f t="shared" si="89"/>
        <v>0</v>
      </c>
      <c r="E1452" s="6" t="e">
        <f t="shared" si="90"/>
        <v>#VALUE!</v>
      </c>
      <c r="F1452" s="5" t="e">
        <f ca="1">TODAY()-GETPIVOTDATA("LastPurchaseDate",MaxDate!$A$3,"Customer_name",MaxDate!A1454)</f>
        <v>#REF!</v>
      </c>
      <c r="G1452" t="e">
        <f t="shared" ca="1" si="91"/>
        <v>#REF!</v>
      </c>
      <c r="H1452" s="13" t="e">
        <f>RANK(B1452,Customer_Tiers[Total_Sales])</f>
        <v>#VALUE!</v>
      </c>
    </row>
    <row r="1453" spans="1:8">
      <c r="A1453">
        <f>'Top Customers'!A1455</f>
        <v>0</v>
      </c>
      <c r="B1453" s="5" t="str">
        <f>IF(A1453="","",IFERROR(GETPIVOTDATA("Sales Amount",'Top Customers'!$A$3,"Customer_name",'Top Customers'!A1455),""))</f>
        <v/>
      </c>
      <c r="C1453" t="str">
        <f t="shared" si="88"/>
        <v>Platinum</v>
      </c>
      <c r="D1453">
        <f t="shared" si="89"/>
        <v>0</v>
      </c>
      <c r="E1453" s="6" t="e">
        <f t="shared" si="90"/>
        <v>#VALUE!</v>
      </c>
      <c r="F1453" s="5" t="e">
        <f ca="1">TODAY()-GETPIVOTDATA("LastPurchaseDate",MaxDate!$A$3,"Customer_name",MaxDate!A1455)</f>
        <v>#REF!</v>
      </c>
      <c r="G1453" t="e">
        <f t="shared" ca="1" si="91"/>
        <v>#REF!</v>
      </c>
      <c r="H1453" s="13" t="e">
        <f>RANK(B1453,Customer_Tiers[Total_Sales])</f>
        <v>#VALUE!</v>
      </c>
    </row>
    <row r="1454" spans="1:8">
      <c r="A1454">
        <f>'Top Customers'!A1456</f>
        <v>0</v>
      </c>
      <c r="B1454" s="5" t="str">
        <f>IF(A1454="","",IFERROR(GETPIVOTDATA("Sales Amount",'Top Customers'!$A$3,"Customer_name",'Top Customers'!A1456),""))</f>
        <v/>
      </c>
      <c r="C1454" t="str">
        <f t="shared" si="88"/>
        <v>Platinum</v>
      </c>
      <c r="D1454">
        <f t="shared" si="89"/>
        <v>0</v>
      </c>
      <c r="E1454" s="6" t="e">
        <f t="shared" si="90"/>
        <v>#VALUE!</v>
      </c>
      <c r="F1454" s="5" t="e">
        <f ca="1">TODAY()-GETPIVOTDATA("LastPurchaseDate",MaxDate!$A$3,"Customer_name",MaxDate!A1456)</f>
        <v>#REF!</v>
      </c>
      <c r="G1454" t="e">
        <f t="shared" ca="1" si="91"/>
        <v>#REF!</v>
      </c>
      <c r="H1454" s="13" t="e">
        <f>RANK(B1454,Customer_Tiers[Total_Sales])</f>
        <v>#VALUE!</v>
      </c>
    </row>
    <row r="1455" spans="1:8">
      <c r="A1455">
        <f>'Top Customers'!A1457</f>
        <v>0</v>
      </c>
      <c r="B1455" s="5" t="str">
        <f>IF(A1455="","",IFERROR(GETPIVOTDATA("Sales Amount",'Top Customers'!$A$3,"Customer_name",'Top Customers'!A1457),""))</f>
        <v/>
      </c>
      <c r="C1455" t="str">
        <f t="shared" si="88"/>
        <v>Platinum</v>
      </c>
      <c r="D1455">
        <f t="shared" si="89"/>
        <v>0</v>
      </c>
      <c r="E1455" s="6" t="e">
        <f t="shared" si="90"/>
        <v>#VALUE!</v>
      </c>
      <c r="F1455" s="5" t="e">
        <f ca="1">TODAY()-GETPIVOTDATA("LastPurchaseDate",MaxDate!$A$3,"Customer_name",MaxDate!A1457)</f>
        <v>#REF!</v>
      </c>
      <c r="G1455" t="e">
        <f t="shared" ca="1" si="91"/>
        <v>#REF!</v>
      </c>
      <c r="H1455" s="13" t="e">
        <f>RANK(B1455,Customer_Tiers[Total_Sales])</f>
        <v>#VALUE!</v>
      </c>
    </row>
    <row r="1456" spans="1:8">
      <c r="A1456">
        <f>'Top Customers'!A1458</f>
        <v>0</v>
      </c>
      <c r="B1456" s="5" t="str">
        <f>IF(A1456="","",IFERROR(GETPIVOTDATA("Sales Amount",'Top Customers'!$A$3,"Customer_name",'Top Customers'!A1458),""))</f>
        <v/>
      </c>
      <c r="C1456" t="str">
        <f t="shared" si="88"/>
        <v>Platinum</v>
      </c>
      <c r="D1456">
        <f t="shared" si="89"/>
        <v>0</v>
      </c>
      <c r="E1456" s="6" t="e">
        <f t="shared" si="90"/>
        <v>#VALUE!</v>
      </c>
      <c r="F1456" s="5" t="e">
        <f ca="1">TODAY()-GETPIVOTDATA("LastPurchaseDate",MaxDate!$A$3,"Customer_name",MaxDate!A1458)</f>
        <v>#REF!</v>
      </c>
      <c r="G1456" t="e">
        <f t="shared" ca="1" si="91"/>
        <v>#REF!</v>
      </c>
      <c r="H1456" s="13" t="e">
        <f>RANK(B1456,Customer_Tiers[Total_Sales])</f>
        <v>#VALUE!</v>
      </c>
    </row>
    <row r="1457" spans="1:8">
      <c r="A1457">
        <f>'Top Customers'!A1459</f>
        <v>0</v>
      </c>
      <c r="B1457" s="5" t="str">
        <f>IF(A1457="","",IFERROR(GETPIVOTDATA("Sales Amount",'Top Customers'!$A$3,"Customer_name",'Top Customers'!A1459),""))</f>
        <v/>
      </c>
      <c r="C1457" t="str">
        <f t="shared" si="88"/>
        <v>Platinum</v>
      </c>
      <c r="D1457">
        <f t="shared" si="89"/>
        <v>0</v>
      </c>
      <c r="E1457" s="6" t="e">
        <f t="shared" si="90"/>
        <v>#VALUE!</v>
      </c>
      <c r="F1457" s="5" t="e">
        <f ca="1">TODAY()-GETPIVOTDATA("LastPurchaseDate",MaxDate!$A$3,"Customer_name",MaxDate!A1459)</f>
        <v>#REF!</v>
      </c>
      <c r="G1457" t="e">
        <f t="shared" ca="1" si="91"/>
        <v>#REF!</v>
      </c>
      <c r="H1457" s="13" t="e">
        <f>RANK(B1457,Customer_Tiers[Total_Sales])</f>
        <v>#VALUE!</v>
      </c>
    </row>
    <row r="1458" spans="1:8">
      <c r="A1458">
        <f>'Top Customers'!A1460</f>
        <v>0</v>
      </c>
      <c r="B1458" s="5" t="str">
        <f>IF(A1458="","",IFERROR(GETPIVOTDATA("Sales Amount",'Top Customers'!$A$3,"Customer_name",'Top Customers'!A1460),""))</f>
        <v/>
      </c>
      <c r="C1458" t="str">
        <f t="shared" si="88"/>
        <v>Platinum</v>
      </c>
      <c r="D1458">
        <f t="shared" si="89"/>
        <v>0</v>
      </c>
      <c r="E1458" s="6" t="e">
        <f t="shared" si="90"/>
        <v>#VALUE!</v>
      </c>
      <c r="F1458" s="5" t="e">
        <f ca="1">TODAY()-GETPIVOTDATA("LastPurchaseDate",MaxDate!$A$3,"Customer_name",MaxDate!A1460)</f>
        <v>#REF!</v>
      </c>
      <c r="G1458" t="e">
        <f t="shared" ca="1" si="91"/>
        <v>#REF!</v>
      </c>
      <c r="H1458" s="13" t="e">
        <f>RANK(B1458,Customer_Tiers[Total_Sales])</f>
        <v>#VALUE!</v>
      </c>
    </row>
    <row r="1459" spans="1:8">
      <c r="A1459">
        <f>'Top Customers'!A1461</f>
        <v>0</v>
      </c>
      <c r="B1459" s="5" t="str">
        <f>IF(A1459="","",IFERROR(GETPIVOTDATA("Sales Amount",'Top Customers'!$A$3,"Customer_name",'Top Customers'!A1461),""))</f>
        <v/>
      </c>
      <c r="C1459" t="str">
        <f t="shared" si="88"/>
        <v>Platinum</v>
      </c>
      <c r="D1459">
        <f t="shared" si="89"/>
        <v>0</v>
      </c>
      <c r="E1459" s="6" t="e">
        <f t="shared" si="90"/>
        <v>#VALUE!</v>
      </c>
      <c r="F1459" s="5" t="e">
        <f ca="1">TODAY()-GETPIVOTDATA("LastPurchaseDate",MaxDate!$A$3,"Customer_name",MaxDate!A1461)</f>
        <v>#REF!</v>
      </c>
      <c r="G1459" t="e">
        <f t="shared" ca="1" si="91"/>
        <v>#REF!</v>
      </c>
      <c r="H1459" s="13" t="e">
        <f>RANK(B1459,Customer_Tiers[Total_Sales])</f>
        <v>#VALUE!</v>
      </c>
    </row>
    <row r="1460" spans="1:8">
      <c r="A1460">
        <f>'Top Customers'!A1462</f>
        <v>0</v>
      </c>
      <c r="B1460" s="5" t="str">
        <f>IF(A1460="","",IFERROR(GETPIVOTDATA("Sales Amount",'Top Customers'!$A$3,"Customer_name",'Top Customers'!A1462),""))</f>
        <v/>
      </c>
      <c r="C1460" t="str">
        <f t="shared" si="88"/>
        <v>Platinum</v>
      </c>
      <c r="D1460">
        <f t="shared" si="89"/>
        <v>0</v>
      </c>
      <c r="E1460" s="6" t="e">
        <f t="shared" si="90"/>
        <v>#VALUE!</v>
      </c>
      <c r="F1460" s="5" t="e">
        <f ca="1">TODAY()-GETPIVOTDATA("LastPurchaseDate",MaxDate!$A$3,"Customer_name",MaxDate!A1462)</f>
        <v>#REF!</v>
      </c>
      <c r="G1460" t="e">
        <f t="shared" ca="1" si="91"/>
        <v>#REF!</v>
      </c>
      <c r="H1460" s="13" t="e">
        <f>RANK(B1460,Customer_Tiers[Total_Sales])</f>
        <v>#VALUE!</v>
      </c>
    </row>
    <row r="1461" spans="1:8">
      <c r="A1461">
        <f>'Top Customers'!A1463</f>
        <v>0</v>
      </c>
      <c r="B1461" s="5" t="str">
        <f>IF(A1461="","",IFERROR(GETPIVOTDATA("Sales Amount",'Top Customers'!$A$3,"Customer_name",'Top Customers'!A1463),""))</f>
        <v/>
      </c>
      <c r="C1461" t="str">
        <f t="shared" si="88"/>
        <v>Platinum</v>
      </c>
      <c r="D1461">
        <f t="shared" si="89"/>
        <v>0</v>
      </c>
      <c r="E1461" s="6" t="e">
        <f t="shared" si="90"/>
        <v>#VALUE!</v>
      </c>
      <c r="F1461" s="5" t="e">
        <f ca="1">TODAY()-GETPIVOTDATA("LastPurchaseDate",MaxDate!$A$3,"Customer_name",MaxDate!A1463)</f>
        <v>#REF!</v>
      </c>
      <c r="G1461" t="e">
        <f t="shared" ca="1" si="91"/>
        <v>#REF!</v>
      </c>
      <c r="H1461" s="13" t="e">
        <f>RANK(B1461,Customer_Tiers[Total_Sales])</f>
        <v>#VALUE!</v>
      </c>
    </row>
    <row r="1462" spans="1:8">
      <c r="A1462">
        <f>'Top Customers'!A1464</f>
        <v>0</v>
      </c>
      <c r="B1462" s="5" t="str">
        <f>IF(A1462="","",IFERROR(GETPIVOTDATA("Sales Amount",'Top Customers'!$A$3,"Customer_name",'Top Customers'!A1464),""))</f>
        <v/>
      </c>
      <c r="C1462" t="str">
        <f t="shared" si="88"/>
        <v>Platinum</v>
      </c>
      <c r="D1462">
        <f t="shared" si="89"/>
        <v>0</v>
      </c>
      <c r="E1462" s="6" t="e">
        <f t="shared" si="90"/>
        <v>#VALUE!</v>
      </c>
      <c r="F1462" s="5" t="e">
        <f ca="1">TODAY()-GETPIVOTDATA("LastPurchaseDate",MaxDate!$A$3,"Customer_name",MaxDate!A1464)</f>
        <v>#REF!</v>
      </c>
      <c r="G1462" t="e">
        <f t="shared" ca="1" si="91"/>
        <v>#REF!</v>
      </c>
      <c r="H1462" s="13" t="e">
        <f>RANK(B1462,Customer_Tiers[Total_Sales])</f>
        <v>#VALUE!</v>
      </c>
    </row>
    <row r="1463" spans="1:8">
      <c r="A1463">
        <f>'Top Customers'!A1465</f>
        <v>0</v>
      </c>
      <c r="B1463" s="5" t="str">
        <f>IF(A1463="","",IFERROR(GETPIVOTDATA("Sales Amount",'Top Customers'!$A$3,"Customer_name",'Top Customers'!A1465),""))</f>
        <v/>
      </c>
      <c r="C1463" t="str">
        <f t="shared" si="88"/>
        <v>Platinum</v>
      </c>
      <c r="D1463">
        <f t="shared" si="89"/>
        <v>0</v>
      </c>
      <c r="E1463" s="6" t="e">
        <f t="shared" si="90"/>
        <v>#VALUE!</v>
      </c>
      <c r="F1463" s="5" t="e">
        <f ca="1">TODAY()-GETPIVOTDATA("LastPurchaseDate",MaxDate!$A$3,"Customer_name",MaxDate!A1465)</f>
        <v>#REF!</v>
      </c>
      <c r="G1463" t="e">
        <f t="shared" ca="1" si="91"/>
        <v>#REF!</v>
      </c>
      <c r="H1463" s="13" t="e">
        <f>RANK(B1463,Customer_Tiers[Total_Sales])</f>
        <v>#VALUE!</v>
      </c>
    </row>
    <row r="1464" spans="1:8">
      <c r="A1464">
        <f>'Top Customers'!A1466</f>
        <v>0</v>
      </c>
      <c r="B1464" s="5" t="str">
        <f>IF(A1464="","",IFERROR(GETPIVOTDATA("Sales Amount",'Top Customers'!$A$3,"Customer_name",'Top Customers'!A1466),""))</f>
        <v/>
      </c>
      <c r="C1464" t="str">
        <f t="shared" si="88"/>
        <v>Platinum</v>
      </c>
      <c r="D1464">
        <f t="shared" si="89"/>
        <v>0</v>
      </c>
      <c r="E1464" s="6" t="e">
        <f t="shared" si="90"/>
        <v>#VALUE!</v>
      </c>
      <c r="F1464" s="5" t="e">
        <f ca="1">TODAY()-GETPIVOTDATA("LastPurchaseDate",MaxDate!$A$3,"Customer_name",MaxDate!A1466)</f>
        <v>#REF!</v>
      </c>
      <c r="G1464" t="e">
        <f t="shared" ca="1" si="91"/>
        <v>#REF!</v>
      </c>
      <c r="H1464" s="13" t="e">
        <f>RANK(B1464,Customer_Tiers[Total_Sales])</f>
        <v>#VALUE!</v>
      </c>
    </row>
    <row r="1465" spans="1:8">
      <c r="A1465">
        <f>'Top Customers'!A1467</f>
        <v>0</v>
      </c>
      <c r="B1465" s="5" t="str">
        <f>IF(A1465="","",IFERROR(GETPIVOTDATA("Sales Amount",'Top Customers'!$A$3,"Customer_name",'Top Customers'!A1467),""))</f>
        <v/>
      </c>
      <c r="C1465" t="str">
        <f t="shared" si="88"/>
        <v>Platinum</v>
      </c>
      <c r="D1465">
        <f t="shared" si="89"/>
        <v>0</v>
      </c>
      <c r="E1465" s="6" t="e">
        <f t="shared" si="90"/>
        <v>#VALUE!</v>
      </c>
      <c r="F1465" s="5" t="e">
        <f ca="1">TODAY()-GETPIVOTDATA("LastPurchaseDate",MaxDate!$A$3,"Customer_name",MaxDate!A1467)</f>
        <v>#REF!</v>
      </c>
      <c r="G1465" t="e">
        <f t="shared" ca="1" si="91"/>
        <v>#REF!</v>
      </c>
      <c r="H1465" s="13" t="e">
        <f>RANK(B1465,Customer_Tiers[Total_Sales])</f>
        <v>#VALUE!</v>
      </c>
    </row>
    <row r="1466" spans="1:8">
      <c r="A1466">
        <f>'Top Customers'!A1468</f>
        <v>0</v>
      </c>
      <c r="B1466" s="5" t="str">
        <f>IF(A1466="","",IFERROR(GETPIVOTDATA("Sales Amount",'Top Customers'!$A$3,"Customer_name",'Top Customers'!A1468),""))</f>
        <v/>
      </c>
      <c r="C1466" t="str">
        <f t="shared" si="88"/>
        <v>Platinum</v>
      </c>
      <c r="D1466">
        <f t="shared" si="89"/>
        <v>0</v>
      </c>
      <c r="E1466" s="6" t="e">
        <f t="shared" si="90"/>
        <v>#VALUE!</v>
      </c>
      <c r="F1466" s="5" t="e">
        <f ca="1">TODAY()-GETPIVOTDATA("LastPurchaseDate",MaxDate!$A$3,"Customer_name",MaxDate!A1468)</f>
        <v>#REF!</v>
      </c>
      <c r="G1466" t="e">
        <f t="shared" ca="1" si="91"/>
        <v>#REF!</v>
      </c>
      <c r="H1466" s="13" t="e">
        <f>RANK(B1466,Customer_Tiers[Total_Sales])</f>
        <v>#VALUE!</v>
      </c>
    </row>
    <row r="1467" spans="1:8">
      <c r="A1467">
        <f>'Top Customers'!A1469</f>
        <v>0</v>
      </c>
      <c r="B1467" s="5" t="str">
        <f>IF(A1467="","",IFERROR(GETPIVOTDATA("Sales Amount",'Top Customers'!$A$3,"Customer_name",'Top Customers'!A1469),""))</f>
        <v/>
      </c>
      <c r="C1467" t="str">
        <f t="shared" si="88"/>
        <v>Platinum</v>
      </c>
      <c r="D1467">
        <f t="shared" si="89"/>
        <v>0</v>
      </c>
      <c r="E1467" s="6" t="e">
        <f t="shared" si="90"/>
        <v>#VALUE!</v>
      </c>
      <c r="F1467" s="5" t="e">
        <f ca="1">TODAY()-GETPIVOTDATA("LastPurchaseDate",MaxDate!$A$3,"Customer_name",MaxDate!A1469)</f>
        <v>#REF!</v>
      </c>
      <c r="G1467" t="e">
        <f t="shared" ca="1" si="91"/>
        <v>#REF!</v>
      </c>
      <c r="H1467" s="13" t="e">
        <f>RANK(B1467,Customer_Tiers[Total_Sales])</f>
        <v>#VALUE!</v>
      </c>
    </row>
    <row r="1468" spans="1:8">
      <c r="A1468">
        <f>'Top Customers'!A1470</f>
        <v>0</v>
      </c>
      <c r="B1468" s="5" t="str">
        <f>IF(A1468="","",IFERROR(GETPIVOTDATA("Sales Amount",'Top Customers'!$A$3,"Customer_name",'Top Customers'!A1470),""))</f>
        <v/>
      </c>
      <c r="C1468" t="str">
        <f t="shared" si="88"/>
        <v>Platinum</v>
      </c>
      <c r="D1468">
        <f t="shared" si="89"/>
        <v>0</v>
      </c>
      <c r="E1468" s="6" t="e">
        <f t="shared" si="90"/>
        <v>#VALUE!</v>
      </c>
      <c r="F1468" s="5" t="e">
        <f ca="1">TODAY()-GETPIVOTDATA("LastPurchaseDate",MaxDate!$A$3,"Customer_name",MaxDate!A1470)</f>
        <v>#REF!</v>
      </c>
      <c r="G1468" t="e">
        <f t="shared" ca="1" si="91"/>
        <v>#REF!</v>
      </c>
      <c r="H1468" s="13" t="e">
        <f>RANK(B1468,Customer_Tiers[Total_Sales])</f>
        <v>#VALUE!</v>
      </c>
    </row>
    <row r="1469" spans="1:8">
      <c r="A1469">
        <f>'Top Customers'!A1471</f>
        <v>0</v>
      </c>
      <c r="B1469" s="5" t="str">
        <f>IF(A1469="","",IFERROR(GETPIVOTDATA("Sales Amount",'Top Customers'!$A$3,"Customer_name",'Top Customers'!A1471),""))</f>
        <v/>
      </c>
      <c r="C1469" t="str">
        <f t="shared" si="88"/>
        <v>Platinum</v>
      </c>
      <c r="D1469">
        <f t="shared" si="89"/>
        <v>0</v>
      </c>
      <c r="E1469" s="6" t="e">
        <f t="shared" si="90"/>
        <v>#VALUE!</v>
      </c>
      <c r="F1469" s="5" t="e">
        <f ca="1">TODAY()-GETPIVOTDATA("LastPurchaseDate",MaxDate!$A$3,"Customer_name",MaxDate!A1471)</f>
        <v>#REF!</v>
      </c>
      <c r="G1469" t="e">
        <f t="shared" ca="1" si="91"/>
        <v>#REF!</v>
      </c>
      <c r="H1469" s="13" t="e">
        <f>RANK(B1469,Customer_Tiers[Total_Sales])</f>
        <v>#VALUE!</v>
      </c>
    </row>
    <row r="1470" spans="1:8">
      <c r="A1470">
        <f>'Top Customers'!A1472</f>
        <v>0</v>
      </c>
      <c r="B1470" s="5" t="str">
        <f>IF(A1470="","",IFERROR(GETPIVOTDATA("Sales Amount",'Top Customers'!$A$3,"Customer_name",'Top Customers'!A1472),""))</f>
        <v/>
      </c>
      <c r="C1470" t="str">
        <f t="shared" si="88"/>
        <v>Platinum</v>
      </c>
      <c r="D1470">
        <f t="shared" si="89"/>
        <v>0</v>
      </c>
      <c r="E1470" s="6" t="e">
        <f t="shared" si="90"/>
        <v>#VALUE!</v>
      </c>
      <c r="F1470" s="5" t="e">
        <f ca="1">TODAY()-GETPIVOTDATA("LastPurchaseDate",MaxDate!$A$3,"Customer_name",MaxDate!A1472)</f>
        <v>#REF!</v>
      </c>
      <c r="G1470" t="e">
        <f t="shared" ca="1" si="91"/>
        <v>#REF!</v>
      </c>
      <c r="H1470" s="13" t="e">
        <f>RANK(B1470,Customer_Tiers[Total_Sales])</f>
        <v>#VALUE!</v>
      </c>
    </row>
    <row r="1471" spans="1:8">
      <c r="A1471">
        <f>'Top Customers'!A1473</f>
        <v>0</v>
      </c>
      <c r="B1471" s="5" t="str">
        <f>IF(A1471="","",IFERROR(GETPIVOTDATA("Sales Amount",'Top Customers'!$A$3,"Customer_name",'Top Customers'!A1473),""))</f>
        <v/>
      </c>
      <c r="C1471" t="str">
        <f t="shared" si="88"/>
        <v>Platinum</v>
      </c>
      <c r="D1471">
        <f t="shared" si="89"/>
        <v>0</v>
      </c>
      <c r="E1471" s="6" t="e">
        <f t="shared" si="90"/>
        <v>#VALUE!</v>
      </c>
      <c r="F1471" s="5" t="e">
        <f ca="1">TODAY()-GETPIVOTDATA("LastPurchaseDate",MaxDate!$A$3,"Customer_name",MaxDate!A1473)</f>
        <v>#REF!</v>
      </c>
      <c r="G1471" t="e">
        <f t="shared" ca="1" si="91"/>
        <v>#REF!</v>
      </c>
      <c r="H1471" s="13" t="e">
        <f>RANK(B1471,Customer_Tiers[Total_Sales])</f>
        <v>#VALUE!</v>
      </c>
    </row>
    <row r="1472" spans="1:8">
      <c r="A1472">
        <f>'Top Customers'!A1474</f>
        <v>0</v>
      </c>
      <c r="B1472" s="5" t="str">
        <f>IF(A1472="","",IFERROR(GETPIVOTDATA("Sales Amount",'Top Customers'!$A$3,"Customer_name",'Top Customers'!A1474),""))</f>
        <v/>
      </c>
      <c r="C1472" t="str">
        <f t="shared" si="88"/>
        <v>Platinum</v>
      </c>
      <c r="D1472">
        <f t="shared" si="89"/>
        <v>0</v>
      </c>
      <c r="E1472" s="6" t="e">
        <f t="shared" si="90"/>
        <v>#VALUE!</v>
      </c>
      <c r="F1472" s="5" t="e">
        <f ca="1">TODAY()-GETPIVOTDATA("LastPurchaseDate",MaxDate!$A$3,"Customer_name",MaxDate!A1474)</f>
        <v>#REF!</v>
      </c>
      <c r="G1472" t="e">
        <f t="shared" ca="1" si="91"/>
        <v>#REF!</v>
      </c>
      <c r="H1472" s="13" t="e">
        <f>RANK(B1472,Customer_Tiers[Total_Sales])</f>
        <v>#VALUE!</v>
      </c>
    </row>
    <row r="1473" spans="1:8">
      <c r="A1473">
        <f>'Top Customers'!A1475</f>
        <v>0</v>
      </c>
      <c r="B1473" s="5" t="str">
        <f>IF(A1473="","",IFERROR(GETPIVOTDATA("Sales Amount",'Top Customers'!$A$3,"Customer_name",'Top Customers'!A1475),""))</f>
        <v/>
      </c>
      <c r="C1473" t="str">
        <f t="shared" si="88"/>
        <v>Platinum</v>
      </c>
      <c r="D1473">
        <f t="shared" si="89"/>
        <v>0</v>
      </c>
      <c r="E1473" s="6" t="e">
        <f t="shared" si="90"/>
        <v>#VALUE!</v>
      </c>
      <c r="F1473" s="5" t="e">
        <f ca="1">TODAY()-GETPIVOTDATA("LastPurchaseDate",MaxDate!$A$3,"Customer_name",MaxDate!A1475)</f>
        <v>#REF!</v>
      </c>
      <c r="G1473" t="e">
        <f t="shared" ca="1" si="91"/>
        <v>#REF!</v>
      </c>
      <c r="H1473" s="13" t="e">
        <f>RANK(B1473,Customer_Tiers[Total_Sales])</f>
        <v>#VALUE!</v>
      </c>
    </row>
    <row r="1474" spans="1:8">
      <c r="A1474">
        <f>'Top Customers'!A1476</f>
        <v>0</v>
      </c>
      <c r="B1474" s="5" t="str">
        <f>IF(A1474="","",IFERROR(GETPIVOTDATA("Sales Amount",'Top Customers'!$A$3,"Customer_name",'Top Customers'!A1476),""))</f>
        <v/>
      </c>
      <c r="C1474" t="str">
        <f t="shared" ref="C1474:C1477" si="92">IF(B1474&gt;=1000000,"Platinum",
 IF(B1474&gt;=500000,"Gold",
 IF(B1474&gt;=100000,"Silver","Regular")))</f>
        <v>Platinum</v>
      </c>
      <c r="D1474">
        <f t="shared" ref="D1474:D1477" si="93">IF(C1474="Platinum",0,
 IF(C1474="Gold",1000000-B1474,
 IF(C1474="Silver",500000-B1474,
 IF(C1474="Regular",100000-B1474,0))))</f>
        <v>0</v>
      </c>
      <c r="E1474" s="6" t="e">
        <f t="shared" si="90"/>
        <v>#VALUE!</v>
      </c>
      <c r="F1474" s="5" t="e">
        <f ca="1">TODAY()-GETPIVOTDATA("LastPurchaseDate",MaxDate!$A$3,"Customer_name",MaxDate!A1476)</f>
        <v>#REF!</v>
      </c>
      <c r="G1474" t="e">
        <f t="shared" ref="G1474:G1477" ca="1" si="94">IF(F1474="","",
 IF(F1474&lt;=60,"Active",
 IF(F1474&lt;=120,"At Risk","Inactive")))</f>
        <v>#REF!</v>
      </c>
      <c r="H1474" s="13" t="e">
        <f>RANK(B1474,Customer_Tiers[Total_Sales])</f>
        <v>#VALUE!</v>
      </c>
    </row>
    <row r="1475" spans="1:8">
      <c r="A1475">
        <f>'Top Customers'!A1477</f>
        <v>0</v>
      </c>
      <c r="B1475" s="5" t="str">
        <f>IF(A1475="","",IFERROR(GETPIVOTDATA("Sales Amount",'Top Customers'!$A$3,"Customer_name",'Top Customers'!A1477),""))</f>
        <v/>
      </c>
      <c r="C1475" t="str">
        <f t="shared" si="92"/>
        <v>Platinum</v>
      </c>
      <c r="D1475">
        <f t="shared" si="93"/>
        <v>0</v>
      </c>
      <c r="E1475" s="6" t="e">
        <f t="shared" si="90"/>
        <v>#VALUE!</v>
      </c>
      <c r="F1475" s="5" t="e">
        <f ca="1">TODAY()-GETPIVOTDATA("LastPurchaseDate",MaxDate!$A$3,"Customer_name",MaxDate!A1477)</f>
        <v>#REF!</v>
      </c>
      <c r="G1475" t="e">
        <f t="shared" ca="1" si="94"/>
        <v>#REF!</v>
      </c>
      <c r="H1475" s="13" t="e">
        <f>RANK(B1475,Customer_Tiers[Total_Sales])</f>
        <v>#VALUE!</v>
      </c>
    </row>
    <row r="1476" spans="1:8">
      <c r="A1476">
        <f>'Top Customers'!A1478</f>
        <v>0</v>
      </c>
      <c r="B1476" s="5" t="str">
        <f>IF(A1476="","",IFERROR(GETPIVOTDATA("Sales Amount",'Top Customers'!$A$3,"Customer_name",'Top Customers'!A1478),""))</f>
        <v/>
      </c>
      <c r="C1476" t="str">
        <f t="shared" si="92"/>
        <v>Platinum</v>
      </c>
      <c r="D1476">
        <f t="shared" si="93"/>
        <v>0</v>
      </c>
      <c r="E1476" s="6" t="e">
        <f t="shared" si="90"/>
        <v>#VALUE!</v>
      </c>
      <c r="F1476" s="5" t="e">
        <f ca="1">TODAY()-GETPIVOTDATA("LastPurchaseDate",MaxDate!$A$3,"Customer_name",MaxDate!A1478)</f>
        <v>#REF!</v>
      </c>
      <c r="G1476" t="e">
        <f t="shared" ca="1" si="94"/>
        <v>#REF!</v>
      </c>
      <c r="H1476" s="13" t="e">
        <f>RANK(B1476,Customer_Tiers[Total_Sales])</f>
        <v>#VALUE!</v>
      </c>
    </row>
    <row r="1477" spans="1:8">
      <c r="A1477">
        <f>'Top Customers'!A1479</f>
        <v>0</v>
      </c>
      <c r="B1477" s="5" t="str">
        <f>IF(A1477="","",IFERROR(GETPIVOTDATA("Sales Amount",'Top Customers'!$A$3,"Customer_name",'Top Customers'!A1479),""))</f>
        <v/>
      </c>
      <c r="C1477" t="str">
        <f t="shared" si="92"/>
        <v>Platinum</v>
      </c>
      <c r="D1477">
        <f t="shared" si="93"/>
        <v>0</v>
      </c>
      <c r="E1477" s="6" t="e">
        <f t="shared" si="90"/>
        <v>#VALUE!</v>
      </c>
      <c r="F1477" s="5" t="e">
        <f ca="1">TODAY()-GETPIVOTDATA("LastPurchaseDate",MaxDate!$A$3,"Customer_name",MaxDate!A1479)</f>
        <v>#REF!</v>
      </c>
      <c r="G1477" t="e">
        <f t="shared" ca="1" si="94"/>
        <v>#REF!</v>
      </c>
      <c r="H1477" s="13" t="e">
        <f>RANK(B1477,Customer_Tiers[Total_Sales])</f>
        <v>#VALUE!</v>
      </c>
    </row>
  </sheetData>
  <pageMargins left="0.7" right="0.7" top="0.75" bottom="0.75" header="0.3" footer="0.3"/>
  <ignoredErrors>
    <ignoredError sqref="B2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913AFF-BFCE-436F-ABCC-D3F0018812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Mambakkadan</dc:creator>
  <cp:keywords/>
  <dc:description/>
  <cp:lastModifiedBy>Gregory Mambakkadan</cp:lastModifiedBy>
  <cp:revision/>
  <dcterms:created xsi:type="dcterms:W3CDTF">2026-02-28T17:16:31Z</dcterms:created>
  <dcterms:modified xsi:type="dcterms:W3CDTF">2026-02-28T21:54:35Z</dcterms:modified>
  <cp:category/>
  <cp:contentStatus/>
</cp:coreProperties>
</file>